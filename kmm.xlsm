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r/Desktop/"/>
    </mc:Choice>
  </mc:AlternateContent>
  <xr:revisionPtr revIDLastSave="0" documentId="13_ncr:1_{4BDE11AD-90E9-5345-A0E5-E8DFF6F79A22}" xr6:coauthVersionLast="47" xr6:coauthVersionMax="47" xr10:uidLastSave="{00000000-0000-0000-0000-000000000000}"/>
  <bookViews>
    <workbookView xWindow="860" yWindow="0" windowWidth="26680" windowHeight="16960" activeTab="5" xr2:uid="{4F2C5078-D8A4-B340-A780-D2C59BF3A328}"/>
  </bookViews>
  <sheets>
    <sheet name="Sheet4" sheetId="4" r:id="rId1"/>
    <sheet name="Sheet1 (3)" sheetId="5" r:id="rId2"/>
    <sheet name="Sheet1 (4)" sheetId="6" r:id="rId3"/>
    <sheet name="Sheet1 (5)" sheetId="7" r:id="rId4"/>
    <sheet name="Calc" sheetId="9" r:id="rId5"/>
    <sheet name="Sheet2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3" i="4" l="1"/>
  <c r="S12" i="4"/>
  <c r="S11" i="4"/>
  <c r="S10" i="4"/>
  <c r="S9" i="4"/>
  <c r="N15" i="4"/>
  <c r="N14" i="4"/>
  <c r="N12" i="4"/>
  <c r="N7" i="4"/>
  <c r="N8" i="4"/>
  <c r="N5" i="4"/>
  <c r="R32" i="9"/>
  <c r="R31" i="9"/>
  <c r="I5" i="4"/>
  <c r="I4" i="4"/>
  <c r="H5" i="4"/>
  <c r="H4" i="4"/>
  <c r="R12" i="9"/>
  <c r="R13" i="9" s="1"/>
  <c r="R15" i="9" s="1"/>
  <c r="R16" i="9" s="1"/>
  <c r="S6" i="9"/>
  <c r="T6" i="9"/>
  <c r="T7" i="9" s="1"/>
  <c r="C10" i="9"/>
  <c r="C9" i="9"/>
  <c r="R8" i="9"/>
  <c r="Q7" i="9"/>
  <c r="Q6" i="9"/>
  <c r="P22" i="9"/>
  <c r="R52" i="4"/>
  <c r="Q52" i="4"/>
  <c r="F26" i="9"/>
  <c r="F27" i="9" s="1"/>
  <c r="D37" i="9"/>
  <c r="B35" i="9"/>
  <c r="D35" i="9" s="1"/>
  <c r="I16" i="9"/>
  <c r="C27" i="9"/>
  <c r="C28" i="9"/>
  <c r="C29" i="9"/>
  <c r="I8" i="9"/>
  <c r="F13" i="9"/>
  <c r="F14" i="9" s="1"/>
  <c r="Q5" i="9"/>
  <c r="F8" i="9"/>
  <c r="I24" i="9"/>
  <c r="I25" i="9" s="1"/>
  <c r="F7" i="9"/>
  <c r="C5" i="9"/>
  <c r="P14" i="9" s="1"/>
  <c r="S57" i="4"/>
  <c r="S61" i="4" s="1"/>
  <c r="S62" i="4"/>
  <c r="S55" i="4"/>
  <c r="S56" i="4" s="1"/>
  <c r="S54" i="4"/>
  <c r="N30" i="4"/>
  <c r="O30" i="4" s="1"/>
  <c r="N29" i="4"/>
  <c r="N27" i="4"/>
  <c r="O27" i="4" s="1"/>
  <c r="N26" i="4"/>
  <c r="N24" i="4"/>
  <c r="O24" i="4" s="1"/>
  <c r="N23" i="4"/>
  <c r="T33" i="4"/>
  <c r="P54" i="4"/>
  <c r="P53" i="4"/>
  <c r="P52" i="4"/>
  <c r="P38" i="4"/>
  <c r="O38" i="4"/>
  <c r="P50" i="4"/>
  <c r="R48" i="4"/>
  <c r="Q48" i="4"/>
  <c r="P48" i="4"/>
  <c r="P47" i="4"/>
  <c r="P45" i="4"/>
  <c r="P44" i="4"/>
  <c r="P43" i="4"/>
  <c r="J66" i="4"/>
  <c r="J65" i="4"/>
  <c r="K66" i="4" s="1"/>
  <c r="J63" i="4"/>
  <c r="K63" i="4" s="1"/>
  <c r="J62" i="4"/>
  <c r="J60" i="4"/>
  <c r="J59" i="4"/>
  <c r="K60" i="4" s="1"/>
  <c r="L58" i="4"/>
  <c r="L55" i="4"/>
  <c r="L49" i="4"/>
  <c r="J57" i="4"/>
  <c r="K57" i="4" s="1"/>
  <c r="J56" i="4"/>
  <c r="J55" i="4"/>
  <c r="K55" i="4" s="1"/>
  <c r="J54" i="4"/>
  <c r="J53" i="4"/>
  <c r="J52" i="4"/>
  <c r="K53" i="4" s="1"/>
  <c r="J51" i="4"/>
  <c r="K51" i="4" s="1"/>
  <c r="J50" i="4"/>
  <c r="J49" i="4"/>
  <c r="K49" i="4" s="1"/>
  <c r="J48" i="4"/>
  <c r="J46" i="4"/>
  <c r="J45" i="4"/>
  <c r="J43" i="4"/>
  <c r="K43" i="4" s="1"/>
  <c r="J42" i="4"/>
  <c r="J39" i="4"/>
  <c r="K39" i="4" s="1"/>
  <c r="J38" i="4"/>
  <c r="J37" i="4"/>
  <c r="K37" i="4" s="1"/>
  <c r="J36" i="4"/>
  <c r="E12" i="4"/>
  <c r="H16" i="4"/>
  <c r="J34" i="4"/>
  <c r="J33" i="4"/>
  <c r="J31" i="4"/>
  <c r="J30" i="4"/>
  <c r="J26" i="4"/>
  <c r="K26" i="4" s="1"/>
  <c r="K28" i="4" s="1"/>
  <c r="J25" i="4"/>
  <c r="J24" i="4"/>
  <c r="J23" i="4"/>
  <c r="K24" i="4" s="1"/>
  <c r="J19" i="4"/>
  <c r="J17" i="4"/>
  <c r="J9" i="4"/>
  <c r="I9" i="4"/>
  <c r="I11" i="4"/>
  <c r="R7" i="9" l="1"/>
  <c r="I26" i="9" s="1"/>
  <c r="P23" i="9"/>
  <c r="P24" i="9" s="1"/>
  <c r="I18" i="9" s="1"/>
  <c r="I17" i="9"/>
  <c r="C30" i="9"/>
  <c r="C31" i="9" s="1"/>
  <c r="C32" i="9" s="1"/>
  <c r="L5" i="9"/>
  <c r="I6" i="9" s="1"/>
  <c r="I7" i="9" s="1"/>
  <c r="I11" i="9" s="1"/>
  <c r="P10" i="9"/>
  <c r="P15" i="9"/>
  <c r="P11" i="9"/>
  <c r="P16" i="9"/>
  <c r="P12" i="9"/>
  <c r="P17" i="9"/>
  <c r="S63" i="4"/>
  <c r="S64" i="4" s="1"/>
  <c r="Q54" i="4"/>
  <c r="Q45" i="4"/>
  <c r="K46" i="4"/>
  <c r="K31" i="4"/>
  <c r="K34" i="4"/>
  <c r="I9" i="9" l="1"/>
  <c r="I27" i="9"/>
  <c r="I29" i="9" s="1"/>
  <c r="F24" i="9" s="1"/>
  <c r="F25" i="9" s="1"/>
  <c r="F28" i="9" s="1"/>
  <c r="P19" i="9"/>
  <c r="I19" i="9" s="1"/>
  <c r="I32" i="9" l="1"/>
  <c r="I33" i="9" s="1"/>
  <c r="I34" i="9" l="1"/>
  <c r="I35" i="9" s="1"/>
  <c r="I38" i="9" s="1"/>
  <c r="I39" i="9" s="1"/>
  <c r="I40" i="9" s="1"/>
  <c r="I41" i="9" s="1"/>
  <c r="L32" i="9"/>
  <c r="L33" i="9" s="1"/>
</calcChain>
</file>

<file path=xl/sharedStrings.xml><?xml version="1.0" encoding="utf-8"?>
<sst xmlns="http://schemas.openxmlformats.org/spreadsheetml/2006/main" count="207" uniqueCount="167">
  <si>
    <t>n - 140</t>
  </si>
  <si>
    <t>e - 90</t>
  </si>
  <si>
    <t>s - 157</t>
  </si>
  <si>
    <t>w - 121</t>
  </si>
  <si>
    <t>nw-se-186</t>
  </si>
  <si>
    <t>ne-sw-174</t>
  </si>
  <si>
    <t xml:space="preserve"> </t>
  </si>
  <si>
    <t>MW</t>
  </si>
  <si>
    <t>Wash</t>
  </si>
  <si>
    <t>hob</t>
  </si>
  <si>
    <t>fridge</t>
  </si>
  <si>
    <t>grill</t>
  </si>
  <si>
    <t>Pot</t>
  </si>
  <si>
    <t>Kettle</t>
  </si>
  <si>
    <t>Mixer</t>
  </si>
  <si>
    <t>Other</t>
  </si>
  <si>
    <t>fridge - small one</t>
  </si>
  <si>
    <t>no hob</t>
  </si>
  <si>
    <t>no dish washer</t>
  </si>
  <si>
    <t>no washing mc</t>
  </si>
  <si>
    <t>micro wave - small</t>
  </si>
  <si>
    <t>oven/grill - portable</t>
  </si>
  <si>
    <t>instant pot</t>
  </si>
  <si>
    <t>kettle</t>
  </si>
  <si>
    <t>mixie/grinder</t>
  </si>
  <si>
    <t>pans, plates, cups, bowls</t>
  </si>
  <si>
    <t>cutlery, boxes, jars</t>
  </si>
  <si>
    <t>groceries</t>
  </si>
  <si>
    <t>tape cots</t>
  </si>
  <si>
    <t>plastic chairs</t>
  </si>
  <si>
    <t>tables - 2</t>
  </si>
  <si>
    <t>tea poy</t>
  </si>
  <si>
    <t>sofa 2-seater</t>
  </si>
  <si>
    <t>swing chair</t>
  </si>
  <si>
    <t>baths - fully fitted</t>
  </si>
  <si>
    <t>water heaters</t>
  </si>
  <si>
    <t>showers</t>
  </si>
  <si>
    <t>shower curtains</t>
  </si>
  <si>
    <t>small TV and deck</t>
  </si>
  <si>
    <t>fans</t>
  </si>
  <si>
    <t>lighting</t>
  </si>
  <si>
    <t>carpet</t>
  </si>
  <si>
    <t>cupboard</t>
  </si>
  <si>
    <t>modular kitchen</t>
  </si>
  <si>
    <t>wardrobes</t>
  </si>
  <si>
    <t>`</t>
  </si>
  <si>
    <t>basin</t>
  </si>
  <si>
    <t>dishes</t>
  </si>
  <si>
    <t>mw</t>
  </si>
  <si>
    <t>other</t>
  </si>
  <si>
    <t>6 ft</t>
  </si>
  <si>
    <t>min spacing between columns</t>
  </si>
  <si>
    <t>max spacing between columns</t>
  </si>
  <si>
    <t>24 ft</t>
  </si>
  <si>
    <t>ave spacing between columns</t>
  </si>
  <si>
    <t>16 ft</t>
  </si>
  <si>
    <t>for bending momemt</t>
  </si>
  <si>
    <t>for solar etc</t>
  </si>
  <si>
    <t>M20 psi</t>
  </si>
  <si>
    <t>in m^2</t>
  </si>
  <si>
    <t>sft to m^2</t>
  </si>
  <si>
    <t>wt in kg</t>
  </si>
  <si>
    <t>wt in Newtons</t>
  </si>
  <si>
    <t>of M20</t>
  </si>
  <si>
    <t>column area m^2</t>
  </si>
  <si>
    <t>in sft</t>
  </si>
  <si>
    <t>6 in slab wt kg/m^2</t>
  </si>
  <si>
    <t>ft &gt; cm</t>
  </si>
  <si>
    <t>column size cm</t>
  </si>
  <si>
    <t>wt of concrete kg/m3</t>
  </si>
  <si>
    <t>wt of steel kg/m3</t>
  </si>
  <si>
    <t>wt of column</t>
  </si>
  <si>
    <t>beam size cm (1 m L)</t>
  </si>
  <si>
    <t>wt of bricks kg/m3</t>
  </si>
  <si>
    <t>wt of aerated blocks</t>
  </si>
  <si>
    <t>slab size (1 m2)</t>
  </si>
  <si>
    <t>vol of beam</t>
  </si>
  <si>
    <t>vol of slab</t>
  </si>
  <si>
    <t>wt of RCC kg/m3 (1%)</t>
  </si>
  <si>
    <t>wt of RCC kg/m3 (2%)</t>
  </si>
  <si>
    <t>wt of slab kg (1 m2)</t>
  </si>
  <si>
    <t>factor 1.5</t>
  </si>
  <si>
    <t>kN &gt; kg</t>
  </si>
  <si>
    <t>sqm &gt; sft</t>
  </si>
  <si>
    <t>steel strength N/mm2</t>
  </si>
  <si>
    <t>concrete strength N/mm2</t>
  </si>
  <si>
    <t>RCC strength N/mm2</t>
  </si>
  <si>
    <t>column cross-section</t>
  </si>
  <si>
    <t>total wt of slab</t>
  </si>
  <si>
    <t>column area required /m2</t>
  </si>
  <si>
    <t>wt of beam (1 m)</t>
  </si>
  <si>
    <t>per cm2</t>
  </si>
  <si>
    <t>total no. of cols</t>
  </si>
  <si>
    <t>beam lengths</t>
  </si>
  <si>
    <t>slab areas</t>
  </si>
  <si>
    <t>no. of cols (estimate)</t>
  </si>
  <si>
    <t>total col wt</t>
  </si>
  <si>
    <t>total wt of slab + beams+cols</t>
  </si>
  <si>
    <t>Pu</t>
  </si>
  <si>
    <t>kN</t>
  </si>
  <si>
    <t>f_ck</t>
  </si>
  <si>
    <t>N/mm2</t>
  </si>
  <si>
    <t>f_y</t>
  </si>
  <si>
    <t>factor</t>
  </si>
  <si>
    <t>Pu = 0.4 * f_ck * A_c  + 0.67 * f_y * A_sc</t>
  </si>
  <si>
    <t>steel (A_sc)</t>
  </si>
  <si>
    <t>of A_g</t>
  </si>
  <si>
    <t>A_c</t>
  </si>
  <si>
    <t>Pu factored</t>
  </si>
  <si>
    <t>0.67 * f_y *1%</t>
  </si>
  <si>
    <t>0.4 * f_ck * 99%</t>
  </si>
  <si>
    <t>total strength</t>
  </si>
  <si>
    <t>N</t>
  </si>
  <si>
    <t>mm2</t>
  </si>
  <si>
    <t>mm</t>
  </si>
  <si>
    <t>square col side</t>
  </si>
  <si>
    <t>col area required</t>
  </si>
  <si>
    <t>in N/m2</t>
  </si>
  <si>
    <t>kg per m2</t>
  </si>
  <si>
    <t>m3</t>
  </si>
  <si>
    <t>kg</t>
  </si>
  <si>
    <t>cm2</t>
  </si>
  <si>
    <t>column vol</t>
  </si>
  <si>
    <t>column strength</t>
  </si>
  <si>
    <t>m</t>
  </si>
  <si>
    <t>total beam length</t>
  </si>
  <si>
    <t>total beam wt</t>
  </si>
  <si>
    <t>m2</t>
  </si>
  <si>
    <t>total area of slab</t>
  </si>
  <si>
    <t>kg/m2</t>
  </si>
  <si>
    <t>m3/m2</t>
  </si>
  <si>
    <t>kg &gt; N</t>
  </si>
  <si>
    <t>N/m2</t>
  </si>
  <si>
    <t>wt of water tank, solar etc</t>
  </si>
  <si>
    <t>total wt</t>
  </si>
  <si>
    <t>permissible (direct) N/mm2</t>
  </si>
  <si>
    <t>permissible (bending) N/mm2</t>
  </si>
  <si>
    <t>Issa method (simple)</t>
  </si>
  <si>
    <t>load on column</t>
  </si>
  <si>
    <t>add 20% for bending moment</t>
  </si>
  <si>
    <t>20% of concrete strength</t>
  </si>
  <si>
    <t>in kg/mm2</t>
  </si>
  <si>
    <t>column area</t>
  </si>
  <si>
    <t>total col area</t>
  </si>
  <si>
    <t>slab</t>
  </si>
  <si>
    <t>stairs roof</t>
  </si>
  <si>
    <t>stairs</t>
  </si>
  <si>
    <t>cols area required cm2</t>
  </si>
  <si>
    <t>cols</t>
  </si>
  <si>
    <t>permissable load in kg/cm2</t>
  </si>
  <si>
    <t>m3 &gt; cft</t>
  </si>
  <si>
    <t>m &gt; ft</t>
  </si>
  <si>
    <t>in &gt; cm</t>
  </si>
  <si>
    <t>floor to landing surface</t>
  </si>
  <si>
    <t>landing surface to slab top</t>
  </si>
  <si>
    <t>ft</t>
  </si>
  <si>
    <t>5 ft</t>
  </si>
  <si>
    <t>7,6</t>
  </si>
  <si>
    <t>external steps required</t>
  </si>
  <si>
    <t xml:space="preserve">internal steps </t>
  </si>
  <si>
    <t>beam span</t>
  </si>
  <si>
    <t>in inches</t>
  </si>
  <si>
    <t>L/D</t>
  </si>
  <si>
    <t>effective depth</t>
  </si>
  <si>
    <t>in</t>
  </si>
  <si>
    <t>total depth</t>
  </si>
  <si>
    <t>Slotted 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</si>
</sst>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00"/>
    <numFmt numFmtId="165" formatCode="#,##0.0"/>
    <numFmt numFmtId="166" formatCode="#,##0.0000"/>
  </numFmts>
  <fonts count="7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C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ashDot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dashDot">
        <color indexed="64"/>
      </top>
      <bottom/>
      <diagonal/>
    </border>
    <border>
      <left style="thin">
        <color indexed="64"/>
      </left>
      <right style="thin">
        <color indexed="64"/>
      </right>
      <top style="dashDot">
        <color indexed="64"/>
      </top>
      <bottom/>
      <diagonal/>
    </border>
    <border>
      <left/>
      <right/>
      <top/>
      <bottom style="dashDot">
        <color indexed="64"/>
      </bottom>
      <diagonal/>
    </border>
    <border>
      <left style="thin">
        <color indexed="64"/>
      </left>
      <right style="thin">
        <color indexed="64"/>
      </right>
      <top/>
      <bottom style="dashDot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9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1" xfId="0" applyFill="1" applyBorder="1"/>
    <xf numFmtId="0" fontId="0" fillId="2" borderId="20" xfId="0" applyFill="1" applyBorder="1"/>
    <xf numFmtId="0" fontId="0" fillId="2" borderId="2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8" xfId="0" applyFill="1" applyBorder="1"/>
    <xf numFmtId="0" fontId="0" fillId="3" borderId="0" xfId="0" applyFill="1"/>
    <xf numFmtId="0" fontId="0" fillId="3" borderId="13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2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2" xfId="0" applyFill="1" applyBorder="1"/>
    <xf numFmtId="0" fontId="0" fillId="4" borderId="0" xfId="0" applyFill="1"/>
    <xf numFmtId="0" fontId="0" fillId="4" borderId="11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0" xfId="0" applyFill="1"/>
    <xf numFmtId="0" fontId="0" fillId="6" borderId="13" xfId="0" applyFill="1" applyBorder="1"/>
    <xf numFmtId="0" fontId="0" fillId="6" borderId="0" xfId="0" applyFill="1"/>
    <xf numFmtId="0" fontId="0" fillId="6" borderId="10" xfId="0" applyFill="1" applyBorder="1"/>
    <xf numFmtId="0" fontId="0" fillId="6" borderId="11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9" xfId="0" applyFill="1" applyBorder="1"/>
    <xf numFmtId="0" fontId="0" fillId="8" borderId="11" xfId="0" applyFill="1" applyBorder="1"/>
    <xf numFmtId="0" fontId="0" fillId="8" borderId="14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11" xfId="0" applyFill="1" applyBorder="1"/>
    <xf numFmtId="0" fontId="0" fillId="9" borderId="14" xfId="0" applyFill="1" applyBorder="1"/>
    <xf numFmtId="0" fontId="0" fillId="9" borderId="16" xfId="0" applyFill="1" applyBorder="1"/>
    <xf numFmtId="0" fontId="0" fillId="2" borderId="9" xfId="0" applyFill="1" applyBorder="1"/>
    <xf numFmtId="0" fontId="0" fillId="2" borderId="11" xfId="0" applyFill="1" applyBorder="1"/>
    <xf numFmtId="0" fontId="0" fillId="2" borderId="14" xfId="0" applyFill="1" applyBorder="1"/>
    <xf numFmtId="0" fontId="0" fillId="2" borderId="16" xfId="0" applyFill="1" applyBorder="1"/>
    <xf numFmtId="0" fontId="0" fillId="10" borderId="9" xfId="0" applyFill="1" applyBorder="1"/>
    <xf numFmtId="0" fontId="0" fillId="10" borderId="11" xfId="0" applyFill="1" applyBorder="1"/>
    <xf numFmtId="0" fontId="0" fillId="10" borderId="14" xfId="0" applyFill="1" applyBorder="1"/>
    <xf numFmtId="0" fontId="0" fillId="10" borderId="16" xfId="0" applyFill="1" applyBorder="1"/>
    <xf numFmtId="0" fontId="0" fillId="3" borderId="14" xfId="0" applyFill="1" applyBorder="1"/>
    <xf numFmtId="0" fontId="0" fillId="11" borderId="9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0" fillId="11" borderId="14" xfId="0" applyFill="1" applyBorder="1"/>
    <xf numFmtId="0" fontId="0" fillId="11" borderId="16" xfId="0" applyFill="1" applyBorder="1"/>
    <xf numFmtId="0" fontId="0" fillId="10" borderId="10" xfId="0" applyFill="1" applyBorder="1"/>
    <xf numFmtId="0" fontId="0" fillId="10" borderId="12" xfId="0" applyFill="1" applyBorder="1"/>
    <xf numFmtId="0" fontId="0" fillId="10" borderId="0" xfId="0" applyFill="1"/>
    <xf numFmtId="0" fontId="0" fillId="10" borderId="13" xfId="0" applyFill="1" applyBorder="1"/>
    <xf numFmtId="0" fontId="0" fillId="10" borderId="15" xfId="0" applyFill="1" applyBorder="1"/>
    <xf numFmtId="0" fontId="0" fillId="2" borderId="13" xfId="0" applyFill="1" applyBorder="1"/>
    <xf numFmtId="0" fontId="0" fillId="11" borderId="10" xfId="0" applyFill="1" applyBorder="1"/>
    <xf numFmtId="0" fontId="0" fillId="2" borderId="10" xfId="0" applyFill="1" applyBorder="1"/>
    <xf numFmtId="0" fontId="0" fillId="11" borderId="15" xfId="0" applyFill="1" applyBorder="1"/>
    <xf numFmtId="0" fontId="0" fillId="9" borderId="12" xfId="0" applyFill="1" applyBorder="1"/>
    <xf numFmtId="0" fontId="0" fillId="9" borderId="13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1" fillId="0" borderId="0" xfId="0" applyFont="1"/>
    <xf numFmtId="0" fontId="0" fillId="2" borderId="15" xfId="0" applyFill="1" applyBorder="1"/>
    <xf numFmtId="0" fontId="0" fillId="12" borderId="9" xfId="0" applyFill="1" applyBorder="1"/>
    <xf numFmtId="0" fontId="0" fillId="12" borderId="11" xfId="0" applyFill="1" applyBorder="1"/>
    <xf numFmtId="0" fontId="0" fillId="12" borderId="12" xfId="0" applyFill="1" applyBorder="1"/>
    <xf numFmtId="0" fontId="0" fillId="12" borderId="13" xfId="0" applyFill="1" applyBorder="1"/>
    <xf numFmtId="0" fontId="0" fillId="12" borderId="14" xfId="0" applyFill="1" applyBorder="1"/>
    <xf numFmtId="0" fontId="0" fillId="12" borderId="16" xfId="0" applyFill="1" applyBorder="1"/>
    <xf numFmtId="0" fontId="0" fillId="2" borderId="12" xfId="0" applyFill="1" applyBorder="1"/>
    <xf numFmtId="0" fontId="0" fillId="4" borderId="18" xfId="0" applyFill="1" applyBorder="1"/>
    <xf numFmtId="0" fontId="0" fillId="4" borderId="20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4" borderId="9" xfId="0" applyFill="1" applyBorder="1"/>
    <xf numFmtId="0" fontId="0" fillId="14" borderId="10" xfId="0" applyFill="1" applyBorder="1"/>
    <xf numFmtId="0" fontId="0" fillId="14" borderId="11" xfId="0" applyFill="1" applyBorder="1"/>
    <xf numFmtId="0" fontId="0" fillId="14" borderId="14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8" borderId="0" xfId="0" applyFill="1"/>
    <xf numFmtId="0" fontId="0" fillId="8" borderId="15" xfId="0" applyFill="1" applyBorder="1"/>
    <xf numFmtId="0" fontId="0" fillId="8" borderId="12" xfId="0" applyFill="1" applyBorder="1"/>
    <xf numFmtId="0" fontId="0" fillId="8" borderId="13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17" xfId="0" applyFill="1" applyBorder="1"/>
    <xf numFmtId="0" fontId="0" fillId="4" borderId="19" xfId="0" applyFill="1" applyBorder="1"/>
    <xf numFmtId="0" fontId="0" fillId="2" borderId="0" xfId="0" applyFill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20" xfId="0" applyFont="1" applyBorder="1" applyAlignment="1">
      <alignment horizontal="left" vertical="center"/>
    </xf>
    <xf numFmtId="0" fontId="0" fillId="0" borderId="23" xfId="0" applyBorder="1"/>
    <xf numFmtId="0" fontId="2" fillId="0" borderId="12" xfId="0" applyFont="1" applyBorder="1" applyAlignment="1">
      <alignment horizontal="left" vertical="center"/>
    </xf>
    <xf numFmtId="0" fontId="0" fillId="10" borderId="21" xfId="0" applyFill="1" applyBorder="1"/>
    <xf numFmtId="0" fontId="0" fillId="10" borderId="20" xfId="0" applyFill="1" applyBorder="1"/>
    <xf numFmtId="0" fontId="0" fillId="10" borderId="23" xfId="0" applyFill="1" applyBorder="1"/>
    <xf numFmtId="0" fontId="2" fillId="10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left" vertical="center"/>
    </xf>
    <xf numFmtId="0" fontId="2" fillId="10" borderId="12" xfId="0" applyFont="1" applyFill="1" applyBorder="1" applyAlignment="1">
      <alignment horizontal="left" vertical="center"/>
    </xf>
    <xf numFmtId="0" fontId="0" fillId="6" borderId="9" xfId="0" applyFill="1" applyBorder="1"/>
    <xf numFmtId="0" fontId="0" fillId="6" borderId="12" xfId="0" applyFill="1" applyBorder="1"/>
    <xf numFmtId="0" fontId="0" fillId="5" borderId="10" xfId="0" applyFill="1" applyBorder="1"/>
    <xf numFmtId="0" fontId="2" fillId="5" borderId="0" xfId="0" applyFont="1" applyFill="1" applyAlignment="1">
      <alignment horizontal="left" vertical="center"/>
    </xf>
    <xf numFmtId="0" fontId="0" fillId="10" borderId="22" xfId="0" applyFill="1" applyBorder="1"/>
    <xf numFmtId="0" fontId="0" fillId="15" borderId="11" xfId="0" applyFill="1" applyBorder="1"/>
    <xf numFmtId="0" fontId="0" fillId="15" borderId="16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0" xfId="0" applyFill="1"/>
    <xf numFmtId="0" fontId="0" fillId="16" borderId="13" xfId="0" applyFill="1" applyBorder="1"/>
    <xf numFmtId="0" fontId="0" fillId="16" borderId="14" xfId="0" applyFill="1" applyBorder="1"/>
    <xf numFmtId="0" fontId="0" fillId="16" borderId="15" xfId="0" applyFill="1" applyBorder="1"/>
    <xf numFmtId="0" fontId="0" fillId="16" borderId="16" xfId="0" applyFill="1" applyBorder="1"/>
    <xf numFmtId="0" fontId="0" fillId="3" borderId="17" xfId="0" applyFill="1" applyBorder="1"/>
    <xf numFmtId="0" fontId="0" fillId="3" borderId="19" xfId="0" applyFill="1" applyBorder="1"/>
    <xf numFmtId="0" fontId="0" fillId="17" borderId="9" xfId="0" applyFill="1" applyBorder="1"/>
    <xf numFmtId="0" fontId="0" fillId="17" borderId="10" xfId="0" applyFill="1" applyBorder="1"/>
    <xf numFmtId="0" fontId="0" fillId="17" borderId="11" xfId="0" applyFill="1" applyBorder="1"/>
    <xf numFmtId="0" fontId="0" fillId="17" borderId="12" xfId="0" applyFill="1" applyBorder="1"/>
    <xf numFmtId="0" fontId="0" fillId="17" borderId="13" xfId="0" applyFill="1" applyBorder="1"/>
    <xf numFmtId="0" fontId="0" fillId="17" borderId="0" xfId="0" applyFill="1"/>
    <xf numFmtId="0" fontId="0" fillId="17" borderId="15" xfId="0" applyFill="1" applyBorder="1"/>
    <xf numFmtId="0" fontId="0" fillId="17" borderId="16" xfId="0" applyFill="1" applyBorder="1"/>
    <xf numFmtId="0" fontId="0" fillId="17" borderId="21" xfId="0" applyFill="1" applyBorder="1"/>
    <xf numFmtId="0" fontId="0" fillId="17" borderId="20" xfId="0" applyFill="1" applyBorder="1"/>
    <xf numFmtId="0" fontId="0" fillId="17" borderId="22" xfId="0" applyFill="1" applyBorder="1"/>
    <xf numFmtId="0" fontId="0" fillId="18" borderId="9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0" xfId="0" applyFill="1"/>
    <xf numFmtId="0" fontId="0" fillId="18" borderId="13" xfId="0" applyFill="1" applyBorder="1"/>
    <xf numFmtId="0" fontId="0" fillId="18" borderId="14" xfId="0" applyFill="1" applyBorder="1"/>
    <xf numFmtId="0" fontId="0" fillId="18" borderId="16" xfId="0" applyFill="1" applyBorder="1"/>
    <xf numFmtId="0" fontId="0" fillId="18" borderId="15" xfId="0" applyFill="1" applyBorder="1"/>
    <xf numFmtId="0" fontId="0" fillId="18" borderId="17" xfId="0" applyFill="1" applyBorder="1"/>
    <xf numFmtId="0" fontId="0" fillId="18" borderId="18" xfId="0" applyFill="1" applyBorder="1"/>
    <xf numFmtId="0" fontId="0" fillId="18" borderId="19" xfId="0" applyFill="1" applyBorder="1"/>
    <xf numFmtId="0" fontId="0" fillId="0" borderId="24" xfId="0" applyBorder="1"/>
    <xf numFmtId="0" fontId="0" fillId="0" borderId="25" xfId="0" applyBorder="1"/>
    <xf numFmtId="0" fontId="0" fillId="3" borderId="23" xfId="0" applyFill="1" applyBorder="1"/>
    <xf numFmtId="0" fontId="0" fillId="19" borderId="14" xfId="0" applyFill="1" applyBorder="1"/>
    <xf numFmtId="0" fontId="0" fillId="19" borderId="0" xfId="0" applyFill="1"/>
    <xf numFmtId="0" fontId="0" fillId="16" borderId="21" xfId="0" applyFill="1" applyBorder="1"/>
    <xf numFmtId="0" fontId="0" fillId="16" borderId="20" xfId="0" applyFill="1" applyBorder="1"/>
    <xf numFmtId="0" fontId="0" fillId="16" borderId="17" xfId="0" applyFill="1" applyBorder="1"/>
    <xf numFmtId="0" fontId="0" fillId="16" borderId="18" xfId="0" applyFill="1" applyBorder="1"/>
    <xf numFmtId="0" fontId="0" fillId="16" borderId="19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6" borderId="14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13" xfId="0" applyFill="1" applyBorder="1"/>
    <xf numFmtId="0" fontId="0" fillId="5" borderId="16" xfId="0" applyFill="1" applyBorder="1"/>
    <xf numFmtId="0" fontId="5" fillId="0" borderId="13" xfId="0" applyFont="1" applyBorder="1"/>
    <xf numFmtId="0" fontId="5" fillId="0" borderId="0" xfId="0" applyFont="1"/>
    <xf numFmtId="0" fontId="0" fillId="7" borderId="20" xfId="0" applyFill="1" applyBorder="1"/>
    <xf numFmtId="0" fontId="0" fillId="7" borderId="22" xfId="0" applyFill="1" applyBorder="1"/>
    <xf numFmtId="0" fontId="0" fillId="5" borderId="12" xfId="0" applyFill="1" applyBorder="1"/>
    <xf numFmtId="9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0" fontId="4" fillId="0" borderId="0" xfId="0" applyFont="1"/>
    <xf numFmtId="165" fontId="0" fillId="0" borderId="0" xfId="1" applyNumberFormat="1" applyFont="1"/>
    <xf numFmtId="3" fontId="0" fillId="0" borderId="0" xfId="0" applyNumberFormat="1"/>
    <xf numFmtId="166" fontId="0" fillId="0" borderId="0" xfId="1" applyNumberFormat="1" applyFont="1"/>
    <xf numFmtId="165" fontId="0" fillId="0" borderId="0" xfId="0" applyNumberFormat="1"/>
    <xf numFmtId="0" fontId="0" fillId="0" borderId="40" xfId="0" applyBorder="1"/>
    <xf numFmtId="0" fontId="5" fillId="7" borderId="0" xfId="0" applyFont="1" applyFill="1"/>
    <xf numFmtId="0" fontId="5" fillId="0" borderId="19" xfId="0" applyFont="1" applyBorder="1"/>
    <xf numFmtId="0" fontId="0" fillId="13" borderId="9" xfId="0" applyFill="1" applyBorder="1"/>
    <xf numFmtId="0" fontId="0" fillId="13" borderId="10" xfId="0" applyFill="1" applyBorder="1"/>
    <xf numFmtId="0" fontId="0" fillId="13" borderId="11" xfId="0" applyFill="1" applyBorder="1"/>
    <xf numFmtId="0" fontId="0" fillId="13" borderId="12" xfId="0" applyFill="1" applyBorder="1"/>
    <xf numFmtId="0" fontId="0" fillId="13" borderId="14" xfId="0" applyFill="1" applyBorder="1"/>
    <xf numFmtId="0" fontId="0" fillId="13" borderId="0" xfId="0" applyFill="1"/>
    <xf numFmtId="0" fontId="0" fillId="13" borderId="13" xfId="0" applyFill="1" applyBorder="1"/>
    <xf numFmtId="0" fontId="0" fillId="13" borderId="15" xfId="0" applyFill="1" applyBorder="1"/>
    <xf numFmtId="0" fontId="0" fillId="13" borderId="16" xfId="0" applyFill="1" applyBorder="1"/>
    <xf numFmtId="0" fontId="0" fillId="5" borderId="11" xfId="0" applyFill="1" applyBorder="1"/>
    <xf numFmtId="0" fontId="0" fillId="5" borderId="14" xfId="0" applyFill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6" fillId="0" borderId="13" xfId="0" applyFont="1" applyBorder="1"/>
    <xf numFmtId="0" fontId="6" fillId="0" borderId="14" xfId="0" applyFont="1" applyBorder="1"/>
    <xf numFmtId="0" fontId="6" fillId="0" borderId="15" xfId="0" applyFont="1" applyBorder="1"/>
    <xf numFmtId="0" fontId="6" fillId="0" borderId="16" xfId="0" applyFont="1" applyBorder="1"/>
    <xf numFmtId="0" fontId="6" fillId="0" borderId="0" xfId="0" applyFont="1"/>
    <xf numFmtId="0" fontId="0" fillId="0" borderId="41" xfId="0" applyBorder="1"/>
    <xf numFmtId="0" fontId="0" fillId="0" borderId="42" xfId="0" applyBorder="1"/>
    <xf numFmtId="0" fontId="6" fillId="0" borderId="42" xfId="0" applyFont="1" applyBorder="1"/>
    <xf numFmtId="0" fontId="6" fillId="0" borderId="2" xfId="0" applyFont="1" applyBorder="1"/>
    <xf numFmtId="0" fontId="6" fillId="0" borderId="41" xfId="0" applyFont="1" applyBorder="1"/>
    <xf numFmtId="0" fontId="6" fillId="0" borderId="24" xfId="0" applyFont="1" applyBorder="1"/>
    <xf numFmtId="0" fontId="6" fillId="0" borderId="7" xfId="0" applyFont="1" applyBorder="1"/>
    <xf numFmtId="0" fontId="6" fillId="0" borderId="25" xfId="0" applyFont="1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5" borderId="15" xfId="0" applyFill="1" applyBorder="1"/>
    <xf numFmtId="0" fontId="0" fillId="5" borderId="9" xfId="0" applyFill="1" applyBorder="1"/>
    <xf numFmtId="0" fontId="0" fillId="7" borderId="23" xfId="0" applyFill="1" applyBorder="1"/>
    <xf numFmtId="0" fontId="0" fillId="7" borderId="17" xfId="0" applyFill="1" applyBorder="1"/>
    <xf numFmtId="0" fontId="0" fillId="20" borderId="13" xfId="0" applyFill="1" applyBorder="1"/>
    <xf numFmtId="0" fontId="0" fillId="21" borderId="20" xfId="0" applyFill="1" applyBorder="1"/>
    <xf numFmtId="0" fontId="0" fillId="21" borderId="9" xfId="0" applyFill="1" applyBorder="1"/>
    <xf numFmtId="0" fontId="0" fillId="21" borderId="10" xfId="0" applyFill="1" applyBorder="1"/>
    <xf numFmtId="0" fontId="0" fillId="21" borderId="11" xfId="0" applyFill="1" applyBorder="1"/>
    <xf numFmtId="0" fontId="0" fillId="21" borderId="14" xfId="0" applyFill="1" applyBorder="1"/>
    <xf numFmtId="0" fontId="0" fillId="21" borderId="15" xfId="0" applyFill="1" applyBorder="1"/>
    <xf numFmtId="0" fontId="0" fillId="21" borderId="16" xfId="0" applyFill="1" applyBorder="1"/>
    <xf numFmtId="0" fontId="0" fillId="21" borderId="12" xfId="0" applyFill="1" applyBorder="1"/>
    <xf numFmtId="0" fontId="0" fillId="21" borderId="0" xfId="0" applyFill="1"/>
    <xf numFmtId="0" fontId="0" fillId="21" borderId="13" xfId="0" applyFill="1" applyBorder="1"/>
    <xf numFmtId="16" fontId="0" fillId="0" borderId="0" xfId="0" applyNumberFormat="1"/>
    <xf numFmtId="0" fontId="0" fillId="21" borderId="21" xfId="0" applyFill="1" applyBorder="1"/>
    <xf numFmtId="0" fontId="0" fillId="21" borderId="22" xfId="0" applyFill="1" applyBorder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0" borderId="0" xfId="0" applyBorder="1"/>
    <xf numFmtId="0" fontId="6" fillId="0" borderId="0" xfId="0" applyFont="1" applyBorder="1"/>
    <xf numFmtId="0" fontId="0" fillId="7" borderId="0" xfId="0" applyFill="1" applyBorder="1"/>
    <xf numFmtId="0" fontId="0" fillId="4" borderId="0" xfId="0" applyFill="1" applyBorder="1"/>
    <xf numFmtId="0" fontId="0" fillId="8" borderId="0" xfId="0" applyFill="1" applyBorder="1"/>
    <xf numFmtId="0" fontId="0" fillId="22" borderId="9" xfId="0" applyFill="1" applyBorder="1"/>
    <xf numFmtId="0" fontId="0" fillId="22" borderId="10" xfId="0" applyFill="1" applyBorder="1"/>
    <xf numFmtId="0" fontId="0" fillId="22" borderId="12" xfId="0" applyFill="1" applyBorder="1"/>
    <xf numFmtId="0" fontId="0" fillId="22" borderId="0" xfId="0" applyFill="1" applyBorder="1"/>
    <xf numFmtId="0" fontId="0" fillId="22" borderId="11" xfId="0" applyFill="1" applyBorder="1"/>
    <xf numFmtId="0" fontId="0" fillId="22" borderId="13" xfId="0" applyFill="1" applyBorder="1"/>
    <xf numFmtId="0" fontId="0" fillId="22" borderId="14" xfId="0" applyFill="1" applyBorder="1"/>
    <xf numFmtId="0" fontId="0" fillId="22" borderId="15" xfId="0" applyFill="1" applyBorder="1"/>
    <xf numFmtId="0" fontId="0" fillId="22" borderId="16" xfId="0" applyFill="1" applyBorder="1"/>
    <xf numFmtId="0" fontId="0" fillId="7" borderId="18" xfId="0" applyFill="1" applyBorder="1"/>
    <xf numFmtId="0" fontId="0" fillId="7" borderId="19" xfId="0" applyFill="1" applyBorder="1"/>
    <xf numFmtId="0" fontId="0" fillId="10" borderId="0" xfId="0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BE4"/>
      <color rgb="FF0852C4"/>
      <color rgb="FF9DC3E6"/>
      <color rgb="FF9CC3E6"/>
      <color rgb="FFFFC0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50800</xdr:colOff>
      <xdr:row>82</xdr:row>
      <xdr:rowOff>101600</xdr:rowOff>
    </xdr:from>
    <xdr:to>
      <xdr:col>30</xdr:col>
      <xdr:colOff>25400</xdr:colOff>
      <xdr:row>85</xdr:row>
      <xdr:rowOff>76200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08800" y="18846800"/>
          <a:ext cx="660400" cy="660400"/>
        </a:xfrm>
        <a:prstGeom prst="ellipse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209932</xdr:colOff>
      <xdr:row>97</xdr:row>
      <xdr:rowOff>201335</xdr:rowOff>
    </xdr:from>
    <xdr:to>
      <xdr:col>62</xdr:col>
      <xdr:colOff>92843</xdr:colOff>
      <xdr:row>104</xdr:row>
      <xdr:rowOff>2771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 rot="3426135">
          <a:off x="13770024" y="24003824"/>
          <a:ext cx="1522081" cy="1603556"/>
          <a:chOff x="21448891" y="25973857"/>
          <a:chExt cx="1382889" cy="1449245"/>
        </a:xfrm>
      </xdr:grpSpPr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Straight Connector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68</xdr:col>
      <xdr:colOff>29195</xdr:colOff>
      <xdr:row>160</xdr:row>
      <xdr:rowOff>14598</xdr:rowOff>
    </xdr:from>
    <xdr:to>
      <xdr:col>81</xdr:col>
      <xdr:colOff>189770</xdr:colOff>
      <xdr:row>176</xdr:row>
      <xdr:rowOff>175173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5911494" y="37384713"/>
          <a:ext cx="3196897" cy="389758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0</xdr:colOff>
      <xdr:row>246</xdr:row>
      <xdr:rowOff>0</xdr:rowOff>
    </xdr:from>
    <xdr:to>
      <xdr:col>161</xdr:col>
      <xdr:colOff>111511</xdr:colOff>
      <xdr:row>252</xdr:row>
      <xdr:rowOff>30036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 rot="3426135">
          <a:off x="38140737" y="60427650"/>
          <a:ext cx="1504875" cy="1586350"/>
          <a:chOff x="21448891" y="25973857"/>
          <a:chExt cx="1382889" cy="1449245"/>
        </a:xfrm>
      </xdr:grpSpPr>
      <xdr:cxnSp macro="">
        <xdr:nvCxnSpPr>
          <xdr:cNvPr id="3" name="Straight Arrow Connector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11948</xdr:col>
      <xdr:colOff>25400</xdr:colOff>
      <xdr:row>14296</xdr:row>
      <xdr:rowOff>76200</xdr:rowOff>
    </xdr:from>
    <xdr:to>
      <xdr:col>11948</xdr:col>
      <xdr:colOff>48079</xdr:colOff>
      <xdr:row>14303</xdr:row>
      <xdr:rowOff>43779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 flipV="1">
          <a:off x="33487012" y="52027072"/>
          <a:ext cx="22679" cy="1449245"/>
        </a:xfrm>
        <a:prstGeom prst="straightConnector1">
          <a:avLst/>
        </a:prstGeom>
        <a:ln w="57150">
          <a:headEnd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11960</xdr:col>
      <xdr:colOff>203200</xdr:colOff>
      <xdr:row>14699</xdr:row>
      <xdr:rowOff>0</xdr:rowOff>
    </xdr:from>
    <xdr:to>
      <xdr:col>11967</xdr:col>
      <xdr:colOff>104422</xdr:colOff>
      <xdr:row>14699</xdr:row>
      <xdr:rowOff>9408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V="1">
          <a:off x="32717507" y="52800638"/>
          <a:ext cx="1382889" cy="9408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156584</xdr:colOff>
      <xdr:row>448</xdr:row>
      <xdr:rowOff>208067</xdr:rowOff>
    </xdr:from>
    <xdr:to>
      <xdr:col>100</xdr:col>
      <xdr:colOff>51266</xdr:colOff>
      <xdr:row>455</xdr:row>
      <xdr:rowOff>1324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42E1D723-07E8-984B-B4DA-B0934E8C227D}"/>
            </a:ext>
          </a:extLst>
        </xdr:cNvPr>
        <xdr:cNvGrpSpPr/>
      </xdr:nvGrpSpPr>
      <xdr:grpSpPr>
        <a:xfrm rot="3426135">
          <a:off x="23067297" y="110278644"/>
          <a:ext cx="1513902" cy="1615327"/>
          <a:chOff x="21448891" y="25973857"/>
          <a:chExt cx="1382889" cy="1449245"/>
        </a:xfrm>
      </xdr:grpSpPr>
      <xdr:cxnSp macro="">
        <xdr:nvCxnSpPr>
          <xdr:cNvPr id="15" name="Straight Arrow Connector 14">
            <a:extLst>
              <a:ext uri="{FF2B5EF4-FFF2-40B4-BE49-F238E27FC236}">
                <a16:creationId xmlns:a16="http://schemas.microsoft.com/office/drawing/2014/main" id="{B4135AC6-6C7D-9357-2015-BDFA2632FD52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Connector 18">
            <a:extLst>
              <a:ext uri="{FF2B5EF4-FFF2-40B4-BE49-F238E27FC236}">
                <a16:creationId xmlns:a16="http://schemas.microsoft.com/office/drawing/2014/main" id="{4B9E7F86-FC6F-FFB4-550A-80DC42D9146C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218</xdr:col>
      <xdr:colOff>84532</xdr:colOff>
      <xdr:row>571</xdr:row>
      <xdr:rowOff>112554</xdr:rowOff>
    </xdr:from>
    <xdr:to>
      <xdr:col>245</xdr:col>
      <xdr:colOff>146210</xdr:colOff>
      <xdr:row>572</xdr:row>
      <xdr:rowOff>129209</xdr:rowOff>
    </xdr:to>
    <xdr:sp macro="" textlink="">
      <xdr:nvSpPr>
        <xdr:cNvPr id="29" name="Parallelogram 28">
          <a:extLst>
            <a:ext uri="{FF2B5EF4-FFF2-40B4-BE49-F238E27FC236}">
              <a16:creationId xmlns:a16="http://schemas.microsoft.com/office/drawing/2014/main" id="{AE2D97C7-21D5-6A49-86D1-A6DEE99AD8B0}"/>
            </a:ext>
          </a:extLst>
        </xdr:cNvPr>
        <xdr:cNvSpPr/>
      </xdr:nvSpPr>
      <xdr:spPr>
        <a:xfrm rot="1574555" flipV="1">
          <a:off x="39387690" y="133696501"/>
          <a:ext cx="6378257" cy="250603"/>
        </a:xfrm>
        <a:prstGeom prst="parallelogram">
          <a:avLst>
            <a:gd name="adj" fmla="val 5178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161</xdr:col>
      <xdr:colOff>72930</xdr:colOff>
      <xdr:row>142</xdr:row>
      <xdr:rowOff>11424</xdr:rowOff>
    </xdr:from>
    <xdr:to>
      <xdr:col>168</xdr:col>
      <xdr:colOff>205694</xdr:colOff>
      <xdr:row>149</xdr:row>
      <xdr:rowOff>123900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E59A381-7CB4-5B4E-A55F-6A2748C37620}"/>
            </a:ext>
          </a:extLst>
        </xdr:cNvPr>
        <xdr:cNvSpPr/>
      </xdr:nvSpPr>
      <xdr:spPr>
        <a:xfrm>
          <a:off x="34982442" y="30801180"/>
          <a:ext cx="1650569" cy="1630281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133</xdr:col>
      <xdr:colOff>211064</xdr:colOff>
      <xdr:row>141</xdr:row>
      <xdr:rowOff>155152</xdr:rowOff>
    </xdr:from>
    <xdr:to>
      <xdr:col>141</xdr:col>
      <xdr:colOff>126999</xdr:colOff>
      <xdr:row>149</xdr:row>
      <xdr:rowOff>50799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33176170-A49A-6840-B585-2119699C21F9}"/>
            </a:ext>
          </a:extLst>
        </xdr:cNvPr>
        <xdr:cNvSpPr/>
      </xdr:nvSpPr>
      <xdr:spPr>
        <a:xfrm>
          <a:off x="30614864" y="32387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173</xdr:col>
      <xdr:colOff>162082</xdr:colOff>
      <xdr:row>152</xdr:row>
      <xdr:rowOff>17001</xdr:rowOff>
    </xdr:from>
    <xdr:to>
      <xdr:col>181</xdr:col>
      <xdr:colOff>65641</xdr:colOff>
      <xdr:row>159</xdr:row>
      <xdr:rowOff>141248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3B43220A-9A4B-2842-817F-A27AFBC4C319}"/>
            </a:ext>
          </a:extLst>
        </xdr:cNvPr>
        <xdr:cNvSpPr/>
      </xdr:nvSpPr>
      <xdr:spPr>
        <a:xfrm>
          <a:off x="42011606" y="36786525"/>
          <a:ext cx="1838797" cy="1817580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194</xdr:col>
      <xdr:colOff>33264</xdr:colOff>
      <xdr:row>152</xdr:row>
      <xdr:rowOff>155152</xdr:rowOff>
    </xdr:from>
    <xdr:to>
      <xdr:col>201</xdr:col>
      <xdr:colOff>177799</xdr:colOff>
      <xdr:row>160</xdr:row>
      <xdr:rowOff>50799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7C9BCA82-F361-674C-907B-AD84D6E4E1F8}"/>
            </a:ext>
          </a:extLst>
        </xdr:cNvPr>
        <xdr:cNvSpPr/>
      </xdr:nvSpPr>
      <xdr:spPr>
        <a:xfrm>
          <a:off x="44381664" y="349023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161</xdr:col>
      <xdr:colOff>185664</xdr:colOff>
      <xdr:row>162</xdr:row>
      <xdr:rowOff>180552</xdr:rowOff>
    </xdr:from>
    <xdr:to>
      <xdr:col>169</xdr:col>
      <xdr:colOff>101599</xdr:colOff>
      <xdr:row>170</xdr:row>
      <xdr:rowOff>76199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5E848770-F0DC-0845-BF05-FD52B07AD8FC}"/>
            </a:ext>
          </a:extLst>
        </xdr:cNvPr>
        <xdr:cNvSpPr/>
      </xdr:nvSpPr>
      <xdr:spPr>
        <a:xfrm>
          <a:off x="36990264" y="37213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4506</xdr:colOff>
      <xdr:row>174</xdr:row>
      <xdr:rowOff>140904</xdr:rowOff>
    </xdr:from>
    <xdr:to>
      <xdr:col>154</xdr:col>
      <xdr:colOff>174117</xdr:colOff>
      <xdr:row>182</xdr:row>
      <xdr:rowOff>48322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F2293EED-B94C-2149-BC43-AC76B4F299EA}"/>
            </a:ext>
          </a:extLst>
        </xdr:cNvPr>
        <xdr:cNvSpPr/>
      </xdr:nvSpPr>
      <xdr:spPr>
        <a:xfrm>
          <a:off x="35564506" y="42232333"/>
          <a:ext cx="1862944" cy="184265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194</xdr:col>
      <xdr:colOff>7864</xdr:colOff>
      <xdr:row>174</xdr:row>
      <xdr:rowOff>28152</xdr:rowOff>
    </xdr:from>
    <xdr:to>
      <xdr:col>201</xdr:col>
      <xdr:colOff>152399</xdr:colOff>
      <xdr:row>181</xdr:row>
      <xdr:rowOff>152399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F435B52D-AC24-E244-A898-A7C8826281FB}"/>
            </a:ext>
          </a:extLst>
        </xdr:cNvPr>
        <xdr:cNvSpPr/>
      </xdr:nvSpPr>
      <xdr:spPr>
        <a:xfrm>
          <a:off x="44356264" y="398045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134</xdr:col>
      <xdr:colOff>211064</xdr:colOff>
      <xdr:row>162</xdr:row>
      <xdr:rowOff>180552</xdr:rowOff>
    </xdr:from>
    <xdr:to>
      <xdr:col>142</xdr:col>
      <xdr:colOff>126999</xdr:colOff>
      <xdr:row>170</xdr:row>
      <xdr:rowOff>76199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142F880B-F001-C348-9DCE-1F2DA533B402}"/>
            </a:ext>
          </a:extLst>
        </xdr:cNvPr>
        <xdr:cNvSpPr/>
      </xdr:nvSpPr>
      <xdr:spPr>
        <a:xfrm>
          <a:off x="30843464" y="37213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109464</xdr:colOff>
      <xdr:row>191</xdr:row>
      <xdr:rowOff>155152</xdr:rowOff>
    </xdr:from>
    <xdr:to>
      <xdr:col>161</xdr:col>
      <xdr:colOff>25399</xdr:colOff>
      <xdr:row>199</xdr:row>
      <xdr:rowOff>50799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5D4416A5-DA1C-444D-8196-2DE680F8196E}"/>
            </a:ext>
          </a:extLst>
        </xdr:cNvPr>
        <xdr:cNvSpPr/>
      </xdr:nvSpPr>
      <xdr:spPr>
        <a:xfrm>
          <a:off x="35085264" y="43817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170</xdr:col>
      <xdr:colOff>185664</xdr:colOff>
      <xdr:row>175</xdr:row>
      <xdr:rowOff>53552</xdr:rowOff>
    </xdr:from>
    <xdr:to>
      <xdr:col>178</xdr:col>
      <xdr:colOff>101599</xdr:colOff>
      <xdr:row>182</xdr:row>
      <xdr:rowOff>177799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6301E275-2B4E-C54D-BE9C-91B49930DE5B}"/>
            </a:ext>
          </a:extLst>
        </xdr:cNvPr>
        <xdr:cNvSpPr/>
      </xdr:nvSpPr>
      <xdr:spPr>
        <a:xfrm>
          <a:off x="39047664" y="400585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193</xdr:col>
      <xdr:colOff>109464</xdr:colOff>
      <xdr:row>191</xdr:row>
      <xdr:rowOff>205952</xdr:rowOff>
    </xdr:from>
    <xdr:to>
      <xdr:col>201</xdr:col>
      <xdr:colOff>25399</xdr:colOff>
      <xdr:row>199</xdr:row>
      <xdr:rowOff>101599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DE8169F-BB62-8F4F-8B8B-B6E90E01CB49}"/>
            </a:ext>
          </a:extLst>
        </xdr:cNvPr>
        <xdr:cNvSpPr/>
      </xdr:nvSpPr>
      <xdr:spPr>
        <a:xfrm>
          <a:off x="44229264" y="438685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171</xdr:col>
      <xdr:colOff>7864</xdr:colOff>
      <xdr:row>191</xdr:row>
      <xdr:rowOff>104352</xdr:rowOff>
    </xdr:from>
    <xdr:to>
      <xdr:col>178</xdr:col>
      <xdr:colOff>152399</xdr:colOff>
      <xdr:row>199</xdr:row>
      <xdr:rowOff>-1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3F7EFFD8-59A4-6845-9B83-3FDA930673E6}"/>
            </a:ext>
          </a:extLst>
        </xdr:cNvPr>
        <xdr:cNvSpPr/>
      </xdr:nvSpPr>
      <xdr:spPr>
        <a:xfrm>
          <a:off x="39098464" y="437669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11670</xdr:col>
      <xdr:colOff>25400</xdr:colOff>
      <xdr:row>13871</xdr:row>
      <xdr:rowOff>76200</xdr:rowOff>
    </xdr:from>
    <xdr:to>
      <xdr:col>11670</xdr:col>
      <xdr:colOff>48079</xdr:colOff>
      <xdr:row>13878</xdr:row>
      <xdr:rowOff>43779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89A61A9A-A34F-3642-83DA-EEEBB0AF52C8}"/>
            </a:ext>
          </a:extLst>
        </xdr:cNvPr>
        <xdr:cNvCxnSpPr/>
      </xdr:nvCxnSpPr>
      <xdr:spPr>
        <a:xfrm flipH="1" flipV="1">
          <a:off x="2731338200" y="3268141800"/>
          <a:ext cx="22679" cy="1567779"/>
        </a:xfrm>
        <a:prstGeom prst="straightConnector1">
          <a:avLst/>
        </a:prstGeom>
        <a:ln w="57150">
          <a:headEnd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11682</xdr:col>
      <xdr:colOff>203200</xdr:colOff>
      <xdr:row>14274</xdr:row>
      <xdr:rowOff>0</xdr:rowOff>
    </xdr:from>
    <xdr:to>
      <xdr:col>11689</xdr:col>
      <xdr:colOff>104422</xdr:colOff>
      <xdr:row>14274</xdr:row>
      <xdr:rowOff>9408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A926EA5-43E3-5146-B796-CB24E3346148}"/>
            </a:ext>
          </a:extLst>
        </xdr:cNvPr>
        <xdr:cNvCxnSpPr/>
      </xdr:nvCxnSpPr>
      <xdr:spPr>
        <a:xfrm flipV="1">
          <a:off x="2734259200" y="3360191400"/>
          <a:ext cx="1501422" cy="9408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95250</xdr:colOff>
      <xdr:row>35</xdr:row>
      <xdr:rowOff>0</xdr:rowOff>
    </xdr:from>
    <xdr:to>
      <xdr:col>104</xdr:col>
      <xdr:colOff>21682</xdr:colOff>
      <xdr:row>41</xdr:row>
      <xdr:rowOff>47257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41F97509-C76C-4344-A2E2-F8DCB64FEB3F}"/>
            </a:ext>
          </a:extLst>
        </xdr:cNvPr>
        <xdr:cNvGrpSpPr/>
      </xdr:nvGrpSpPr>
      <xdr:grpSpPr>
        <a:xfrm rot="3426135">
          <a:off x="22146444" y="7884520"/>
          <a:ext cx="1407971" cy="1513932"/>
          <a:chOff x="21448891" y="25973857"/>
          <a:chExt cx="1382889" cy="1449245"/>
        </a:xfrm>
      </xdr:grpSpPr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31EBBCCB-BEBB-6316-EEF1-91E1025CAA13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2C023079-944B-8346-3FF0-5C7F430DF1A4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191</xdr:col>
      <xdr:colOff>32167</xdr:colOff>
      <xdr:row>93</xdr:row>
      <xdr:rowOff>214199</xdr:rowOff>
    </xdr:from>
    <xdr:to>
      <xdr:col>216</xdr:col>
      <xdr:colOff>196029</xdr:colOff>
      <xdr:row>94</xdr:row>
      <xdr:rowOff>172229</xdr:rowOff>
    </xdr:to>
    <xdr:sp macro="" textlink="">
      <xdr:nvSpPr>
        <xdr:cNvPr id="20" name="Parallelogram 19">
          <a:extLst>
            <a:ext uri="{FF2B5EF4-FFF2-40B4-BE49-F238E27FC236}">
              <a16:creationId xmlns:a16="http://schemas.microsoft.com/office/drawing/2014/main" id="{9194BE0A-032A-2144-AFBE-393F84821585}"/>
            </a:ext>
          </a:extLst>
        </xdr:cNvPr>
        <xdr:cNvSpPr/>
      </xdr:nvSpPr>
      <xdr:spPr>
        <a:xfrm rot="1172970" flipV="1">
          <a:off x="44257637" y="21748066"/>
          <a:ext cx="5952536" cy="189577"/>
        </a:xfrm>
        <a:prstGeom prst="parallelogram">
          <a:avLst>
            <a:gd name="adj" fmla="val 37154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203200</xdr:colOff>
      <xdr:row>95</xdr:row>
      <xdr:rowOff>0</xdr:rowOff>
    </xdr:from>
    <xdr:to>
      <xdr:col>100</xdr:col>
      <xdr:colOff>43051</xdr:colOff>
      <xdr:row>115</xdr:row>
      <xdr:rowOff>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907FA2BF-3B47-07D9-1C2F-46EB96C1FD2F}"/>
            </a:ext>
          </a:extLst>
        </xdr:cNvPr>
        <xdr:cNvCxnSpPr/>
      </xdr:nvCxnSpPr>
      <xdr:spPr>
        <a:xfrm>
          <a:off x="18172752" y="21608955"/>
          <a:ext cx="4616568" cy="454925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31750</xdr:colOff>
      <xdr:row>152</xdr:row>
      <xdr:rowOff>63501</xdr:rowOff>
    </xdr:from>
    <xdr:to>
      <xdr:col>109</xdr:col>
      <xdr:colOff>180432</xdr:colOff>
      <xdr:row>158</xdr:row>
      <xdr:rowOff>110758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99446E3A-97F6-0849-ABC0-9C97F303844C}"/>
            </a:ext>
          </a:extLst>
        </xdr:cNvPr>
        <xdr:cNvGrpSpPr/>
      </xdr:nvGrpSpPr>
      <xdr:grpSpPr>
        <a:xfrm rot="3426135">
          <a:off x="23441391" y="34484218"/>
          <a:ext cx="1407971" cy="1509396"/>
          <a:chOff x="21448891" y="25973857"/>
          <a:chExt cx="1382889" cy="1449245"/>
        </a:xfrm>
      </xdr:grpSpPr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785A7311-2C9B-908D-D309-A8A7ABFEA13A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D45D0000-62AB-30F5-C5FC-F59DB09B71A3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135</xdr:col>
      <xdr:colOff>203200</xdr:colOff>
      <xdr:row>143</xdr:row>
      <xdr:rowOff>25400</xdr:rowOff>
    </xdr:from>
    <xdr:to>
      <xdr:col>179</xdr:col>
      <xdr:colOff>0</xdr:colOff>
      <xdr:row>146</xdr:row>
      <xdr:rowOff>203200</xdr:rowOff>
    </xdr:to>
    <xdr:sp macro="" textlink="">
      <xdr:nvSpPr>
        <xdr:cNvPr id="47" name="Rounded Rectangle 46">
          <a:extLst>
            <a:ext uri="{FF2B5EF4-FFF2-40B4-BE49-F238E27FC236}">
              <a16:creationId xmlns:a16="http://schemas.microsoft.com/office/drawing/2014/main" id="{F604B335-A3D0-A299-3983-097E77653FD9}"/>
            </a:ext>
          </a:extLst>
        </xdr:cNvPr>
        <xdr:cNvSpPr/>
      </xdr:nvSpPr>
      <xdr:spPr>
        <a:xfrm>
          <a:off x="29475151" y="31031985"/>
          <a:ext cx="9337288" cy="828288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175</xdr:col>
      <xdr:colOff>76200</xdr:colOff>
      <xdr:row>154</xdr:row>
      <xdr:rowOff>70652</xdr:rowOff>
    </xdr:from>
    <xdr:to>
      <xdr:col>200</xdr:col>
      <xdr:colOff>16934</xdr:colOff>
      <xdr:row>158</xdr:row>
      <xdr:rowOff>29486</xdr:rowOff>
    </xdr:to>
    <xdr:sp macro="" textlink="">
      <xdr:nvSpPr>
        <xdr:cNvPr id="48" name="Rounded Rectangle 47">
          <a:extLst>
            <a:ext uri="{FF2B5EF4-FFF2-40B4-BE49-F238E27FC236}">
              <a16:creationId xmlns:a16="http://schemas.microsoft.com/office/drawing/2014/main" id="{68D7CAB8-5B37-154D-A8DA-1F9C70008D51}"/>
            </a:ext>
          </a:extLst>
        </xdr:cNvPr>
        <xdr:cNvSpPr/>
      </xdr:nvSpPr>
      <xdr:spPr>
        <a:xfrm>
          <a:off x="40081200" y="35275052"/>
          <a:ext cx="5655734" cy="873234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0</xdr:colOff>
      <xdr:row>164</xdr:row>
      <xdr:rowOff>134885</xdr:rowOff>
    </xdr:from>
    <xdr:to>
      <xdr:col>167</xdr:col>
      <xdr:colOff>152400</xdr:colOff>
      <xdr:row>168</xdr:row>
      <xdr:rowOff>93719</xdr:rowOff>
    </xdr:to>
    <xdr:sp macro="" textlink="">
      <xdr:nvSpPr>
        <xdr:cNvPr id="49" name="Rounded Rectangle 48">
          <a:extLst>
            <a:ext uri="{FF2B5EF4-FFF2-40B4-BE49-F238E27FC236}">
              <a16:creationId xmlns:a16="http://schemas.microsoft.com/office/drawing/2014/main" id="{21F0BB15-091C-8446-9903-874051276A9B}"/>
            </a:ext>
          </a:extLst>
        </xdr:cNvPr>
        <xdr:cNvSpPr/>
      </xdr:nvSpPr>
      <xdr:spPr>
        <a:xfrm>
          <a:off x="32004000" y="37625285"/>
          <a:ext cx="6324600" cy="873234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16933</xdr:colOff>
      <xdr:row>176</xdr:row>
      <xdr:rowOff>50798</xdr:rowOff>
    </xdr:from>
    <xdr:to>
      <xdr:col>195</xdr:col>
      <xdr:colOff>203200</xdr:colOff>
      <xdr:row>179</xdr:row>
      <xdr:rowOff>228598</xdr:rowOff>
    </xdr:to>
    <xdr:sp macro="" textlink="">
      <xdr:nvSpPr>
        <xdr:cNvPr id="50" name="Rounded Rectangle 49">
          <a:extLst>
            <a:ext uri="{FF2B5EF4-FFF2-40B4-BE49-F238E27FC236}">
              <a16:creationId xmlns:a16="http://schemas.microsoft.com/office/drawing/2014/main" id="{5536FD59-AEC3-4947-A5D6-C18CB2C4C8AE}"/>
            </a:ext>
          </a:extLst>
        </xdr:cNvPr>
        <xdr:cNvSpPr/>
      </xdr:nvSpPr>
      <xdr:spPr>
        <a:xfrm>
          <a:off x="32020933" y="40284398"/>
          <a:ext cx="12759267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203200</xdr:colOff>
      <xdr:row>194</xdr:row>
      <xdr:rowOff>71823</xdr:rowOff>
    </xdr:from>
    <xdr:to>
      <xdr:col>196</xdr:col>
      <xdr:colOff>0</xdr:colOff>
      <xdr:row>198</xdr:row>
      <xdr:rowOff>11388</xdr:rowOff>
    </xdr:to>
    <xdr:sp macro="" textlink="">
      <xdr:nvSpPr>
        <xdr:cNvPr id="51" name="Rounded Rectangle 50">
          <a:extLst>
            <a:ext uri="{FF2B5EF4-FFF2-40B4-BE49-F238E27FC236}">
              <a16:creationId xmlns:a16="http://schemas.microsoft.com/office/drawing/2014/main" id="{3C16D7E0-4706-1240-8F76-20BAC3E6FB85}"/>
            </a:ext>
          </a:extLst>
        </xdr:cNvPr>
        <xdr:cNvSpPr/>
      </xdr:nvSpPr>
      <xdr:spPr>
        <a:xfrm>
          <a:off x="35407600" y="44420223"/>
          <a:ext cx="9398000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215901</xdr:colOff>
      <xdr:row>147</xdr:row>
      <xdr:rowOff>25400</xdr:rowOff>
    </xdr:from>
    <xdr:to>
      <xdr:col>139</xdr:col>
      <xdr:colOff>165101</xdr:colOff>
      <xdr:row>180</xdr:row>
      <xdr:rowOff>50800</xdr:rowOff>
    </xdr:to>
    <xdr:sp macro="" textlink="">
      <xdr:nvSpPr>
        <xdr:cNvPr id="52" name="Rounded Rectangle 51">
          <a:extLst>
            <a:ext uri="{FF2B5EF4-FFF2-40B4-BE49-F238E27FC236}">
              <a16:creationId xmlns:a16="http://schemas.microsoft.com/office/drawing/2014/main" id="{EE51633F-7DE1-BB42-8C24-20FE37DF6194}"/>
            </a:ext>
          </a:extLst>
        </xdr:cNvPr>
        <xdr:cNvSpPr/>
      </xdr:nvSpPr>
      <xdr:spPr>
        <a:xfrm rot="5400000">
          <a:off x="27724101" y="36982400"/>
          <a:ext cx="7569200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196</xdr:col>
      <xdr:colOff>48608</xdr:colOff>
      <xdr:row>158</xdr:row>
      <xdr:rowOff>25403</xdr:rowOff>
    </xdr:from>
    <xdr:to>
      <xdr:col>199</xdr:col>
      <xdr:colOff>216773</xdr:colOff>
      <xdr:row>198</xdr:row>
      <xdr:rowOff>76201</xdr:rowOff>
    </xdr:to>
    <xdr:sp macro="" textlink="">
      <xdr:nvSpPr>
        <xdr:cNvPr id="53" name="Rounded Rectangle 52">
          <a:extLst>
            <a:ext uri="{FF2B5EF4-FFF2-40B4-BE49-F238E27FC236}">
              <a16:creationId xmlns:a16="http://schemas.microsoft.com/office/drawing/2014/main" id="{57293FBF-C49D-024D-B4F4-2E4BF1196532}"/>
            </a:ext>
          </a:extLst>
        </xdr:cNvPr>
        <xdr:cNvSpPr/>
      </xdr:nvSpPr>
      <xdr:spPr>
        <a:xfrm rot="5400000">
          <a:off x="40683792" y="40314619"/>
          <a:ext cx="9194798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172</xdr:col>
      <xdr:colOff>139700</xdr:colOff>
      <xdr:row>180</xdr:row>
      <xdr:rowOff>25400</xdr:rowOff>
    </xdr:from>
    <xdr:to>
      <xdr:col>176</xdr:col>
      <xdr:colOff>88900</xdr:colOff>
      <xdr:row>194</xdr:row>
      <xdr:rowOff>50800</xdr:rowOff>
    </xdr:to>
    <xdr:sp macro="" textlink="">
      <xdr:nvSpPr>
        <xdr:cNvPr id="55" name="Rounded Rectangle 54">
          <a:extLst>
            <a:ext uri="{FF2B5EF4-FFF2-40B4-BE49-F238E27FC236}">
              <a16:creationId xmlns:a16="http://schemas.microsoft.com/office/drawing/2014/main" id="{E799DC05-266F-2B4F-9CA0-7D45D16A7266}"/>
            </a:ext>
          </a:extLst>
        </xdr:cNvPr>
        <xdr:cNvSpPr/>
      </xdr:nvSpPr>
      <xdr:spPr>
        <a:xfrm rot="5400000">
          <a:off x="38277800" y="42354500"/>
          <a:ext cx="3225800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163</xdr:col>
      <xdr:colOff>139700</xdr:colOff>
      <xdr:row>147</xdr:row>
      <xdr:rowOff>18394</xdr:rowOff>
    </xdr:from>
    <xdr:to>
      <xdr:col>167</xdr:col>
      <xdr:colOff>88900</xdr:colOff>
      <xdr:row>164</xdr:row>
      <xdr:rowOff>76200</xdr:rowOff>
    </xdr:to>
    <xdr:sp macro="" textlink="">
      <xdr:nvSpPr>
        <xdr:cNvPr id="56" name="Rounded Rectangle 55">
          <a:extLst>
            <a:ext uri="{FF2B5EF4-FFF2-40B4-BE49-F238E27FC236}">
              <a16:creationId xmlns:a16="http://schemas.microsoft.com/office/drawing/2014/main" id="{38818683-240A-E34B-9470-E8D13761121A}"/>
            </a:ext>
          </a:extLst>
        </xdr:cNvPr>
        <xdr:cNvSpPr/>
      </xdr:nvSpPr>
      <xdr:spPr>
        <a:xfrm rot="5400000">
          <a:off x="35861297" y="35162797"/>
          <a:ext cx="3944006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151</xdr:col>
      <xdr:colOff>61952</xdr:colOff>
      <xdr:row>27</xdr:row>
      <xdr:rowOff>154878</xdr:rowOff>
    </xdr:from>
    <xdr:to>
      <xdr:col>162</xdr:col>
      <xdr:colOff>185854</xdr:colOff>
      <xdr:row>31</xdr:row>
      <xdr:rowOff>61952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A7EB835-8F27-8B93-2AB1-1878E6A0F1C4}"/>
            </a:ext>
          </a:extLst>
        </xdr:cNvPr>
        <xdr:cNvSpPr txBox="1"/>
      </xdr:nvSpPr>
      <xdr:spPr>
        <a:xfrm>
          <a:off x="32803172" y="6009268"/>
          <a:ext cx="2509023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13 x 10</a:t>
          </a:r>
        </a:p>
      </xdr:txBody>
    </xdr:sp>
    <xdr:clientData/>
  </xdr:twoCellAnchor>
  <xdr:twoCellAnchor>
    <xdr:from>
      <xdr:col>187</xdr:col>
      <xdr:colOff>90450</xdr:colOff>
      <xdr:row>37</xdr:row>
      <xdr:rowOff>121424</xdr:rowOff>
    </xdr:from>
    <xdr:to>
      <xdr:col>198</xdr:col>
      <xdr:colOff>214351</xdr:colOff>
      <xdr:row>41</xdr:row>
      <xdr:rowOff>28498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314E852-C21C-A947-AA1E-760E5D50F276}"/>
            </a:ext>
          </a:extLst>
        </xdr:cNvPr>
        <xdr:cNvSpPr txBox="1"/>
      </xdr:nvSpPr>
      <xdr:spPr>
        <a:xfrm>
          <a:off x="40637523" y="8144107"/>
          <a:ext cx="2509023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11 x 19</a:t>
          </a:r>
        </a:p>
      </xdr:txBody>
    </xdr:sp>
    <xdr:clientData/>
  </xdr:twoCellAnchor>
  <xdr:twoCellAnchor>
    <xdr:from>
      <xdr:col>167</xdr:col>
      <xdr:colOff>214358</xdr:colOff>
      <xdr:row>62</xdr:row>
      <xdr:rowOff>183380</xdr:rowOff>
    </xdr:from>
    <xdr:to>
      <xdr:col>175</xdr:col>
      <xdr:colOff>92932</xdr:colOff>
      <xdr:row>66</xdr:row>
      <xdr:rowOff>90454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D0B4914C-08F7-714A-B9B0-292249CBCCAE}"/>
            </a:ext>
          </a:extLst>
        </xdr:cNvPr>
        <xdr:cNvSpPr txBox="1"/>
      </xdr:nvSpPr>
      <xdr:spPr>
        <a:xfrm>
          <a:off x="36424846" y="13626795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14</a:t>
          </a:r>
        </a:p>
      </xdr:txBody>
    </xdr:sp>
    <xdr:clientData/>
  </xdr:twoCellAnchor>
  <xdr:twoCellAnchor>
    <xdr:from>
      <xdr:col>145</xdr:col>
      <xdr:colOff>87973</xdr:colOff>
      <xdr:row>41</xdr:row>
      <xdr:rowOff>149921</xdr:rowOff>
    </xdr:from>
    <xdr:to>
      <xdr:col>152</xdr:col>
      <xdr:colOff>183376</xdr:colOff>
      <xdr:row>45</xdr:row>
      <xdr:rowOff>56995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788C772-283E-3345-9500-0BCB75CD8C6C}"/>
            </a:ext>
          </a:extLst>
        </xdr:cNvPr>
        <xdr:cNvSpPr txBox="1"/>
      </xdr:nvSpPr>
      <xdr:spPr>
        <a:xfrm>
          <a:off x="31528217" y="9039921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10 x 5</a:t>
          </a:r>
        </a:p>
      </xdr:txBody>
    </xdr:sp>
    <xdr:clientData/>
  </xdr:twoCellAnchor>
  <xdr:twoCellAnchor>
    <xdr:from>
      <xdr:col>172</xdr:col>
      <xdr:colOff>116470</xdr:colOff>
      <xdr:row>25</xdr:row>
      <xdr:rowOff>23540</xdr:rowOff>
    </xdr:from>
    <xdr:to>
      <xdr:col>179</xdr:col>
      <xdr:colOff>211873</xdr:colOff>
      <xdr:row>28</xdr:row>
      <xdr:rowOff>147443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6BF3495-88B5-614C-8979-77528042E900}"/>
            </a:ext>
          </a:extLst>
        </xdr:cNvPr>
        <xdr:cNvSpPr txBox="1"/>
      </xdr:nvSpPr>
      <xdr:spPr>
        <a:xfrm>
          <a:off x="37411104" y="5444272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5 x 5</a:t>
          </a:r>
        </a:p>
      </xdr:txBody>
    </xdr:sp>
    <xdr:clientData/>
  </xdr:twoCellAnchor>
  <xdr:twoCellAnchor>
    <xdr:from>
      <xdr:col>323</xdr:col>
      <xdr:colOff>214358</xdr:colOff>
      <xdr:row>186</xdr:row>
      <xdr:rowOff>183380</xdr:rowOff>
    </xdr:from>
    <xdr:to>
      <xdr:col>331</xdr:col>
      <xdr:colOff>92932</xdr:colOff>
      <xdr:row>190</xdr:row>
      <xdr:rowOff>90454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1A71A9A1-80CE-A340-B20D-A0B6086CA5C7}"/>
            </a:ext>
          </a:extLst>
        </xdr:cNvPr>
        <xdr:cNvSpPr txBox="1"/>
      </xdr:nvSpPr>
      <xdr:spPr>
        <a:xfrm>
          <a:off x="36424846" y="13626795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270</xdr:col>
      <xdr:colOff>0</xdr:colOff>
      <xdr:row>160</xdr:row>
      <xdr:rowOff>0</xdr:rowOff>
    </xdr:from>
    <xdr:to>
      <xdr:col>281</xdr:col>
      <xdr:colOff>123902</xdr:colOff>
      <xdr:row>163</xdr:row>
      <xdr:rowOff>135023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58786D3-B231-1140-8DFA-9266784D5623}"/>
            </a:ext>
          </a:extLst>
        </xdr:cNvPr>
        <xdr:cNvSpPr txBox="1"/>
      </xdr:nvSpPr>
      <xdr:spPr>
        <a:xfrm>
          <a:off x="61546154" y="36471795"/>
          <a:ext cx="2631338" cy="818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24</a:t>
          </a:r>
        </a:p>
      </xdr:txBody>
    </xdr:sp>
    <xdr:clientData/>
  </xdr:twoCellAnchor>
  <xdr:twoCellAnchor>
    <xdr:from>
      <xdr:col>240</xdr:col>
      <xdr:colOff>0</xdr:colOff>
      <xdr:row>162</xdr:row>
      <xdr:rowOff>0</xdr:rowOff>
    </xdr:from>
    <xdr:to>
      <xdr:col>251</xdr:col>
      <xdr:colOff>123902</xdr:colOff>
      <xdr:row>165</xdr:row>
      <xdr:rowOff>135023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A08330D2-8AEE-C647-8BC8-452AF700B2B7}"/>
            </a:ext>
          </a:extLst>
        </xdr:cNvPr>
        <xdr:cNvSpPr txBox="1"/>
      </xdr:nvSpPr>
      <xdr:spPr>
        <a:xfrm>
          <a:off x="54707692" y="36927692"/>
          <a:ext cx="2631338" cy="818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10</a:t>
          </a:r>
        </a:p>
      </xdr:txBody>
    </xdr:sp>
    <xdr:clientData/>
  </xdr:twoCellAnchor>
  <xdr:twoCellAnchor>
    <xdr:from>
      <xdr:col>245</xdr:col>
      <xdr:colOff>152399</xdr:colOff>
      <xdr:row>182</xdr:row>
      <xdr:rowOff>22142</xdr:rowOff>
    </xdr:from>
    <xdr:to>
      <xdr:col>257</xdr:col>
      <xdr:colOff>48352</xdr:colOff>
      <xdr:row>185</xdr:row>
      <xdr:rowOff>157165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707A8CF2-F21B-ED47-824F-64B5E64DA2A0}"/>
            </a:ext>
          </a:extLst>
        </xdr:cNvPr>
        <xdr:cNvSpPr txBox="1"/>
      </xdr:nvSpPr>
      <xdr:spPr>
        <a:xfrm>
          <a:off x="55999835" y="41508809"/>
          <a:ext cx="2631338" cy="818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8</a:t>
          </a:r>
        </a:p>
      </xdr:txBody>
    </xdr:sp>
    <xdr:clientData/>
  </xdr:twoCellAnchor>
  <xdr:twoCellAnchor>
    <xdr:from>
      <xdr:col>307</xdr:col>
      <xdr:colOff>61952</xdr:colOff>
      <xdr:row>153</xdr:row>
      <xdr:rowOff>154878</xdr:rowOff>
    </xdr:from>
    <xdr:to>
      <xdr:col>318</xdr:col>
      <xdr:colOff>185854</xdr:colOff>
      <xdr:row>157</xdr:row>
      <xdr:rowOff>61952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A0E5CAE5-413E-E94B-B0E3-6250FF7D8592}"/>
            </a:ext>
          </a:extLst>
        </xdr:cNvPr>
        <xdr:cNvSpPr txBox="1"/>
      </xdr:nvSpPr>
      <xdr:spPr>
        <a:xfrm>
          <a:off x="68463706" y="33798738"/>
          <a:ext cx="2574780" cy="7983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13 x 12</a:t>
          </a:r>
        </a:p>
      </xdr:txBody>
    </xdr:sp>
    <xdr:clientData/>
  </xdr:twoCellAnchor>
  <xdr:twoCellAnchor>
    <xdr:from>
      <xdr:col>341</xdr:col>
      <xdr:colOff>90450</xdr:colOff>
      <xdr:row>163</xdr:row>
      <xdr:rowOff>121424</xdr:rowOff>
    </xdr:from>
    <xdr:to>
      <xdr:col>352</xdr:col>
      <xdr:colOff>214351</xdr:colOff>
      <xdr:row>167</xdr:row>
      <xdr:rowOff>28498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DCEFADBC-C619-EF4E-8CA5-8A3C8900BCE6}"/>
            </a:ext>
          </a:extLst>
        </xdr:cNvPr>
        <xdr:cNvSpPr txBox="1"/>
      </xdr:nvSpPr>
      <xdr:spPr>
        <a:xfrm>
          <a:off x="76067643" y="35993354"/>
          <a:ext cx="2574778" cy="7983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45</xdr:col>
      <xdr:colOff>214358</xdr:colOff>
      <xdr:row>287</xdr:row>
      <xdr:rowOff>183380</xdr:rowOff>
    </xdr:from>
    <xdr:to>
      <xdr:col>53</xdr:col>
      <xdr:colOff>92932</xdr:colOff>
      <xdr:row>291</xdr:row>
      <xdr:rowOff>90454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2A32FE2D-BB64-8543-BB2D-FDCC1B081F8E}"/>
            </a:ext>
          </a:extLst>
        </xdr:cNvPr>
        <xdr:cNvSpPr txBox="1"/>
      </xdr:nvSpPr>
      <xdr:spPr>
        <a:xfrm>
          <a:off x="79609842" y="45903380"/>
          <a:ext cx="1845025" cy="89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29</xdr:col>
      <xdr:colOff>61952</xdr:colOff>
      <xdr:row>254</xdr:row>
      <xdr:rowOff>154878</xdr:rowOff>
    </xdr:from>
    <xdr:to>
      <xdr:col>40</xdr:col>
      <xdr:colOff>185854</xdr:colOff>
      <xdr:row>258</xdr:row>
      <xdr:rowOff>61952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11149A73-874C-524B-8897-9F761C5C9A29}"/>
            </a:ext>
          </a:extLst>
        </xdr:cNvPr>
        <xdr:cNvSpPr txBox="1"/>
      </xdr:nvSpPr>
      <xdr:spPr>
        <a:xfrm>
          <a:off x="75524533" y="37763265"/>
          <a:ext cx="2827773" cy="89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13 x 12</a:t>
          </a:r>
        </a:p>
      </xdr:txBody>
    </xdr:sp>
    <xdr:clientData/>
  </xdr:twoCellAnchor>
  <xdr:twoCellAnchor>
    <xdr:from>
      <xdr:col>63</xdr:col>
      <xdr:colOff>90450</xdr:colOff>
      <xdr:row>264</xdr:row>
      <xdr:rowOff>121424</xdr:rowOff>
    </xdr:from>
    <xdr:to>
      <xdr:col>74</xdr:col>
      <xdr:colOff>214351</xdr:colOff>
      <xdr:row>268</xdr:row>
      <xdr:rowOff>28498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C6FF4891-029F-9548-8FC9-98601B08F596}"/>
            </a:ext>
          </a:extLst>
        </xdr:cNvPr>
        <xdr:cNvSpPr txBox="1"/>
      </xdr:nvSpPr>
      <xdr:spPr>
        <a:xfrm>
          <a:off x="83910450" y="40187876"/>
          <a:ext cx="2827772" cy="8902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16</xdr:col>
      <xdr:colOff>107062</xdr:colOff>
      <xdr:row>267</xdr:row>
      <xdr:rowOff>204838</xdr:rowOff>
    </xdr:from>
    <xdr:to>
      <xdr:col>88</xdr:col>
      <xdr:colOff>120952</xdr:colOff>
      <xdr:row>271</xdr:row>
      <xdr:rowOff>-1</xdr:rowOff>
    </xdr:to>
    <xdr:sp macro="" textlink="">
      <xdr:nvSpPr>
        <xdr:cNvPr id="82" name="Rounded Rectangle 81">
          <a:extLst>
            <a:ext uri="{FF2B5EF4-FFF2-40B4-BE49-F238E27FC236}">
              <a16:creationId xmlns:a16="http://schemas.microsoft.com/office/drawing/2014/main" id="{83AEF2A8-3CB7-7C43-B989-458E3D1141C5}"/>
            </a:ext>
          </a:extLst>
        </xdr:cNvPr>
        <xdr:cNvSpPr/>
      </xdr:nvSpPr>
      <xdr:spPr>
        <a:xfrm>
          <a:off x="30345157" y="58261981"/>
          <a:ext cx="17431033" cy="76278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218495</xdr:colOff>
      <xdr:row>242</xdr:row>
      <xdr:rowOff>29496</xdr:rowOff>
    </xdr:from>
    <xdr:to>
      <xdr:col>62</xdr:col>
      <xdr:colOff>127000</xdr:colOff>
      <xdr:row>245</xdr:row>
      <xdr:rowOff>122904</xdr:rowOff>
    </xdr:to>
    <xdr:sp macro="" textlink="">
      <xdr:nvSpPr>
        <xdr:cNvPr id="83" name="Rounded Rectangle 82">
          <a:extLst>
            <a:ext uri="{FF2B5EF4-FFF2-40B4-BE49-F238E27FC236}">
              <a16:creationId xmlns:a16="http://schemas.microsoft.com/office/drawing/2014/main" id="{41C62774-5BC7-E440-A1B0-E35EB7F51D2E}"/>
            </a:ext>
          </a:extLst>
        </xdr:cNvPr>
        <xdr:cNvSpPr/>
      </xdr:nvSpPr>
      <xdr:spPr>
        <a:xfrm>
          <a:off x="28564895" y="49178496"/>
          <a:ext cx="10652705" cy="779208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228327</xdr:colOff>
      <xdr:row>295</xdr:row>
      <xdr:rowOff>66367</xdr:rowOff>
    </xdr:from>
    <xdr:to>
      <xdr:col>88</xdr:col>
      <xdr:colOff>27038</xdr:colOff>
      <xdr:row>298</xdr:row>
      <xdr:rowOff>142568</xdr:rowOff>
    </xdr:to>
    <xdr:sp macro="" textlink="">
      <xdr:nvSpPr>
        <xdr:cNvPr id="84" name="Rounded Rectangle 83">
          <a:extLst>
            <a:ext uri="{FF2B5EF4-FFF2-40B4-BE49-F238E27FC236}">
              <a16:creationId xmlns:a16="http://schemas.microsoft.com/office/drawing/2014/main" id="{7092F07C-A302-CF44-917A-39B87979FEEF}"/>
            </a:ext>
          </a:extLst>
        </xdr:cNvPr>
        <xdr:cNvSpPr/>
      </xdr:nvSpPr>
      <xdr:spPr>
        <a:xfrm>
          <a:off x="32918127" y="61331167"/>
          <a:ext cx="12143111" cy="762001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18473</xdr:colOff>
      <xdr:row>252</xdr:row>
      <xdr:rowOff>33485</xdr:rowOff>
    </xdr:from>
    <xdr:to>
      <xdr:col>84</xdr:col>
      <xdr:colOff>94672</xdr:colOff>
      <xdr:row>299</xdr:row>
      <xdr:rowOff>137391</xdr:rowOff>
    </xdr:to>
    <xdr:sp macro="" textlink="">
      <xdr:nvSpPr>
        <xdr:cNvPr id="86" name="Rounded Rectangle 85">
          <a:extLst>
            <a:ext uri="{FF2B5EF4-FFF2-40B4-BE49-F238E27FC236}">
              <a16:creationId xmlns:a16="http://schemas.microsoft.com/office/drawing/2014/main" id="{57D95924-1943-3045-80E2-563818B54E8E}"/>
            </a:ext>
          </a:extLst>
        </xdr:cNvPr>
        <xdr:cNvSpPr/>
      </xdr:nvSpPr>
      <xdr:spPr>
        <a:xfrm rot="5400000">
          <a:off x="38797347" y="57081883"/>
          <a:ext cx="10956634" cy="768927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110392</xdr:colOff>
      <xdr:row>239</xdr:row>
      <xdr:rowOff>46895</xdr:rowOff>
    </xdr:from>
    <xdr:to>
      <xdr:col>22</xdr:col>
      <xdr:colOff>186591</xdr:colOff>
      <xdr:row>283</xdr:row>
      <xdr:rowOff>181432</xdr:rowOff>
    </xdr:to>
    <xdr:sp macro="" textlink="">
      <xdr:nvSpPr>
        <xdr:cNvPr id="87" name="Rounded Rectangle 86">
          <a:extLst>
            <a:ext uri="{FF2B5EF4-FFF2-40B4-BE49-F238E27FC236}">
              <a16:creationId xmlns:a16="http://schemas.microsoft.com/office/drawing/2014/main" id="{6FBD2A29-02B9-D74A-9519-224F5B8D67BC}"/>
            </a:ext>
          </a:extLst>
        </xdr:cNvPr>
        <xdr:cNvSpPr/>
      </xdr:nvSpPr>
      <xdr:spPr>
        <a:xfrm rot="5400000">
          <a:off x="26085986" y="56318921"/>
          <a:ext cx="10778346" cy="801913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104630</xdr:colOff>
      <xdr:row>239</xdr:row>
      <xdr:rowOff>198130</xdr:rowOff>
    </xdr:from>
    <xdr:to>
      <xdr:col>42</xdr:col>
      <xdr:colOff>61645</xdr:colOff>
      <xdr:row>299</xdr:row>
      <xdr:rowOff>211666</xdr:rowOff>
    </xdr:to>
    <xdr:sp macro="" textlink="">
      <xdr:nvSpPr>
        <xdr:cNvPr id="88" name="Rounded Rectangle 87">
          <a:extLst>
            <a:ext uri="{FF2B5EF4-FFF2-40B4-BE49-F238E27FC236}">
              <a16:creationId xmlns:a16="http://schemas.microsoft.com/office/drawing/2014/main" id="{F7C67950-862D-3448-959A-13D06B90F950}"/>
            </a:ext>
          </a:extLst>
        </xdr:cNvPr>
        <xdr:cNvSpPr/>
      </xdr:nvSpPr>
      <xdr:spPr>
        <a:xfrm rot="5400000">
          <a:off x="28863036" y="58283534"/>
          <a:ext cx="14527821" cy="924634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127929</xdr:colOff>
      <xdr:row>266</xdr:row>
      <xdr:rowOff>120952</xdr:rowOff>
    </xdr:from>
    <xdr:to>
      <xdr:col>59</xdr:col>
      <xdr:colOff>72245</xdr:colOff>
      <xdr:row>299</xdr:row>
      <xdr:rowOff>201248</xdr:rowOff>
    </xdr:to>
    <xdr:sp macro="" textlink="">
      <xdr:nvSpPr>
        <xdr:cNvPr id="89" name="Rounded Rectangle 88">
          <a:extLst>
            <a:ext uri="{FF2B5EF4-FFF2-40B4-BE49-F238E27FC236}">
              <a16:creationId xmlns:a16="http://schemas.microsoft.com/office/drawing/2014/main" id="{5F42A2CF-2207-7D45-B023-0D0D533CF336}"/>
            </a:ext>
          </a:extLst>
        </xdr:cNvPr>
        <xdr:cNvSpPr/>
      </xdr:nvSpPr>
      <xdr:spPr>
        <a:xfrm rot="5400000">
          <a:off x="36224701" y="61511799"/>
          <a:ext cx="8063153" cy="91193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213737</xdr:colOff>
      <xdr:row>240</xdr:row>
      <xdr:rowOff>153816</xdr:rowOff>
    </xdr:from>
    <xdr:to>
      <xdr:col>25</xdr:col>
      <xdr:colOff>129672</xdr:colOff>
      <xdr:row>248</xdr:row>
      <xdr:rowOff>49463</xdr:rowOff>
    </xdr:to>
    <xdr:sp macro="" textlink="">
      <xdr:nvSpPr>
        <xdr:cNvPr id="92" name="Oval 91">
          <a:extLst>
            <a:ext uri="{FF2B5EF4-FFF2-40B4-BE49-F238E27FC236}">
              <a16:creationId xmlns:a16="http://schemas.microsoft.com/office/drawing/2014/main" id="{0ABF069A-E4AC-7E47-A8E2-A80527DE5D0D}"/>
            </a:ext>
          </a:extLst>
        </xdr:cNvPr>
        <xdr:cNvSpPr/>
      </xdr:nvSpPr>
      <xdr:spPr>
        <a:xfrm>
          <a:off x="29691105" y="49984605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17222</xdr:colOff>
      <xdr:row>265</xdr:row>
      <xdr:rowOff>90984</xdr:rowOff>
    </xdr:from>
    <xdr:to>
      <xdr:col>24</xdr:col>
      <xdr:colOff>167104</xdr:colOff>
      <xdr:row>272</xdr:row>
      <xdr:rowOff>220579</xdr:rowOff>
    </xdr:to>
    <xdr:sp macro="" textlink="">
      <xdr:nvSpPr>
        <xdr:cNvPr id="94" name="Oval 93">
          <a:extLst>
            <a:ext uri="{FF2B5EF4-FFF2-40B4-BE49-F238E27FC236}">
              <a16:creationId xmlns:a16="http://schemas.microsoft.com/office/drawing/2014/main" id="{D93F9CEB-FD17-BF4E-8301-8F0BF90AA793}"/>
            </a:ext>
          </a:extLst>
        </xdr:cNvPr>
        <xdr:cNvSpPr/>
      </xdr:nvSpPr>
      <xdr:spPr>
        <a:xfrm>
          <a:off x="29494590" y="55770458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2515</xdr:colOff>
      <xdr:row>293</xdr:row>
      <xdr:rowOff>9437</xdr:rowOff>
    </xdr:from>
    <xdr:to>
      <xdr:col>86</xdr:col>
      <xdr:colOff>152397</xdr:colOff>
      <xdr:row>300</xdr:row>
      <xdr:rowOff>139031</xdr:rowOff>
    </xdr:to>
    <xdr:sp macro="" textlink="">
      <xdr:nvSpPr>
        <xdr:cNvPr id="95" name="Oval 94">
          <a:extLst>
            <a:ext uri="{FF2B5EF4-FFF2-40B4-BE49-F238E27FC236}">
              <a16:creationId xmlns:a16="http://schemas.microsoft.com/office/drawing/2014/main" id="{FC77C6D6-7A9B-8744-B29F-99E3CF62D1E1}"/>
            </a:ext>
          </a:extLst>
        </xdr:cNvPr>
        <xdr:cNvSpPr/>
      </xdr:nvSpPr>
      <xdr:spPr>
        <a:xfrm>
          <a:off x="43984620" y="62239437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111947</xdr:colOff>
      <xdr:row>251</xdr:row>
      <xdr:rowOff>118866</xdr:rowOff>
    </xdr:from>
    <xdr:to>
      <xdr:col>75</xdr:col>
      <xdr:colOff>19925</xdr:colOff>
      <xdr:row>259</xdr:row>
      <xdr:rowOff>6556</xdr:rowOff>
    </xdr:to>
    <xdr:sp macro="" textlink="">
      <xdr:nvSpPr>
        <xdr:cNvPr id="96" name="Oval 95">
          <a:extLst>
            <a:ext uri="{FF2B5EF4-FFF2-40B4-BE49-F238E27FC236}">
              <a16:creationId xmlns:a16="http://schemas.microsoft.com/office/drawing/2014/main" id="{115CE1E4-2990-DA4A-91E3-B137F88D66DA}"/>
            </a:ext>
          </a:extLst>
        </xdr:cNvPr>
        <xdr:cNvSpPr/>
      </xdr:nvSpPr>
      <xdr:spPr>
        <a:xfrm>
          <a:off x="42687185" y="54305533"/>
          <a:ext cx="1843216" cy="18229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39946</xdr:colOff>
      <xdr:row>265</xdr:row>
      <xdr:rowOff>180553</xdr:rowOff>
    </xdr:from>
    <xdr:to>
      <xdr:col>86</xdr:col>
      <xdr:colOff>189828</xdr:colOff>
      <xdr:row>273</xdr:row>
      <xdr:rowOff>76200</xdr:rowOff>
    </xdr:to>
    <xdr:sp macro="" textlink="">
      <xdr:nvSpPr>
        <xdr:cNvPr id="97" name="Oval 96">
          <a:extLst>
            <a:ext uri="{FF2B5EF4-FFF2-40B4-BE49-F238E27FC236}">
              <a16:creationId xmlns:a16="http://schemas.microsoft.com/office/drawing/2014/main" id="{D51AFE0D-8EFC-DF41-8470-3E1CAA8C917F}"/>
            </a:ext>
          </a:extLst>
        </xdr:cNvPr>
        <xdr:cNvSpPr/>
      </xdr:nvSpPr>
      <xdr:spPr>
        <a:xfrm>
          <a:off x="44022051" y="55860027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135054</xdr:colOff>
      <xdr:row>292</xdr:row>
      <xdr:rowOff>219959</xdr:rowOff>
    </xdr:from>
    <xdr:to>
      <xdr:col>61</xdr:col>
      <xdr:colOff>50989</xdr:colOff>
      <xdr:row>300</xdr:row>
      <xdr:rowOff>107648</xdr:rowOff>
    </xdr:to>
    <xdr:sp macro="" textlink="">
      <xdr:nvSpPr>
        <xdr:cNvPr id="98" name="Oval 97">
          <a:extLst>
            <a:ext uri="{FF2B5EF4-FFF2-40B4-BE49-F238E27FC236}">
              <a16:creationId xmlns:a16="http://schemas.microsoft.com/office/drawing/2014/main" id="{3157E960-4DE9-8E47-B681-9ACB55F4E337}"/>
            </a:ext>
          </a:extLst>
        </xdr:cNvPr>
        <xdr:cNvSpPr/>
      </xdr:nvSpPr>
      <xdr:spPr>
        <a:xfrm>
          <a:off x="39323625" y="64324721"/>
          <a:ext cx="1851174" cy="182292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186999</xdr:colOff>
      <xdr:row>265</xdr:row>
      <xdr:rowOff>169858</xdr:rowOff>
    </xdr:from>
    <xdr:to>
      <xdr:col>44</xdr:col>
      <xdr:colOff>102934</xdr:colOff>
      <xdr:row>273</xdr:row>
      <xdr:rowOff>70853</xdr:rowOff>
    </xdr:to>
    <xdr:sp macro="" textlink="">
      <xdr:nvSpPr>
        <xdr:cNvPr id="99" name="Oval 98">
          <a:extLst>
            <a:ext uri="{FF2B5EF4-FFF2-40B4-BE49-F238E27FC236}">
              <a16:creationId xmlns:a16="http://schemas.microsoft.com/office/drawing/2014/main" id="{02E694EC-9F51-514A-95FE-BED931C35DE6}"/>
            </a:ext>
          </a:extLst>
        </xdr:cNvPr>
        <xdr:cNvSpPr/>
      </xdr:nvSpPr>
      <xdr:spPr>
        <a:xfrm>
          <a:off x="35263189" y="57743191"/>
          <a:ext cx="1851174" cy="1836233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130151</xdr:colOff>
      <xdr:row>265</xdr:row>
      <xdr:rowOff>47697</xdr:rowOff>
    </xdr:from>
    <xdr:to>
      <xdr:col>64</xdr:col>
      <xdr:colOff>32782</xdr:colOff>
      <xdr:row>272</xdr:row>
      <xdr:rowOff>164592</xdr:rowOff>
    </xdr:to>
    <xdr:sp macro="" textlink="">
      <xdr:nvSpPr>
        <xdr:cNvPr id="100" name="Oval 99">
          <a:extLst>
            <a:ext uri="{FF2B5EF4-FFF2-40B4-BE49-F238E27FC236}">
              <a16:creationId xmlns:a16="http://schemas.microsoft.com/office/drawing/2014/main" id="{DBA1B24F-FB89-B745-AA3E-14D0D54CAC98}"/>
            </a:ext>
          </a:extLst>
        </xdr:cNvPr>
        <xdr:cNvSpPr/>
      </xdr:nvSpPr>
      <xdr:spPr>
        <a:xfrm>
          <a:off x="40044437" y="57621030"/>
          <a:ext cx="1837869" cy="1810229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119409</xdr:colOff>
      <xdr:row>239</xdr:row>
      <xdr:rowOff>229126</xdr:rowOff>
    </xdr:from>
    <xdr:to>
      <xdr:col>64</xdr:col>
      <xdr:colOff>35344</xdr:colOff>
      <xdr:row>247</xdr:row>
      <xdr:rowOff>104116</xdr:rowOff>
    </xdr:to>
    <xdr:sp macro="" textlink="">
      <xdr:nvSpPr>
        <xdr:cNvPr id="101" name="Oval 100">
          <a:extLst>
            <a:ext uri="{FF2B5EF4-FFF2-40B4-BE49-F238E27FC236}">
              <a16:creationId xmlns:a16="http://schemas.microsoft.com/office/drawing/2014/main" id="{27C7C03D-39B9-364C-A198-5AD711B5A0C8}"/>
            </a:ext>
          </a:extLst>
        </xdr:cNvPr>
        <xdr:cNvSpPr/>
      </xdr:nvSpPr>
      <xdr:spPr>
        <a:xfrm>
          <a:off x="40033695" y="51512936"/>
          <a:ext cx="1851173" cy="18102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110799</xdr:colOff>
      <xdr:row>293</xdr:row>
      <xdr:rowOff>17458</xdr:rowOff>
    </xdr:from>
    <xdr:to>
      <xdr:col>44</xdr:col>
      <xdr:colOff>26734</xdr:colOff>
      <xdr:row>300</xdr:row>
      <xdr:rowOff>147053</xdr:rowOff>
    </xdr:to>
    <xdr:sp macro="" textlink="">
      <xdr:nvSpPr>
        <xdr:cNvPr id="103" name="Oval 102">
          <a:extLst>
            <a:ext uri="{FF2B5EF4-FFF2-40B4-BE49-F238E27FC236}">
              <a16:creationId xmlns:a16="http://schemas.microsoft.com/office/drawing/2014/main" id="{CF1C5087-850D-BD4D-A307-A46A43441CFA}"/>
            </a:ext>
          </a:extLst>
        </xdr:cNvPr>
        <xdr:cNvSpPr/>
      </xdr:nvSpPr>
      <xdr:spPr>
        <a:xfrm>
          <a:off x="33257799" y="60825058"/>
          <a:ext cx="1744735" cy="1729795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150857</xdr:colOff>
      <xdr:row>238</xdr:row>
      <xdr:rowOff>230335</xdr:rowOff>
    </xdr:from>
    <xdr:to>
      <xdr:col>44</xdr:col>
      <xdr:colOff>66791</xdr:colOff>
      <xdr:row>246</xdr:row>
      <xdr:rowOff>105325</xdr:rowOff>
    </xdr:to>
    <xdr:sp macro="" textlink="">
      <xdr:nvSpPr>
        <xdr:cNvPr id="105" name="Oval 104">
          <a:extLst>
            <a:ext uri="{FF2B5EF4-FFF2-40B4-BE49-F238E27FC236}">
              <a16:creationId xmlns:a16="http://schemas.microsoft.com/office/drawing/2014/main" id="{E1AEA608-DB42-0549-9DAB-1F2446F46428}"/>
            </a:ext>
          </a:extLst>
        </xdr:cNvPr>
        <xdr:cNvSpPr/>
      </xdr:nvSpPr>
      <xdr:spPr>
        <a:xfrm>
          <a:off x="35227047" y="51272240"/>
          <a:ext cx="1851173" cy="18102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234109</xdr:colOff>
      <xdr:row>277</xdr:row>
      <xdr:rowOff>180553</xdr:rowOff>
    </xdr:from>
    <xdr:to>
      <xdr:col>33</xdr:col>
      <xdr:colOff>142087</xdr:colOff>
      <xdr:row>285</xdr:row>
      <xdr:rowOff>68242</xdr:rowOff>
    </xdr:to>
    <xdr:sp macro="" textlink="">
      <xdr:nvSpPr>
        <xdr:cNvPr id="106" name="Oval 105">
          <a:extLst>
            <a:ext uri="{FF2B5EF4-FFF2-40B4-BE49-F238E27FC236}">
              <a16:creationId xmlns:a16="http://schemas.microsoft.com/office/drawing/2014/main" id="{AE6EBE23-107B-AE49-8FB8-AB23F3FD4068}"/>
            </a:ext>
          </a:extLst>
        </xdr:cNvPr>
        <xdr:cNvSpPr/>
      </xdr:nvSpPr>
      <xdr:spPr>
        <a:xfrm>
          <a:off x="32649347" y="60656743"/>
          <a:ext cx="1843216" cy="18229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22700</xdr:colOff>
      <xdr:row>241</xdr:row>
      <xdr:rowOff>61686</xdr:rowOff>
    </xdr:from>
    <xdr:to>
      <xdr:col>61</xdr:col>
      <xdr:colOff>195616</xdr:colOff>
      <xdr:row>270</xdr:row>
      <xdr:rowOff>151191</xdr:rowOff>
    </xdr:to>
    <xdr:sp macro="" textlink="">
      <xdr:nvSpPr>
        <xdr:cNvPr id="107" name="Rounded Rectangle 106">
          <a:extLst>
            <a:ext uri="{FF2B5EF4-FFF2-40B4-BE49-F238E27FC236}">
              <a16:creationId xmlns:a16="http://schemas.microsoft.com/office/drawing/2014/main" id="{FD56EC30-90AE-D84D-A56F-83E79B7DA8A6}"/>
            </a:ext>
          </a:extLst>
        </xdr:cNvPr>
        <xdr:cNvSpPr/>
      </xdr:nvSpPr>
      <xdr:spPr>
        <a:xfrm rot="5400000">
          <a:off x="35268805" y="51912181"/>
          <a:ext cx="6718905" cy="858716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152400</xdr:colOff>
      <xdr:row>253</xdr:row>
      <xdr:rowOff>0</xdr:rowOff>
    </xdr:from>
    <xdr:to>
      <xdr:col>85</xdr:col>
      <xdr:colOff>101600</xdr:colOff>
      <xdr:row>256</xdr:row>
      <xdr:rowOff>168165</xdr:rowOff>
    </xdr:to>
    <xdr:sp macro="" textlink="">
      <xdr:nvSpPr>
        <xdr:cNvPr id="108" name="Rounded Rectangle 107">
          <a:extLst>
            <a:ext uri="{FF2B5EF4-FFF2-40B4-BE49-F238E27FC236}">
              <a16:creationId xmlns:a16="http://schemas.microsoft.com/office/drawing/2014/main" id="{31F6443F-1B5C-2C41-9EB0-1B99A33F79D8}"/>
            </a:ext>
          </a:extLst>
        </xdr:cNvPr>
        <xdr:cNvSpPr/>
      </xdr:nvSpPr>
      <xdr:spPr>
        <a:xfrm>
          <a:off x="38328600" y="51663600"/>
          <a:ext cx="6121400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101600</xdr:colOff>
      <xdr:row>279</xdr:row>
      <xdr:rowOff>101600</xdr:rowOff>
    </xdr:from>
    <xdr:to>
      <xdr:col>43</xdr:col>
      <xdr:colOff>25400</xdr:colOff>
      <xdr:row>283</xdr:row>
      <xdr:rowOff>41165</xdr:rowOff>
    </xdr:to>
    <xdr:sp macro="" textlink="">
      <xdr:nvSpPr>
        <xdr:cNvPr id="109" name="Rounded Rectangle 108">
          <a:extLst>
            <a:ext uri="{FF2B5EF4-FFF2-40B4-BE49-F238E27FC236}">
              <a16:creationId xmlns:a16="http://schemas.microsoft.com/office/drawing/2014/main" id="{7156998C-ECD5-CB4A-AC74-4B757057975D}"/>
            </a:ext>
          </a:extLst>
        </xdr:cNvPr>
        <xdr:cNvSpPr/>
      </xdr:nvSpPr>
      <xdr:spPr>
        <a:xfrm>
          <a:off x="28905200" y="57708800"/>
          <a:ext cx="5867400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61952</xdr:colOff>
      <xdr:row>251</xdr:row>
      <xdr:rowOff>154878</xdr:rowOff>
    </xdr:from>
    <xdr:to>
      <xdr:col>143</xdr:col>
      <xdr:colOff>84667</xdr:colOff>
      <xdr:row>255</xdr:row>
      <xdr:rowOff>61952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49FE7D71-362E-7D4A-804F-4827576A6FDE}"/>
            </a:ext>
          </a:extLst>
        </xdr:cNvPr>
        <xdr:cNvSpPr txBox="1"/>
      </xdr:nvSpPr>
      <xdr:spPr>
        <a:xfrm>
          <a:off x="50582552" y="51589878"/>
          <a:ext cx="1851515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12</a:t>
          </a:r>
        </a:p>
      </xdr:txBody>
    </xdr:sp>
    <xdr:clientData/>
  </xdr:twoCellAnchor>
  <xdr:twoCellAnchor>
    <xdr:from>
      <xdr:col>154</xdr:col>
      <xdr:colOff>214358</xdr:colOff>
      <xdr:row>284</xdr:row>
      <xdr:rowOff>183380</xdr:rowOff>
    </xdr:from>
    <xdr:to>
      <xdr:col>161</xdr:col>
      <xdr:colOff>143933</xdr:colOff>
      <xdr:row>288</xdr:row>
      <xdr:rowOff>90454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E71E2AA-D4D1-644F-AC5E-1147FD5E0C22}"/>
            </a:ext>
          </a:extLst>
        </xdr:cNvPr>
        <xdr:cNvSpPr txBox="1"/>
      </xdr:nvSpPr>
      <xdr:spPr>
        <a:xfrm>
          <a:off x="55078358" y="59162180"/>
          <a:ext cx="1529775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127</xdr:col>
      <xdr:colOff>92365</xdr:colOff>
      <xdr:row>238</xdr:row>
      <xdr:rowOff>49653</xdr:rowOff>
    </xdr:from>
    <xdr:to>
      <xdr:col>130</xdr:col>
      <xdr:colOff>168564</xdr:colOff>
      <xdr:row>271</xdr:row>
      <xdr:rowOff>177800</xdr:rowOff>
    </xdr:to>
    <xdr:sp macro="" textlink="">
      <xdr:nvSpPr>
        <xdr:cNvPr id="125" name="Rounded Rectangle 124">
          <a:extLst>
            <a:ext uri="{FF2B5EF4-FFF2-40B4-BE49-F238E27FC236}">
              <a16:creationId xmlns:a16="http://schemas.microsoft.com/office/drawing/2014/main" id="{960B75C1-3716-EC45-BD97-F8D3A9C18D84}"/>
            </a:ext>
          </a:extLst>
        </xdr:cNvPr>
        <xdr:cNvSpPr/>
      </xdr:nvSpPr>
      <xdr:spPr>
        <a:xfrm rot="5400000">
          <a:off x="25669591" y="57911427"/>
          <a:ext cx="7671947" cy="76199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71583</xdr:colOff>
      <xdr:row>238</xdr:row>
      <xdr:rowOff>202053</xdr:rowOff>
    </xdr:from>
    <xdr:to>
      <xdr:col>150</xdr:col>
      <xdr:colOff>147783</xdr:colOff>
      <xdr:row>296</xdr:row>
      <xdr:rowOff>57727</xdr:rowOff>
    </xdr:to>
    <xdr:sp macro="" textlink="">
      <xdr:nvSpPr>
        <xdr:cNvPr id="126" name="Rounded Rectangle 125">
          <a:extLst>
            <a:ext uri="{FF2B5EF4-FFF2-40B4-BE49-F238E27FC236}">
              <a16:creationId xmlns:a16="http://schemas.microsoft.com/office/drawing/2014/main" id="{DC45D008-22E6-2241-BE46-52194AFAC09B}"/>
            </a:ext>
          </a:extLst>
        </xdr:cNvPr>
        <xdr:cNvSpPr/>
      </xdr:nvSpPr>
      <xdr:spPr>
        <a:xfrm rot="5400000">
          <a:off x="47633664" y="55394517"/>
          <a:ext cx="13248402" cy="76892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163</xdr:col>
      <xdr:colOff>195120</xdr:colOff>
      <xdr:row>238</xdr:row>
      <xdr:rowOff>158753</xdr:rowOff>
    </xdr:from>
    <xdr:to>
      <xdr:col>167</xdr:col>
      <xdr:colOff>40411</xdr:colOff>
      <xdr:row>296</xdr:row>
      <xdr:rowOff>210127</xdr:rowOff>
    </xdr:to>
    <xdr:sp macro="" textlink="">
      <xdr:nvSpPr>
        <xdr:cNvPr id="127" name="Rounded Rectangle 126">
          <a:extLst>
            <a:ext uri="{FF2B5EF4-FFF2-40B4-BE49-F238E27FC236}">
              <a16:creationId xmlns:a16="http://schemas.microsoft.com/office/drawing/2014/main" id="{42AD1AF8-D891-784B-A9DF-13D8B58F563B}"/>
            </a:ext>
          </a:extLst>
        </xdr:cNvPr>
        <xdr:cNvSpPr/>
      </xdr:nvSpPr>
      <xdr:spPr>
        <a:xfrm rot="5400000">
          <a:off x="52955829" y="57173669"/>
          <a:ext cx="13862624" cy="797791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76783</xdr:colOff>
      <xdr:row>239</xdr:row>
      <xdr:rowOff>110266</xdr:rowOff>
    </xdr:from>
    <xdr:to>
      <xdr:col>168</xdr:col>
      <xdr:colOff>109483</xdr:colOff>
      <xdr:row>242</xdr:row>
      <xdr:rowOff>186465</xdr:rowOff>
    </xdr:to>
    <xdr:sp macro="" textlink="">
      <xdr:nvSpPr>
        <xdr:cNvPr id="129" name="Rounded Rectangle 128">
          <a:extLst>
            <a:ext uri="{FF2B5EF4-FFF2-40B4-BE49-F238E27FC236}">
              <a16:creationId xmlns:a16="http://schemas.microsoft.com/office/drawing/2014/main" id="{AD1FB3E7-8715-DE49-9EA4-0DEF545306C8}"/>
            </a:ext>
          </a:extLst>
        </xdr:cNvPr>
        <xdr:cNvSpPr/>
      </xdr:nvSpPr>
      <xdr:spPr>
        <a:xfrm>
          <a:off x="46278507" y="46749921"/>
          <a:ext cx="9448217" cy="733096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200320</xdr:colOff>
      <xdr:row>266</xdr:row>
      <xdr:rowOff>9863</xdr:rowOff>
    </xdr:from>
    <xdr:to>
      <xdr:col>192</xdr:col>
      <xdr:colOff>173182</xdr:colOff>
      <xdr:row>269</xdr:row>
      <xdr:rowOff>86064</xdr:rowOff>
    </xdr:to>
    <xdr:sp macro="" textlink="">
      <xdr:nvSpPr>
        <xdr:cNvPr id="130" name="Rounded Rectangle 129">
          <a:extLst>
            <a:ext uri="{FF2B5EF4-FFF2-40B4-BE49-F238E27FC236}">
              <a16:creationId xmlns:a16="http://schemas.microsoft.com/office/drawing/2014/main" id="{C46F7148-60F9-8147-8876-AC8DC5AE72EF}"/>
            </a:ext>
          </a:extLst>
        </xdr:cNvPr>
        <xdr:cNvSpPr/>
      </xdr:nvSpPr>
      <xdr:spPr>
        <a:xfrm>
          <a:off x="27571010" y="58254691"/>
          <a:ext cx="14643551" cy="73309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121811</xdr:colOff>
      <xdr:row>276</xdr:row>
      <xdr:rowOff>97565</xdr:rowOff>
    </xdr:from>
    <xdr:to>
      <xdr:col>151</xdr:col>
      <xdr:colOff>202045</xdr:colOff>
      <xdr:row>279</xdr:row>
      <xdr:rowOff>173765</xdr:rowOff>
    </xdr:to>
    <xdr:sp macro="" textlink="">
      <xdr:nvSpPr>
        <xdr:cNvPr id="131" name="Rounded Rectangle 130">
          <a:extLst>
            <a:ext uri="{FF2B5EF4-FFF2-40B4-BE49-F238E27FC236}">
              <a16:creationId xmlns:a16="http://schemas.microsoft.com/office/drawing/2014/main" id="{100E02B6-3D92-ED4E-9439-55D8E6038246}"/>
            </a:ext>
          </a:extLst>
        </xdr:cNvPr>
        <xdr:cNvSpPr/>
      </xdr:nvSpPr>
      <xdr:spPr>
        <a:xfrm>
          <a:off x="48843629" y="57824838"/>
          <a:ext cx="6083871" cy="76892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0</xdr:colOff>
      <xdr:row>292</xdr:row>
      <xdr:rowOff>97566</xdr:rowOff>
    </xdr:from>
    <xdr:to>
      <xdr:col>193</xdr:col>
      <xdr:colOff>123537</xdr:colOff>
      <xdr:row>295</xdr:row>
      <xdr:rowOff>173766</xdr:rowOff>
    </xdr:to>
    <xdr:sp macro="" textlink="">
      <xdr:nvSpPr>
        <xdr:cNvPr id="132" name="Rounded Rectangle 131">
          <a:extLst>
            <a:ext uri="{FF2B5EF4-FFF2-40B4-BE49-F238E27FC236}">
              <a16:creationId xmlns:a16="http://schemas.microsoft.com/office/drawing/2014/main" id="{11EE4371-1680-9D46-B629-A280676A1837}"/>
            </a:ext>
          </a:extLst>
        </xdr:cNvPr>
        <xdr:cNvSpPr/>
      </xdr:nvSpPr>
      <xdr:spPr>
        <a:xfrm>
          <a:off x="53035200" y="60905166"/>
          <a:ext cx="10867737" cy="76200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158756</xdr:colOff>
      <xdr:row>250</xdr:row>
      <xdr:rowOff>76784</xdr:rowOff>
    </xdr:from>
    <xdr:to>
      <xdr:col>192</xdr:col>
      <xdr:colOff>202046</xdr:colOff>
      <xdr:row>253</xdr:row>
      <xdr:rowOff>152983</xdr:rowOff>
    </xdr:to>
    <xdr:sp macro="" textlink="">
      <xdr:nvSpPr>
        <xdr:cNvPr id="133" name="Rounded Rectangle 132">
          <a:extLst>
            <a:ext uri="{FF2B5EF4-FFF2-40B4-BE49-F238E27FC236}">
              <a16:creationId xmlns:a16="http://schemas.microsoft.com/office/drawing/2014/main" id="{62D56638-34B3-CD41-94C4-8829EC52F95B}"/>
            </a:ext>
          </a:extLst>
        </xdr:cNvPr>
        <xdr:cNvSpPr/>
      </xdr:nvSpPr>
      <xdr:spPr>
        <a:xfrm>
          <a:off x="57424211" y="51800420"/>
          <a:ext cx="6970562" cy="76892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129</xdr:col>
      <xdr:colOff>0</xdr:colOff>
      <xdr:row>273</xdr:row>
      <xdr:rowOff>127000</xdr:rowOff>
    </xdr:from>
    <xdr:to>
      <xdr:col>138</xdr:col>
      <xdr:colOff>229577</xdr:colOff>
      <xdr:row>278</xdr:row>
      <xdr:rowOff>0</xdr:rowOff>
    </xdr:to>
    <xdr:cxnSp macro="">
      <xdr:nvCxnSpPr>
        <xdr:cNvPr id="135" name="Straight Connector 134">
          <a:extLst>
            <a:ext uri="{FF2B5EF4-FFF2-40B4-BE49-F238E27FC236}">
              <a16:creationId xmlns:a16="http://schemas.microsoft.com/office/drawing/2014/main" id="{73B92096-014D-38A1-9A6A-9ECECCDD672E}"/>
            </a:ext>
          </a:extLst>
        </xdr:cNvPr>
        <xdr:cNvCxnSpPr/>
      </xdr:nvCxnSpPr>
      <xdr:spPr>
        <a:xfrm>
          <a:off x="29615423" y="62801500"/>
          <a:ext cx="2295769" cy="102088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219808</xdr:colOff>
      <xdr:row>272</xdr:row>
      <xdr:rowOff>122115</xdr:rowOff>
    </xdr:from>
    <xdr:to>
      <xdr:col>138</xdr:col>
      <xdr:colOff>4885</xdr:colOff>
      <xdr:row>278</xdr:row>
      <xdr:rowOff>9769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1C12F614-BD31-4B44-936E-0C60B63D8169}"/>
            </a:ext>
          </a:extLst>
        </xdr:cNvPr>
        <xdr:cNvCxnSpPr/>
      </xdr:nvCxnSpPr>
      <xdr:spPr>
        <a:xfrm>
          <a:off x="29605654" y="62567038"/>
          <a:ext cx="2080846" cy="126511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215</xdr:col>
      <xdr:colOff>61952</xdr:colOff>
      <xdr:row>251</xdr:row>
      <xdr:rowOff>154878</xdr:rowOff>
    </xdr:from>
    <xdr:to>
      <xdr:col>224</xdr:col>
      <xdr:colOff>50800</xdr:colOff>
      <xdr:row>255</xdr:row>
      <xdr:rowOff>61952</xdr:rowOff>
    </xdr:to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8F25E414-7F49-2842-ACC8-2EFBC8528B24}"/>
            </a:ext>
          </a:extLst>
        </xdr:cNvPr>
        <xdr:cNvSpPr txBox="1"/>
      </xdr:nvSpPr>
      <xdr:spPr>
        <a:xfrm>
          <a:off x="49210952" y="57533478"/>
          <a:ext cx="2046248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12</a:t>
          </a:r>
        </a:p>
      </xdr:txBody>
    </xdr:sp>
    <xdr:clientData/>
  </xdr:twoCellAnchor>
  <xdr:twoCellAnchor>
    <xdr:from>
      <xdr:col>234</xdr:col>
      <xdr:colOff>214358</xdr:colOff>
      <xdr:row>285</xdr:row>
      <xdr:rowOff>117694</xdr:rowOff>
    </xdr:from>
    <xdr:to>
      <xdr:col>243</xdr:col>
      <xdr:colOff>109482</xdr:colOff>
      <xdr:row>289</xdr:row>
      <xdr:rowOff>24768</xdr:rowOff>
    </xdr:to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F363B574-1EA6-324E-BBA8-7422F72C1444}"/>
            </a:ext>
          </a:extLst>
        </xdr:cNvPr>
        <xdr:cNvSpPr txBox="1"/>
      </xdr:nvSpPr>
      <xdr:spPr>
        <a:xfrm>
          <a:off x="51452289" y="62522866"/>
          <a:ext cx="1865814" cy="782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254</xdr:col>
      <xdr:colOff>24770</xdr:colOff>
      <xdr:row>272</xdr:row>
      <xdr:rowOff>218564</xdr:rowOff>
    </xdr:from>
    <xdr:to>
      <xdr:col>262</xdr:col>
      <xdr:colOff>110068</xdr:colOff>
      <xdr:row>276</xdr:row>
      <xdr:rowOff>125638</xdr:rowOff>
    </xdr:to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2E4ED707-C598-9C40-8166-C04E4659411C}"/>
            </a:ext>
          </a:extLst>
        </xdr:cNvPr>
        <xdr:cNvSpPr txBox="1"/>
      </xdr:nvSpPr>
      <xdr:spPr>
        <a:xfrm>
          <a:off x="57631970" y="62397764"/>
          <a:ext cx="1914098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174</xdr:col>
      <xdr:colOff>24770</xdr:colOff>
      <xdr:row>272</xdr:row>
      <xdr:rowOff>218564</xdr:rowOff>
    </xdr:from>
    <xdr:to>
      <xdr:col>182</xdr:col>
      <xdr:colOff>110068</xdr:colOff>
      <xdr:row>276</xdr:row>
      <xdr:rowOff>125638</xdr:rowOff>
    </xdr:to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D97C4921-CD9F-524F-A0BF-A3BF742A4F64}"/>
            </a:ext>
          </a:extLst>
        </xdr:cNvPr>
        <xdr:cNvSpPr txBox="1"/>
      </xdr:nvSpPr>
      <xdr:spPr>
        <a:xfrm>
          <a:off x="39343970" y="62397764"/>
          <a:ext cx="1914098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190</xdr:col>
      <xdr:colOff>106220</xdr:colOff>
      <xdr:row>263</xdr:row>
      <xdr:rowOff>127000</xdr:rowOff>
    </xdr:from>
    <xdr:to>
      <xdr:col>193</xdr:col>
      <xdr:colOff>182420</xdr:colOff>
      <xdr:row>296</xdr:row>
      <xdr:rowOff>116614</xdr:rowOff>
    </xdr:to>
    <xdr:sp macro="" textlink="">
      <xdr:nvSpPr>
        <xdr:cNvPr id="166" name="Rounded Rectangle 165">
          <a:extLst>
            <a:ext uri="{FF2B5EF4-FFF2-40B4-BE49-F238E27FC236}">
              <a16:creationId xmlns:a16="http://schemas.microsoft.com/office/drawing/2014/main" id="{5012E017-A4CF-4443-8403-33C91F95A2D4}"/>
            </a:ext>
          </a:extLst>
        </xdr:cNvPr>
        <xdr:cNvSpPr/>
      </xdr:nvSpPr>
      <xdr:spPr>
        <a:xfrm rot="5400000">
          <a:off x="40154513" y="63634507"/>
          <a:ext cx="7533414" cy="76200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203827</xdr:colOff>
      <xdr:row>252</xdr:row>
      <xdr:rowOff>31358</xdr:rowOff>
    </xdr:from>
    <xdr:to>
      <xdr:col>191</xdr:col>
      <xdr:colOff>221435</xdr:colOff>
      <xdr:row>257</xdr:row>
      <xdr:rowOff>225019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E6C45A6F-2698-8846-8405-305495E47097}"/>
            </a:ext>
          </a:extLst>
        </xdr:cNvPr>
        <xdr:cNvCxnSpPr/>
      </xdr:nvCxnSpPr>
      <xdr:spPr>
        <a:xfrm>
          <a:off x="42066790" y="59298025"/>
          <a:ext cx="3075015" cy="136958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179</xdr:col>
      <xdr:colOff>219506</xdr:colOff>
      <xdr:row>251</xdr:row>
      <xdr:rowOff>219507</xdr:rowOff>
    </xdr:from>
    <xdr:to>
      <xdr:col>192</xdr:col>
      <xdr:colOff>0</xdr:colOff>
      <xdr:row>259</xdr:row>
      <xdr:rowOff>8467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9DB3921E-EA94-D24C-8EC6-575D01EC2A70}"/>
            </a:ext>
          </a:extLst>
        </xdr:cNvPr>
        <xdr:cNvCxnSpPr/>
      </xdr:nvCxnSpPr>
      <xdr:spPr>
        <a:xfrm>
          <a:off x="42317654" y="59250988"/>
          <a:ext cx="2837902" cy="167044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61952</xdr:colOff>
      <xdr:row>332</xdr:row>
      <xdr:rowOff>154878</xdr:rowOff>
    </xdr:from>
    <xdr:to>
      <xdr:col>35</xdr:col>
      <xdr:colOff>50800</xdr:colOff>
      <xdr:row>336</xdr:row>
      <xdr:rowOff>61952</xdr:rowOff>
    </xdr:to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34C85A34-52FA-2342-9916-531ACFA1F6D3}"/>
            </a:ext>
          </a:extLst>
        </xdr:cNvPr>
        <xdr:cNvSpPr txBox="1"/>
      </xdr:nvSpPr>
      <xdr:spPr>
        <a:xfrm>
          <a:off x="46870523" y="54801164"/>
          <a:ext cx="1948277" cy="7779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12</a:t>
          </a:r>
        </a:p>
      </xdr:txBody>
    </xdr:sp>
    <xdr:clientData/>
  </xdr:twoCellAnchor>
  <xdr:twoCellAnchor>
    <xdr:from>
      <xdr:col>45</xdr:col>
      <xdr:colOff>214358</xdr:colOff>
      <xdr:row>366</xdr:row>
      <xdr:rowOff>117694</xdr:rowOff>
    </xdr:from>
    <xdr:to>
      <xdr:col>54</xdr:col>
      <xdr:colOff>109482</xdr:colOff>
      <xdr:row>370</xdr:row>
      <xdr:rowOff>24768</xdr:rowOff>
    </xdr:to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D934FBDB-FB91-1749-B855-9F179B098316}"/>
            </a:ext>
          </a:extLst>
        </xdr:cNvPr>
        <xdr:cNvSpPr txBox="1"/>
      </xdr:nvSpPr>
      <xdr:spPr>
        <a:xfrm>
          <a:off x="51159501" y="62166265"/>
          <a:ext cx="1854552" cy="7779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65</xdr:col>
      <xdr:colOff>24770</xdr:colOff>
      <xdr:row>353</xdr:row>
      <xdr:rowOff>218564</xdr:rowOff>
    </xdr:from>
    <xdr:to>
      <xdr:col>77</xdr:col>
      <xdr:colOff>153939</xdr:colOff>
      <xdr:row>357</xdr:row>
      <xdr:rowOff>115455</xdr:rowOff>
    </xdr:to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389877DC-DB77-FE4E-9F11-9D0FC307B2B1}"/>
            </a:ext>
          </a:extLst>
        </xdr:cNvPr>
        <xdr:cNvSpPr txBox="1"/>
      </xdr:nvSpPr>
      <xdr:spPr>
        <a:xfrm>
          <a:off x="15033861" y="81729473"/>
          <a:ext cx="2900078" cy="82052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12.5 x 22</a:t>
          </a:r>
        </a:p>
      </xdr:txBody>
    </xdr:sp>
    <xdr:clientData/>
  </xdr:twoCellAnchor>
  <xdr:twoCellAnchor>
    <xdr:from>
      <xdr:col>84</xdr:col>
      <xdr:colOff>0</xdr:colOff>
      <xdr:row>376</xdr:row>
      <xdr:rowOff>10160</xdr:rowOff>
    </xdr:from>
    <xdr:to>
      <xdr:col>104</xdr:col>
      <xdr:colOff>0</xdr:colOff>
      <xdr:row>395</xdr:row>
      <xdr:rowOff>223520</xdr:rowOff>
    </xdr:to>
    <xdr:cxnSp macro="">
      <xdr:nvCxnSpPr>
        <xdr:cNvPr id="196" name="Straight Connector 195">
          <a:extLst>
            <a:ext uri="{FF2B5EF4-FFF2-40B4-BE49-F238E27FC236}">
              <a16:creationId xmlns:a16="http://schemas.microsoft.com/office/drawing/2014/main" id="{432052E6-9060-0447-A85B-9CFC68AF84E6}"/>
            </a:ext>
          </a:extLst>
        </xdr:cNvPr>
        <xdr:cNvCxnSpPr/>
      </xdr:nvCxnSpPr>
      <xdr:spPr>
        <a:xfrm>
          <a:off x="19629120" y="87873840"/>
          <a:ext cx="4673600" cy="46532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50800</xdr:colOff>
      <xdr:row>484</xdr:row>
      <xdr:rowOff>50800</xdr:rowOff>
    </xdr:from>
    <xdr:to>
      <xdr:col>33</xdr:col>
      <xdr:colOff>0</xdr:colOff>
      <xdr:row>493</xdr:row>
      <xdr:rowOff>177800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3E04AE60-E175-0841-97EC-597EAAB79C21}"/>
            </a:ext>
          </a:extLst>
        </xdr:cNvPr>
        <xdr:cNvCxnSpPr/>
      </xdr:nvCxnSpPr>
      <xdr:spPr>
        <a:xfrm flipH="1">
          <a:off x="4394200" y="101320600"/>
          <a:ext cx="3149600" cy="21844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203200</xdr:colOff>
      <xdr:row>438</xdr:row>
      <xdr:rowOff>50800</xdr:rowOff>
    </xdr:from>
    <xdr:to>
      <xdr:col>75</xdr:col>
      <xdr:colOff>223340</xdr:colOff>
      <xdr:row>463</xdr:row>
      <xdr:rowOff>11931</xdr:rowOff>
    </xdr:to>
    <xdr:cxnSp macro="">
      <xdr:nvCxnSpPr>
        <xdr:cNvPr id="245" name="Straight Connector 244">
          <a:extLst>
            <a:ext uri="{FF2B5EF4-FFF2-40B4-BE49-F238E27FC236}">
              <a16:creationId xmlns:a16="http://schemas.microsoft.com/office/drawing/2014/main" id="{F7094A09-EE75-154E-8C30-7B6944CA42C8}"/>
            </a:ext>
          </a:extLst>
        </xdr:cNvPr>
        <xdr:cNvCxnSpPr/>
      </xdr:nvCxnSpPr>
      <xdr:spPr>
        <a:xfrm flipH="1" flipV="1">
          <a:off x="7823200" y="85177086"/>
          <a:ext cx="8728711" cy="54039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50800</xdr:colOff>
      <xdr:row>478</xdr:row>
      <xdr:rowOff>76200</xdr:rowOff>
    </xdr:from>
    <xdr:to>
      <xdr:col>32</xdr:col>
      <xdr:colOff>177800</xdr:colOff>
      <xdr:row>484</xdr:row>
      <xdr:rowOff>0</xdr:rowOff>
    </xdr:to>
    <xdr:cxnSp macro="">
      <xdr:nvCxnSpPr>
        <xdr:cNvPr id="248" name="Straight Connector 247">
          <a:extLst>
            <a:ext uri="{FF2B5EF4-FFF2-40B4-BE49-F238E27FC236}">
              <a16:creationId xmlns:a16="http://schemas.microsoft.com/office/drawing/2014/main" id="{9324479D-2C71-DE4C-98BF-D446E0E7A81C}"/>
            </a:ext>
          </a:extLst>
        </xdr:cNvPr>
        <xdr:cNvCxnSpPr/>
      </xdr:nvCxnSpPr>
      <xdr:spPr>
        <a:xfrm flipH="1" flipV="1">
          <a:off x="5765800" y="99974400"/>
          <a:ext cx="1727200" cy="12954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25400</xdr:colOff>
      <xdr:row>471</xdr:row>
      <xdr:rowOff>203200</xdr:rowOff>
    </xdr:from>
    <xdr:to>
      <xdr:col>33</xdr:col>
      <xdr:colOff>50800</xdr:colOff>
      <xdr:row>477</xdr:row>
      <xdr:rowOff>203200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5ECE0ABC-DBBB-734D-8FE2-8E32931E52E5}"/>
            </a:ext>
          </a:extLst>
        </xdr:cNvPr>
        <xdr:cNvCxnSpPr/>
      </xdr:nvCxnSpPr>
      <xdr:spPr>
        <a:xfrm flipH="1">
          <a:off x="5740400" y="98501200"/>
          <a:ext cx="1854200" cy="13716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203200</xdr:colOff>
      <xdr:row>480</xdr:row>
      <xdr:rowOff>16933</xdr:rowOff>
    </xdr:from>
    <xdr:to>
      <xdr:col>62</xdr:col>
      <xdr:colOff>220134</xdr:colOff>
      <xdr:row>494</xdr:row>
      <xdr:rowOff>0</xdr:rowOff>
    </xdr:to>
    <xdr:cxnSp macro="">
      <xdr:nvCxnSpPr>
        <xdr:cNvPr id="255" name="Straight Connector 254">
          <a:extLst>
            <a:ext uri="{FF2B5EF4-FFF2-40B4-BE49-F238E27FC236}">
              <a16:creationId xmlns:a16="http://schemas.microsoft.com/office/drawing/2014/main" id="{26D70B95-74E0-724E-9316-D5348393356D}"/>
            </a:ext>
          </a:extLst>
        </xdr:cNvPr>
        <xdr:cNvCxnSpPr/>
      </xdr:nvCxnSpPr>
      <xdr:spPr>
        <a:xfrm flipH="1">
          <a:off x="10160000" y="104089200"/>
          <a:ext cx="4758267" cy="3302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33866</xdr:colOff>
      <xdr:row>471</xdr:row>
      <xdr:rowOff>33866</xdr:rowOff>
    </xdr:from>
    <xdr:to>
      <xdr:col>63</xdr:col>
      <xdr:colOff>4231</xdr:colOff>
      <xdr:row>479</xdr:row>
      <xdr:rowOff>228600</xdr:rowOff>
    </xdr:to>
    <xdr:cxnSp macro="">
      <xdr:nvCxnSpPr>
        <xdr:cNvPr id="257" name="Straight Connector 256">
          <a:extLst>
            <a:ext uri="{FF2B5EF4-FFF2-40B4-BE49-F238E27FC236}">
              <a16:creationId xmlns:a16="http://schemas.microsoft.com/office/drawing/2014/main" id="{0B482A85-E53D-2448-8514-6C4E66D67D62}"/>
            </a:ext>
          </a:extLst>
        </xdr:cNvPr>
        <xdr:cNvCxnSpPr/>
      </xdr:nvCxnSpPr>
      <xdr:spPr>
        <a:xfrm flipH="1" flipV="1">
          <a:off x="11650133" y="101972533"/>
          <a:ext cx="3289298" cy="20912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59266</xdr:colOff>
      <xdr:row>450</xdr:row>
      <xdr:rowOff>25400</xdr:rowOff>
    </xdr:from>
    <xdr:to>
      <xdr:col>75</xdr:col>
      <xdr:colOff>203200</xdr:colOff>
      <xdr:row>459</xdr:row>
      <xdr:rowOff>143933</xdr:rowOff>
    </xdr:to>
    <xdr:cxnSp macro="">
      <xdr:nvCxnSpPr>
        <xdr:cNvPr id="259" name="Straight Connector 258">
          <a:extLst>
            <a:ext uri="{FF2B5EF4-FFF2-40B4-BE49-F238E27FC236}">
              <a16:creationId xmlns:a16="http://schemas.microsoft.com/office/drawing/2014/main" id="{5D9FB69F-FECE-0643-B3FC-30EB39046680}"/>
            </a:ext>
          </a:extLst>
        </xdr:cNvPr>
        <xdr:cNvCxnSpPr/>
      </xdr:nvCxnSpPr>
      <xdr:spPr>
        <a:xfrm flipH="1" flipV="1">
          <a:off x="13775266" y="93522800"/>
          <a:ext cx="3572934" cy="217593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25400</xdr:colOff>
      <xdr:row>431</xdr:row>
      <xdr:rowOff>203200</xdr:rowOff>
    </xdr:from>
    <xdr:to>
      <xdr:col>55</xdr:col>
      <xdr:colOff>0</xdr:colOff>
      <xdr:row>444</xdr:row>
      <xdr:rowOff>0</xdr:rowOff>
    </xdr:to>
    <xdr:cxnSp macro="">
      <xdr:nvCxnSpPr>
        <xdr:cNvPr id="263" name="Straight Connector 262">
          <a:extLst>
            <a:ext uri="{FF2B5EF4-FFF2-40B4-BE49-F238E27FC236}">
              <a16:creationId xmlns:a16="http://schemas.microsoft.com/office/drawing/2014/main" id="{593E5D4A-3DCB-F747-8165-D616F417D2EE}"/>
            </a:ext>
          </a:extLst>
        </xdr:cNvPr>
        <xdr:cNvCxnSpPr/>
      </xdr:nvCxnSpPr>
      <xdr:spPr>
        <a:xfrm flipH="1" flipV="1">
          <a:off x="8255000" y="89357200"/>
          <a:ext cx="4318000" cy="27686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8466</xdr:colOff>
      <xdr:row>443</xdr:row>
      <xdr:rowOff>203200</xdr:rowOff>
    </xdr:from>
    <xdr:to>
      <xdr:col>76</xdr:col>
      <xdr:colOff>25400</xdr:colOff>
      <xdr:row>454</xdr:row>
      <xdr:rowOff>50800</xdr:rowOff>
    </xdr:to>
    <xdr:cxnSp macro="">
      <xdr:nvCxnSpPr>
        <xdr:cNvPr id="267" name="Straight Connector 266">
          <a:extLst>
            <a:ext uri="{FF2B5EF4-FFF2-40B4-BE49-F238E27FC236}">
              <a16:creationId xmlns:a16="http://schemas.microsoft.com/office/drawing/2014/main" id="{72AFACDF-488E-7340-AC55-9C9DF8B01F69}"/>
            </a:ext>
          </a:extLst>
        </xdr:cNvPr>
        <xdr:cNvCxnSpPr/>
      </xdr:nvCxnSpPr>
      <xdr:spPr>
        <a:xfrm flipH="1" flipV="1">
          <a:off x="13724466" y="92100400"/>
          <a:ext cx="3674534" cy="23622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204368</xdr:colOff>
      <xdr:row>347</xdr:row>
      <xdr:rowOff>44123</xdr:rowOff>
    </xdr:from>
    <xdr:to>
      <xdr:col>189</xdr:col>
      <xdr:colOff>11759</xdr:colOff>
      <xdr:row>349</xdr:row>
      <xdr:rowOff>60705</xdr:rowOff>
    </xdr:to>
    <xdr:sp macro="" textlink="">
      <xdr:nvSpPr>
        <xdr:cNvPr id="45" name="Rounded Rectangle 44">
          <a:extLst>
            <a:ext uri="{FF2B5EF4-FFF2-40B4-BE49-F238E27FC236}">
              <a16:creationId xmlns:a16="http://schemas.microsoft.com/office/drawing/2014/main" id="{56504E69-9C76-534E-A896-C65FEA5F9A5E}"/>
            </a:ext>
          </a:extLst>
        </xdr:cNvPr>
        <xdr:cNvSpPr/>
      </xdr:nvSpPr>
      <xdr:spPr>
        <a:xfrm>
          <a:off x="29399770" y="81090560"/>
          <a:ext cx="14755437" cy="483708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24959</xdr:colOff>
      <xdr:row>318</xdr:row>
      <xdr:rowOff>13956</xdr:rowOff>
    </xdr:from>
    <xdr:to>
      <xdr:col>188</xdr:col>
      <xdr:colOff>214502</xdr:colOff>
      <xdr:row>369</xdr:row>
      <xdr:rowOff>66577</xdr:rowOff>
    </xdr:to>
    <xdr:sp macro="" textlink="">
      <xdr:nvSpPr>
        <xdr:cNvPr id="46" name="Rounded Rectangle 45">
          <a:extLst>
            <a:ext uri="{FF2B5EF4-FFF2-40B4-BE49-F238E27FC236}">
              <a16:creationId xmlns:a16="http://schemas.microsoft.com/office/drawing/2014/main" id="{3E968FA1-EB5E-694B-9E23-82BE8596F0B9}"/>
            </a:ext>
          </a:extLst>
        </xdr:cNvPr>
        <xdr:cNvSpPr/>
      </xdr:nvSpPr>
      <xdr:spPr>
        <a:xfrm rot="5400000">
          <a:off x="36267486" y="76536265"/>
          <a:ext cx="11440753" cy="41283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126</xdr:col>
      <xdr:colOff>0</xdr:colOff>
      <xdr:row>366</xdr:row>
      <xdr:rowOff>216841</xdr:rowOff>
    </xdr:from>
    <xdr:to>
      <xdr:col>189</xdr:col>
      <xdr:colOff>61148</xdr:colOff>
      <xdr:row>368</xdr:row>
      <xdr:rowOff>220722</xdr:rowOff>
    </xdr:to>
    <xdr:sp macro="" textlink="">
      <xdr:nvSpPr>
        <xdr:cNvPr id="54" name="Rounded Rectangle 53">
          <a:extLst>
            <a:ext uri="{FF2B5EF4-FFF2-40B4-BE49-F238E27FC236}">
              <a16:creationId xmlns:a16="http://schemas.microsoft.com/office/drawing/2014/main" id="{F14F62BC-89DD-2145-A982-BDED2C194C99}"/>
            </a:ext>
          </a:extLst>
        </xdr:cNvPr>
        <xdr:cNvSpPr/>
      </xdr:nvSpPr>
      <xdr:spPr>
        <a:xfrm>
          <a:off x="29428966" y="85700979"/>
          <a:ext cx="14775630" cy="47100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48032</xdr:colOff>
      <xdr:row>327</xdr:row>
      <xdr:rowOff>67736</xdr:rowOff>
    </xdr:from>
    <xdr:to>
      <xdr:col>160</xdr:col>
      <xdr:colOff>222966</xdr:colOff>
      <xdr:row>369</xdr:row>
      <xdr:rowOff>111267</xdr:rowOff>
    </xdr:to>
    <xdr:sp macro="" textlink="">
      <xdr:nvSpPr>
        <xdr:cNvPr id="60" name="Rounded Rectangle 59">
          <a:extLst>
            <a:ext uri="{FF2B5EF4-FFF2-40B4-BE49-F238E27FC236}">
              <a16:creationId xmlns:a16="http://schemas.microsoft.com/office/drawing/2014/main" id="{44C5AB5A-FD44-B245-8CE6-65091CBE5F91}"/>
            </a:ext>
          </a:extLst>
        </xdr:cNvPr>
        <xdr:cNvSpPr/>
      </xdr:nvSpPr>
      <xdr:spPr>
        <a:xfrm rot="5400000">
          <a:off x="32947467" y="82382701"/>
          <a:ext cx="10000331" cy="412001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126</xdr:col>
      <xdr:colOff>30477</xdr:colOff>
      <xdr:row>318</xdr:row>
      <xdr:rowOff>13956</xdr:rowOff>
    </xdr:from>
    <xdr:to>
      <xdr:col>128</xdr:col>
      <xdr:colOff>1803</xdr:colOff>
      <xdr:row>369</xdr:row>
      <xdr:rowOff>71655</xdr:rowOff>
    </xdr:to>
    <xdr:sp macro="" textlink="">
      <xdr:nvSpPr>
        <xdr:cNvPr id="62" name="Rounded Rectangle 61">
          <a:extLst>
            <a:ext uri="{FF2B5EF4-FFF2-40B4-BE49-F238E27FC236}">
              <a16:creationId xmlns:a16="http://schemas.microsoft.com/office/drawing/2014/main" id="{C15DE227-0206-3944-AAE8-C9A9E7803292}"/>
            </a:ext>
          </a:extLst>
        </xdr:cNvPr>
        <xdr:cNvSpPr/>
      </xdr:nvSpPr>
      <xdr:spPr>
        <a:xfrm rot="5400000">
          <a:off x="22651906" y="76536264"/>
          <a:ext cx="11445831" cy="41791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218965</xdr:colOff>
      <xdr:row>327</xdr:row>
      <xdr:rowOff>49619</xdr:rowOff>
    </xdr:from>
    <xdr:to>
      <xdr:col>189</xdr:col>
      <xdr:colOff>76994</xdr:colOff>
      <xdr:row>329</xdr:row>
      <xdr:rowOff>15395</xdr:rowOff>
    </xdr:to>
    <xdr:sp macro="" textlink="">
      <xdr:nvSpPr>
        <xdr:cNvPr id="63" name="Rounded Rectangle 62">
          <a:extLst>
            <a:ext uri="{FF2B5EF4-FFF2-40B4-BE49-F238E27FC236}">
              <a16:creationId xmlns:a16="http://schemas.microsoft.com/office/drawing/2014/main" id="{31B91D8F-EB56-CF47-8DAA-9D7B6D83101B}"/>
            </a:ext>
          </a:extLst>
        </xdr:cNvPr>
        <xdr:cNvSpPr/>
      </xdr:nvSpPr>
      <xdr:spPr>
        <a:xfrm>
          <a:off x="29414367" y="76424791"/>
          <a:ext cx="14806075" cy="432903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139</xdr:col>
      <xdr:colOff>48311</xdr:colOff>
      <xdr:row>410</xdr:row>
      <xdr:rowOff>106573</xdr:rowOff>
    </xdr:from>
    <xdr:to>
      <xdr:col>184</xdr:col>
      <xdr:colOff>66784</xdr:colOff>
      <xdr:row>412</xdr:row>
      <xdr:rowOff>53337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68073E8-50D1-5D43-AC1D-A28BD6B17CA2}"/>
            </a:ext>
          </a:extLst>
        </xdr:cNvPr>
        <xdr:cNvSpPr/>
      </xdr:nvSpPr>
      <xdr:spPr>
        <a:xfrm>
          <a:off x="32144675" y="94779300"/>
          <a:ext cx="10409382" cy="408582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130</xdr:col>
      <xdr:colOff>60348</xdr:colOff>
      <xdr:row>436</xdr:row>
      <xdr:rowOff>47337</xdr:rowOff>
    </xdr:from>
    <xdr:to>
      <xdr:col>184</xdr:col>
      <xdr:colOff>84</xdr:colOff>
      <xdr:row>437</xdr:row>
      <xdr:rowOff>227318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28AD4E6E-2574-E04A-9AD4-C1362EF0B325}"/>
            </a:ext>
          </a:extLst>
        </xdr:cNvPr>
        <xdr:cNvSpPr/>
      </xdr:nvSpPr>
      <xdr:spPr>
        <a:xfrm>
          <a:off x="30078530" y="100723701"/>
          <a:ext cx="12408827" cy="41089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131</xdr:col>
      <xdr:colOff>2491</xdr:colOff>
      <xdr:row>385</xdr:row>
      <xdr:rowOff>49322</xdr:rowOff>
    </xdr:from>
    <xdr:to>
      <xdr:col>184</xdr:col>
      <xdr:colOff>173136</xdr:colOff>
      <xdr:row>387</xdr:row>
      <xdr:rowOff>3743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7521A1DF-DAC3-6B47-92B5-1DBB86EA5A98}"/>
            </a:ext>
          </a:extLst>
        </xdr:cNvPr>
        <xdr:cNvSpPr/>
      </xdr:nvSpPr>
      <xdr:spPr>
        <a:xfrm>
          <a:off x="30251582" y="88949322"/>
          <a:ext cx="12408827" cy="41623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56033</xdr:colOff>
      <xdr:row>383</xdr:row>
      <xdr:rowOff>183192</xdr:rowOff>
    </xdr:from>
    <xdr:to>
      <xdr:col>158</xdr:col>
      <xdr:colOff>2797</xdr:colOff>
      <xdr:row>438</xdr:row>
      <xdr:rowOff>203598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B98EA23D-B5BC-7243-B01D-825AA85E737B}"/>
            </a:ext>
          </a:extLst>
        </xdr:cNvPr>
        <xdr:cNvSpPr/>
      </xdr:nvSpPr>
      <xdr:spPr>
        <a:xfrm rot="5400000">
          <a:off x="29921939" y="94777286"/>
          <a:ext cx="12720406" cy="408582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225856</xdr:colOff>
      <xdr:row>384</xdr:row>
      <xdr:rowOff>16213</xdr:rowOff>
    </xdr:from>
    <xdr:to>
      <xdr:col>137</xdr:col>
      <xdr:colOff>174929</xdr:colOff>
      <xdr:row>439</xdr:row>
      <xdr:rowOff>45412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6FDA704D-D877-FC48-958F-1EFD745CF9E3}"/>
            </a:ext>
          </a:extLst>
        </xdr:cNvPr>
        <xdr:cNvSpPr/>
      </xdr:nvSpPr>
      <xdr:spPr>
        <a:xfrm rot="5400000">
          <a:off x="25239429" y="94844458"/>
          <a:ext cx="12729199" cy="410891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50476</xdr:colOff>
      <xdr:row>383</xdr:row>
      <xdr:rowOff>164742</xdr:rowOff>
    </xdr:from>
    <xdr:to>
      <xdr:col>183</xdr:col>
      <xdr:colOff>207017</xdr:colOff>
      <xdr:row>438</xdr:row>
      <xdr:rowOff>190962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668BB0DB-7EF1-5749-940E-CF4FA032CB08}"/>
            </a:ext>
          </a:extLst>
        </xdr:cNvPr>
        <xdr:cNvSpPr/>
      </xdr:nvSpPr>
      <xdr:spPr>
        <a:xfrm rot="5400000">
          <a:off x="35906546" y="94772309"/>
          <a:ext cx="12726220" cy="38745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105</xdr:col>
      <xdr:colOff>18316</xdr:colOff>
      <xdr:row>252</xdr:row>
      <xdr:rowOff>125815</xdr:rowOff>
    </xdr:from>
    <xdr:to>
      <xdr:col>198</xdr:col>
      <xdr:colOff>113515</xdr:colOff>
      <xdr:row>253</xdr:row>
      <xdr:rowOff>89065</xdr:rowOff>
    </xdr:to>
    <xdr:sp macro="" textlink="">
      <xdr:nvSpPr>
        <xdr:cNvPr id="10" name="Parallelogram 9">
          <a:extLst>
            <a:ext uri="{FF2B5EF4-FFF2-40B4-BE49-F238E27FC236}">
              <a16:creationId xmlns:a16="http://schemas.microsoft.com/office/drawing/2014/main" id="{3837F9D2-19B1-5CA2-4B69-31F12E96400E}"/>
            </a:ext>
          </a:extLst>
        </xdr:cNvPr>
        <xdr:cNvSpPr/>
      </xdr:nvSpPr>
      <xdr:spPr>
        <a:xfrm rot="1860000" flipH="1">
          <a:off x="12210316" y="32129815"/>
          <a:ext cx="11906199" cy="90250"/>
        </a:xfrm>
        <a:prstGeom prst="parallelogram">
          <a:avLst>
            <a:gd name="adj" fmla="val 62666"/>
          </a:avLst>
        </a:prstGeom>
        <a:noFill/>
        <a:ln w="63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0</xdr:colOff>
      <xdr:row>99</xdr:row>
      <xdr:rowOff>14597</xdr:rowOff>
    </xdr:from>
    <xdr:to>
      <xdr:col>207</xdr:col>
      <xdr:colOff>40967</xdr:colOff>
      <xdr:row>103</xdr:row>
      <xdr:rowOff>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B4FCC1A8-7212-1946-9503-63FFDA70FAB1}"/>
            </a:ext>
          </a:extLst>
        </xdr:cNvPr>
        <xdr:cNvSpPr/>
      </xdr:nvSpPr>
      <xdr:spPr>
        <a:xfrm>
          <a:off x="8809910" y="12474327"/>
          <a:ext cx="16150516" cy="488826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103631</xdr:colOff>
      <xdr:row>150</xdr:row>
      <xdr:rowOff>129351</xdr:rowOff>
    </xdr:from>
    <xdr:to>
      <xdr:col>207</xdr:col>
      <xdr:colOff>17597</xdr:colOff>
      <xdr:row>154</xdr:row>
      <xdr:rowOff>5387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34C7369C-8B3F-7648-B181-D61C4FB8E4D7}"/>
            </a:ext>
          </a:extLst>
        </xdr:cNvPr>
        <xdr:cNvSpPr/>
      </xdr:nvSpPr>
      <xdr:spPr>
        <a:xfrm>
          <a:off x="9028909" y="19532129"/>
          <a:ext cx="16600355" cy="393443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78</xdr:col>
      <xdr:colOff>101600</xdr:colOff>
      <xdr:row>50</xdr:row>
      <xdr:rowOff>23517</xdr:rowOff>
    </xdr:from>
    <xdr:to>
      <xdr:col>207</xdr:col>
      <xdr:colOff>15566</xdr:colOff>
      <xdr:row>52</xdr:row>
      <xdr:rowOff>120631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CF0313EA-C6DA-2649-AFB1-81B26EA6062E}"/>
            </a:ext>
          </a:extLst>
        </xdr:cNvPr>
        <xdr:cNvSpPr/>
      </xdr:nvSpPr>
      <xdr:spPr>
        <a:xfrm>
          <a:off x="9026878" y="6491110"/>
          <a:ext cx="16600355" cy="35581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3466</xdr:colOff>
      <xdr:row>49</xdr:row>
      <xdr:rowOff>111404</xdr:rowOff>
    </xdr:from>
    <xdr:to>
      <xdr:col>82</xdr:col>
      <xdr:colOff>6501</xdr:colOff>
      <xdr:row>154</xdr:row>
      <xdr:rowOff>6227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F263D452-5F44-354B-9536-DD98E9B3E72A}"/>
            </a:ext>
          </a:extLst>
        </xdr:cNvPr>
        <xdr:cNvSpPr/>
      </xdr:nvSpPr>
      <xdr:spPr>
        <a:xfrm rot="5400000">
          <a:off x="2385906" y="12311683"/>
          <a:ext cx="12761928" cy="37066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204</xdr:col>
      <xdr:colOff>10040</xdr:colOff>
      <xdr:row>49</xdr:row>
      <xdr:rowOff>106231</xdr:rowOff>
    </xdr:from>
    <xdr:to>
      <xdr:col>207</xdr:col>
      <xdr:colOff>13075</xdr:colOff>
      <xdr:row>154</xdr:row>
      <xdr:rowOff>1054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C8DD534F-10DE-E24F-9DBA-BAC6CD126BB7}"/>
            </a:ext>
          </a:extLst>
        </xdr:cNvPr>
        <xdr:cNvSpPr/>
      </xdr:nvSpPr>
      <xdr:spPr>
        <a:xfrm rot="5400000">
          <a:off x="20060873" y="13906670"/>
          <a:ext cx="14442096" cy="418672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44562</xdr:colOff>
      <xdr:row>482</xdr:row>
      <xdr:rowOff>44562</xdr:rowOff>
    </xdr:from>
    <xdr:to>
      <xdr:col>154</xdr:col>
      <xdr:colOff>92030</xdr:colOff>
      <xdr:row>515</xdr:row>
      <xdr:rowOff>110434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304E3163-CADB-0C8A-5536-C16F53EB7685}"/>
            </a:ext>
          </a:extLst>
        </xdr:cNvPr>
        <xdr:cNvCxnSpPr/>
      </xdr:nvCxnSpPr>
      <xdr:spPr>
        <a:xfrm>
          <a:off x="12789123" y="59110702"/>
          <a:ext cx="6174661" cy="41098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</xdr:colOff>
      <xdr:row>350</xdr:row>
      <xdr:rowOff>81063</xdr:rowOff>
    </xdr:from>
    <xdr:to>
      <xdr:col>96</xdr:col>
      <xdr:colOff>124770</xdr:colOff>
      <xdr:row>356</xdr:row>
      <xdr:rowOff>33763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5EBBB0AF-5FD1-1E49-B16D-46705C4FBBF2}"/>
            </a:ext>
          </a:extLst>
        </xdr:cNvPr>
        <xdr:cNvSpPr txBox="1"/>
      </xdr:nvSpPr>
      <xdr:spPr>
        <a:xfrm>
          <a:off x="10403192" y="47368297"/>
          <a:ext cx="2691791" cy="7633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13 x 10</a:t>
          </a:r>
        </a:p>
      </xdr:txBody>
    </xdr:sp>
    <xdr:clientData/>
  </xdr:twoCellAnchor>
  <xdr:twoCellAnchor>
    <xdr:from>
      <xdr:col>120</xdr:col>
      <xdr:colOff>48116</xdr:colOff>
      <xdr:row>335</xdr:row>
      <xdr:rowOff>45224</xdr:rowOff>
    </xdr:from>
    <xdr:to>
      <xdr:col>142</xdr:col>
      <xdr:colOff>99219</xdr:colOff>
      <xdr:row>341</xdr:row>
      <xdr:rowOff>6030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C3BEEE95-54FA-B54D-8803-21FAF047F89B}"/>
            </a:ext>
          </a:extLst>
        </xdr:cNvPr>
        <xdr:cNvSpPr txBox="1"/>
      </xdr:nvSpPr>
      <xdr:spPr>
        <a:xfrm>
          <a:off x="14335616" y="39931162"/>
          <a:ext cx="2670478" cy="6751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12.5 x 27</a:t>
          </a:r>
        </a:p>
      </xdr:txBody>
    </xdr:sp>
    <xdr:clientData/>
  </xdr:twoCellAnchor>
  <xdr:twoCellAnchor>
    <xdr:from>
      <xdr:col>66</xdr:col>
      <xdr:colOff>76200</xdr:colOff>
      <xdr:row>402</xdr:row>
      <xdr:rowOff>50800</xdr:rowOff>
    </xdr:from>
    <xdr:to>
      <xdr:col>86</xdr:col>
      <xdr:colOff>73970</xdr:colOff>
      <xdr:row>408</xdr:row>
      <xdr:rowOff>11606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52E2BB7-374D-684E-89D7-148D32E9C2B4}"/>
            </a:ext>
          </a:extLst>
        </xdr:cNvPr>
        <xdr:cNvSpPr txBox="1"/>
      </xdr:nvSpPr>
      <xdr:spPr>
        <a:xfrm>
          <a:off x="8458200" y="51104800"/>
          <a:ext cx="2537770" cy="722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6.5 + 7.5</a:t>
          </a:r>
        </a:p>
      </xdr:txBody>
    </xdr:sp>
    <xdr:clientData/>
  </xdr:twoCellAnchor>
  <xdr:twoCellAnchor>
    <xdr:from>
      <xdr:col>53</xdr:col>
      <xdr:colOff>25538</xdr:colOff>
      <xdr:row>332</xdr:row>
      <xdr:rowOff>22646</xdr:rowOff>
    </xdr:from>
    <xdr:to>
      <xdr:col>73</xdr:col>
      <xdr:colOff>23308</xdr:colOff>
      <xdr:row>337</xdr:row>
      <xdr:rowOff>107355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1765E16B-04A0-6E43-9239-7E818AB5DFE9}"/>
            </a:ext>
          </a:extLst>
        </xdr:cNvPr>
        <xdr:cNvSpPr txBox="1"/>
      </xdr:nvSpPr>
      <xdr:spPr>
        <a:xfrm>
          <a:off x="6592367" y="41158256"/>
          <a:ext cx="2475819" cy="7042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8 x 5</a:t>
          </a:r>
        </a:p>
      </xdr:txBody>
    </xdr:sp>
    <xdr:clientData/>
  </xdr:twoCellAnchor>
  <xdr:twoCellAnchor>
    <xdr:from>
      <xdr:col>83</xdr:col>
      <xdr:colOff>56136</xdr:colOff>
      <xdr:row>330</xdr:row>
      <xdr:rowOff>58878</xdr:rowOff>
    </xdr:from>
    <xdr:to>
      <xdr:col>95</xdr:col>
      <xdr:colOff>45356</xdr:colOff>
      <xdr:row>336</xdr:row>
      <xdr:rowOff>19683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F2347C36-10D2-EB4B-B7F2-61F286C18AE7}"/>
            </a:ext>
          </a:extLst>
        </xdr:cNvPr>
        <xdr:cNvSpPr txBox="1"/>
      </xdr:nvSpPr>
      <xdr:spPr>
        <a:xfrm>
          <a:off x="10408904" y="41220485"/>
          <a:ext cx="1486006" cy="7091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5 x 5</a:t>
          </a:r>
        </a:p>
      </xdr:txBody>
    </xdr:sp>
    <xdr:clientData/>
  </xdr:twoCellAnchor>
  <xdr:twoCellAnchor>
    <xdr:from>
      <xdr:col>65</xdr:col>
      <xdr:colOff>0</xdr:colOff>
      <xdr:row>670</xdr:row>
      <xdr:rowOff>0</xdr:rowOff>
    </xdr:from>
    <xdr:to>
      <xdr:col>84</xdr:col>
      <xdr:colOff>124770</xdr:colOff>
      <xdr:row>675</xdr:row>
      <xdr:rowOff>87806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26211F0-38E2-014C-B85E-30A136B99652}"/>
            </a:ext>
          </a:extLst>
        </xdr:cNvPr>
        <xdr:cNvSpPr txBox="1"/>
      </xdr:nvSpPr>
      <xdr:spPr>
        <a:xfrm>
          <a:off x="8255000" y="85090000"/>
          <a:ext cx="2537770" cy="722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11.5 + 6.5</a:t>
          </a:r>
        </a:p>
      </xdr:txBody>
    </xdr:sp>
    <xdr:clientData/>
  </xdr:twoCellAnchor>
  <xdr:twoCellAnchor>
    <xdr:from>
      <xdr:col>64</xdr:col>
      <xdr:colOff>0</xdr:colOff>
      <xdr:row>614</xdr:row>
      <xdr:rowOff>0</xdr:rowOff>
    </xdr:from>
    <xdr:to>
      <xdr:col>83</xdr:col>
      <xdr:colOff>124770</xdr:colOff>
      <xdr:row>619</xdr:row>
      <xdr:rowOff>87806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4B0866F0-EBBA-AB44-BB8A-D629A483D864}"/>
            </a:ext>
          </a:extLst>
        </xdr:cNvPr>
        <xdr:cNvSpPr txBox="1"/>
      </xdr:nvSpPr>
      <xdr:spPr>
        <a:xfrm>
          <a:off x="8128000" y="77978000"/>
          <a:ext cx="2537770" cy="722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13.5 x 10</a:t>
          </a:r>
        </a:p>
      </xdr:txBody>
    </xdr:sp>
    <xdr:clientData/>
  </xdr:twoCellAnchor>
  <xdr:twoCellAnchor>
    <xdr:from>
      <xdr:col>117</xdr:col>
      <xdr:colOff>76200</xdr:colOff>
      <xdr:row>592</xdr:row>
      <xdr:rowOff>25400</xdr:rowOff>
    </xdr:from>
    <xdr:to>
      <xdr:col>137</xdr:col>
      <xdr:colOff>73970</xdr:colOff>
      <xdr:row>597</xdr:row>
      <xdr:rowOff>113206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973C49C-FAFC-1F42-BAAA-CB2AD9D9E723}"/>
            </a:ext>
          </a:extLst>
        </xdr:cNvPr>
        <xdr:cNvSpPr txBox="1"/>
      </xdr:nvSpPr>
      <xdr:spPr>
        <a:xfrm>
          <a:off x="14935200" y="75209400"/>
          <a:ext cx="2537770" cy="722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13 x 27.5</a:t>
          </a:r>
        </a:p>
      </xdr:txBody>
    </xdr:sp>
    <xdr:clientData/>
  </xdr:twoCellAnchor>
  <xdr:twoCellAnchor>
    <xdr:from>
      <xdr:col>55</xdr:col>
      <xdr:colOff>50800</xdr:colOff>
      <xdr:row>589</xdr:row>
      <xdr:rowOff>0</xdr:rowOff>
    </xdr:from>
    <xdr:to>
      <xdr:col>69</xdr:col>
      <xdr:colOff>0</xdr:colOff>
      <xdr:row>594</xdr:row>
      <xdr:rowOff>87806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45DEC0F1-635A-1E4C-8859-5C58AF14B7D3}"/>
            </a:ext>
          </a:extLst>
        </xdr:cNvPr>
        <xdr:cNvSpPr txBox="1"/>
      </xdr:nvSpPr>
      <xdr:spPr>
        <a:xfrm>
          <a:off x="7035800" y="74803000"/>
          <a:ext cx="1727200" cy="722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8 x 5</a:t>
          </a:r>
        </a:p>
      </xdr:txBody>
    </xdr:sp>
    <xdr:clientData/>
  </xdr:twoCellAnchor>
  <xdr:twoCellAnchor>
    <xdr:from>
      <xdr:col>83</xdr:col>
      <xdr:colOff>49823</xdr:colOff>
      <xdr:row>588</xdr:row>
      <xdr:rowOff>61220</xdr:rowOff>
    </xdr:from>
    <xdr:to>
      <xdr:col>96</xdr:col>
      <xdr:colOff>24423</xdr:colOff>
      <xdr:row>594</xdr:row>
      <xdr:rowOff>13559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1D89C777-C1D9-004E-8FAC-A8B34561BC5B}"/>
            </a:ext>
          </a:extLst>
        </xdr:cNvPr>
        <xdr:cNvSpPr txBox="1"/>
      </xdr:nvSpPr>
      <xdr:spPr>
        <a:xfrm>
          <a:off x="10185400" y="71865066"/>
          <a:ext cx="1562100" cy="6850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5 x 5</a:t>
          </a:r>
        </a:p>
      </xdr:txBody>
    </xdr:sp>
    <xdr:clientData/>
  </xdr:twoCellAnchor>
  <xdr:twoCellAnchor>
    <xdr:from>
      <xdr:col>119</xdr:col>
      <xdr:colOff>76200</xdr:colOff>
      <xdr:row>592</xdr:row>
      <xdr:rowOff>25400</xdr:rowOff>
    </xdr:from>
    <xdr:to>
      <xdr:col>139</xdr:col>
      <xdr:colOff>73970</xdr:colOff>
      <xdr:row>597</xdr:row>
      <xdr:rowOff>113206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445005CA-E3DE-B948-8B08-B3235F937668}"/>
            </a:ext>
          </a:extLst>
        </xdr:cNvPr>
        <xdr:cNvSpPr txBox="1"/>
      </xdr:nvSpPr>
      <xdr:spPr>
        <a:xfrm>
          <a:off x="14363700" y="72317708"/>
          <a:ext cx="2440078" cy="6983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000"/>
            <a:t>13 x 27.5</a:t>
          </a:r>
        </a:p>
      </xdr:txBody>
    </xdr:sp>
    <xdr:clientData/>
  </xdr:twoCellAnchor>
  <xdr:twoCellAnchor>
    <xdr:from>
      <xdr:col>89</xdr:col>
      <xdr:colOff>1264</xdr:colOff>
      <xdr:row>655</xdr:row>
      <xdr:rowOff>14303</xdr:rowOff>
    </xdr:from>
    <xdr:to>
      <xdr:col>114</xdr:col>
      <xdr:colOff>128878</xdr:colOff>
      <xdr:row>674</xdr:row>
      <xdr:rowOff>36172</xdr:rowOff>
    </xdr:to>
    <xdr:sp macro="" textlink="">
      <xdr:nvSpPr>
        <xdr:cNvPr id="32" name="Arc 31">
          <a:extLst>
            <a:ext uri="{FF2B5EF4-FFF2-40B4-BE49-F238E27FC236}">
              <a16:creationId xmlns:a16="http://schemas.microsoft.com/office/drawing/2014/main" id="{7381C2C5-A041-4353-7729-A14FFC38D72F}"/>
            </a:ext>
          </a:extLst>
        </xdr:cNvPr>
        <xdr:cNvSpPr/>
      </xdr:nvSpPr>
      <xdr:spPr>
        <a:xfrm rot="16006176">
          <a:off x="12009857" y="84691105"/>
          <a:ext cx="2490985" cy="3376452"/>
        </a:xfrm>
        <a:prstGeom prst="arc">
          <a:avLst>
            <a:gd name="adj1" fmla="val 17134412"/>
            <a:gd name="adj2" fmla="val 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93</xdr:col>
      <xdr:colOff>72568</xdr:colOff>
      <xdr:row>635</xdr:row>
      <xdr:rowOff>116760</xdr:rowOff>
    </xdr:from>
    <xdr:to>
      <xdr:col>111</xdr:col>
      <xdr:colOff>112972</xdr:colOff>
      <xdr:row>655</xdr:row>
      <xdr:rowOff>6549</xdr:rowOff>
    </xdr:to>
    <xdr:sp macro="" textlink="">
      <xdr:nvSpPr>
        <xdr:cNvPr id="33" name="Arc 32">
          <a:extLst>
            <a:ext uri="{FF2B5EF4-FFF2-40B4-BE49-F238E27FC236}">
              <a16:creationId xmlns:a16="http://schemas.microsoft.com/office/drawing/2014/main" id="{722C7EA0-6A1C-884D-ABA5-455ADBA3ADFF}"/>
            </a:ext>
          </a:extLst>
        </xdr:cNvPr>
        <xdr:cNvSpPr/>
      </xdr:nvSpPr>
      <xdr:spPr>
        <a:xfrm rot="17107005">
          <a:off x="12299235" y="84044333"/>
          <a:ext cx="2531389" cy="2417844"/>
        </a:xfrm>
        <a:prstGeom prst="arc">
          <a:avLst>
            <a:gd name="adj1" fmla="val 10305759"/>
            <a:gd name="adj2" fmla="val 14246135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96411</xdr:colOff>
      <xdr:row>652</xdr:row>
      <xdr:rowOff>43140</xdr:rowOff>
    </xdr:from>
    <xdr:to>
      <xdr:col>106</xdr:col>
      <xdr:colOff>20906</xdr:colOff>
      <xdr:row>664</xdr:row>
      <xdr:rowOff>131462</xdr:rowOff>
    </xdr:to>
    <xdr:sp macro="" textlink="">
      <xdr:nvSpPr>
        <xdr:cNvPr id="35" name="Arc 34">
          <a:extLst>
            <a:ext uri="{FF2B5EF4-FFF2-40B4-BE49-F238E27FC236}">
              <a16:creationId xmlns:a16="http://schemas.microsoft.com/office/drawing/2014/main" id="{C1BBF625-E1DA-A34E-9013-68DF02398D20}"/>
            </a:ext>
          </a:extLst>
        </xdr:cNvPr>
        <xdr:cNvSpPr/>
      </xdr:nvSpPr>
      <xdr:spPr>
        <a:xfrm rot="16596724">
          <a:off x="11109218" y="84920413"/>
          <a:ext cx="1673282" cy="4151055"/>
        </a:xfrm>
        <a:prstGeom prst="arc">
          <a:avLst>
            <a:gd name="adj1" fmla="val 18999177"/>
            <a:gd name="adj2" fmla="val 3962939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26980</xdr:colOff>
      <xdr:row>424</xdr:row>
      <xdr:rowOff>19968</xdr:rowOff>
    </xdr:from>
    <xdr:to>
      <xdr:col>51</xdr:col>
      <xdr:colOff>26979</xdr:colOff>
      <xdr:row>440</xdr:row>
      <xdr:rowOff>38511</xdr:rowOff>
    </xdr:to>
    <xdr:sp macro="" textlink="">
      <xdr:nvSpPr>
        <xdr:cNvPr id="36" name="Arc 35">
          <a:extLst>
            <a:ext uri="{FF2B5EF4-FFF2-40B4-BE49-F238E27FC236}">
              <a16:creationId xmlns:a16="http://schemas.microsoft.com/office/drawing/2014/main" id="{D5670A6F-EAC1-37AD-6AD0-2FDD9B83FDE3}"/>
            </a:ext>
          </a:extLst>
        </xdr:cNvPr>
        <xdr:cNvSpPr/>
      </xdr:nvSpPr>
      <xdr:spPr>
        <a:xfrm rot="10800000" flipV="1">
          <a:off x="4625256" y="55724796"/>
          <a:ext cx="2102068" cy="2120612"/>
        </a:xfrm>
        <a:prstGeom prst="arc">
          <a:avLst/>
        </a:prstGeom>
        <a:ln>
          <a:headEnd type="none" w="lg" len="lg"/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60603</xdr:colOff>
      <xdr:row>370</xdr:row>
      <xdr:rowOff>98479</xdr:rowOff>
    </xdr:from>
    <xdr:to>
      <xdr:col>172</xdr:col>
      <xdr:colOff>18245</xdr:colOff>
      <xdr:row>382</xdr:row>
      <xdr:rowOff>81698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2DC3112A-05DC-BF42-99D9-828EF3DBA782}"/>
            </a:ext>
          </a:extLst>
        </xdr:cNvPr>
        <xdr:cNvGrpSpPr/>
      </xdr:nvGrpSpPr>
      <xdr:grpSpPr>
        <a:xfrm rot="3426135">
          <a:off x="20304314" y="47037768"/>
          <a:ext cx="1507219" cy="1608642"/>
          <a:chOff x="21448891" y="25973857"/>
          <a:chExt cx="1382889" cy="1449245"/>
        </a:xfrm>
      </xdr:grpSpPr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DCD703D6-0592-A699-06FB-67258FC11486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4E9CD54D-AC6D-637B-28EA-4793D759FDDE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95</xdr:col>
      <xdr:colOff>117641</xdr:colOff>
      <xdr:row>392</xdr:row>
      <xdr:rowOff>44561</xdr:rowOff>
    </xdr:from>
    <xdr:to>
      <xdr:col>127</xdr:col>
      <xdr:colOff>117642</xdr:colOff>
      <xdr:row>440</xdr:row>
      <xdr:rowOff>66842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9128866D-7C04-72C0-DB2C-1B36B9FC1C30}"/>
            </a:ext>
          </a:extLst>
        </xdr:cNvPr>
        <xdr:cNvCxnSpPr/>
      </xdr:nvCxnSpPr>
      <xdr:spPr>
        <a:xfrm>
          <a:off x="12182641" y="49828561"/>
          <a:ext cx="4064001" cy="611828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127</xdr:col>
      <xdr:colOff>60157</xdr:colOff>
      <xdr:row>357</xdr:row>
      <xdr:rowOff>98035</xdr:rowOff>
    </xdr:from>
    <xdr:to>
      <xdr:col>159</xdr:col>
      <xdr:colOff>60158</xdr:colOff>
      <xdr:row>405</xdr:row>
      <xdr:rowOff>120316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46195682-1D3B-3E49-9F09-B6F353B04806}"/>
            </a:ext>
          </a:extLst>
        </xdr:cNvPr>
        <xdr:cNvCxnSpPr/>
      </xdr:nvCxnSpPr>
      <xdr:spPr>
        <a:xfrm>
          <a:off x="16189157" y="45437035"/>
          <a:ext cx="4064001" cy="611828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25400</xdr:colOff>
      <xdr:row>400</xdr:row>
      <xdr:rowOff>0</xdr:rowOff>
    </xdr:from>
    <xdr:to>
      <xdr:col>77</xdr:col>
      <xdr:colOff>66842</xdr:colOff>
      <xdr:row>439</xdr:row>
      <xdr:rowOff>92242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48E38F4C-F275-7B4F-899B-121E522A2CEA}"/>
            </a:ext>
          </a:extLst>
        </xdr:cNvPr>
        <xdr:cNvCxnSpPr/>
      </xdr:nvCxnSpPr>
      <xdr:spPr>
        <a:xfrm>
          <a:off x="6502400" y="50800000"/>
          <a:ext cx="3343442" cy="504524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30BC0-96C4-4C43-B896-6D3FE0436282}">
  <sheetPr codeName="Sheet1"/>
  <dimension ref="D4:V70"/>
  <sheetViews>
    <sheetView topLeftCell="G1" zoomScale="150" zoomScaleNormal="130" workbookViewId="0">
      <selection activeCell="Q9" sqref="Q9"/>
    </sheetView>
  </sheetViews>
  <sheetFormatPr baseColWidth="10" defaultRowHeight="16" x14ac:dyDescent="0.2"/>
  <cols>
    <col min="4" max="4" width="28.5" customWidth="1"/>
    <col min="5" max="5" width="10.33203125" customWidth="1"/>
    <col min="6" max="6" width="11.6640625" customWidth="1"/>
    <col min="19" max="19" width="11.6640625" style="217" bestFit="1" customWidth="1"/>
  </cols>
  <sheetData>
    <row r="4" spans="4:19" ht="19" x14ac:dyDescent="0.25">
      <c r="D4" s="99" t="s">
        <v>0</v>
      </c>
      <c r="E4" s="99"/>
      <c r="F4" s="99"/>
      <c r="G4">
        <v>47</v>
      </c>
      <c r="H4">
        <f>G4/2</f>
        <v>23.5</v>
      </c>
      <c r="I4">
        <f>H4+0.75</f>
        <v>24.25</v>
      </c>
      <c r="L4" t="s">
        <v>153</v>
      </c>
      <c r="N4">
        <v>60</v>
      </c>
      <c r="O4" s="274" t="s">
        <v>156</v>
      </c>
    </row>
    <row r="5" spans="4:19" ht="19" x14ac:dyDescent="0.25">
      <c r="D5" s="99" t="s">
        <v>1</v>
      </c>
      <c r="E5" s="99"/>
      <c r="F5" s="99"/>
      <c r="G5">
        <v>59</v>
      </c>
      <c r="H5">
        <f>G5/2</f>
        <v>29.5</v>
      </c>
      <c r="I5">
        <f>H5+0.75</f>
        <v>30.25</v>
      </c>
      <c r="L5" t="s">
        <v>154</v>
      </c>
      <c r="N5">
        <f>150-N4</f>
        <v>90</v>
      </c>
      <c r="O5" t="s">
        <v>157</v>
      </c>
    </row>
    <row r="6" spans="4:19" ht="19" x14ac:dyDescent="0.25">
      <c r="D6" s="99" t="s">
        <v>2</v>
      </c>
      <c r="E6" s="99"/>
      <c r="F6" s="99"/>
    </row>
    <row r="7" spans="4:19" ht="19" x14ac:dyDescent="0.25">
      <c r="D7" s="99" t="s">
        <v>3</v>
      </c>
      <c r="E7" s="99"/>
      <c r="F7" s="99"/>
      <c r="I7">
        <v>34</v>
      </c>
      <c r="J7">
        <v>34</v>
      </c>
      <c r="L7" t="s">
        <v>158</v>
      </c>
      <c r="N7">
        <f>N5/O7-1</f>
        <v>10.25</v>
      </c>
      <c r="O7">
        <v>8</v>
      </c>
    </row>
    <row r="8" spans="4:19" ht="19" x14ac:dyDescent="0.25">
      <c r="D8" s="99" t="s">
        <v>4</v>
      </c>
      <c r="E8" s="99"/>
      <c r="F8" s="99"/>
      <c r="I8">
        <v>44</v>
      </c>
      <c r="J8">
        <v>32</v>
      </c>
      <c r="L8" t="s">
        <v>159</v>
      </c>
      <c r="N8">
        <f>N4/O8 -1</f>
        <v>6.0588235294117645</v>
      </c>
      <c r="O8">
        <v>8.5</v>
      </c>
      <c r="Q8" t="s">
        <v>166</v>
      </c>
    </row>
    <row r="9" spans="4:19" ht="19" x14ac:dyDescent="0.25">
      <c r="D9" s="99" t="s">
        <v>5</v>
      </c>
      <c r="E9" s="99"/>
      <c r="F9" s="99"/>
      <c r="I9">
        <f>I8*I7</f>
        <v>1496</v>
      </c>
      <c r="J9">
        <f>J8*J7</f>
        <v>1088</v>
      </c>
      <c r="Q9">
        <v>8</v>
      </c>
      <c r="R9">
        <v>4</v>
      </c>
      <c r="S9" s="217">
        <f>R9*Q9</f>
        <v>32</v>
      </c>
    </row>
    <row r="10" spans="4:19" x14ac:dyDescent="0.2">
      <c r="Q10">
        <v>2.5</v>
      </c>
      <c r="R10">
        <v>18</v>
      </c>
      <c r="S10" s="217">
        <f t="shared" ref="S10:S12" si="0">R10*Q10</f>
        <v>45</v>
      </c>
    </row>
    <row r="11" spans="4:19" x14ac:dyDescent="0.2">
      <c r="I11">
        <f>60*60/9</f>
        <v>400</v>
      </c>
      <c r="L11" t="s">
        <v>160</v>
      </c>
      <c r="N11">
        <v>20</v>
      </c>
      <c r="O11" t="s">
        <v>155</v>
      </c>
      <c r="Q11">
        <v>1</v>
      </c>
      <c r="R11">
        <v>12</v>
      </c>
      <c r="S11" s="217">
        <f t="shared" si="0"/>
        <v>12</v>
      </c>
    </row>
    <row r="12" spans="4:19" x14ac:dyDescent="0.2">
      <c r="E12">
        <f>SUM(E13:E57)</f>
        <v>890</v>
      </c>
      <c r="J12">
        <v>87</v>
      </c>
      <c r="L12" t="s">
        <v>161</v>
      </c>
      <c r="N12">
        <f>N11*12</f>
        <v>240</v>
      </c>
      <c r="Q12">
        <v>1.5</v>
      </c>
      <c r="R12">
        <v>12</v>
      </c>
      <c r="S12" s="217">
        <f t="shared" si="0"/>
        <v>18</v>
      </c>
    </row>
    <row r="13" spans="4:19" x14ac:dyDescent="0.2">
      <c r="D13" t="s">
        <v>16</v>
      </c>
      <c r="E13">
        <v>20</v>
      </c>
      <c r="J13">
        <v>158</v>
      </c>
      <c r="L13" t="s">
        <v>162</v>
      </c>
      <c r="N13">
        <v>20</v>
      </c>
      <c r="S13" s="217">
        <f>SUM(S9:S12)</f>
        <v>107</v>
      </c>
    </row>
    <row r="14" spans="4:19" x14ac:dyDescent="0.2">
      <c r="D14" t="s">
        <v>17</v>
      </c>
      <c r="J14">
        <v>130</v>
      </c>
      <c r="L14" t="s">
        <v>163</v>
      </c>
      <c r="N14">
        <f>N12/N13</f>
        <v>12</v>
      </c>
      <c r="O14" t="s">
        <v>164</v>
      </c>
    </row>
    <row r="15" spans="4:19" x14ac:dyDescent="0.2">
      <c r="D15" t="s">
        <v>18</v>
      </c>
      <c r="L15" t="s">
        <v>165</v>
      </c>
      <c r="N15">
        <f>N14+1</f>
        <v>13</v>
      </c>
    </row>
    <row r="16" spans="4:19" x14ac:dyDescent="0.2">
      <c r="D16" t="s">
        <v>19</v>
      </c>
      <c r="H16">
        <f>SUM(H17:H25)</f>
        <v>18</v>
      </c>
    </row>
    <row r="17" spans="4:15" x14ac:dyDescent="0.2">
      <c r="D17" t="s">
        <v>20</v>
      </c>
      <c r="E17">
        <v>10</v>
      </c>
      <c r="G17" t="s">
        <v>8</v>
      </c>
      <c r="H17">
        <v>6</v>
      </c>
      <c r="J17">
        <f>SQRT(J14^2 + J12^2)</f>
        <v>156.42570121306792</v>
      </c>
    </row>
    <row r="18" spans="4:15" x14ac:dyDescent="0.2">
      <c r="D18" t="s">
        <v>21</v>
      </c>
      <c r="E18">
        <v>10</v>
      </c>
      <c r="G18" t="s">
        <v>9</v>
      </c>
      <c r="H18">
        <v>2</v>
      </c>
    </row>
    <row r="19" spans="4:15" x14ac:dyDescent="0.2">
      <c r="D19" t="s">
        <v>22</v>
      </c>
      <c r="E19">
        <v>5</v>
      </c>
      <c r="G19" t="s">
        <v>10</v>
      </c>
      <c r="H19">
        <v>2</v>
      </c>
      <c r="I19">
        <v>146</v>
      </c>
      <c r="J19">
        <f>I19/12</f>
        <v>12.166666666666666</v>
      </c>
    </row>
    <row r="20" spans="4:15" x14ac:dyDescent="0.2">
      <c r="D20" t="s">
        <v>23</v>
      </c>
      <c r="E20">
        <v>5</v>
      </c>
      <c r="G20" t="s">
        <v>7</v>
      </c>
      <c r="H20">
        <v>1.5</v>
      </c>
    </row>
    <row r="21" spans="4:15" x14ac:dyDescent="0.2">
      <c r="D21" t="s">
        <v>24</v>
      </c>
      <c r="E21">
        <v>10</v>
      </c>
      <c r="G21" t="s">
        <v>11</v>
      </c>
      <c r="H21">
        <v>1.5</v>
      </c>
    </row>
    <row r="22" spans="4:15" x14ac:dyDescent="0.2">
      <c r="D22" t="s">
        <v>25</v>
      </c>
      <c r="E22">
        <v>5</v>
      </c>
      <c r="G22" t="s">
        <v>12</v>
      </c>
      <c r="H22">
        <v>1</v>
      </c>
    </row>
    <row r="23" spans="4:15" x14ac:dyDescent="0.2">
      <c r="D23" t="s">
        <v>26</v>
      </c>
      <c r="E23">
        <v>5</v>
      </c>
      <c r="G23" t="s">
        <v>13</v>
      </c>
      <c r="H23">
        <v>1</v>
      </c>
      <c r="I23">
        <v>51</v>
      </c>
      <c r="J23">
        <f>I23/2</f>
        <v>25.5</v>
      </c>
      <c r="M23">
        <v>49</v>
      </c>
      <c r="N23">
        <f>M23/2</f>
        <v>24.5</v>
      </c>
    </row>
    <row r="24" spans="4:15" x14ac:dyDescent="0.2">
      <c r="D24" t="s">
        <v>27</v>
      </c>
      <c r="E24">
        <v>5</v>
      </c>
      <c r="G24" t="s">
        <v>14</v>
      </c>
      <c r="H24">
        <v>1</v>
      </c>
      <c r="I24">
        <v>50</v>
      </c>
      <c r="J24">
        <f t="shared" ref="J24:J26" si="1">I24/2</f>
        <v>25</v>
      </c>
      <c r="K24">
        <f>J24*J23</f>
        <v>637.5</v>
      </c>
      <c r="M24">
        <v>56</v>
      </c>
      <c r="N24">
        <f t="shared" ref="N24" si="2">M24/2</f>
        <v>28</v>
      </c>
      <c r="O24">
        <f>N24*N23</f>
        <v>686</v>
      </c>
    </row>
    <row r="25" spans="4:15" x14ac:dyDescent="0.2">
      <c r="G25" t="s">
        <v>15</v>
      </c>
      <c r="H25">
        <v>2</v>
      </c>
      <c r="I25">
        <v>17</v>
      </c>
      <c r="J25">
        <f t="shared" si="1"/>
        <v>8.5</v>
      </c>
    </row>
    <row r="26" spans="4:15" x14ac:dyDescent="0.2">
      <c r="D26" t="s">
        <v>28</v>
      </c>
      <c r="E26">
        <v>20</v>
      </c>
      <c r="I26">
        <v>28</v>
      </c>
      <c r="J26">
        <f t="shared" si="1"/>
        <v>14</v>
      </c>
      <c r="K26">
        <f>J26*J25</f>
        <v>119</v>
      </c>
      <c r="M26">
        <v>54</v>
      </c>
      <c r="N26">
        <f>M26/2</f>
        <v>27</v>
      </c>
    </row>
    <row r="27" spans="4:15" x14ac:dyDescent="0.2">
      <c r="D27" t="s">
        <v>29</v>
      </c>
      <c r="E27">
        <v>5</v>
      </c>
      <c r="M27">
        <v>47</v>
      </c>
      <c r="N27">
        <f t="shared" ref="N27" si="3">M27/2</f>
        <v>23.5</v>
      </c>
      <c r="O27">
        <f>N27*N26</f>
        <v>634.5</v>
      </c>
    </row>
    <row r="28" spans="4:15" x14ac:dyDescent="0.2">
      <c r="D28" t="s">
        <v>32</v>
      </c>
      <c r="G28" t="s">
        <v>9</v>
      </c>
      <c r="H28">
        <v>2</v>
      </c>
      <c r="K28">
        <f>K26+K24</f>
        <v>756.5</v>
      </c>
    </row>
    <row r="29" spans="4:15" x14ac:dyDescent="0.2">
      <c r="D29" t="s">
        <v>30</v>
      </c>
      <c r="E29">
        <v>10</v>
      </c>
      <c r="G29" t="s">
        <v>46</v>
      </c>
      <c r="H29">
        <v>1</v>
      </c>
      <c r="M29">
        <v>55</v>
      </c>
      <c r="N29">
        <f>M29/2</f>
        <v>27.5</v>
      </c>
    </row>
    <row r="30" spans="4:15" x14ac:dyDescent="0.2">
      <c r="D30" t="s">
        <v>31</v>
      </c>
      <c r="E30">
        <v>5</v>
      </c>
      <c r="G30" t="s">
        <v>47</v>
      </c>
      <c r="H30">
        <v>2</v>
      </c>
      <c r="I30">
        <v>76</v>
      </c>
      <c r="J30">
        <f t="shared" ref="J30:J31" si="4">I30/2</f>
        <v>38</v>
      </c>
      <c r="M30">
        <v>65</v>
      </c>
      <c r="N30">
        <f t="shared" ref="N30" si="5">M30/2</f>
        <v>32.5</v>
      </c>
      <c r="O30">
        <f>N30*N29</f>
        <v>893.75</v>
      </c>
    </row>
    <row r="31" spans="4:15" x14ac:dyDescent="0.2">
      <c r="D31" t="s">
        <v>33</v>
      </c>
      <c r="E31">
        <v>10</v>
      </c>
      <c r="G31" t="s">
        <v>48</v>
      </c>
      <c r="H31">
        <v>1</v>
      </c>
      <c r="I31">
        <v>50</v>
      </c>
      <c r="J31">
        <f t="shared" si="4"/>
        <v>25</v>
      </c>
      <c r="K31">
        <f>J31*J30</f>
        <v>950</v>
      </c>
    </row>
    <row r="32" spans="4:15" x14ac:dyDescent="0.2">
      <c r="D32" t="s">
        <v>34</v>
      </c>
      <c r="E32">
        <v>50</v>
      </c>
      <c r="G32" t="s">
        <v>49</v>
      </c>
      <c r="H32">
        <v>4</v>
      </c>
    </row>
    <row r="33" spans="4:20" x14ac:dyDescent="0.2">
      <c r="D33" t="s">
        <v>36</v>
      </c>
      <c r="E33">
        <v>5</v>
      </c>
      <c r="I33">
        <v>72</v>
      </c>
      <c r="J33">
        <f t="shared" ref="J33:J34" si="6">I33/2</f>
        <v>36</v>
      </c>
      <c r="S33" s="217">
        <v>13</v>
      </c>
      <c r="T33">
        <f>S33*25/(3*12)</f>
        <v>9.0277777777777786</v>
      </c>
    </row>
    <row r="34" spans="4:20" x14ac:dyDescent="0.2">
      <c r="D34" t="s">
        <v>37</v>
      </c>
      <c r="E34">
        <v>5</v>
      </c>
      <c r="I34">
        <v>64</v>
      </c>
      <c r="J34">
        <f t="shared" si="6"/>
        <v>32</v>
      </c>
      <c r="K34">
        <f>J34*J33</f>
        <v>1152</v>
      </c>
    </row>
    <row r="35" spans="4:20" x14ac:dyDescent="0.2">
      <c r="D35" t="s">
        <v>38</v>
      </c>
    </row>
    <row r="36" spans="4:20" x14ac:dyDescent="0.2">
      <c r="D36" t="s">
        <v>41</v>
      </c>
      <c r="I36">
        <v>85</v>
      </c>
      <c r="J36">
        <f t="shared" ref="J36:J37" si="7">I36/2</f>
        <v>42.5</v>
      </c>
      <c r="O36">
        <v>9</v>
      </c>
    </row>
    <row r="37" spans="4:20" x14ac:dyDescent="0.2">
      <c r="I37">
        <v>50</v>
      </c>
      <c r="J37">
        <f t="shared" si="7"/>
        <v>25</v>
      </c>
      <c r="K37">
        <f>J37*J36</f>
        <v>1062.5</v>
      </c>
      <c r="O37">
        <v>24</v>
      </c>
    </row>
    <row r="38" spans="4:20" x14ac:dyDescent="0.2">
      <c r="I38">
        <v>64</v>
      </c>
      <c r="J38">
        <f t="shared" ref="J38:J39" si="8">I38/2</f>
        <v>32</v>
      </c>
      <c r="O38">
        <f>SQRT(O36*O36+O37*O37)</f>
        <v>25.632011235952593</v>
      </c>
      <c r="P38">
        <f>O38/2</f>
        <v>12.816005617976296</v>
      </c>
    </row>
    <row r="39" spans="4:20" x14ac:dyDescent="0.2">
      <c r="D39" t="s">
        <v>39</v>
      </c>
      <c r="E39">
        <v>25</v>
      </c>
      <c r="I39">
        <v>72</v>
      </c>
      <c r="J39">
        <f t="shared" si="8"/>
        <v>36</v>
      </c>
      <c r="K39">
        <f>J39*J38</f>
        <v>1152</v>
      </c>
    </row>
    <row r="40" spans="4:20" x14ac:dyDescent="0.2">
      <c r="D40" t="s">
        <v>40</v>
      </c>
      <c r="E40">
        <v>5</v>
      </c>
    </row>
    <row r="41" spans="4:20" x14ac:dyDescent="0.2">
      <c r="D41" t="s">
        <v>35</v>
      </c>
      <c r="E41">
        <v>20</v>
      </c>
    </row>
    <row r="42" spans="4:20" x14ac:dyDescent="0.2">
      <c r="D42" t="s">
        <v>44</v>
      </c>
      <c r="E42">
        <v>150</v>
      </c>
      <c r="I42">
        <v>68</v>
      </c>
      <c r="J42">
        <f t="shared" ref="J42:J43" si="9">I42/2</f>
        <v>34</v>
      </c>
    </row>
    <row r="43" spans="4:20" x14ac:dyDescent="0.2">
      <c r="D43" t="s">
        <v>42</v>
      </c>
      <c r="E43">
        <v>5</v>
      </c>
      <c r="I43">
        <v>50</v>
      </c>
      <c r="J43">
        <f t="shared" si="9"/>
        <v>25</v>
      </c>
      <c r="K43">
        <f>J43*J42</f>
        <v>850</v>
      </c>
      <c r="N43">
        <v>53</v>
      </c>
      <c r="O43">
        <v>62</v>
      </c>
      <c r="P43">
        <f>O43*N43/4</f>
        <v>821.5</v>
      </c>
    </row>
    <row r="44" spans="4:20" x14ac:dyDescent="0.2">
      <c r="D44" t="s">
        <v>43</v>
      </c>
      <c r="E44">
        <v>500</v>
      </c>
      <c r="N44">
        <v>27</v>
      </c>
      <c r="O44">
        <v>14</v>
      </c>
      <c r="P44">
        <f t="shared" ref="P44:P50" si="10">O44*N44/4</f>
        <v>94.5</v>
      </c>
    </row>
    <row r="45" spans="4:20" x14ac:dyDescent="0.2">
      <c r="I45">
        <v>76</v>
      </c>
      <c r="J45">
        <f t="shared" ref="J45:J46" si="11">I45/2</f>
        <v>38</v>
      </c>
      <c r="N45">
        <v>11</v>
      </c>
      <c r="O45">
        <v>13</v>
      </c>
      <c r="P45">
        <f t="shared" si="10"/>
        <v>35.75</v>
      </c>
      <c r="Q45">
        <f>P43-P44-P45</f>
        <v>691.25</v>
      </c>
    </row>
    <row r="46" spans="4:20" x14ac:dyDescent="0.2">
      <c r="I46">
        <v>62</v>
      </c>
      <c r="J46">
        <f t="shared" si="11"/>
        <v>31</v>
      </c>
      <c r="K46">
        <f>J46*J45</f>
        <v>1178</v>
      </c>
    </row>
    <row r="47" spans="4:20" x14ac:dyDescent="0.2">
      <c r="N47">
        <v>24</v>
      </c>
      <c r="O47">
        <v>56</v>
      </c>
      <c r="P47">
        <f t="shared" si="10"/>
        <v>336</v>
      </c>
    </row>
    <row r="48" spans="4:20" x14ac:dyDescent="0.2">
      <c r="I48">
        <v>72</v>
      </c>
      <c r="J48">
        <f t="shared" ref="J48:J57" si="12">I48/2</f>
        <v>36</v>
      </c>
      <c r="N48">
        <v>44</v>
      </c>
      <c r="O48">
        <v>20</v>
      </c>
      <c r="P48">
        <f t="shared" si="10"/>
        <v>220</v>
      </c>
      <c r="Q48">
        <f>P48+P47</f>
        <v>556</v>
      </c>
      <c r="R48">
        <f>Q48*1.2</f>
        <v>667.19999999999993</v>
      </c>
    </row>
    <row r="49" spans="4:21" x14ac:dyDescent="0.2">
      <c r="D49" t="s">
        <v>51</v>
      </c>
      <c r="E49" t="s">
        <v>50</v>
      </c>
      <c r="I49">
        <v>62</v>
      </c>
      <c r="J49">
        <f t="shared" si="12"/>
        <v>31</v>
      </c>
      <c r="K49">
        <f>J49*J48</f>
        <v>1116</v>
      </c>
      <c r="L49">
        <f>K49-K51-K53</f>
        <v>948</v>
      </c>
    </row>
    <row r="50" spans="4:21" x14ac:dyDescent="0.2">
      <c r="D50" t="s">
        <v>52</v>
      </c>
      <c r="E50" t="s">
        <v>53</v>
      </c>
      <c r="I50">
        <v>22</v>
      </c>
      <c r="J50">
        <f t="shared" si="12"/>
        <v>11</v>
      </c>
      <c r="N50">
        <v>52</v>
      </c>
      <c r="O50">
        <v>58</v>
      </c>
      <c r="P50">
        <f t="shared" si="10"/>
        <v>754</v>
      </c>
    </row>
    <row r="51" spans="4:21" x14ac:dyDescent="0.2">
      <c r="D51" t="s">
        <v>54</v>
      </c>
      <c r="E51" t="s">
        <v>55</v>
      </c>
      <c r="I51">
        <v>15</v>
      </c>
      <c r="J51">
        <f t="shared" si="12"/>
        <v>7.5</v>
      </c>
      <c r="K51">
        <f>J51*J50</f>
        <v>82.5</v>
      </c>
    </row>
    <row r="52" spans="4:21" x14ac:dyDescent="0.2">
      <c r="I52">
        <v>38</v>
      </c>
      <c r="J52">
        <f t="shared" si="12"/>
        <v>19</v>
      </c>
      <c r="N52">
        <v>55</v>
      </c>
      <c r="O52">
        <v>65</v>
      </c>
      <c r="P52">
        <f>O52*N52/4</f>
        <v>893.75</v>
      </c>
      <c r="Q52">
        <f>N52*12*2.54</f>
        <v>1676.4</v>
      </c>
      <c r="R52">
        <f>O52*12*2.54</f>
        <v>1981.2</v>
      </c>
      <c r="T52" s="217">
        <v>360</v>
      </c>
      <c r="U52" t="s">
        <v>66</v>
      </c>
    </row>
    <row r="53" spans="4:21" x14ac:dyDescent="0.2">
      <c r="I53">
        <v>9</v>
      </c>
      <c r="J53">
        <f t="shared" si="12"/>
        <v>4.5</v>
      </c>
      <c r="K53">
        <f>J53*J52</f>
        <v>85.5</v>
      </c>
      <c r="N53">
        <v>16</v>
      </c>
      <c r="O53">
        <v>20</v>
      </c>
      <c r="P53">
        <f t="shared" ref="P53:P54" si="13">O53*N53/4</f>
        <v>80</v>
      </c>
      <c r="T53" s="216">
        <v>9.2902999999999999E-2</v>
      </c>
      <c r="U53" t="s">
        <v>60</v>
      </c>
    </row>
    <row r="54" spans="4:21" x14ac:dyDescent="0.2">
      <c r="I54">
        <v>15</v>
      </c>
      <c r="J54">
        <f t="shared" si="12"/>
        <v>7.5</v>
      </c>
      <c r="N54">
        <v>11</v>
      </c>
      <c r="O54">
        <v>26</v>
      </c>
      <c r="P54">
        <f t="shared" si="13"/>
        <v>71.5</v>
      </c>
      <c r="Q54">
        <f>P52-P53-P54</f>
        <v>742.25</v>
      </c>
      <c r="S54" s="216">
        <f>Q54*T53</f>
        <v>68.957251749999998</v>
      </c>
      <c r="U54" t="s">
        <v>59</v>
      </c>
    </row>
    <row r="55" spans="4:21" x14ac:dyDescent="0.2">
      <c r="I55">
        <v>50</v>
      </c>
      <c r="J55">
        <f t="shared" si="12"/>
        <v>25</v>
      </c>
      <c r="K55">
        <f>J55*J54</f>
        <v>187.5</v>
      </c>
      <c r="L55">
        <f>K55+K57</f>
        <v>288.25</v>
      </c>
      <c r="S55" s="217">
        <f>S54*T52</f>
        <v>24824.610629999999</v>
      </c>
      <c r="U55" t="s">
        <v>61</v>
      </c>
    </row>
    <row r="56" spans="4:21" x14ac:dyDescent="0.2">
      <c r="I56">
        <v>31</v>
      </c>
      <c r="J56">
        <f t="shared" si="12"/>
        <v>15.5</v>
      </c>
      <c r="S56" s="217">
        <f>S55+T56</f>
        <v>25824.610629999999</v>
      </c>
      <c r="T56">
        <v>1000</v>
      </c>
      <c r="U56" t="s">
        <v>57</v>
      </c>
    </row>
    <row r="57" spans="4:21" x14ac:dyDescent="0.2">
      <c r="I57">
        <v>13</v>
      </c>
      <c r="J57">
        <f t="shared" si="12"/>
        <v>6.5</v>
      </c>
      <c r="K57">
        <f>J57*J56</f>
        <v>100.75</v>
      </c>
      <c r="S57" s="217">
        <f>S56*(1+T57)</f>
        <v>30989.532755999997</v>
      </c>
      <c r="T57" s="215">
        <v>0.2</v>
      </c>
      <c r="U57" t="s">
        <v>56</v>
      </c>
    </row>
    <row r="58" spans="4:21" x14ac:dyDescent="0.2">
      <c r="L58">
        <f>L55+L49</f>
        <v>1236.25</v>
      </c>
      <c r="T58">
        <v>2900</v>
      </c>
      <c r="U58" t="s">
        <v>58</v>
      </c>
    </row>
    <row r="59" spans="4:21" x14ac:dyDescent="0.2">
      <c r="I59">
        <v>72</v>
      </c>
      <c r="J59">
        <f t="shared" ref="J59:J60" si="14">I59/2</f>
        <v>36</v>
      </c>
    </row>
    <row r="60" spans="4:21" x14ac:dyDescent="0.2">
      <c r="I60">
        <v>81</v>
      </c>
      <c r="J60">
        <f t="shared" si="14"/>
        <v>40.5</v>
      </c>
      <c r="K60">
        <f>J60*J59</f>
        <v>1458</v>
      </c>
    </row>
    <row r="61" spans="4:21" x14ac:dyDescent="0.2">
      <c r="S61" s="217">
        <f>S57*9.8</f>
        <v>303697.42100879998</v>
      </c>
      <c r="U61" t="s">
        <v>62</v>
      </c>
    </row>
    <row r="62" spans="4:21" x14ac:dyDescent="0.2">
      <c r="I62">
        <v>80</v>
      </c>
      <c r="J62">
        <f t="shared" ref="J62:J63" si="15">I62/2</f>
        <v>40</v>
      </c>
      <c r="S62" s="217">
        <f>20*T62*1000*1000</f>
        <v>4000000</v>
      </c>
      <c r="T62" s="215">
        <v>0.2</v>
      </c>
      <c r="U62" t="s">
        <v>63</v>
      </c>
    </row>
    <row r="63" spans="4:21" x14ac:dyDescent="0.2">
      <c r="I63">
        <v>81</v>
      </c>
      <c r="J63">
        <f t="shared" si="15"/>
        <v>40.5</v>
      </c>
      <c r="K63">
        <f>J63*J62</f>
        <v>1620</v>
      </c>
      <c r="S63" s="218">
        <f>S61/S62</f>
        <v>7.5924355252199996E-2</v>
      </c>
      <c r="U63" t="s">
        <v>64</v>
      </c>
    </row>
    <row r="64" spans="4:21" x14ac:dyDescent="0.2">
      <c r="S64" s="218">
        <f>S63*10.7639</f>
        <v>0.81724216749915546</v>
      </c>
      <c r="U64" t="s">
        <v>65</v>
      </c>
    </row>
    <row r="65" spans="9:22" x14ac:dyDescent="0.2">
      <c r="I65">
        <v>93</v>
      </c>
      <c r="J65">
        <f t="shared" ref="J65:J66" si="16">I65/2</f>
        <v>46.5</v>
      </c>
    </row>
    <row r="66" spans="9:22" x14ac:dyDescent="0.2">
      <c r="I66">
        <v>79</v>
      </c>
      <c r="J66">
        <f t="shared" si="16"/>
        <v>39.5</v>
      </c>
      <c r="K66">
        <f>J66*J65</f>
        <v>1836.75</v>
      </c>
    </row>
    <row r="67" spans="9:22" x14ac:dyDescent="0.2">
      <c r="V67" s="217"/>
    </row>
    <row r="70" spans="9:22" x14ac:dyDescent="0.2">
      <c r="T70" s="21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DF974-ADF1-C84B-A0DE-B35F6161B048}">
  <sheetPr codeName="Sheet2"/>
  <dimension ref="F4:ED110"/>
  <sheetViews>
    <sheetView topLeftCell="G1" zoomScale="50" zoomScaleNormal="68" workbookViewId="0">
      <selection activeCell="CS86" sqref="CS86"/>
    </sheetView>
  </sheetViews>
  <sheetFormatPr baseColWidth="10" defaultColWidth="3" defaultRowHeight="18" customHeight="1" x14ac:dyDescent="0.2"/>
  <sheetData>
    <row r="4" spans="6:86" ht="18" customHeight="1" thickBot="1" x14ac:dyDescent="0.25"/>
    <row r="5" spans="6:86" ht="18" customHeight="1" thickBot="1" x14ac:dyDescent="0.25">
      <c r="F5" s="1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3"/>
    </row>
    <row r="6" spans="6:86" ht="18" customHeight="1" x14ac:dyDescent="0.2">
      <c r="F6" s="4"/>
      <c r="G6" s="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3"/>
      <c r="CH6" s="5"/>
    </row>
    <row r="7" spans="6:86" ht="18" customHeight="1" x14ac:dyDescent="0.2">
      <c r="F7" s="4"/>
      <c r="G7" s="4"/>
      <c r="BO7" s="9"/>
      <c r="BP7" s="10"/>
      <c r="BQ7" s="10"/>
      <c r="BR7" s="10"/>
      <c r="BS7" s="10"/>
      <c r="BT7" s="11"/>
      <c r="CG7" s="5"/>
      <c r="CH7" s="5"/>
    </row>
    <row r="8" spans="6:86" ht="18" customHeight="1" x14ac:dyDescent="0.2">
      <c r="F8" s="4"/>
      <c r="G8" s="4"/>
      <c r="BO8" s="12"/>
      <c r="BT8" s="13"/>
      <c r="CG8" s="5"/>
      <c r="CH8" s="5"/>
    </row>
    <row r="9" spans="6:86" ht="18" customHeight="1" x14ac:dyDescent="0.2">
      <c r="F9" s="4"/>
      <c r="G9" s="4"/>
      <c r="BO9" s="12"/>
      <c r="BT9" s="13"/>
      <c r="CG9" s="5"/>
      <c r="CH9" s="5"/>
    </row>
    <row r="10" spans="6:86" ht="18" customHeight="1" x14ac:dyDescent="0.2">
      <c r="F10" s="4"/>
      <c r="G10" s="4"/>
      <c r="BO10" s="12"/>
      <c r="BT10" s="13"/>
      <c r="CG10" s="5"/>
      <c r="CH10" s="5"/>
    </row>
    <row r="11" spans="6:86" ht="18" customHeight="1" x14ac:dyDescent="0.2">
      <c r="F11" s="4"/>
      <c r="G11" s="4"/>
      <c r="BO11" s="12"/>
      <c r="BT11" s="13"/>
      <c r="CG11" s="5"/>
      <c r="CH11" s="5"/>
    </row>
    <row r="12" spans="6:86" ht="18" customHeight="1" x14ac:dyDescent="0.2">
      <c r="F12" s="4"/>
      <c r="G12" s="4"/>
      <c r="BO12" s="12"/>
      <c r="BT12" s="13"/>
      <c r="CG12" s="5"/>
      <c r="CH12" s="5"/>
    </row>
    <row r="13" spans="6:86" ht="18" customHeight="1" x14ac:dyDescent="0.2">
      <c r="F13" s="4"/>
      <c r="G13" s="4"/>
      <c r="BO13" s="12"/>
      <c r="BT13" s="13"/>
      <c r="CG13" s="5"/>
      <c r="CH13" s="5"/>
    </row>
    <row r="14" spans="6:86" ht="18" customHeight="1" x14ac:dyDescent="0.2">
      <c r="F14" s="4"/>
      <c r="G14" s="4"/>
      <c r="BO14" s="12"/>
      <c r="BT14" s="13"/>
      <c r="CG14" s="5"/>
      <c r="CH14" s="5"/>
    </row>
    <row r="15" spans="6:86" ht="18" customHeight="1" x14ac:dyDescent="0.2">
      <c r="F15" s="4"/>
      <c r="G15" s="4"/>
      <c r="BO15" s="12"/>
      <c r="BT15" s="13"/>
      <c r="CG15" s="5"/>
      <c r="CH15" s="5"/>
    </row>
    <row r="16" spans="6:86" ht="18" customHeight="1" x14ac:dyDescent="0.2">
      <c r="F16" s="4"/>
      <c r="G16" s="4"/>
      <c r="N16" s="9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1"/>
      <c r="AX16" s="9"/>
      <c r="AY16" s="10"/>
      <c r="AZ16" s="10"/>
      <c r="BA16" s="10"/>
      <c r="BB16" s="10"/>
      <c r="BC16" s="11"/>
      <c r="BO16" s="12"/>
      <c r="BT16" s="13"/>
      <c r="CG16" s="5"/>
      <c r="CH16" s="5"/>
    </row>
    <row r="17" spans="6:86" ht="18" customHeight="1" x14ac:dyDescent="0.2">
      <c r="F17" s="4"/>
      <c r="G17" s="4"/>
      <c r="N17" s="12"/>
      <c r="O17" s="37"/>
      <c r="P17" s="38"/>
      <c r="Q17" s="38"/>
      <c r="R17" s="23"/>
      <c r="S17" s="40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79"/>
      <c r="AG17" s="8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1"/>
      <c r="AW17" s="13"/>
      <c r="AX17" s="12"/>
      <c r="BC17" s="13"/>
      <c r="BO17" s="12"/>
      <c r="BT17" s="13"/>
      <c r="CG17" s="5"/>
      <c r="CH17" s="5"/>
    </row>
    <row r="18" spans="6:86" ht="18" customHeight="1" thickBot="1" x14ac:dyDescent="0.25">
      <c r="F18" s="4"/>
      <c r="G18" s="4"/>
      <c r="N18" s="12"/>
      <c r="O18" s="36"/>
      <c r="P18" s="32"/>
      <c r="Q18" s="32"/>
      <c r="R18" s="24"/>
      <c r="S18" s="42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81"/>
      <c r="AG18" s="82"/>
      <c r="AH18" s="96"/>
      <c r="AI18" s="97"/>
      <c r="AU18" s="94"/>
      <c r="AV18" s="95"/>
      <c r="AW18" s="13"/>
      <c r="AX18" s="12"/>
      <c r="BC18" s="13"/>
      <c r="BO18" s="14"/>
      <c r="BP18" s="15"/>
      <c r="BQ18" s="15"/>
      <c r="BR18" s="15"/>
      <c r="BS18" s="15"/>
      <c r="BT18" s="16"/>
      <c r="CG18" s="5"/>
      <c r="CH18" s="5"/>
    </row>
    <row r="19" spans="6:86" ht="18" customHeight="1" x14ac:dyDescent="0.2">
      <c r="F19" s="4"/>
      <c r="G19" s="4"/>
      <c r="N19" s="12"/>
      <c r="O19" s="36"/>
      <c r="P19" s="32"/>
      <c r="Q19" s="32"/>
      <c r="R19" s="25"/>
      <c r="S19" s="42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81"/>
      <c r="AG19" s="82"/>
      <c r="AH19" s="96"/>
      <c r="AI19" s="97"/>
      <c r="AQ19" s="62"/>
      <c r="AR19" s="63"/>
      <c r="AU19" s="94"/>
      <c r="AV19" s="95"/>
      <c r="AW19" s="13"/>
      <c r="AX19" s="12"/>
      <c r="BC19" s="13"/>
      <c r="CG19" s="5"/>
      <c r="CH19" s="29"/>
    </row>
    <row r="20" spans="6:86" ht="18" customHeight="1" x14ac:dyDescent="0.2">
      <c r="F20" s="4"/>
      <c r="G20" s="4"/>
      <c r="N20" s="12"/>
      <c r="O20" s="36"/>
      <c r="P20" s="32"/>
      <c r="Q20" s="32"/>
      <c r="R20" s="33"/>
      <c r="S20" s="42"/>
      <c r="T20" s="43"/>
      <c r="U20" s="43"/>
      <c r="V20" s="74"/>
      <c r="W20" s="85"/>
      <c r="X20" s="85"/>
      <c r="Y20" s="85"/>
      <c r="Z20" s="85"/>
      <c r="AA20" s="75"/>
      <c r="AB20" s="43"/>
      <c r="AC20" s="43"/>
      <c r="AD20" s="43"/>
      <c r="AE20" s="43"/>
      <c r="AF20" s="81"/>
      <c r="AG20" s="82"/>
      <c r="AH20" s="96"/>
      <c r="AI20" s="97"/>
      <c r="AQ20" s="64"/>
      <c r="AR20" s="65"/>
      <c r="AU20" s="94"/>
      <c r="AV20" s="95"/>
      <c r="AW20" s="13"/>
      <c r="AX20" s="12"/>
      <c r="BC20" s="13"/>
      <c r="CG20" s="5"/>
      <c r="CH20" s="30"/>
    </row>
    <row r="21" spans="6:86" ht="18" customHeight="1" x14ac:dyDescent="0.2">
      <c r="F21" s="4"/>
      <c r="G21" s="4"/>
      <c r="N21" s="12"/>
      <c r="O21" s="36"/>
      <c r="P21" s="32"/>
      <c r="Q21" s="32"/>
      <c r="R21" s="33"/>
      <c r="S21" s="42"/>
      <c r="T21" s="43"/>
      <c r="U21" s="43"/>
      <c r="V21" s="86"/>
      <c r="W21" s="87"/>
      <c r="X21" s="87"/>
      <c r="Y21" s="87"/>
      <c r="Z21" s="87"/>
      <c r="AA21" s="88"/>
      <c r="AB21" s="43"/>
      <c r="AC21" s="43"/>
      <c r="AD21" s="43"/>
      <c r="AE21" s="43"/>
      <c r="AF21" s="81"/>
      <c r="AG21" s="82"/>
      <c r="AH21" s="96"/>
      <c r="AI21" s="97"/>
      <c r="AU21" s="94"/>
      <c r="AV21" s="95"/>
      <c r="AW21" s="13"/>
      <c r="AX21" s="12"/>
      <c r="BC21" s="13"/>
      <c r="CG21" s="5"/>
      <c r="CH21" s="30"/>
    </row>
    <row r="22" spans="6:86" ht="18" customHeight="1" x14ac:dyDescent="0.25">
      <c r="F22" s="4"/>
      <c r="G22" s="4"/>
      <c r="N22" s="12"/>
      <c r="O22" s="36"/>
      <c r="P22" s="32"/>
      <c r="Q22" s="32"/>
      <c r="R22" s="33"/>
      <c r="S22" s="42"/>
      <c r="T22" s="43"/>
      <c r="U22" s="43"/>
      <c r="V22" s="86"/>
      <c r="W22" s="87"/>
      <c r="X22" s="87"/>
      <c r="Y22" s="87"/>
      <c r="Z22" s="87"/>
      <c r="AA22" s="88"/>
      <c r="AB22" s="43"/>
      <c r="AC22" s="43"/>
      <c r="AD22" s="43"/>
      <c r="AE22" s="43"/>
      <c r="AF22" s="83"/>
      <c r="AG22" s="84"/>
      <c r="AH22" s="96"/>
      <c r="AI22" s="97"/>
      <c r="AU22" s="68"/>
      <c r="AV22" s="69"/>
      <c r="AW22" s="13"/>
      <c r="AX22" s="12"/>
      <c r="BC22" s="13"/>
      <c r="BG22" s="99" t="s">
        <v>0</v>
      </c>
      <c r="CG22" s="5"/>
      <c r="CH22" s="30"/>
    </row>
    <row r="23" spans="6:86" ht="18" customHeight="1" x14ac:dyDescent="0.25">
      <c r="F23" s="4"/>
      <c r="G23" s="4"/>
      <c r="N23" s="12"/>
      <c r="O23" s="36"/>
      <c r="P23" s="32"/>
      <c r="Q23" s="32"/>
      <c r="R23" s="33"/>
      <c r="S23" s="42"/>
      <c r="T23" s="43"/>
      <c r="U23" s="43"/>
      <c r="V23" s="86"/>
      <c r="W23" s="87"/>
      <c r="X23" s="87"/>
      <c r="Y23" s="87"/>
      <c r="Z23" s="87"/>
      <c r="AA23" s="88"/>
      <c r="AB23" s="43"/>
      <c r="AC23" s="43"/>
      <c r="AD23" s="43"/>
      <c r="AE23" s="43"/>
      <c r="AF23" s="43"/>
      <c r="AG23" s="45"/>
      <c r="AV23" s="13"/>
      <c r="AW23" s="13"/>
      <c r="AX23" s="12"/>
      <c r="BC23" s="13"/>
      <c r="BG23" s="99" t="s">
        <v>1</v>
      </c>
      <c r="CG23" s="5"/>
      <c r="CH23" s="30"/>
    </row>
    <row r="24" spans="6:86" ht="18" customHeight="1" x14ac:dyDescent="0.25">
      <c r="F24" s="4"/>
      <c r="G24" s="4"/>
      <c r="N24" s="12"/>
      <c r="O24" s="36"/>
      <c r="P24" s="32"/>
      <c r="Q24" s="32"/>
      <c r="R24" s="33"/>
      <c r="S24" s="42"/>
      <c r="T24" s="43"/>
      <c r="U24" s="43"/>
      <c r="V24" s="86"/>
      <c r="W24" s="87"/>
      <c r="X24" s="87"/>
      <c r="Y24" s="87"/>
      <c r="Z24" s="87"/>
      <c r="AA24" s="88"/>
      <c r="AB24" s="43"/>
      <c r="AC24" s="43"/>
      <c r="AD24" s="43"/>
      <c r="AE24" s="43"/>
      <c r="AF24" s="43"/>
      <c r="AG24" s="45"/>
      <c r="AH24" s="12"/>
      <c r="AV24" s="13"/>
      <c r="AW24" s="71"/>
      <c r="AX24" s="12"/>
      <c r="BC24" s="13"/>
      <c r="BG24" s="99" t="s">
        <v>2</v>
      </c>
      <c r="CG24" s="5"/>
      <c r="CH24" s="30"/>
    </row>
    <row r="25" spans="6:86" ht="18" customHeight="1" x14ac:dyDescent="0.25">
      <c r="F25" s="4"/>
      <c r="G25" s="4"/>
      <c r="N25" s="12"/>
      <c r="O25" s="36"/>
      <c r="P25" s="32"/>
      <c r="Q25" s="32"/>
      <c r="R25" s="33"/>
      <c r="S25" s="42"/>
      <c r="T25" s="43"/>
      <c r="U25" s="43"/>
      <c r="V25" s="76"/>
      <c r="W25" s="89"/>
      <c r="X25" s="89"/>
      <c r="Y25" s="89"/>
      <c r="Z25" s="89"/>
      <c r="AA25" s="77"/>
      <c r="AB25" s="43"/>
      <c r="AC25" s="43"/>
      <c r="AD25" s="47"/>
      <c r="AE25" s="26"/>
      <c r="AF25" s="27"/>
      <c r="AG25" s="28"/>
      <c r="AH25" s="12"/>
      <c r="AV25" s="13"/>
      <c r="AW25" s="90"/>
      <c r="AX25" s="12"/>
      <c r="BC25" s="13"/>
      <c r="BG25" s="99" t="s">
        <v>3</v>
      </c>
      <c r="CG25" s="5"/>
      <c r="CH25" s="30"/>
    </row>
    <row r="26" spans="6:86" ht="18" customHeight="1" x14ac:dyDescent="0.25">
      <c r="F26" s="4"/>
      <c r="G26" s="4"/>
      <c r="N26" s="12"/>
      <c r="O26" s="79"/>
      <c r="P26" s="91"/>
      <c r="Q26" s="91"/>
      <c r="R26" s="91"/>
      <c r="S26" s="91"/>
      <c r="T26" s="80"/>
      <c r="U26" s="41"/>
      <c r="V26" s="41"/>
      <c r="W26" s="41"/>
      <c r="X26" s="41"/>
      <c r="Y26" s="23"/>
      <c r="Z26" s="10"/>
      <c r="AA26" s="10"/>
      <c r="AB26" s="10"/>
      <c r="AC26" s="10"/>
      <c r="AD26" s="10"/>
      <c r="AE26" s="10"/>
      <c r="AF26" s="10"/>
      <c r="AV26" s="13"/>
      <c r="AW26" s="73"/>
      <c r="AX26" s="12"/>
      <c r="BC26" s="13"/>
      <c r="BG26" s="99" t="s">
        <v>4</v>
      </c>
      <c r="CG26" s="5"/>
      <c r="CH26" s="30"/>
    </row>
    <row r="27" spans="6:86" ht="18" customHeight="1" x14ac:dyDescent="0.25">
      <c r="F27" s="4"/>
      <c r="G27" s="4"/>
      <c r="N27" s="12"/>
      <c r="O27" s="83"/>
      <c r="P27" s="93"/>
      <c r="Q27" s="93"/>
      <c r="R27" s="93"/>
      <c r="S27" s="93"/>
      <c r="T27" s="84"/>
      <c r="U27" s="43"/>
      <c r="V27" s="43"/>
      <c r="W27" s="43"/>
      <c r="X27" s="43"/>
      <c r="Y27" s="24"/>
      <c r="AV27" s="13"/>
      <c r="AX27" s="12"/>
      <c r="BC27" s="13"/>
      <c r="BG27" s="99" t="s">
        <v>5</v>
      </c>
      <c r="CG27" s="5"/>
      <c r="CH27" s="30"/>
    </row>
    <row r="28" spans="6:86" ht="18" customHeight="1" thickBot="1" x14ac:dyDescent="0.25">
      <c r="F28" s="4"/>
      <c r="G28" s="4"/>
      <c r="N28" s="12"/>
      <c r="O28" s="42"/>
      <c r="P28" s="43"/>
      <c r="Q28" s="43"/>
      <c r="R28" s="43"/>
      <c r="S28" s="43"/>
      <c r="T28" s="43"/>
      <c r="U28" s="43"/>
      <c r="V28" s="43"/>
      <c r="W28" s="43"/>
      <c r="X28" s="43"/>
      <c r="Y28" s="25"/>
      <c r="AR28" s="20"/>
      <c r="AS28" s="21"/>
      <c r="AT28" s="21"/>
      <c r="AU28" s="21"/>
      <c r="AV28" s="22"/>
      <c r="AX28" s="12"/>
      <c r="BC28" s="13"/>
      <c r="CG28" s="5"/>
      <c r="CH28" s="31"/>
    </row>
    <row r="29" spans="6:86" ht="18" customHeight="1" x14ac:dyDescent="0.2">
      <c r="F29" s="4"/>
      <c r="G29" s="4"/>
      <c r="N29" s="12"/>
      <c r="O29" s="42"/>
      <c r="P29" s="43"/>
      <c r="Q29" s="43"/>
      <c r="R29" s="43"/>
      <c r="S29" s="43"/>
      <c r="T29" s="43"/>
      <c r="U29" s="43"/>
      <c r="V29" s="43"/>
      <c r="W29" s="43"/>
      <c r="X29" s="43"/>
      <c r="Y29" s="45"/>
      <c r="AE29" s="15"/>
      <c r="AU29" s="56"/>
      <c r="AV29" s="58"/>
      <c r="AW29" s="13"/>
      <c r="AX29" s="12"/>
      <c r="BC29" s="13"/>
      <c r="CG29" s="5"/>
      <c r="CH29" s="5"/>
    </row>
    <row r="30" spans="6:86" ht="18" customHeight="1" x14ac:dyDescent="0.2">
      <c r="F30" s="4"/>
      <c r="G30" s="4"/>
      <c r="N30" s="12"/>
      <c r="O30" s="42"/>
      <c r="P30" s="43"/>
      <c r="Q30" s="43"/>
      <c r="R30" s="43"/>
      <c r="S30" s="43"/>
      <c r="T30" s="43"/>
      <c r="U30" s="43"/>
      <c r="V30" s="43"/>
      <c r="W30" s="43"/>
      <c r="X30" s="43"/>
      <c r="Y30" s="45"/>
      <c r="Z30" s="37"/>
      <c r="AA30" s="26"/>
      <c r="AB30" s="27"/>
      <c r="AC30" s="28"/>
      <c r="AD30" s="52"/>
      <c r="AE30" s="53"/>
      <c r="AF30" s="52"/>
      <c r="AG30" s="53"/>
      <c r="AH30" s="26"/>
      <c r="AI30" s="27"/>
      <c r="AJ30" s="28"/>
      <c r="AK30" s="74"/>
      <c r="AL30" s="75"/>
      <c r="AM30" s="49"/>
      <c r="AN30" s="49"/>
      <c r="AO30" s="49"/>
      <c r="AP30" s="49"/>
      <c r="AQ30" s="49"/>
      <c r="AR30" s="49"/>
      <c r="AS30" s="49"/>
      <c r="AT30" s="49"/>
      <c r="AU30" s="96"/>
      <c r="AV30" s="98"/>
      <c r="AW30" s="13"/>
      <c r="AX30" s="12"/>
      <c r="BC30" s="13"/>
      <c r="CG30" s="5"/>
      <c r="CH30" s="5"/>
    </row>
    <row r="31" spans="6:86" ht="18" customHeight="1" x14ac:dyDescent="0.2">
      <c r="F31" s="4"/>
      <c r="G31" s="4"/>
      <c r="N31" s="12"/>
      <c r="O31" s="42"/>
      <c r="P31" s="43"/>
      <c r="Q31" s="43"/>
      <c r="R31" s="74"/>
      <c r="S31" s="85"/>
      <c r="T31" s="85"/>
      <c r="U31" s="75"/>
      <c r="V31" s="43"/>
      <c r="W31" s="43"/>
      <c r="X31" s="43"/>
      <c r="Y31" s="45"/>
      <c r="Z31" s="36"/>
      <c r="AA31" s="32"/>
      <c r="AB31" s="32"/>
      <c r="AC31" s="33"/>
      <c r="AD31" s="51"/>
      <c r="AE31" s="50"/>
      <c r="AF31" s="51"/>
      <c r="AG31" s="51"/>
      <c r="AH31" s="51"/>
      <c r="AI31" s="51"/>
      <c r="AJ31" s="50"/>
      <c r="AK31" s="76"/>
      <c r="AL31" s="77"/>
      <c r="AM31" s="49"/>
      <c r="AN31" s="49"/>
      <c r="AO31" s="49"/>
      <c r="AP31" s="49"/>
      <c r="AQ31" s="49"/>
      <c r="AR31" s="49"/>
      <c r="AS31" s="49"/>
      <c r="AT31" s="49"/>
      <c r="AU31" s="59"/>
      <c r="AV31" s="61"/>
      <c r="AW31" s="13"/>
      <c r="AX31" s="12"/>
      <c r="BC31" s="13"/>
      <c r="CG31" s="5"/>
      <c r="CH31" s="5"/>
    </row>
    <row r="32" spans="6:86" ht="18" customHeight="1" x14ac:dyDescent="0.2">
      <c r="F32" s="4"/>
      <c r="G32" s="4"/>
      <c r="N32" s="12"/>
      <c r="O32" s="42"/>
      <c r="P32" s="43"/>
      <c r="Q32" s="43"/>
      <c r="R32" s="86"/>
      <c r="S32" s="87"/>
      <c r="T32" s="87"/>
      <c r="U32" s="88"/>
      <c r="V32" s="43"/>
      <c r="W32" s="43"/>
      <c r="X32" s="43"/>
      <c r="Y32" s="45"/>
      <c r="Z32" s="36"/>
      <c r="AA32" s="32"/>
      <c r="AB32" s="32"/>
      <c r="AC32" s="33"/>
      <c r="AD32" s="51"/>
      <c r="AE32" s="50"/>
      <c r="AF32" s="51"/>
      <c r="AG32" s="51"/>
      <c r="AH32" s="51"/>
      <c r="AI32" s="51"/>
      <c r="AJ32" s="50"/>
      <c r="AK32" s="96"/>
      <c r="AL32" s="98"/>
      <c r="AM32" s="49"/>
      <c r="AN32" s="49"/>
      <c r="AO32" s="49"/>
      <c r="AP32" s="49"/>
      <c r="AQ32" s="49"/>
      <c r="AR32" s="49"/>
      <c r="AS32" s="49"/>
      <c r="AT32" s="49"/>
      <c r="AU32" s="37"/>
      <c r="AV32" s="39"/>
      <c r="AW32" s="13"/>
      <c r="AX32" s="12"/>
      <c r="BC32" s="13"/>
      <c r="CG32" s="5"/>
      <c r="CH32" s="5"/>
    </row>
    <row r="33" spans="6:86" ht="18" customHeight="1" x14ac:dyDescent="0.2">
      <c r="F33" s="4"/>
      <c r="G33" s="4"/>
      <c r="N33" s="12"/>
      <c r="O33" s="42"/>
      <c r="P33" s="43"/>
      <c r="Q33" s="43"/>
      <c r="R33" s="86"/>
      <c r="S33" s="87"/>
      <c r="T33" s="87"/>
      <c r="U33" s="88"/>
      <c r="V33" s="43"/>
      <c r="W33" s="43"/>
      <c r="X33" s="43"/>
      <c r="Y33" s="45"/>
      <c r="Z33" s="36"/>
      <c r="AA33" s="32"/>
      <c r="AB33" s="32"/>
      <c r="AC33" s="33"/>
      <c r="AD33" s="51"/>
      <c r="AE33" s="50"/>
      <c r="AF33" s="51"/>
      <c r="AG33" s="51"/>
      <c r="AH33" s="51"/>
      <c r="AI33" s="51"/>
      <c r="AJ33" s="50"/>
      <c r="AK33" s="96"/>
      <c r="AL33" s="98"/>
      <c r="AM33" s="49"/>
      <c r="AN33" s="49"/>
      <c r="AO33" s="49"/>
      <c r="AP33" s="49"/>
      <c r="AQ33" s="49"/>
      <c r="AR33" s="49"/>
      <c r="AS33" s="49"/>
      <c r="AT33" s="49"/>
      <c r="AU33" s="78"/>
      <c r="AV33" s="35"/>
      <c r="AW33" s="13"/>
      <c r="AX33" s="12"/>
      <c r="BC33" s="13"/>
      <c r="CG33" s="5"/>
      <c r="CH33" s="5"/>
    </row>
    <row r="34" spans="6:86" ht="18" customHeight="1" x14ac:dyDescent="0.2">
      <c r="F34" s="4"/>
      <c r="G34" s="4"/>
      <c r="N34" s="12"/>
      <c r="O34" s="42"/>
      <c r="P34" s="43"/>
      <c r="Q34" s="43"/>
      <c r="R34" s="86"/>
      <c r="S34" s="87"/>
      <c r="T34" s="87"/>
      <c r="U34" s="88"/>
      <c r="V34" s="43"/>
      <c r="W34" s="43"/>
      <c r="X34" s="43"/>
      <c r="Y34" s="45"/>
      <c r="Z34" s="36"/>
      <c r="AA34" s="32"/>
      <c r="AB34" s="32"/>
      <c r="AC34" s="33"/>
      <c r="AD34" s="51"/>
      <c r="AE34" s="50"/>
      <c r="AF34" s="51"/>
      <c r="AG34" s="51"/>
      <c r="AH34" s="51"/>
      <c r="AI34" s="51"/>
      <c r="AJ34" s="50"/>
      <c r="AK34" s="96"/>
      <c r="AL34" s="98"/>
      <c r="AM34" s="49"/>
      <c r="AN34" s="49"/>
      <c r="AO34" s="49"/>
      <c r="AP34" s="49"/>
      <c r="AQ34" s="49"/>
      <c r="AR34" s="49"/>
      <c r="AS34" s="49"/>
      <c r="AT34" s="49"/>
      <c r="AU34" s="96"/>
      <c r="AV34" s="98"/>
      <c r="AW34" s="13"/>
      <c r="AX34" s="12"/>
      <c r="BC34" s="13"/>
      <c r="CG34" s="5"/>
      <c r="CH34" s="5"/>
    </row>
    <row r="35" spans="6:86" ht="18" customHeight="1" x14ac:dyDescent="0.2">
      <c r="F35" s="4"/>
      <c r="G35" s="4"/>
      <c r="N35" s="12"/>
      <c r="O35" s="42"/>
      <c r="P35" s="43"/>
      <c r="Q35" s="43"/>
      <c r="R35" s="86"/>
      <c r="S35" s="87"/>
      <c r="T35" s="87"/>
      <c r="U35" s="88"/>
      <c r="V35" s="43"/>
      <c r="W35" s="43"/>
      <c r="X35" s="43"/>
      <c r="Y35" s="45"/>
      <c r="Z35" s="36"/>
      <c r="AA35" s="32"/>
      <c r="AB35" s="32"/>
      <c r="AC35" s="33"/>
      <c r="AD35" s="51"/>
      <c r="AE35" s="51"/>
      <c r="AF35" s="52"/>
      <c r="AG35" s="52"/>
      <c r="AH35" s="52"/>
      <c r="AI35" s="52"/>
      <c r="AJ35" s="53"/>
      <c r="AK35" s="96"/>
      <c r="AL35" s="97"/>
      <c r="AM35" s="57"/>
      <c r="AN35" s="57"/>
      <c r="AO35" s="57"/>
      <c r="AP35" s="57"/>
      <c r="AQ35" s="57"/>
      <c r="AR35" s="57"/>
      <c r="AS35" s="57"/>
      <c r="AT35" s="57"/>
      <c r="AU35" s="97"/>
      <c r="AV35" s="98"/>
      <c r="AW35" s="13"/>
      <c r="AX35" s="12"/>
      <c r="BC35" s="13"/>
      <c r="CG35" s="5"/>
      <c r="CH35" s="5"/>
    </row>
    <row r="36" spans="6:86" ht="18" customHeight="1" x14ac:dyDescent="0.2">
      <c r="F36" s="4"/>
      <c r="G36" s="4"/>
      <c r="N36" s="12"/>
      <c r="O36" s="46"/>
      <c r="P36" s="47"/>
      <c r="Q36" s="47"/>
      <c r="R36" s="76"/>
      <c r="S36" s="89"/>
      <c r="T36" s="89"/>
      <c r="U36" s="77"/>
      <c r="V36" s="47"/>
      <c r="W36" s="47"/>
      <c r="X36" s="47"/>
      <c r="Y36" s="48"/>
      <c r="Z36" s="78"/>
      <c r="AA36" s="34"/>
      <c r="AB36" s="34"/>
      <c r="AC36" s="35"/>
      <c r="AD36" s="54"/>
      <c r="AE36" s="54"/>
      <c r="AF36" s="54"/>
      <c r="AG36" s="54"/>
      <c r="AH36" s="54"/>
      <c r="AI36" s="54"/>
      <c r="AJ36" s="55"/>
      <c r="AK36" s="59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1"/>
      <c r="AW36" s="13"/>
      <c r="AX36" s="12"/>
      <c r="BC36" s="13"/>
      <c r="CG36" s="5"/>
      <c r="CH36" s="5"/>
    </row>
    <row r="37" spans="6:86" ht="18" customHeight="1" x14ac:dyDescent="0.2">
      <c r="F37" s="4"/>
      <c r="G37" s="4"/>
      <c r="N37" s="14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6"/>
      <c r="AX37" s="14"/>
      <c r="AY37" s="15"/>
      <c r="AZ37" s="15"/>
      <c r="BA37" s="15"/>
      <c r="BB37" s="15"/>
      <c r="BC37" s="16"/>
      <c r="CG37" s="5"/>
      <c r="CH37" s="5"/>
    </row>
    <row r="38" spans="6:86" ht="18" customHeight="1" x14ac:dyDescent="0.2">
      <c r="F38" s="4"/>
      <c r="G38" s="4"/>
      <c r="CG38" s="5"/>
      <c r="CH38" s="5"/>
    </row>
    <row r="39" spans="6:86" ht="18" customHeight="1" x14ac:dyDescent="0.2">
      <c r="F39" s="4"/>
      <c r="G39" s="4"/>
      <c r="CG39" s="5"/>
      <c r="CH39" s="5"/>
    </row>
    <row r="40" spans="6:86" ht="18" customHeight="1" x14ac:dyDescent="0.2">
      <c r="F40" s="4"/>
      <c r="G40" s="4"/>
      <c r="CG40" s="5"/>
      <c r="CH40" s="5"/>
    </row>
    <row r="41" spans="6:86" ht="18" customHeight="1" x14ac:dyDescent="0.2">
      <c r="F41" s="4"/>
      <c r="G41" s="4"/>
      <c r="CG41" s="5"/>
      <c r="CH41" s="5"/>
    </row>
    <row r="42" spans="6:86" ht="18" customHeight="1" x14ac:dyDescent="0.2">
      <c r="F42" s="4"/>
      <c r="G42" s="4"/>
      <c r="CG42" s="5"/>
      <c r="CH42" s="5"/>
    </row>
    <row r="43" spans="6:86" ht="18" customHeight="1" thickBot="1" x14ac:dyDescent="0.25">
      <c r="F43" s="4"/>
      <c r="G43" s="6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8"/>
      <c r="CH43" s="5"/>
    </row>
    <row r="44" spans="6:86" ht="18" customHeight="1" thickBot="1" x14ac:dyDescent="0.25">
      <c r="F44" s="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8"/>
    </row>
    <row r="50" spans="6:134" ht="18" customHeight="1" thickBot="1" x14ac:dyDescent="0.25"/>
    <row r="51" spans="6:134" ht="18" customHeight="1" x14ac:dyDescent="0.2">
      <c r="F51" s="1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3"/>
      <c r="BW51" s="1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3"/>
    </row>
    <row r="52" spans="6:134" ht="18" customHeight="1" x14ac:dyDescent="0.2">
      <c r="F52" s="4"/>
      <c r="BM52" s="5"/>
      <c r="BW52" s="4"/>
      <c r="ED52" s="5"/>
    </row>
    <row r="53" spans="6:134" ht="18" customHeight="1" x14ac:dyDescent="0.2">
      <c r="F53" s="4"/>
      <c r="BM53" s="5"/>
      <c r="BW53" s="4"/>
      <c r="ED53" s="5"/>
    </row>
    <row r="54" spans="6:134" ht="18" customHeight="1" x14ac:dyDescent="0.2">
      <c r="F54" s="4"/>
      <c r="BM54" s="5"/>
      <c r="BW54" s="4"/>
      <c r="ED54" s="5"/>
    </row>
    <row r="55" spans="6:134" ht="18" customHeight="1" x14ac:dyDescent="0.2">
      <c r="F55" s="4"/>
      <c r="BM55" s="5"/>
      <c r="BW55" s="4"/>
      <c r="ED55" s="5"/>
    </row>
    <row r="56" spans="6:134" ht="18" customHeight="1" x14ac:dyDescent="0.2">
      <c r="F56" s="4"/>
      <c r="BM56" s="5"/>
      <c r="BW56" s="4"/>
      <c r="ED56" s="5"/>
    </row>
    <row r="57" spans="6:134" ht="18" customHeight="1" x14ac:dyDescent="0.2">
      <c r="F57" s="4"/>
      <c r="BM57" s="5"/>
      <c r="BW57" s="4"/>
      <c r="ED57" s="5"/>
    </row>
    <row r="58" spans="6:134" ht="18" customHeight="1" x14ac:dyDescent="0.2">
      <c r="F58" s="4"/>
      <c r="BM58" s="5"/>
      <c r="BW58" s="4"/>
      <c r="ED58" s="5"/>
    </row>
    <row r="59" spans="6:134" ht="18" customHeight="1" x14ac:dyDescent="0.2">
      <c r="F59" s="4"/>
      <c r="BM59" s="5"/>
      <c r="BW59" s="4"/>
      <c r="ED59" s="5"/>
    </row>
    <row r="60" spans="6:134" ht="18" customHeight="1" x14ac:dyDescent="0.2">
      <c r="F60" s="4"/>
      <c r="BM60" s="5"/>
      <c r="BW60" s="4"/>
      <c r="ED60" s="5"/>
    </row>
    <row r="61" spans="6:134" ht="18" customHeight="1" x14ac:dyDescent="0.2">
      <c r="F61" s="4"/>
      <c r="BM61" s="5"/>
      <c r="BW61" s="4"/>
      <c r="ED61" s="5"/>
    </row>
    <row r="62" spans="6:134" ht="18" customHeight="1" x14ac:dyDescent="0.2">
      <c r="F62" s="4"/>
      <c r="K62" s="40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4"/>
      <c r="BM62" s="5"/>
      <c r="BW62" s="4"/>
      <c r="ED62" s="5"/>
    </row>
    <row r="63" spans="6:134" ht="18" customHeight="1" x14ac:dyDescent="0.2">
      <c r="F63" s="4"/>
      <c r="K63" s="42"/>
      <c r="L63" s="9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1"/>
      <c r="X63" s="38"/>
      <c r="Y63" s="38"/>
      <c r="Z63" s="38"/>
      <c r="AA63" s="38"/>
      <c r="AB63" s="39"/>
      <c r="AC63" s="38"/>
      <c r="AD63" s="38"/>
      <c r="AE63" s="38"/>
      <c r="AF63" s="38"/>
      <c r="AG63" s="38"/>
      <c r="AH63" s="9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1"/>
      <c r="AU63" s="45"/>
      <c r="BM63" s="5"/>
      <c r="BW63" s="4"/>
      <c r="ED63" s="5"/>
    </row>
    <row r="64" spans="6:134" ht="18" customHeight="1" x14ac:dyDescent="0.2">
      <c r="F64" s="4"/>
      <c r="K64" s="42"/>
      <c r="L64" s="12"/>
      <c r="W64" s="13"/>
      <c r="X64" s="32"/>
      <c r="Y64" s="32"/>
      <c r="Z64" s="32"/>
      <c r="AA64" s="32"/>
      <c r="AB64" s="33"/>
      <c r="AC64" s="32"/>
      <c r="AD64" s="32"/>
      <c r="AE64" s="32"/>
      <c r="AF64" s="32"/>
      <c r="AG64" s="32"/>
      <c r="AH64" s="12"/>
      <c r="AT64" s="13"/>
      <c r="AU64" s="45"/>
      <c r="BM64" s="5"/>
      <c r="BW64" s="4"/>
      <c r="CB64" s="40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4"/>
      <c r="ED64" s="5"/>
    </row>
    <row r="65" spans="6:134" ht="18" customHeight="1" x14ac:dyDescent="0.2">
      <c r="F65" s="4"/>
      <c r="K65" s="42"/>
      <c r="L65" s="12"/>
      <c r="W65" s="13"/>
      <c r="X65" s="32"/>
      <c r="Y65" s="32"/>
      <c r="Z65" s="32"/>
      <c r="AA65" s="32"/>
      <c r="AB65" s="33"/>
      <c r="AC65" s="32"/>
      <c r="AD65" s="32"/>
      <c r="AE65" s="32"/>
      <c r="AF65" s="32"/>
      <c r="AG65" s="32"/>
      <c r="AH65" s="12"/>
      <c r="AT65" s="13"/>
      <c r="AU65" s="45"/>
      <c r="BM65" s="5"/>
      <c r="BW65" s="4"/>
      <c r="CB65" s="42"/>
      <c r="CC65" s="9"/>
      <c r="CD65" s="10"/>
      <c r="CE65" s="10"/>
      <c r="CF65" s="10"/>
      <c r="CG65" s="10"/>
      <c r="CH65" s="10"/>
      <c r="CI65" s="10"/>
      <c r="CJ65" s="10"/>
      <c r="CK65" s="10"/>
      <c r="CL65" s="10"/>
      <c r="CM65" s="9"/>
      <c r="CN65" s="11"/>
      <c r="CO65" s="38"/>
      <c r="CP65" s="38"/>
      <c r="CQ65" s="38"/>
      <c r="CR65" s="38"/>
      <c r="CS65" s="39"/>
      <c r="CT65" s="38"/>
      <c r="CU65" s="38"/>
      <c r="CV65" s="38"/>
      <c r="CW65" s="38"/>
      <c r="CX65" s="38"/>
      <c r="CY65" s="9"/>
      <c r="CZ65" s="10"/>
      <c r="DA65" s="10"/>
      <c r="DB65" s="10"/>
      <c r="DC65" s="9"/>
      <c r="DD65" s="10"/>
      <c r="DE65" s="10"/>
      <c r="DF65" s="10"/>
      <c r="DG65" s="10"/>
      <c r="DH65" s="11"/>
      <c r="DI65" s="10"/>
      <c r="DJ65" s="10"/>
      <c r="DK65" s="11"/>
      <c r="DL65" s="45"/>
      <c r="ED65" s="5"/>
    </row>
    <row r="66" spans="6:134" ht="18" customHeight="1" x14ac:dyDescent="0.2">
      <c r="F66" s="4"/>
      <c r="K66" s="42"/>
      <c r="L66" s="12"/>
      <c r="W66" s="13"/>
      <c r="X66" s="32"/>
      <c r="Y66" s="32"/>
      <c r="Z66" s="32"/>
      <c r="AA66" s="32"/>
      <c r="AB66" s="33"/>
      <c r="AC66" s="32"/>
      <c r="AD66" s="32"/>
      <c r="AE66" s="32"/>
      <c r="AF66" s="32"/>
      <c r="AG66" s="32"/>
      <c r="AH66" s="12"/>
      <c r="AT66" s="13"/>
      <c r="AU66" s="45"/>
      <c r="BM66" s="5"/>
      <c r="BW66" s="4"/>
      <c r="CB66" s="42"/>
      <c r="CC66" s="12"/>
      <c r="CM66" s="12"/>
      <c r="CN66" s="13"/>
      <c r="CO66" s="32"/>
      <c r="CP66" s="32"/>
      <c r="CQ66" s="32"/>
      <c r="CR66" s="32"/>
      <c r="CS66" s="33"/>
      <c r="CT66" s="32"/>
      <c r="CU66" s="32"/>
      <c r="CV66" s="32"/>
      <c r="CW66" s="32"/>
      <c r="CX66" s="32"/>
      <c r="CY66" s="12"/>
      <c r="DC66" s="12"/>
      <c r="DH66" s="13"/>
      <c r="DK66" s="13"/>
      <c r="DL66" s="45"/>
      <c r="ED66" s="5"/>
    </row>
    <row r="67" spans="6:134" ht="18" customHeight="1" x14ac:dyDescent="0.2">
      <c r="F67" s="4"/>
      <c r="K67" s="42"/>
      <c r="L67" s="12"/>
      <c r="W67" s="13"/>
      <c r="X67" s="32"/>
      <c r="Y67" s="32"/>
      <c r="Z67" s="32"/>
      <c r="AA67" s="32"/>
      <c r="AB67" s="33"/>
      <c r="AC67" s="32"/>
      <c r="AD67" s="32"/>
      <c r="AE67" s="32"/>
      <c r="AF67" s="32"/>
      <c r="AG67" s="32"/>
      <c r="AH67" s="12"/>
      <c r="AT67" s="13"/>
      <c r="AU67" s="45"/>
      <c r="BM67" s="5"/>
      <c r="BW67" s="4"/>
      <c r="CB67" s="42"/>
      <c r="CC67" s="9"/>
      <c r="CD67" s="10"/>
      <c r="CE67" s="10"/>
      <c r="CF67" s="10"/>
      <c r="CG67" s="10"/>
      <c r="CH67" s="11"/>
      <c r="CM67" s="12"/>
      <c r="CN67" s="13"/>
      <c r="CO67" s="32"/>
      <c r="CP67" s="32"/>
      <c r="CQ67" s="32"/>
      <c r="CR67" s="32"/>
      <c r="CS67" s="33"/>
      <c r="CT67" s="32"/>
      <c r="CU67" s="32"/>
      <c r="CV67" s="32"/>
      <c r="CW67" s="32"/>
      <c r="CX67" s="32"/>
      <c r="CY67" s="12"/>
      <c r="DC67" s="12"/>
      <c r="DH67" s="13"/>
      <c r="DK67" s="13"/>
      <c r="DL67" s="45"/>
      <c r="ED67" s="5"/>
    </row>
    <row r="68" spans="6:134" ht="18" customHeight="1" x14ac:dyDescent="0.2">
      <c r="F68" s="4"/>
      <c r="K68" s="42"/>
      <c r="L68" s="12"/>
      <c r="W68" s="13"/>
      <c r="X68" s="32"/>
      <c r="Y68" s="32"/>
      <c r="Z68" s="32"/>
      <c r="AA68" s="32"/>
      <c r="AB68" s="33"/>
      <c r="AC68" s="32"/>
      <c r="AD68" s="32"/>
      <c r="AE68" s="32"/>
      <c r="AF68" s="32"/>
      <c r="AG68" s="32"/>
      <c r="AH68" s="12"/>
      <c r="AT68" s="13"/>
      <c r="AU68" s="45"/>
      <c r="BM68" s="5"/>
      <c r="BW68" s="4"/>
      <c r="CB68" s="42"/>
      <c r="CC68" s="12"/>
      <c r="CH68" s="13"/>
      <c r="CM68" s="12"/>
      <c r="CN68" s="13"/>
      <c r="CO68" s="32"/>
      <c r="CP68" s="32"/>
      <c r="CQ68" s="32"/>
      <c r="CR68" s="32"/>
      <c r="CS68" s="33"/>
      <c r="CT68" s="32"/>
      <c r="CU68" s="32"/>
      <c r="CV68" s="32"/>
      <c r="CW68" s="32"/>
      <c r="CX68" s="32"/>
      <c r="CY68" s="12"/>
      <c r="DC68" s="12"/>
      <c r="DH68" s="13"/>
      <c r="DK68" s="13"/>
      <c r="DL68" s="45"/>
      <c r="ED68" s="5"/>
    </row>
    <row r="69" spans="6:134" ht="18" customHeight="1" x14ac:dyDescent="0.2">
      <c r="F69" s="4"/>
      <c r="K69" s="42"/>
      <c r="L69" s="12"/>
      <c r="W69" s="13"/>
      <c r="X69" s="32"/>
      <c r="Y69" s="32"/>
      <c r="Z69" s="32"/>
      <c r="AA69" s="32"/>
      <c r="AB69" s="33"/>
      <c r="AC69" s="32"/>
      <c r="AD69" s="32"/>
      <c r="AE69" s="32"/>
      <c r="AF69" s="32"/>
      <c r="AG69" s="32"/>
      <c r="AH69" s="12"/>
      <c r="AT69" s="13"/>
      <c r="AU69" s="45"/>
      <c r="BM69" s="5"/>
      <c r="BW69" s="4"/>
      <c r="CB69" s="42"/>
      <c r="CC69" s="12"/>
      <c r="CH69" s="13"/>
      <c r="CM69" s="12"/>
      <c r="CN69" s="13"/>
      <c r="CO69" s="32"/>
      <c r="CP69" s="32"/>
      <c r="CQ69" s="32"/>
      <c r="CR69" s="32"/>
      <c r="CS69" s="33"/>
      <c r="CT69" s="32"/>
      <c r="CU69" s="32"/>
      <c r="CV69" s="32"/>
      <c r="CW69" s="32"/>
      <c r="CX69" s="32"/>
      <c r="CY69" s="12"/>
      <c r="DC69" s="12"/>
      <c r="DH69" s="13"/>
      <c r="DK69" s="13"/>
      <c r="DL69" s="45"/>
      <c r="ED69" s="5"/>
    </row>
    <row r="70" spans="6:134" ht="18" customHeight="1" x14ac:dyDescent="0.2">
      <c r="F70" s="4"/>
      <c r="K70" s="42"/>
      <c r="L70" s="12"/>
      <c r="W70" s="13"/>
      <c r="X70" s="32"/>
      <c r="Y70" s="32"/>
      <c r="Z70" s="32"/>
      <c r="AA70" s="32"/>
      <c r="AB70" s="33"/>
      <c r="AC70" s="32"/>
      <c r="AD70" s="32"/>
      <c r="AE70" s="32"/>
      <c r="AF70" s="32"/>
      <c r="AG70" s="70"/>
      <c r="AH70" s="12"/>
      <c r="AT70" s="13"/>
      <c r="AU70" s="45"/>
      <c r="BM70" s="5"/>
      <c r="BW70" s="4"/>
      <c r="CB70" s="42"/>
      <c r="CC70" s="12"/>
      <c r="CH70" s="13"/>
      <c r="CM70" s="14"/>
      <c r="CN70" s="16"/>
      <c r="CO70" s="32"/>
      <c r="CP70" s="32"/>
      <c r="CQ70" s="32"/>
      <c r="CR70" s="32"/>
      <c r="CS70" s="33"/>
      <c r="CT70" s="32"/>
      <c r="CU70" s="32"/>
      <c r="CV70" s="32"/>
      <c r="CW70" s="32"/>
      <c r="CX70" s="70"/>
      <c r="CY70" s="12"/>
      <c r="DC70" s="14"/>
      <c r="DD70" s="15"/>
      <c r="DE70" s="15"/>
      <c r="DF70" s="15"/>
      <c r="DG70" s="15"/>
      <c r="DH70" s="16"/>
      <c r="DK70" s="13"/>
      <c r="DL70" s="45"/>
      <c r="ED70" s="5"/>
    </row>
    <row r="71" spans="6:134" ht="18" customHeight="1" x14ac:dyDescent="0.2">
      <c r="F71" s="4"/>
      <c r="K71" s="42"/>
      <c r="L71" s="12"/>
      <c r="W71" s="13"/>
      <c r="X71" s="32"/>
      <c r="Y71" s="32"/>
      <c r="Z71" s="32"/>
      <c r="AA71" s="32"/>
      <c r="AB71" s="33"/>
      <c r="AC71" s="32"/>
      <c r="AD71" s="32"/>
      <c r="AE71" s="32"/>
      <c r="AF71" s="32"/>
      <c r="AG71" s="107"/>
      <c r="AH71" s="12"/>
      <c r="AT71" s="13"/>
      <c r="AU71" s="45"/>
      <c r="BM71" s="5"/>
      <c r="BW71" s="4"/>
      <c r="CB71" s="42"/>
      <c r="CC71" s="12"/>
      <c r="CH71" s="13"/>
      <c r="CN71" s="13"/>
      <c r="CO71" s="32"/>
      <c r="CP71" s="32"/>
      <c r="CQ71" s="32"/>
      <c r="CR71" s="32"/>
      <c r="CS71" s="33"/>
      <c r="CT71" s="32"/>
      <c r="CU71" s="32"/>
      <c r="CV71" s="32"/>
      <c r="CW71" s="32"/>
      <c r="CX71" s="107"/>
      <c r="CY71" s="12"/>
      <c r="DK71" s="13"/>
      <c r="DL71" s="45"/>
      <c r="ED71" s="5"/>
    </row>
    <row r="72" spans="6:134" ht="18" customHeight="1" x14ac:dyDescent="0.2">
      <c r="F72" s="4"/>
      <c r="K72" s="42"/>
      <c r="L72" s="12"/>
      <c r="W72" s="13"/>
      <c r="X72" s="34"/>
      <c r="Y72" s="34"/>
      <c r="Z72" s="26"/>
      <c r="AA72" s="27"/>
      <c r="AB72" s="28"/>
      <c r="AC72" s="34"/>
      <c r="AD72" s="34"/>
      <c r="AE72" s="34"/>
      <c r="AF72" s="34"/>
      <c r="AG72" s="72"/>
      <c r="AH72" s="12"/>
      <c r="AT72" s="13"/>
      <c r="AU72" s="45"/>
      <c r="BM72" s="5"/>
      <c r="BW72" s="4"/>
      <c r="CB72" s="42"/>
      <c r="CC72" s="14"/>
      <c r="CD72" s="15"/>
      <c r="CE72" s="15"/>
      <c r="CF72" s="15"/>
      <c r="CG72" s="15"/>
      <c r="CH72" s="16"/>
      <c r="CN72" s="13"/>
      <c r="CO72" s="34"/>
      <c r="CP72" s="34"/>
      <c r="CQ72" s="26"/>
      <c r="CR72" s="27"/>
      <c r="CS72" s="28"/>
      <c r="CT72" s="34"/>
      <c r="CU72" s="34"/>
      <c r="CV72" s="34"/>
      <c r="CW72" s="34"/>
      <c r="CX72" s="72"/>
      <c r="CY72" s="12"/>
      <c r="DK72" s="13"/>
      <c r="DL72" s="45"/>
      <c r="ED72" s="5"/>
    </row>
    <row r="73" spans="6:134" ht="18" customHeight="1" x14ac:dyDescent="0.2">
      <c r="F73" s="4"/>
      <c r="K73" s="42"/>
      <c r="L73" s="12"/>
      <c r="W73" s="23"/>
      <c r="AH73" s="12"/>
      <c r="AT73" s="13"/>
      <c r="AU73" s="45"/>
      <c r="BM73" s="5"/>
      <c r="BW73" s="4"/>
      <c r="CB73" s="42"/>
      <c r="CC73" s="12"/>
      <c r="CN73" s="23"/>
      <c r="CY73" s="12"/>
      <c r="DK73" s="13"/>
      <c r="DL73" s="45"/>
      <c r="ED73" s="5"/>
    </row>
    <row r="74" spans="6:134" ht="18" customHeight="1" x14ac:dyDescent="0.2">
      <c r="F74" s="4"/>
      <c r="K74" s="42"/>
      <c r="L74" s="12"/>
      <c r="W74" s="24"/>
      <c r="AH74" s="12"/>
      <c r="AT74" s="13"/>
      <c r="AU74" s="45"/>
      <c r="BM74" s="5"/>
      <c r="BW74" s="4"/>
      <c r="CB74" s="42"/>
      <c r="CC74" s="12"/>
      <c r="CN74" s="24"/>
      <c r="CY74" s="23"/>
      <c r="DK74" s="13"/>
      <c r="DL74" s="45"/>
      <c r="ED74" s="5"/>
    </row>
    <row r="75" spans="6:134" ht="18" customHeight="1" x14ac:dyDescent="0.2">
      <c r="F75" s="4"/>
      <c r="K75" s="42"/>
      <c r="L75" s="14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25"/>
      <c r="AH75" s="23"/>
      <c r="AT75" s="13"/>
      <c r="AU75" s="45"/>
      <c r="BM75" s="5"/>
      <c r="BW75" s="4"/>
      <c r="CB75" s="42"/>
      <c r="CC75" s="14"/>
      <c r="CD75" s="15"/>
      <c r="CE75" s="15"/>
      <c r="CF75" s="15"/>
      <c r="CG75" s="15"/>
      <c r="CH75" s="15"/>
      <c r="CI75" s="15"/>
      <c r="CJ75" s="15"/>
      <c r="CK75" s="15"/>
      <c r="CL75" s="15"/>
      <c r="CM75" s="15"/>
      <c r="CN75" s="25"/>
      <c r="CY75" s="24"/>
      <c r="DF75" s="9"/>
      <c r="DG75" s="10"/>
      <c r="DH75" s="10"/>
      <c r="DI75" s="10"/>
      <c r="DJ75" s="10"/>
      <c r="DK75" s="11"/>
      <c r="DL75" s="45"/>
      <c r="ED75" s="5"/>
    </row>
    <row r="76" spans="6:134" ht="18" customHeight="1" x14ac:dyDescent="0.2">
      <c r="F76" s="4"/>
      <c r="K76" s="42"/>
      <c r="L76" s="9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23"/>
      <c r="AH76" s="24"/>
      <c r="AT76" s="13"/>
      <c r="AU76" s="108"/>
      <c r="BM76" s="5"/>
      <c r="BW76" s="4"/>
      <c r="CB76" s="42"/>
      <c r="CC76" s="9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10"/>
      <c r="CY76" s="24"/>
      <c r="DF76" s="14"/>
      <c r="DG76" s="15"/>
      <c r="DH76" s="15"/>
      <c r="DI76" s="15"/>
      <c r="DJ76" s="15"/>
      <c r="DK76" s="16"/>
      <c r="DL76" s="108"/>
      <c r="ED76" s="5"/>
    </row>
    <row r="77" spans="6:134" ht="18" customHeight="1" x14ac:dyDescent="0.2">
      <c r="F77" s="4"/>
      <c r="K77" s="42"/>
      <c r="L77" s="12"/>
      <c r="W77" s="24"/>
      <c r="AH77" s="25"/>
      <c r="AI77" s="15"/>
      <c r="AJ77" s="15"/>
      <c r="AK77" s="15"/>
      <c r="AL77" s="40"/>
      <c r="AM77" s="109"/>
      <c r="AN77" s="109"/>
      <c r="AO77" s="109"/>
      <c r="AP77" s="109"/>
      <c r="AQ77" s="109"/>
      <c r="AR77" s="109"/>
      <c r="AS77" s="109"/>
      <c r="AT77" s="109"/>
      <c r="AU77" s="48"/>
      <c r="BM77" s="5"/>
      <c r="BW77" s="4"/>
      <c r="CB77" s="42"/>
      <c r="CC77" s="12"/>
      <c r="CN77" s="111"/>
      <c r="CU77" s="20"/>
      <c r="CV77" s="21"/>
      <c r="CW77" s="21"/>
      <c r="CX77" s="21"/>
      <c r="CY77" s="21"/>
      <c r="CZ77" s="21"/>
      <c r="DA77" s="21"/>
      <c r="DB77" s="22"/>
      <c r="DC77" s="41"/>
      <c r="DD77" s="109"/>
      <c r="DE77" s="109"/>
      <c r="DF77" s="109"/>
      <c r="DG77" s="109"/>
      <c r="DH77" s="109"/>
      <c r="DI77" s="109"/>
      <c r="DJ77" s="109"/>
      <c r="DK77" s="109"/>
      <c r="DL77" s="48"/>
      <c r="ED77" s="23"/>
    </row>
    <row r="78" spans="6:134" ht="18" customHeight="1" x14ac:dyDescent="0.2">
      <c r="F78" s="4"/>
      <c r="K78" s="42"/>
      <c r="L78" s="12"/>
      <c r="W78" s="25"/>
      <c r="AK78" s="23"/>
      <c r="AL78" s="108"/>
      <c r="AM78" s="10"/>
      <c r="AN78" s="10"/>
      <c r="AO78" s="10"/>
      <c r="AP78" s="10"/>
      <c r="AQ78" s="10"/>
      <c r="AR78" s="10"/>
      <c r="AS78" s="10"/>
      <c r="AT78" s="10"/>
      <c r="AU78" s="11"/>
      <c r="AV78" s="11"/>
      <c r="AW78" s="17"/>
      <c r="BM78" s="5"/>
      <c r="BW78" s="4"/>
      <c r="CB78" s="42"/>
      <c r="CC78" s="12"/>
      <c r="CN78" s="112"/>
      <c r="CU78" s="121"/>
      <c r="CV78" s="119"/>
      <c r="CW78" s="119"/>
      <c r="CX78" s="119"/>
      <c r="CY78" s="119"/>
      <c r="CZ78" s="122"/>
      <c r="DC78" s="108"/>
      <c r="DD78" s="10"/>
      <c r="DE78" s="10"/>
      <c r="DF78" s="10"/>
      <c r="DG78" s="10"/>
      <c r="DH78" s="10"/>
      <c r="DI78" s="10"/>
      <c r="DJ78" s="10"/>
      <c r="DK78" s="10"/>
      <c r="DL78" s="11"/>
      <c r="ED78" s="24"/>
    </row>
    <row r="79" spans="6:134" ht="18" customHeight="1" x14ac:dyDescent="0.2">
      <c r="F79" s="4"/>
      <c r="K79" s="42"/>
      <c r="L79" s="12"/>
      <c r="W79" s="13"/>
      <c r="AK79" s="24"/>
      <c r="AL79" s="108"/>
      <c r="AU79" s="13"/>
      <c r="AV79" s="13"/>
      <c r="AW79" s="18"/>
      <c r="BM79" s="5"/>
      <c r="BW79" s="4"/>
      <c r="CB79" s="42"/>
      <c r="CC79" s="12"/>
      <c r="CN79" s="13"/>
      <c r="CU79" s="64"/>
      <c r="CV79" s="120"/>
      <c r="CW79" s="120"/>
      <c r="CX79" s="120"/>
      <c r="CY79" s="120"/>
      <c r="CZ79" s="65"/>
      <c r="DC79" s="108"/>
      <c r="DL79" s="13"/>
      <c r="ED79" s="24"/>
    </row>
    <row r="80" spans="6:134" ht="18" customHeight="1" x14ac:dyDescent="0.2">
      <c r="F80" s="4"/>
      <c r="K80" s="42"/>
      <c r="L80" s="12"/>
      <c r="W80" s="13"/>
      <c r="AK80" s="25"/>
      <c r="AL80" s="108"/>
      <c r="AU80" s="13"/>
      <c r="AV80" s="13"/>
      <c r="AW80" s="18"/>
      <c r="BM80" s="5"/>
      <c r="BW80" s="4"/>
      <c r="CB80" s="42"/>
      <c r="CC80" s="12"/>
      <c r="CN80" s="13"/>
      <c r="DC80" s="108"/>
      <c r="DL80" s="13"/>
      <c r="ED80" s="24"/>
    </row>
    <row r="81" spans="6:134" ht="18" customHeight="1" x14ac:dyDescent="0.2">
      <c r="F81" s="4"/>
      <c r="K81" s="42"/>
      <c r="L81" s="12"/>
      <c r="W81" s="13"/>
      <c r="AL81" s="108"/>
      <c r="AU81" s="13"/>
      <c r="AV81" s="13"/>
      <c r="AW81" s="18"/>
      <c r="BM81" s="5"/>
      <c r="BW81" s="4"/>
      <c r="CB81" s="42"/>
      <c r="CC81" s="12"/>
      <c r="CN81" s="13"/>
      <c r="DC81" s="108"/>
      <c r="DL81" s="13"/>
      <c r="ED81" s="24"/>
    </row>
    <row r="82" spans="6:134" ht="18" customHeight="1" x14ac:dyDescent="0.2">
      <c r="F82" s="4"/>
      <c r="K82" s="42"/>
      <c r="L82" s="12"/>
      <c r="W82" s="13"/>
      <c r="X82" s="66"/>
      <c r="Y82" s="67"/>
      <c r="AJ82" s="101"/>
      <c r="AK82" s="102"/>
      <c r="AL82" s="108"/>
      <c r="AU82" s="13"/>
      <c r="AV82" s="13"/>
      <c r="AW82" s="18"/>
      <c r="BM82" s="5"/>
      <c r="BW82" s="4"/>
      <c r="CB82" s="42"/>
      <c r="CC82" s="12"/>
      <c r="CN82" s="13"/>
      <c r="DC82" s="108"/>
      <c r="DL82" s="13"/>
      <c r="ED82" s="24"/>
    </row>
    <row r="83" spans="6:134" ht="18" customHeight="1" x14ac:dyDescent="0.2">
      <c r="F83" s="4"/>
      <c r="K83" s="42"/>
      <c r="L83" s="12"/>
      <c r="W83" s="13"/>
      <c r="X83" s="94"/>
      <c r="Y83" s="95"/>
      <c r="AJ83" s="103"/>
      <c r="AK83" s="104"/>
      <c r="AL83" s="108"/>
      <c r="AU83" s="13"/>
      <c r="AV83" s="16"/>
      <c r="AW83" s="19"/>
      <c r="BM83" s="5"/>
      <c r="BW83" s="4"/>
      <c r="CB83" s="42"/>
      <c r="CC83" s="12"/>
      <c r="CN83" s="13"/>
      <c r="DC83" s="108"/>
      <c r="DL83" s="13"/>
      <c r="ED83" s="24"/>
    </row>
    <row r="84" spans="6:134" ht="18" customHeight="1" x14ac:dyDescent="0.2">
      <c r="F84" s="4"/>
      <c r="K84" s="42"/>
      <c r="L84" s="12"/>
      <c r="W84" s="13"/>
      <c r="X84" s="94"/>
      <c r="Y84" s="95"/>
      <c r="AJ84" s="103"/>
      <c r="AK84" s="104"/>
      <c r="AL84" s="108"/>
      <c r="AU84" s="13"/>
      <c r="BM84" s="5"/>
      <c r="BW84" s="4"/>
      <c r="CB84" s="42"/>
      <c r="CC84" s="9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1"/>
      <c r="DC84" s="108"/>
      <c r="DL84" s="13"/>
      <c r="ED84" s="24"/>
    </row>
    <row r="85" spans="6:134" ht="18" customHeight="1" x14ac:dyDescent="0.2">
      <c r="F85" s="4"/>
      <c r="K85" s="42"/>
      <c r="L85" s="12"/>
      <c r="W85" s="13"/>
      <c r="X85" s="94"/>
      <c r="Y85" s="95"/>
      <c r="AJ85" s="103"/>
      <c r="AK85" s="104"/>
      <c r="AL85" s="108"/>
      <c r="AU85" s="13"/>
      <c r="BM85" s="23"/>
      <c r="BW85" s="4"/>
      <c r="CB85" s="42"/>
      <c r="CC85" s="12"/>
      <c r="CE85" s="15"/>
      <c r="CF85" s="15"/>
      <c r="CG85" s="15"/>
      <c r="CH85" s="15"/>
      <c r="CI85" s="15"/>
      <c r="CJ85" s="15"/>
      <c r="CK85" s="15"/>
      <c r="CL85" s="15"/>
      <c r="CN85" s="13"/>
      <c r="DC85" s="108"/>
      <c r="DL85" s="13"/>
      <c r="ED85" s="24"/>
    </row>
    <row r="86" spans="6:134" ht="18" customHeight="1" x14ac:dyDescent="0.2">
      <c r="F86" s="4"/>
      <c r="K86" s="42"/>
      <c r="L86" s="12"/>
      <c r="W86" s="13"/>
      <c r="X86" s="94"/>
      <c r="Y86" s="95"/>
      <c r="AJ86" s="103"/>
      <c r="AK86" s="104"/>
      <c r="AL86" s="108"/>
      <c r="AU86" s="13"/>
      <c r="BM86" s="24"/>
      <c r="BW86" s="4"/>
      <c r="CB86" s="42"/>
      <c r="CC86" s="12"/>
      <c r="CD86" s="13"/>
      <c r="CM86" s="12"/>
      <c r="CN86" s="13"/>
      <c r="DC86" s="108"/>
      <c r="DL86" s="13"/>
      <c r="ED86" s="25"/>
    </row>
    <row r="87" spans="6:134" ht="18" customHeight="1" x14ac:dyDescent="0.2">
      <c r="F87" s="4"/>
      <c r="K87" s="42"/>
      <c r="L87" s="12"/>
      <c r="W87" s="13"/>
      <c r="X87" s="68"/>
      <c r="Y87" s="69"/>
      <c r="AJ87" s="105"/>
      <c r="AK87" s="106"/>
      <c r="AL87" s="108"/>
      <c r="AU87" s="13"/>
      <c r="AW87" s="9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1"/>
      <c r="BM87" s="24"/>
      <c r="BW87" s="4"/>
      <c r="CB87" s="42"/>
      <c r="CC87" s="12"/>
      <c r="CD87" s="13"/>
      <c r="CM87" s="12"/>
      <c r="CN87" s="13"/>
      <c r="DC87" s="108"/>
      <c r="DL87" s="13"/>
      <c r="DM87" s="11"/>
      <c r="DN87" s="17"/>
      <c r="ED87" s="5"/>
    </row>
    <row r="88" spans="6:134" ht="18" customHeight="1" x14ac:dyDescent="0.2">
      <c r="F88" s="4"/>
      <c r="K88" s="42"/>
      <c r="L88" s="14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6"/>
      <c r="AL88" s="108"/>
      <c r="AU88" s="13"/>
      <c r="AW88" s="12"/>
      <c r="BH88" s="13"/>
      <c r="BM88" s="24"/>
      <c r="BW88" s="4"/>
      <c r="CB88" s="42"/>
      <c r="CC88" s="12"/>
      <c r="CD88" s="13"/>
      <c r="CM88" s="12"/>
      <c r="CN88" s="13"/>
      <c r="CU88" s="113"/>
      <c r="CV88" s="114"/>
      <c r="CW88" s="114"/>
      <c r="CX88" s="114"/>
      <c r="CY88" s="114"/>
      <c r="CZ88" s="115"/>
      <c r="DC88" s="108"/>
      <c r="DL88" s="13"/>
      <c r="DM88" s="13"/>
      <c r="DN88" s="18"/>
      <c r="ED88" s="5"/>
    </row>
    <row r="89" spans="6:134" ht="18" customHeight="1" x14ac:dyDescent="0.2">
      <c r="F89" s="4"/>
      <c r="K89" s="42"/>
      <c r="L89" s="56"/>
      <c r="M89" s="57"/>
      <c r="N89" s="57"/>
      <c r="O89" s="57"/>
      <c r="P89" s="57"/>
      <c r="Q89" s="57"/>
      <c r="R89" s="57"/>
      <c r="S89" s="57"/>
      <c r="T89" s="57"/>
      <c r="U89" s="57"/>
      <c r="V89" s="85"/>
      <c r="W89" s="75"/>
      <c r="AL89" s="108"/>
      <c r="AU89" s="13"/>
      <c r="AW89" s="12"/>
      <c r="BH89" s="13"/>
      <c r="BM89" s="24"/>
      <c r="BW89" s="4"/>
      <c r="CB89" s="42"/>
      <c r="CC89" s="12"/>
      <c r="CD89" s="13"/>
      <c r="CM89" s="12"/>
      <c r="CN89" s="13"/>
      <c r="CU89" s="116"/>
      <c r="CV89" s="117"/>
      <c r="CW89" s="117"/>
      <c r="CX89" s="117"/>
      <c r="CY89" s="117"/>
      <c r="CZ89" s="118"/>
      <c r="DC89" s="108"/>
      <c r="DL89" s="13"/>
      <c r="DM89" s="13"/>
      <c r="DN89" s="18"/>
      <c r="ED89" s="5"/>
    </row>
    <row r="90" spans="6:134" ht="18" customHeight="1" x14ac:dyDescent="0.2">
      <c r="F90" s="4"/>
      <c r="K90" s="42"/>
      <c r="L90" s="96"/>
      <c r="M90" s="97"/>
      <c r="N90" s="60"/>
      <c r="O90" s="60"/>
      <c r="P90" s="60"/>
      <c r="Q90" s="60"/>
      <c r="R90" s="60"/>
      <c r="S90" s="60"/>
      <c r="T90" s="60"/>
      <c r="U90" s="60"/>
      <c r="V90" s="89"/>
      <c r="W90" s="77"/>
      <c r="AL90" s="108"/>
      <c r="AU90" s="13"/>
      <c r="AW90" s="12"/>
      <c r="BH90" s="13"/>
      <c r="BM90" s="24"/>
      <c r="BW90" s="4"/>
      <c r="CB90" s="42"/>
      <c r="CC90" s="14"/>
      <c r="CD90" s="16"/>
      <c r="CM90" s="14"/>
      <c r="CN90" s="16"/>
      <c r="CU90" s="20"/>
      <c r="CV90" s="21"/>
      <c r="CW90" s="21"/>
      <c r="CX90" s="21"/>
      <c r="CY90" s="21"/>
      <c r="CZ90" s="21"/>
      <c r="DA90" s="21"/>
      <c r="DB90" s="22"/>
      <c r="DC90" s="108"/>
      <c r="DL90" s="13"/>
      <c r="DM90" s="13"/>
      <c r="DN90" s="18"/>
      <c r="ED90" s="5"/>
    </row>
    <row r="91" spans="6:134" ht="18" customHeight="1" x14ac:dyDescent="0.2">
      <c r="F91" s="4"/>
      <c r="K91" s="42"/>
      <c r="L91" s="96"/>
      <c r="M91" s="98"/>
      <c r="W91" s="10"/>
      <c r="AL91" s="108"/>
      <c r="AU91" s="13"/>
      <c r="AW91" s="12"/>
      <c r="BH91" s="13"/>
      <c r="BM91" s="24"/>
      <c r="BW91" s="4"/>
      <c r="CB91" s="42"/>
      <c r="CC91" s="12"/>
      <c r="DC91" s="108"/>
      <c r="DL91" s="13"/>
      <c r="DM91" s="13"/>
      <c r="DN91" s="18"/>
      <c r="ED91" s="5"/>
    </row>
    <row r="92" spans="6:134" ht="18" customHeight="1" x14ac:dyDescent="0.2">
      <c r="F92" s="4"/>
      <c r="K92" s="42"/>
      <c r="L92" s="96"/>
      <c r="M92" s="98"/>
      <c r="AL92" s="108"/>
      <c r="AU92" s="13"/>
      <c r="AW92" s="14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6"/>
      <c r="BM92" s="24"/>
      <c r="BW92" s="4"/>
      <c r="CB92" s="42"/>
      <c r="CC92" s="110"/>
      <c r="DB92" s="110"/>
      <c r="DC92" s="108"/>
      <c r="DL92" s="13"/>
      <c r="DM92" s="16"/>
      <c r="DN92" s="19"/>
      <c r="ED92" s="5"/>
    </row>
    <row r="93" spans="6:134" ht="18" customHeight="1" x14ac:dyDescent="0.2">
      <c r="F93" s="4"/>
      <c r="K93" s="42"/>
      <c r="L93" s="96"/>
      <c r="M93" s="98"/>
      <c r="AC93" s="9"/>
      <c r="AD93" s="10"/>
      <c r="AE93" s="10"/>
      <c r="AF93" s="10"/>
      <c r="AG93" s="11"/>
      <c r="AL93" s="108"/>
      <c r="AU93" s="13"/>
      <c r="BM93" s="24"/>
      <c r="BW93" s="4"/>
      <c r="CB93" s="42"/>
      <c r="CC93" s="111"/>
      <c r="DB93" s="111"/>
      <c r="DC93" s="108"/>
      <c r="DL93" s="13"/>
      <c r="ED93" s="5"/>
    </row>
    <row r="94" spans="6:134" ht="18" customHeight="1" x14ac:dyDescent="0.2">
      <c r="F94" s="4"/>
      <c r="K94" s="42"/>
      <c r="L94" s="96"/>
      <c r="M94" s="98"/>
      <c r="AC94" s="12"/>
      <c r="AG94" s="13"/>
      <c r="AL94" s="108"/>
      <c r="AU94" s="13"/>
      <c r="BM94" s="25"/>
      <c r="BW94" s="4"/>
      <c r="CB94" s="42"/>
      <c r="CC94" s="112"/>
      <c r="CD94" s="15"/>
      <c r="CE94" s="15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V94" s="15"/>
      <c r="CW94" s="15"/>
      <c r="CX94" s="15"/>
      <c r="CY94" s="15"/>
      <c r="CZ94" s="15"/>
      <c r="DA94" s="15"/>
      <c r="DB94" s="112"/>
      <c r="DC94" s="108"/>
      <c r="DD94" s="12"/>
      <c r="DL94" s="13"/>
      <c r="ED94" s="5"/>
    </row>
    <row r="95" spans="6:134" ht="18" customHeight="1" x14ac:dyDescent="0.2">
      <c r="F95" s="4"/>
      <c r="K95" s="42"/>
      <c r="L95" s="96"/>
      <c r="M95" s="98"/>
      <c r="AC95" s="14"/>
      <c r="AD95" s="15"/>
      <c r="AE95" s="15"/>
      <c r="AF95" s="15"/>
      <c r="AG95" s="16"/>
      <c r="AL95" s="108"/>
      <c r="AU95" s="13"/>
      <c r="BM95" s="5"/>
      <c r="BW95" s="4"/>
      <c r="CB95" s="46"/>
      <c r="CC95" s="47"/>
      <c r="CD95" s="47"/>
      <c r="CE95" s="47"/>
      <c r="CF95" s="47"/>
      <c r="CG95" s="47"/>
      <c r="CH95" s="47"/>
      <c r="CI95" s="47"/>
      <c r="CJ95" s="47"/>
      <c r="CK95" s="47"/>
      <c r="CL95" s="47"/>
      <c r="CM95" s="47"/>
      <c r="CN95" s="47"/>
      <c r="CO95" s="47"/>
      <c r="CP95" s="47"/>
      <c r="CQ95" s="47"/>
      <c r="CR95" s="47"/>
      <c r="CS95" s="47"/>
      <c r="CT95" s="47"/>
      <c r="CU95" s="47"/>
      <c r="CV95" s="47"/>
      <c r="CW95" s="47"/>
      <c r="CX95" s="47"/>
      <c r="CY95" s="47"/>
      <c r="CZ95" s="47"/>
      <c r="DA95" s="47"/>
      <c r="DB95" s="47"/>
      <c r="DC95" s="48"/>
      <c r="DD95" s="15"/>
      <c r="DE95" s="15"/>
      <c r="DF95" s="15"/>
      <c r="DG95" s="15"/>
      <c r="DH95" s="15"/>
      <c r="DI95" s="15"/>
      <c r="DJ95" s="15"/>
      <c r="DK95" s="15"/>
      <c r="DL95" s="16"/>
      <c r="ED95" s="5"/>
    </row>
    <row r="96" spans="6:134" ht="18" customHeight="1" x14ac:dyDescent="0.2">
      <c r="F96" s="4"/>
      <c r="K96" s="42"/>
      <c r="L96" s="96"/>
      <c r="M96" s="98"/>
      <c r="W96" s="15"/>
      <c r="AL96" s="108"/>
      <c r="AU96" s="13"/>
      <c r="BM96" s="5"/>
      <c r="BW96" s="4"/>
      <c r="ED96" s="5"/>
    </row>
    <row r="97" spans="6:134" ht="18" customHeight="1" x14ac:dyDescent="0.2">
      <c r="F97" s="4"/>
      <c r="K97" s="42"/>
      <c r="L97" s="96"/>
      <c r="M97" s="97"/>
      <c r="N97" s="57"/>
      <c r="O97" s="57"/>
      <c r="P97" s="57"/>
      <c r="Q97" s="57"/>
      <c r="R97" s="57"/>
      <c r="S97" s="57"/>
      <c r="T97" s="57"/>
      <c r="U97" s="57"/>
      <c r="V97" s="57"/>
      <c r="W97" s="58"/>
      <c r="AL97" s="108"/>
      <c r="AU97" s="13"/>
      <c r="BM97" s="5"/>
      <c r="BW97" s="4"/>
      <c r="ED97" s="5"/>
    </row>
    <row r="98" spans="6:134" ht="18" customHeight="1" x14ac:dyDescent="0.2">
      <c r="F98" s="4"/>
      <c r="K98" s="42"/>
      <c r="L98" s="59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1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08"/>
      <c r="AM98" s="12"/>
      <c r="AU98" s="13"/>
      <c r="BM98" s="5"/>
      <c r="BW98" s="4"/>
      <c r="ED98" s="5"/>
    </row>
    <row r="99" spans="6:134" ht="18" customHeight="1" x14ac:dyDescent="0.2">
      <c r="F99" s="4"/>
      <c r="K99" s="46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8"/>
      <c r="AM99" s="15"/>
      <c r="AN99" s="15"/>
      <c r="AO99" s="15"/>
      <c r="AP99" s="15"/>
      <c r="AQ99" s="15"/>
      <c r="AR99" s="15"/>
      <c r="AS99" s="15"/>
      <c r="AT99" s="15"/>
      <c r="AU99" s="16"/>
      <c r="BM99" s="5"/>
      <c r="BW99" s="4"/>
      <c r="ED99" s="5"/>
    </row>
    <row r="100" spans="6:134" ht="18" customHeight="1" x14ac:dyDescent="0.2">
      <c r="F100" s="4"/>
      <c r="BM100" s="5"/>
      <c r="BW100" s="4"/>
      <c r="ED100" s="5"/>
    </row>
    <row r="101" spans="6:134" ht="18" customHeight="1" x14ac:dyDescent="0.2">
      <c r="F101" s="4"/>
      <c r="BM101" s="5"/>
      <c r="BW101" s="4"/>
      <c r="ED101" s="5"/>
    </row>
    <row r="102" spans="6:134" ht="18" customHeight="1" x14ac:dyDescent="0.2">
      <c r="F102" s="4"/>
      <c r="BM102" s="5"/>
      <c r="BW102" s="4"/>
      <c r="ED102" s="5"/>
    </row>
    <row r="103" spans="6:134" ht="18" customHeight="1" x14ac:dyDescent="0.2">
      <c r="F103" s="4"/>
      <c r="BM103" s="5"/>
      <c r="BW103" s="4"/>
      <c r="ED103" s="5"/>
    </row>
    <row r="104" spans="6:134" ht="18" customHeight="1" x14ac:dyDescent="0.2">
      <c r="F104" s="4"/>
      <c r="BM104" s="5"/>
      <c r="BW104" s="4"/>
      <c r="ED104" s="5"/>
    </row>
    <row r="105" spans="6:134" ht="18" customHeight="1" x14ac:dyDescent="0.2">
      <c r="F105" s="4"/>
      <c r="BM105" s="5"/>
      <c r="BW105" s="4"/>
      <c r="ED105" s="5"/>
    </row>
    <row r="106" spans="6:134" ht="18" customHeight="1" x14ac:dyDescent="0.2">
      <c r="F106" s="4"/>
      <c r="BM106" s="5"/>
      <c r="BW106" s="4"/>
      <c r="ED106" s="5"/>
    </row>
    <row r="107" spans="6:134" ht="18" customHeight="1" x14ac:dyDescent="0.2">
      <c r="F107" s="4"/>
      <c r="BM107" s="5"/>
      <c r="BW107" s="4"/>
      <c r="ED107" s="5"/>
    </row>
    <row r="108" spans="6:134" ht="18" customHeight="1" x14ac:dyDescent="0.2">
      <c r="F108" s="4"/>
      <c r="BM108" s="5"/>
      <c r="BW108" s="4"/>
      <c r="ED108" s="5"/>
    </row>
    <row r="109" spans="6:134" ht="18" customHeight="1" x14ac:dyDescent="0.2">
      <c r="F109" s="4"/>
      <c r="BM109" s="5"/>
      <c r="BW109" s="4"/>
      <c r="ED109" s="5"/>
    </row>
    <row r="110" spans="6:134" ht="18" customHeight="1" thickBot="1" x14ac:dyDescent="0.25">
      <c r="F110" s="6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8"/>
      <c r="BW110" s="6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8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03557-2EDA-A547-917F-56350CBE76B8}">
  <sheetPr codeName="Sheet3"/>
  <dimension ref="G4:OD675"/>
  <sheetViews>
    <sheetView topLeftCell="W426" zoomScale="31" zoomScaleNormal="50" workbookViewId="0">
      <selection activeCell="HQ602" sqref="HQ602"/>
    </sheetView>
  </sheetViews>
  <sheetFormatPr baseColWidth="10" defaultColWidth="3" defaultRowHeight="18" customHeight="1" x14ac:dyDescent="0.2"/>
  <cols>
    <col min="150" max="150" width="3" customWidth="1"/>
    <col min="198" max="198" width="3" customWidth="1"/>
    <col min="209" max="209" width="3" customWidth="1"/>
    <col min="235" max="235" width="3" customWidth="1"/>
  </cols>
  <sheetData>
    <row r="4" spans="19:205" ht="18" customHeight="1" x14ac:dyDescent="0.2">
      <c r="S4" s="9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1"/>
      <c r="CQ4" s="9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1"/>
      <c r="DN4" s="9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1"/>
      <c r="GK4" s="9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1"/>
    </row>
    <row r="5" spans="19:205" ht="18" customHeight="1" x14ac:dyDescent="0.2">
      <c r="S5" s="12"/>
      <c r="CP5" s="13"/>
      <c r="CQ5" s="9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1"/>
      <c r="DC5" s="13"/>
      <c r="DN5" s="12"/>
      <c r="GJ5" s="13"/>
      <c r="GK5" s="9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1"/>
      <c r="GW5" s="13"/>
    </row>
    <row r="6" spans="19:205" ht="18" customHeight="1" x14ac:dyDescent="0.2">
      <c r="S6" s="12"/>
      <c r="U6" s="9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1"/>
      <c r="AQ6" s="11"/>
      <c r="AR6" s="9"/>
      <c r="AS6" s="10"/>
      <c r="AT6" s="10"/>
      <c r="AU6" s="10"/>
      <c r="AV6" s="10"/>
      <c r="AW6" s="10"/>
      <c r="AX6" s="10"/>
      <c r="AY6" s="10"/>
      <c r="AZ6" s="10"/>
      <c r="BA6" s="11"/>
      <c r="BB6" s="10"/>
      <c r="BC6" s="9"/>
      <c r="BD6" s="10"/>
      <c r="BE6" s="10"/>
      <c r="BF6" s="10"/>
      <c r="BG6" s="10"/>
      <c r="BH6" s="10"/>
      <c r="BI6" s="10"/>
      <c r="BJ6" s="10"/>
      <c r="BK6" s="10"/>
      <c r="BL6" s="11"/>
      <c r="BM6" s="9"/>
      <c r="BN6" s="9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1"/>
      <c r="CP6" s="13"/>
      <c r="CQ6" s="12"/>
      <c r="DB6" s="13"/>
      <c r="DC6" s="13"/>
      <c r="DN6" s="12"/>
      <c r="DP6" s="9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1"/>
      <c r="EL6" s="11"/>
      <c r="EM6" s="9"/>
      <c r="EN6" s="10"/>
      <c r="EO6" s="10"/>
      <c r="EP6" s="10"/>
      <c r="EQ6" s="10"/>
      <c r="ER6" s="10"/>
      <c r="ES6" s="10"/>
      <c r="ET6" s="10"/>
      <c r="EU6" s="10"/>
      <c r="EV6" s="11"/>
      <c r="EW6" s="10"/>
      <c r="EX6" s="9"/>
      <c r="EY6" s="10"/>
      <c r="EZ6" s="10"/>
      <c r="FA6" s="10"/>
      <c r="FB6" s="10"/>
      <c r="FC6" s="10"/>
      <c r="FD6" s="10"/>
      <c r="FE6" s="10"/>
      <c r="FF6" s="10"/>
      <c r="FG6" s="11"/>
      <c r="FH6" s="9"/>
      <c r="FI6" s="9"/>
      <c r="FJ6" s="10"/>
      <c r="FK6" s="10"/>
      <c r="FL6" s="10"/>
      <c r="FM6" s="10"/>
      <c r="FN6" s="10"/>
      <c r="FO6" s="10"/>
      <c r="FP6" s="10"/>
      <c r="FQ6" s="9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1"/>
      <c r="GC6" s="10"/>
      <c r="GD6" s="10"/>
      <c r="GE6" s="10"/>
      <c r="GF6" s="10"/>
      <c r="GG6" s="10"/>
      <c r="GH6" s="11"/>
      <c r="GJ6" s="13"/>
      <c r="GK6" s="12"/>
      <c r="GV6" s="13"/>
      <c r="GW6" s="13"/>
    </row>
    <row r="7" spans="19:205" ht="18" customHeight="1" x14ac:dyDescent="0.2">
      <c r="S7" s="12"/>
      <c r="U7" s="12"/>
      <c r="AP7" s="13"/>
      <c r="AQ7" s="13"/>
      <c r="AR7" s="12"/>
      <c r="BA7" s="13"/>
      <c r="BC7" s="12"/>
      <c r="BL7" s="13"/>
      <c r="BM7" s="12"/>
      <c r="BN7" s="12"/>
      <c r="CN7" s="13"/>
      <c r="CP7" s="13"/>
      <c r="CQ7" s="12"/>
      <c r="DB7" s="13"/>
      <c r="DC7" s="13"/>
      <c r="DN7" s="12"/>
      <c r="DP7" s="12"/>
      <c r="EK7" s="13"/>
      <c r="EL7" s="13"/>
      <c r="EM7" s="12"/>
      <c r="EV7" s="13"/>
      <c r="EX7" s="12"/>
      <c r="FG7" s="13"/>
      <c r="FH7" s="12"/>
      <c r="FI7" s="12"/>
      <c r="FQ7" s="12"/>
      <c r="GB7" s="13"/>
      <c r="GH7" s="13"/>
      <c r="GJ7" s="13"/>
      <c r="GK7" s="12"/>
      <c r="GV7" s="13"/>
      <c r="GW7" s="13"/>
    </row>
    <row r="8" spans="19:205" ht="18" customHeight="1" x14ac:dyDescent="0.2">
      <c r="S8" s="12"/>
      <c r="U8" s="12"/>
      <c r="AP8" s="13"/>
      <c r="AQ8" s="13"/>
      <c r="AR8" s="12"/>
      <c r="BA8" s="13"/>
      <c r="BC8" s="12"/>
      <c r="BL8" s="13"/>
      <c r="BM8" s="12"/>
      <c r="BN8" s="12"/>
      <c r="CN8" s="13"/>
      <c r="CP8" s="13"/>
      <c r="CQ8" s="12"/>
      <c r="DB8" s="13"/>
      <c r="DC8" s="13"/>
      <c r="DN8" s="12"/>
      <c r="DP8" s="12"/>
      <c r="EK8" s="13"/>
      <c r="EL8" s="13"/>
      <c r="EM8" s="12"/>
      <c r="EV8" s="13"/>
      <c r="EX8" s="12"/>
      <c r="FG8" s="13"/>
      <c r="FH8" s="12"/>
      <c r="FI8" s="12"/>
      <c r="FQ8" s="12"/>
      <c r="GB8" s="13"/>
      <c r="GH8" s="13"/>
      <c r="GJ8" s="13"/>
      <c r="GK8" s="12"/>
      <c r="GV8" s="13"/>
      <c r="GW8" s="13"/>
    </row>
    <row r="9" spans="19:205" ht="18" customHeight="1" x14ac:dyDescent="0.2">
      <c r="S9" s="12"/>
      <c r="U9" s="12"/>
      <c r="AP9" s="13"/>
      <c r="AQ9" s="13"/>
      <c r="AR9" s="12"/>
      <c r="BA9" s="13"/>
      <c r="BC9" s="12"/>
      <c r="BL9" s="13"/>
      <c r="BM9" s="12"/>
      <c r="BN9" s="12"/>
      <c r="CN9" s="13"/>
      <c r="CP9" s="13"/>
      <c r="CQ9" s="12"/>
      <c r="DB9" s="13"/>
      <c r="DC9" s="13"/>
      <c r="DN9" s="12"/>
      <c r="DP9" s="12"/>
      <c r="EK9" s="13"/>
      <c r="EL9" s="13"/>
      <c r="EM9" s="12"/>
      <c r="EV9" s="13"/>
      <c r="EX9" s="12"/>
      <c r="FG9" s="13"/>
      <c r="FH9" s="12"/>
      <c r="FI9" s="12"/>
      <c r="FQ9" s="12"/>
      <c r="GB9" s="13"/>
      <c r="GH9" s="13"/>
      <c r="GJ9" s="13"/>
      <c r="GK9" s="12"/>
      <c r="GV9" s="13"/>
      <c r="GW9" s="13"/>
    </row>
    <row r="10" spans="19:205" ht="18" customHeight="1" x14ac:dyDescent="0.2">
      <c r="S10" s="12"/>
      <c r="U10" s="12"/>
      <c r="AP10" s="13"/>
      <c r="AQ10" s="13"/>
      <c r="AR10" s="12"/>
      <c r="BA10" s="13"/>
      <c r="BC10" s="12"/>
      <c r="BL10" s="13"/>
      <c r="BM10" s="12"/>
      <c r="BN10" s="12"/>
      <c r="CN10" s="13"/>
      <c r="CP10" s="13"/>
      <c r="CQ10" s="12"/>
      <c r="DB10" s="13"/>
      <c r="DC10" s="13"/>
      <c r="DN10" s="12"/>
      <c r="DP10" s="12"/>
      <c r="EK10" s="13"/>
      <c r="EL10" s="13"/>
      <c r="EM10" s="12"/>
      <c r="EV10" s="13"/>
      <c r="EX10" s="12"/>
      <c r="FG10" s="13"/>
      <c r="FH10" s="12"/>
      <c r="FI10" s="12"/>
      <c r="FQ10" s="12"/>
      <c r="GB10" s="13"/>
      <c r="GH10" s="13"/>
      <c r="GJ10" s="13"/>
      <c r="GK10" s="12"/>
      <c r="GV10" s="13"/>
      <c r="GW10" s="13"/>
    </row>
    <row r="11" spans="19:205" ht="18" customHeight="1" x14ac:dyDescent="0.2">
      <c r="S11" s="12"/>
      <c r="U11" s="12"/>
      <c r="AP11" s="13"/>
      <c r="AQ11" s="13"/>
      <c r="AR11" s="12"/>
      <c r="BA11" s="13"/>
      <c r="BC11" s="12"/>
      <c r="BL11" s="13"/>
      <c r="BM11" s="12"/>
      <c r="BN11" s="12"/>
      <c r="CN11" s="13"/>
      <c r="CP11" s="13"/>
      <c r="CQ11" s="12"/>
      <c r="DB11" s="13"/>
      <c r="DC11" s="13"/>
      <c r="DN11" s="12"/>
      <c r="DP11" s="12"/>
      <c r="EK11" s="13"/>
      <c r="EL11" s="13"/>
      <c r="EM11" s="12"/>
      <c r="EV11" s="13"/>
      <c r="EX11" s="12"/>
      <c r="FG11" s="13"/>
      <c r="FH11" s="12"/>
      <c r="FI11" s="12"/>
      <c r="FQ11" s="12"/>
      <c r="GB11" s="13"/>
      <c r="GH11" s="13"/>
      <c r="GJ11" s="13"/>
      <c r="GK11" s="12"/>
      <c r="GV11" s="13"/>
      <c r="GW11" s="13"/>
    </row>
    <row r="12" spans="19:205" ht="18" customHeight="1" x14ac:dyDescent="0.2">
      <c r="S12" s="12"/>
      <c r="U12" s="12"/>
      <c r="AP12" s="13"/>
      <c r="AQ12" s="13"/>
      <c r="AR12" s="12"/>
      <c r="BA12" s="13"/>
      <c r="BC12" s="12"/>
      <c r="BL12" s="13"/>
      <c r="BM12" s="12"/>
      <c r="BN12" s="12"/>
      <c r="CN12" s="13"/>
      <c r="CP12" s="13"/>
      <c r="CQ12" s="12"/>
      <c r="DB12" s="13"/>
      <c r="DC12" s="13"/>
      <c r="DN12" s="12"/>
      <c r="DP12" s="12"/>
      <c r="EK12" s="13"/>
      <c r="EL12" s="13"/>
      <c r="EM12" s="12"/>
      <c r="EV12" s="13"/>
      <c r="EX12" s="12"/>
      <c r="FG12" s="13"/>
      <c r="FH12" s="12"/>
      <c r="FI12" s="12"/>
      <c r="FQ12" s="12"/>
      <c r="GB12" s="13"/>
      <c r="GH12" s="13"/>
      <c r="GJ12" s="13"/>
      <c r="GK12" s="12"/>
      <c r="GV12" s="13"/>
      <c r="GW12" s="13"/>
    </row>
    <row r="13" spans="19:205" ht="18" customHeight="1" x14ac:dyDescent="0.2">
      <c r="S13" s="12"/>
      <c r="U13" s="12"/>
      <c r="AP13" s="13"/>
      <c r="AQ13" s="13"/>
      <c r="AR13" s="12"/>
      <c r="BA13" s="13"/>
      <c r="BC13" s="12"/>
      <c r="BL13" s="13"/>
      <c r="BM13" s="12"/>
      <c r="BN13" s="12"/>
      <c r="CN13" s="13"/>
      <c r="CP13" s="13"/>
      <c r="CQ13" s="12"/>
      <c r="DB13" s="13"/>
      <c r="DC13" s="13"/>
      <c r="DN13" s="12"/>
      <c r="DP13" s="12"/>
      <c r="EK13" s="13"/>
      <c r="EL13" s="13"/>
      <c r="EM13" s="14"/>
      <c r="EN13" s="15"/>
      <c r="EO13" s="15"/>
      <c r="EP13" s="15"/>
      <c r="EQ13" s="15"/>
      <c r="ER13" s="15"/>
      <c r="ES13" s="15"/>
      <c r="ET13" s="15"/>
      <c r="EU13" s="15"/>
      <c r="EV13" s="16"/>
      <c r="EX13" s="14"/>
      <c r="EY13" s="15"/>
      <c r="EZ13" s="15"/>
      <c r="FA13" s="15"/>
      <c r="FB13" s="15"/>
      <c r="FC13" s="15"/>
      <c r="FD13" s="15"/>
      <c r="FE13" s="15"/>
      <c r="FF13" s="15"/>
      <c r="FG13" s="16"/>
      <c r="FH13" s="12"/>
      <c r="FI13" s="12"/>
      <c r="FQ13" s="12"/>
      <c r="GB13" s="13"/>
      <c r="GH13" s="13"/>
      <c r="GJ13" s="13"/>
      <c r="GK13" s="12"/>
      <c r="GV13" s="13"/>
      <c r="GW13" s="13"/>
    </row>
    <row r="14" spans="19:205" ht="18" customHeight="1" x14ac:dyDescent="0.2">
      <c r="S14" s="12"/>
      <c r="U14" s="12"/>
      <c r="AP14" s="13"/>
      <c r="AQ14" s="13"/>
      <c r="AR14" s="12"/>
      <c r="BA14" s="13"/>
      <c r="BC14" s="12"/>
      <c r="BL14" s="13"/>
      <c r="BM14" s="12"/>
      <c r="BN14" s="12"/>
      <c r="CN14" s="13"/>
      <c r="CP14" s="13"/>
      <c r="CQ14" s="12"/>
      <c r="DB14" s="13"/>
      <c r="DC14" s="13"/>
      <c r="DN14" s="12"/>
      <c r="DP14" s="12"/>
      <c r="EK14" s="13"/>
      <c r="EL14" s="13"/>
      <c r="EM14" s="12"/>
      <c r="EV14" s="13"/>
      <c r="EX14" s="12"/>
      <c r="FG14" s="13"/>
      <c r="FH14" s="12"/>
      <c r="FI14" s="12"/>
      <c r="FQ14" s="12"/>
      <c r="GB14" s="13"/>
      <c r="GH14" s="13"/>
      <c r="GJ14" s="13"/>
      <c r="GK14" s="12"/>
      <c r="GV14" s="13"/>
      <c r="GW14" s="13"/>
    </row>
    <row r="15" spans="19:205" ht="18" customHeight="1" x14ac:dyDescent="0.2">
      <c r="S15" s="12"/>
      <c r="U15" s="12"/>
      <c r="AP15" s="13"/>
      <c r="AQ15" s="13"/>
      <c r="AR15" s="12"/>
      <c r="BA15" s="13"/>
      <c r="BC15" s="12"/>
      <c r="BL15" s="13"/>
      <c r="BM15" s="12"/>
      <c r="BN15" s="12"/>
      <c r="CN15" s="13"/>
      <c r="CP15" s="13"/>
      <c r="CQ15" s="12"/>
      <c r="DB15" s="13"/>
      <c r="DC15" s="13"/>
      <c r="DN15" s="12"/>
      <c r="DP15" s="12"/>
      <c r="EK15" s="13"/>
      <c r="EL15" s="13"/>
      <c r="EM15" s="12"/>
      <c r="EV15" s="13"/>
      <c r="EX15" s="12"/>
      <c r="FG15" s="13"/>
      <c r="FH15" s="12"/>
      <c r="FI15" s="12"/>
      <c r="FQ15" s="12"/>
      <c r="GB15" s="13"/>
      <c r="GH15" s="13"/>
      <c r="GJ15" s="13"/>
      <c r="GK15" s="12"/>
      <c r="GV15" s="13"/>
      <c r="GW15" s="13"/>
    </row>
    <row r="16" spans="19:205" ht="18" customHeight="1" x14ac:dyDescent="0.2">
      <c r="S16" s="12"/>
      <c r="U16" s="12"/>
      <c r="AP16" s="13"/>
      <c r="AQ16" s="13"/>
      <c r="AR16" s="12"/>
      <c r="BA16" s="13"/>
      <c r="BC16" s="12"/>
      <c r="BL16" s="13"/>
      <c r="BM16" s="12"/>
      <c r="BN16" s="12"/>
      <c r="CN16" s="13"/>
      <c r="CP16" s="13"/>
      <c r="CQ16" s="12"/>
      <c r="DB16" s="13"/>
      <c r="DC16" s="13"/>
      <c r="DN16" s="12"/>
      <c r="DP16" s="12"/>
      <c r="EK16" s="13"/>
      <c r="EL16" s="13"/>
      <c r="EM16" s="12"/>
      <c r="EV16" s="13"/>
      <c r="EX16" s="12"/>
      <c r="FG16" s="13"/>
      <c r="FH16" s="12"/>
      <c r="FI16" s="12"/>
      <c r="FQ16" s="12"/>
      <c r="GB16" s="13"/>
      <c r="GH16" s="13"/>
      <c r="GJ16" s="13"/>
      <c r="GK16" s="12"/>
      <c r="GV16" s="13"/>
      <c r="GW16" s="13"/>
    </row>
    <row r="17" spans="19:205" ht="18" customHeight="1" x14ac:dyDescent="0.2">
      <c r="S17" s="12"/>
      <c r="U17" s="12"/>
      <c r="AP17" s="13"/>
      <c r="AQ17" s="13"/>
      <c r="AR17" s="12"/>
      <c r="BA17" s="13"/>
      <c r="BC17" s="12"/>
      <c r="BL17" s="13"/>
      <c r="BM17" s="12"/>
      <c r="BN17" s="12"/>
      <c r="CN17" s="13"/>
      <c r="CP17" s="13"/>
      <c r="CQ17" s="12"/>
      <c r="DB17" s="13"/>
      <c r="DC17" s="13"/>
      <c r="DN17" s="12"/>
      <c r="DP17" s="12"/>
      <c r="EK17" s="13"/>
      <c r="EL17" s="13"/>
      <c r="EM17" s="12"/>
      <c r="EV17" s="13"/>
      <c r="EX17" s="12"/>
      <c r="FG17" s="13"/>
      <c r="FH17" s="12"/>
      <c r="FI17" s="12"/>
      <c r="FQ17" s="14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6"/>
      <c r="GH17" s="13"/>
      <c r="GJ17" s="13"/>
      <c r="GK17" s="12"/>
      <c r="GV17" s="13"/>
      <c r="GW17" s="13"/>
    </row>
    <row r="18" spans="19:205" ht="18" customHeight="1" x14ac:dyDescent="0.2">
      <c r="S18" s="12"/>
      <c r="U18" s="12"/>
      <c r="AP18" s="13"/>
      <c r="AQ18" s="13"/>
      <c r="AR18" s="12"/>
      <c r="BA18" s="13"/>
      <c r="BC18" s="12"/>
      <c r="BL18" s="13"/>
      <c r="BM18" s="23"/>
      <c r="BN18" s="12"/>
      <c r="CN18" s="13"/>
      <c r="CP18" s="13"/>
      <c r="CQ18" s="12"/>
      <c r="DB18" s="13"/>
      <c r="DC18" s="13"/>
      <c r="DN18" s="12"/>
      <c r="DP18" s="12"/>
      <c r="EK18" s="13"/>
      <c r="EL18" s="13"/>
      <c r="EM18" s="12"/>
      <c r="EV18" s="13"/>
      <c r="EX18" s="12"/>
      <c r="FG18" s="13"/>
      <c r="FH18" s="23"/>
      <c r="FI18" s="12"/>
      <c r="GH18" s="13"/>
      <c r="GJ18" s="13"/>
      <c r="GK18" s="12"/>
      <c r="GV18" s="13"/>
      <c r="GW18" s="13"/>
    </row>
    <row r="19" spans="19:205" ht="18" customHeight="1" x14ac:dyDescent="0.2">
      <c r="S19" s="12"/>
      <c r="U19" s="12"/>
      <c r="AP19" s="13"/>
      <c r="AQ19" s="13"/>
      <c r="AR19" s="12"/>
      <c r="BA19" s="13"/>
      <c r="BC19" s="12"/>
      <c r="BL19" s="13"/>
      <c r="BM19" s="24"/>
      <c r="BN19" s="12"/>
      <c r="CN19" s="13"/>
      <c r="CP19" s="13"/>
      <c r="CQ19" s="12"/>
      <c r="DB19" s="13"/>
      <c r="DC19" s="13"/>
      <c r="DN19" s="12"/>
      <c r="DP19" s="12"/>
      <c r="EK19" s="13"/>
      <c r="EL19" s="13"/>
      <c r="EM19" s="12"/>
      <c r="EV19" s="13"/>
      <c r="EX19" s="12"/>
      <c r="FG19" s="13"/>
      <c r="FH19" s="24"/>
      <c r="FI19" s="12"/>
      <c r="GH19" s="13"/>
      <c r="GJ19" s="13"/>
      <c r="GK19" s="12"/>
      <c r="GV19" s="13"/>
      <c r="GW19" s="13"/>
    </row>
    <row r="20" spans="19:205" ht="18" customHeight="1" x14ac:dyDescent="0.2">
      <c r="S20" s="12"/>
      <c r="U20" s="12"/>
      <c r="AP20" s="13"/>
      <c r="AQ20" s="13"/>
      <c r="AR20" s="12"/>
      <c r="BA20" s="13"/>
      <c r="BC20" s="12"/>
      <c r="BL20" s="13"/>
      <c r="BM20" s="24"/>
      <c r="BN20" s="12"/>
      <c r="CN20" s="13"/>
      <c r="CP20" s="13"/>
      <c r="CQ20" s="12"/>
      <c r="DB20" s="13"/>
      <c r="DC20" s="13"/>
      <c r="DN20" s="12"/>
      <c r="DP20" s="12"/>
      <c r="EK20" s="13"/>
      <c r="EL20" s="13"/>
      <c r="EM20" s="12"/>
      <c r="EV20" s="13"/>
      <c r="EX20" s="12"/>
      <c r="FG20" s="13"/>
      <c r="FH20" s="24"/>
      <c r="FI20" s="12"/>
      <c r="GH20" s="13"/>
      <c r="GJ20" s="13"/>
      <c r="GK20" s="12"/>
      <c r="GV20" s="13"/>
      <c r="GW20" s="13"/>
    </row>
    <row r="21" spans="19:205" ht="18" customHeight="1" x14ac:dyDescent="0.2">
      <c r="S21" s="12"/>
      <c r="U21" s="12"/>
      <c r="AP21" s="13"/>
      <c r="AQ21" s="13"/>
      <c r="AR21" s="12"/>
      <c r="BA21" s="13"/>
      <c r="BC21" s="12"/>
      <c r="BL21" s="13"/>
      <c r="BM21" s="24"/>
      <c r="BN21" s="12"/>
      <c r="CN21" s="13"/>
      <c r="CP21" s="13"/>
      <c r="CQ21" s="12"/>
      <c r="DB21" s="13"/>
      <c r="DC21" s="13"/>
      <c r="DN21" s="12"/>
      <c r="DP21" s="12"/>
      <c r="EK21" s="13"/>
      <c r="EL21" s="13"/>
      <c r="EM21" s="12"/>
      <c r="EV21" s="13"/>
      <c r="EX21" s="12"/>
      <c r="FG21" s="13"/>
      <c r="FH21" s="24"/>
      <c r="FI21" s="12"/>
      <c r="GH21" s="13"/>
      <c r="GJ21" s="13"/>
      <c r="GK21" s="12"/>
      <c r="GV21" s="13"/>
      <c r="GW21" s="13"/>
    </row>
    <row r="22" spans="19:205" ht="18" customHeight="1" x14ac:dyDescent="0.2">
      <c r="S22" s="12"/>
      <c r="U22" s="12"/>
      <c r="AP22" s="13"/>
      <c r="AQ22" s="13"/>
      <c r="AR22" s="12"/>
      <c r="BA22" s="13"/>
      <c r="BC22" s="12"/>
      <c r="BL22" s="13"/>
      <c r="BM22" s="25"/>
      <c r="BN22" s="12"/>
      <c r="CN22" s="13"/>
      <c r="CP22" s="13"/>
      <c r="CQ22" s="12"/>
      <c r="DB22" s="13"/>
      <c r="DC22" s="13"/>
      <c r="DN22" s="12"/>
      <c r="DP22" s="12"/>
      <c r="EK22" s="13"/>
      <c r="EL22" s="13"/>
      <c r="EM22" s="12"/>
      <c r="EV22" s="13"/>
      <c r="EX22" s="12"/>
      <c r="FG22" s="13"/>
      <c r="FH22" s="25"/>
      <c r="FI22" s="12"/>
      <c r="GH22" s="13"/>
      <c r="GJ22" s="13"/>
      <c r="GK22" s="12"/>
      <c r="GV22" s="13"/>
      <c r="GW22" s="13"/>
    </row>
    <row r="23" spans="19:205" ht="18" customHeight="1" x14ac:dyDescent="0.2">
      <c r="S23" s="12"/>
      <c r="U23" s="12"/>
      <c r="AP23" s="13"/>
      <c r="AQ23" s="13"/>
      <c r="AR23" s="14"/>
      <c r="AS23" s="15"/>
      <c r="AT23" s="15"/>
      <c r="AU23" s="15"/>
      <c r="AV23" s="15"/>
      <c r="AW23" s="15"/>
      <c r="AX23" s="15"/>
      <c r="AY23" s="15"/>
      <c r="AZ23" s="15"/>
      <c r="BA23" s="16"/>
      <c r="BC23" s="14"/>
      <c r="BD23" s="15"/>
      <c r="BE23" s="15"/>
      <c r="BF23" s="15"/>
      <c r="BG23" s="15"/>
      <c r="BH23" s="15"/>
      <c r="BI23" s="15"/>
      <c r="BJ23" s="15"/>
      <c r="BK23" s="15"/>
      <c r="BL23" s="16"/>
      <c r="BM23" s="12"/>
      <c r="BN23" s="12"/>
      <c r="CN23" s="13"/>
      <c r="CP23" s="13"/>
      <c r="CQ23" s="12"/>
      <c r="DB23" s="13"/>
      <c r="DC23" s="13"/>
      <c r="DN23" s="12"/>
      <c r="DP23" s="12"/>
      <c r="EK23" s="13"/>
      <c r="EL23" s="13"/>
      <c r="EM23" s="14"/>
      <c r="EN23" s="15"/>
      <c r="EO23" s="15"/>
      <c r="EP23" s="15"/>
      <c r="EQ23" s="15"/>
      <c r="ER23" s="15"/>
      <c r="ES23" s="15"/>
      <c r="ET23" s="15"/>
      <c r="EU23" s="15"/>
      <c r="EV23" s="16"/>
      <c r="EX23" s="14"/>
      <c r="EY23" s="15"/>
      <c r="EZ23" s="15"/>
      <c r="FA23" s="15"/>
      <c r="FB23" s="15"/>
      <c r="FC23" s="15"/>
      <c r="FD23" s="15"/>
      <c r="FE23" s="15"/>
      <c r="FF23" s="15"/>
      <c r="FG23" s="16"/>
      <c r="FH23" s="12"/>
      <c r="FI23" s="12"/>
      <c r="GH23" s="13"/>
      <c r="GJ23" s="13"/>
      <c r="GK23" s="12"/>
      <c r="GV23" s="13"/>
      <c r="GW23" s="13"/>
    </row>
    <row r="24" spans="19:205" ht="18" customHeight="1" x14ac:dyDescent="0.2">
      <c r="S24" s="12"/>
      <c r="U24" s="12"/>
      <c r="AP24" s="13"/>
      <c r="AQ24" s="12"/>
      <c r="AR24" s="15"/>
      <c r="AS24" s="15"/>
      <c r="AT24" s="15"/>
      <c r="AU24" s="15"/>
      <c r="AV24" s="26"/>
      <c r="AW24" s="27"/>
      <c r="AX24" s="27"/>
      <c r="AY24" s="27"/>
      <c r="AZ24" s="28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21"/>
      <c r="BN24" s="12"/>
      <c r="CN24" s="13"/>
      <c r="CP24" s="13"/>
      <c r="CQ24" s="12"/>
      <c r="DB24" s="13"/>
      <c r="DC24" s="13"/>
      <c r="DN24" s="12"/>
      <c r="DP24" s="12"/>
      <c r="EK24" s="13"/>
      <c r="EL24" s="12"/>
      <c r="EM24" s="15"/>
      <c r="EN24" s="15"/>
      <c r="EO24" s="15"/>
      <c r="EP24" s="15"/>
      <c r="EQ24" s="26"/>
      <c r="ER24" s="27"/>
      <c r="ES24" s="27"/>
      <c r="ET24" s="27"/>
      <c r="EU24" s="28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21"/>
      <c r="FI24" s="12"/>
      <c r="GH24" s="13"/>
      <c r="GJ24" s="13"/>
      <c r="GK24" s="12"/>
      <c r="GV24" s="13"/>
      <c r="GW24" s="13"/>
    </row>
    <row r="25" spans="19:205" ht="18" customHeight="1" x14ac:dyDescent="0.2">
      <c r="S25" s="12"/>
      <c r="U25" s="12"/>
      <c r="AP25" s="13"/>
      <c r="AQ25" s="13"/>
      <c r="BM25" s="12"/>
      <c r="BN25" s="12"/>
      <c r="CN25" s="13"/>
      <c r="CP25" s="13"/>
      <c r="CQ25" s="12"/>
      <c r="DB25" s="13"/>
      <c r="DC25" s="13"/>
      <c r="DN25" s="12"/>
      <c r="DP25" s="12"/>
      <c r="EK25" s="13"/>
      <c r="EL25" s="13"/>
      <c r="FH25" s="12"/>
      <c r="FI25" s="12"/>
      <c r="GH25" s="13"/>
      <c r="GJ25" s="13"/>
      <c r="GK25" s="12"/>
      <c r="GV25" s="13"/>
      <c r="GW25" s="13"/>
    </row>
    <row r="26" spans="19:205" ht="18" customHeight="1" x14ac:dyDescent="0.2">
      <c r="S26" s="12"/>
      <c r="U26" s="12"/>
      <c r="AP26" s="13"/>
      <c r="AQ26" s="23"/>
      <c r="BM26" s="23"/>
      <c r="BN26" s="12"/>
      <c r="CN26" s="13"/>
      <c r="CP26" s="13"/>
      <c r="CQ26" s="12"/>
      <c r="DB26" s="13"/>
      <c r="DC26" s="13"/>
      <c r="DN26" s="12"/>
      <c r="DP26" s="12"/>
      <c r="EK26" s="13"/>
      <c r="EL26" s="23"/>
      <c r="FH26" s="23"/>
      <c r="FI26" s="12"/>
      <c r="GH26" s="13"/>
      <c r="GJ26" s="13"/>
      <c r="GK26" s="12"/>
      <c r="GV26" s="13"/>
      <c r="GW26" s="13"/>
    </row>
    <row r="27" spans="19:205" ht="18" customHeight="1" x14ac:dyDescent="0.2">
      <c r="S27" s="12"/>
      <c r="U27" s="12"/>
      <c r="AP27" s="13"/>
      <c r="AQ27" s="24"/>
      <c r="BM27" s="24"/>
      <c r="BN27" s="12"/>
      <c r="CN27" s="13"/>
      <c r="CP27" s="13"/>
      <c r="CQ27" s="12"/>
      <c r="DB27" s="13"/>
      <c r="DC27" s="13"/>
      <c r="DN27" s="12"/>
      <c r="DP27" s="12"/>
      <c r="EK27" s="13"/>
      <c r="EL27" s="24"/>
      <c r="FH27" s="24"/>
      <c r="FI27" s="12"/>
      <c r="GH27" s="13"/>
      <c r="GJ27" s="13"/>
      <c r="GK27" s="12"/>
      <c r="GV27" s="13"/>
      <c r="GW27" s="13"/>
    </row>
    <row r="28" spans="19:205" ht="18" customHeight="1" x14ac:dyDescent="0.2">
      <c r="S28" s="12"/>
      <c r="U28" s="12"/>
      <c r="AP28" s="13"/>
      <c r="AQ28" s="24"/>
      <c r="BM28" s="24"/>
      <c r="BN28" s="12"/>
      <c r="CN28" s="13"/>
      <c r="CP28" s="13"/>
      <c r="CQ28" s="12"/>
      <c r="DB28" s="13"/>
      <c r="DC28" s="13"/>
      <c r="DN28" s="12"/>
      <c r="DP28" s="9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1"/>
      <c r="EK28" s="13"/>
      <c r="EL28" s="24"/>
      <c r="FH28" s="24"/>
      <c r="FI28" s="12"/>
      <c r="FW28" s="9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1"/>
      <c r="GJ28" s="13"/>
      <c r="GK28" s="12"/>
      <c r="GV28" s="13"/>
      <c r="GW28" s="13"/>
    </row>
    <row r="29" spans="19:205" ht="18" customHeight="1" x14ac:dyDescent="0.2">
      <c r="S29" s="12"/>
      <c r="U29" s="12"/>
      <c r="AP29" s="13"/>
      <c r="AQ29" s="24"/>
      <c r="BM29" s="24"/>
      <c r="BN29" s="12"/>
      <c r="CN29" s="13"/>
      <c r="CP29" s="13"/>
      <c r="CQ29" s="12"/>
      <c r="DB29" s="13"/>
      <c r="DC29" s="13"/>
      <c r="DN29" s="12"/>
      <c r="DP29" s="12"/>
      <c r="EA29" s="13"/>
      <c r="EK29" s="13"/>
      <c r="EL29" s="24"/>
      <c r="FH29" s="24"/>
      <c r="FI29" s="12"/>
      <c r="FW29" s="12"/>
      <c r="GH29" s="13"/>
      <c r="GJ29" s="13"/>
      <c r="GK29" s="12"/>
      <c r="GV29" s="13"/>
      <c r="GW29" s="13"/>
    </row>
    <row r="30" spans="19:205" ht="18" customHeight="1" x14ac:dyDescent="0.2">
      <c r="S30" s="12"/>
      <c r="U30" s="12"/>
      <c r="AP30" s="13"/>
      <c r="AQ30" s="25"/>
      <c r="BM30" s="25"/>
      <c r="BN30" s="12"/>
      <c r="CN30" s="13"/>
      <c r="CP30" s="13"/>
      <c r="CQ30" s="12"/>
      <c r="DB30" s="13"/>
      <c r="DC30" s="13"/>
      <c r="DN30" s="12"/>
      <c r="DP30" s="12"/>
      <c r="EA30" s="13"/>
      <c r="EK30" s="13"/>
      <c r="EL30" s="25"/>
      <c r="FH30" s="25"/>
      <c r="FI30" s="12"/>
      <c r="FW30" s="12"/>
      <c r="GH30" s="13"/>
      <c r="GJ30" s="13"/>
      <c r="GK30" s="12"/>
      <c r="GV30" s="13"/>
      <c r="GW30" s="13"/>
    </row>
    <row r="31" spans="19:205" ht="18" customHeight="1" x14ac:dyDescent="0.2">
      <c r="S31" s="12"/>
      <c r="U31" s="14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6"/>
      <c r="AQ31" s="13"/>
      <c r="BM31" s="12"/>
      <c r="BN31" s="14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6"/>
      <c r="CP31" s="13"/>
      <c r="CQ31" s="12"/>
      <c r="DB31" s="13"/>
      <c r="DC31" s="13"/>
      <c r="DN31" s="12"/>
      <c r="DP31" s="14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6"/>
      <c r="EB31" s="15"/>
      <c r="EC31" s="15"/>
      <c r="ED31" s="15"/>
      <c r="EE31" s="15"/>
      <c r="EF31" s="15"/>
      <c r="EG31" s="15"/>
      <c r="EH31" s="15"/>
      <c r="EI31" s="15"/>
      <c r="EJ31" s="15"/>
      <c r="EK31" s="16"/>
      <c r="EL31" s="13"/>
      <c r="FH31" s="12"/>
      <c r="FI31" s="14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4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6"/>
      <c r="GJ31" s="13"/>
      <c r="GK31" s="12"/>
      <c r="GV31" s="13"/>
      <c r="GW31" s="13"/>
    </row>
    <row r="32" spans="19:205" ht="18" customHeight="1" x14ac:dyDescent="0.2">
      <c r="S32" s="12"/>
      <c r="U32" s="12"/>
      <c r="AQ32" s="13"/>
      <c r="BM32" s="14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6"/>
      <c r="CP32" s="13"/>
      <c r="CQ32" s="12"/>
      <c r="DB32" s="13"/>
      <c r="DC32" s="13"/>
      <c r="DN32" s="12"/>
      <c r="DP32" s="12"/>
      <c r="EL32" s="13"/>
      <c r="FH32" s="14"/>
      <c r="FI32" s="15"/>
      <c r="FJ32" s="15"/>
      <c r="FK32" s="15"/>
      <c r="FL32" s="15"/>
      <c r="FM32" s="15"/>
      <c r="FN32" s="15"/>
      <c r="FO32" s="15"/>
      <c r="FP32" s="15"/>
      <c r="FQ32" s="15"/>
      <c r="FR32" s="15"/>
      <c r="FS32" s="15"/>
      <c r="FT32" s="15"/>
      <c r="FU32" s="15"/>
      <c r="FV32" s="15"/>
      <c r="FW32" s="15"/>
      <c r="FX32" s="15"/>
      <c r="FY32" s="15"/>
      <c r="FZ32" s="15"/>
      <c r="GA32" s="15"/>
      <c r="GB32" s="15"/>
      <c r="GC32" s="15"/>
      <c r="GD32" s="15"/>
      <c r="GE32" s="15"/>
      <c r="GF32" s="15"/>
      <c r="GG32" s="15"/>
      <c r="GH32" s="16"/>
      <c r="GJ32" s="13"/>
      <c r="GK32" s="12"/>
      <c r="GV32" s="13"/>
      <c r="GW32" s="13"/>
    </row>
    <row r="33" spans="19:205" ht="18" customHeight="1" x14ac:dyDescent="0.2">
      <c r="S33" s="12"/>
      <c r="U33" s="9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1"/>
      <c r="AQ33" s="13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1"/>
      <c r="CP33" s="13"/>
      <c r="CQ33" s="12"/>
      <c r="DB33" s="13"/>
      <c r="DC33" s="13"/>
      <c r="DN33" s="12"/>
      <c r="DP33" s="9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1"/>
      <c r="EL33" s="13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1"/>
      <c r="GJ33" s="13"/>
      <c r="GK33" s="12"/>
      <c r="GV33" s="13"/>
      <c r="GW33" s="13"/>
    </row>
    <row r="34" spans="19:205" ht="18" customHeight="1" x14ac:dyDescent="0.2">
      <c r="S34" s="12"/>
      <c r="U34" s="12"/>
      <c r="AP34" s="13"/>
      <c r="AQ34" s="23"/>
      <c r="CN34" s="13"/>
      <c r="CP34" s="13"/>
      <c r="CQ34" s="12"/>
      <c r="DB34" s="13"/>
      <c r="DC34" s="13"/>
      <c r="DN34" s="12"/>
      <c r="DP34" s="12"/>
      <c r="EK34" s="13"/>
      <c r="EL34" s="23"/>
      <c r="GH34" s="13"/>
      <c r="GJ34" s="13"/>
      <c r="GK34" s="12"/>
      <c r="GV34" s="13"/>
      <c r="GW34" s="13"/>
    </row>
    <row r="35" spans="19:205" ht="18" customHeight="1" x14ac:dyDescent="0.2">
      <c r="S35" s="12"/>
      <c r="U35" s="12"/>
      <c r="AP35" s="13"/>
      <c r="AQ35" s="24"/>
      <c r="CN35" s="13"/>
      <c r="CP35" s="13"/>
      <c r="CQ35" s="12"/>
      <c r="DB35" s="13"/>
      <c r="DC35" s="13"/>
      <c r="DN35" s="12"/>
      <c r="DP35" s="12"/>
      <c r="EK35" s="13"/>
      <c r="EL35" s="24"/>
      <c r="GH35" s="13"/>
      <c r="GJ35" s="13"/>
      <c r="GK35" s="12"/>
      <c r="GV35" s="13"/>
      <c r="GW35" s="13"/>
    </row>
    <row r="36" spans="19:205" ht="18" customHeight="1" x14ac:dyDescent="0.2">
      <c r="S36" s="12"/>
      <c r="U36" s="12"/>
      <c r="AP36" s="13"/>
      <c r="AQ36" s="24"/>
      <c r="CN36" s="13"/>
      <c r="CP36" s="13"/>
      <c r="CQ36" s="12"/>
      <c r="DB36" s="13"/>
      <c r="DC36" s="13"/>
      <c r="DN36" s="12"/>
      <c r="DP36" s="12"/>
      <c r="EK36" s="13"/>
      <c r="EL36" s="24"/>
      <c r="GH36" s="13"/>
      <c r="GJ36" s="13"/>
      <c r="GK36" s="12"/>
      <c r="GV36" s="13"/>
      <c r="GW36" s="13"/>
    </row>
    <row r="37" spans="19:205" ht="18" customHeight="1" x14ac:dyDescent="0.2">
      <c r="S37" s="12"/>
      <c r="U37" s="12"/>
      <c r="AP37" s="13"/>
      <c r="AQ37" s="24"/>
      <c r="CN37" s="13"/>
      <c r="CP37" s="13"/>
      <c r="CQ37" s="12"/>
      <c r="DB37" s="13"/>
      <c r="DC37" s="13"/>
      <c r="DN37" s="12"/>
      <c r="DP37" s="12"/>
      <c r="EK37" s="13"/>
      <c r="EL37" s="24"/>
      <c r="GH37" s="13"/>
      <c r="GJ37" s="13"/>
      <c r="GK37" s="12"/>
      <c r="GV37" s="13"/>
      <c r="GW37" s="13"/>
    </row>
    <row r="38" spans="19:205" ht="18" customHeight="1" x14ac:dyDescent="0.2">
      <c r="S38" s="12"/>
      <c r="U38" s="12"/>
      <c r="AP38" s="13"/>
      <c r="AQ38" s="25"/>
      <c r="CN38" s="13"/>
      <c r="CP38" s="13"/>
      <c r="CQ38" s="12"/>
      <c r="DB38" s="13"/>
      <c r="DC38" s="13"/>
      <c r="DN38" s="12"/>
      <c r="DP38" s="12"/>
      <c r="EK38" s="13"/>
      <c r="EL38" s="25"/>
      <c r="GH38" s="13"/>
      <c r="GJ38" s="13"/>
      <c r="GK38" s="12"/>
      <c r="GV38" s="13"/>
      <c r="GW38" s="13"/>
    </row>
    <row r="39" spans="19:205" ht="18" customHeight="1" x14ac:dyDescent="0.2">
      <c r="S39" s="12"/>
      <c r="U39" s="12"/>
      <c r="AP39" s="13"/>
      <c r="AQ39" s="13"/>
      <c r="CN39" s="13"/>
      <c r="CP39" s="13"/>
      <c r="CQ39" s="12"/>
      <c r="DB39" s="13"/>
      <c r="DC39" s="13"/>
      <c r="DN39" s="12"/>
      <c r="DP39" s="12"/>
      <c r="EK39" s="13"/>
      <c r="EL39" s="13"/>
      <c r="GH39" s="13"/>
      <c r="GJ39" s="13"/>
      <c r="GK39" s="12"/>
      <c r="GV39" s="13"/>
      <c r="GW39" s="13"/>
    </row>
    <row r="40" spans="19:205" ht="18" customHeight="1" x14ac:dyDescent="0.2">
      <c r="S40" s="12"/>
      <c r="U40" s="12"/>
      <c r="AP40" s="13"/>
      <c r="AQ40" s="13"/>
      <c r="CN40" s="13"/>
      <c r="CP40" s="13"/>
      <c r="CQ40" s="12"/>
      <c r="DB40" s="13"/>
      <c r="DC40" s="13"/>
      <c r="DN40" s="12"/>
      <c r="DP40" s="12"/>
      <c r="EK40" s="13"/>
      <c r="EL40" s="13"/>
      <c r="GH40" s="13"/>
      <c r="GJ40" s="13"/>
      <c r="GK40" s="12"/>
      <c r="GV40" s="13"/>
      <c r="GW40" s="13"/>
    </row>
    <row r="41" spans="19:205" ht="18" customHeight="1" x14ac:dyDescent="0.2">
      <c r="S41" s="12"/>
      <c r="U41" s="12"/>
      <c r="AP41" s="13"/>
      <c r="AQ41" s="13"/>
      <c r="CN41" s="13"/>
      <c r="CP41" s="13"/>
      <c r="CQ41" s="12"/>
      <c r="DB41" s="13"/>
      <c r="DC41" s="13"/>
      <c r="DN41" s="12"/>
      <c r="DP41" s="12"/>
      <c r="EK41" s="13"/>
      <c r="EL41" s="13"/>
      <c r="GH41" s="13"/>
      <c r="GJ41" s="13"/>
      <c r="GK41" s="12"/>
      <c r="GV41" s="13"/>
      <c r="GW41" s="13"/>
    </row>
    <row r="42" spans="19:205" ht="18" customHeight="1" x14ac:dyDescent="0.2">
      <c r="S42" s="12"/>
      <c r="U42" s="12"/>
      <c r="AP42" s="13"/>
      <c r="AQ42" s="13"/>
      <c r="CN42" s="13"/>
      <c r="CP42" s="13"/>
      <c r="CQ42" s="12"/>
      <c r="DB42" s="13"/>
      <c r="DC42" s="13"/>
      <c r="DN42" s="12"/>
      <c r="DP42" s="12"/>
      <c r="EK42" s="13"/>
      <c r="EL42" s="13"/>
      <c r="GH42" s="13"/>
      <c r="GJ42" s="13"/>
      <c r="GK42" s="12"/>
      <c r="GV42" s="13"/>
      <c r="GW42" s="13"/>
    </row>
    <row r="43" spans="19:205" ht="18" customHeight="1" x14ac:dyDescent="0.2">
      <c r="S43" s="12"/>
      <c r="U43" s="12"/>
      <c r="AP43" s="13"/>
      <c r="AQ43" s="13"/>
      <c r="CN43" s="13"/>
      <c r="CP43" s="13"/>
      <c r="CQ43" s="12"/>
      <c r="DB43" s="13"/>
      <c r="DC43" s="13"/>
      <c r="DN43" s="12"/>
      <c r="DP43" s="12"/>
      <c r="EK43" s="13"/>
      <c r="EL43" s="13"/>
      <c r="GH43" s="13"/>
      <c r="GJ43" s="13"/>
      <c r="GK43" s="12"/>
      <c r="GV43" s="13"/>
      <c r="GW43" s="13"/>
    </row>
    <row r="44" spans="19:205" ht="18" customHeight="1" x14ac:dyDescent="0.2">
      <c r="S44" s="12"/>
      <c r="U44" s="12"/>
      <c r="AP44" s="13"/>
      <c r="AQ44" s="13"/>
      <c r="CN44" s="13"/>
      <c r="CP44" s="13"/>
      <c r="CQ44" s="12"/>
      <c r="DB44" s="13"/>
      <c r="DC44" s="13"/>
      <c r="DN44" s="12"/>
      <c r="DP44" s="14"/>
      <c r="DQ44" s="15"/>
      <c r="DR44" s="15"/>
      <c r="DS44" s="15"/>
      <c r="DT44" s="15"/>
      <c r="DU44" s="15"/>
      <c r="DV44" s="15"/>
      <c r="DW44" s="15"/>
      <c r="DX44" s="15"/>
      <c r="DY44" s="15"/>
      <c r="DZ44" s="15"/>
      <c r="EA44" s="15"/>
      <c r="EB44" s="15"/>
      <c r="EC44" s="15"/>
      <c r="ED44" s="15"/>
      <c r="EE44" s="15"/>
      <c r="EF44" s="15"/>
      <c r="EG44" s="15"/>
      <c r="EH44" s="15"/>
      <c r="EI44" s="15"/>
      <c r="EJ44" s="15"/>
      <c r="EK44" s="16"/>
      <c r="EL44" s="13"/>
      <c r="GH44" s="13"/>
      <c r="GJ44" s="13"/>
      <c r="GK44" s="12"/>
      <c r="GV44" s="13"/>
      <c r="GW44" s="13"/>
    </row>
    <row r="45" spans="19:205" ht="18" customHeight="1" x14ac:dyDescent="0.2">
      <c r="S45" s="12"/>
      <c r="U45" s="12"/>
      <c r="AP45" s="13"/>
      <c r="AQ45" s="13"/>
      <c r="CN45" s="13"/>
      <c r="CP45" s="13"/>
      <c r="CQ45" s="12"/>
      <c r="DB45" s="13"/>
      <c r="DC45" s="13"/>
      <c r="DN45" s="12"/>
      <c r="DR45" s="15"/>
      <c r="DS45" s="15"/>
      <c r="EB45" s="15"/>
      <c r="EC45" s="15"/>
      <c r="ED45" s="15"/>
      <c r="EE45" s="15"/>
      <c r="EF45" s="15"/>
      <c r="EG45" s="15"/>
      <c r="EH45" s="15"/>
      <c r="EI45" s="15"/>
      <c r="EJ45" s="15"/>
      <c r="EK45" s="15"/>
      <c r="EL45" s="16"/>
      <c r="GH45" s="13"/>
      <c r="GJ45" s="13"/>
      <c r="GK45" s="12"/>
      <c r="GV45" s="13"/>
      <c r="GW45" s="13"/>
    </row>
    <row r="46" spans="19:205" ht="18" customHeight="1" x14ac:dyDescent="0.2">
      <c r="S46" s="12"/>
      <c r="U46" s="14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6"/>
      <c r="AQ46" s="13"/>
      <c r="CN46" s="13"/>
      <c r="CP46" s="13"/>
      <c r="CQ46" s="12"/>
      <c r="DB46" s="13"/>
      <c r="DC46" s="13"/>
      <c r="DN46" s="12"/>
      <c r="DP46" s="9"/>
      <c r="DQ46" s="10"/>
      <c r="DT46" s="9"/>
      <c r="DU46" s="10"/>
      <c r="DV46" s="10"/>
      <c r="DW46" s="10"/>
      <c r="DX46" s="10"/>
      <c r="DY46" s="10"/>
      <c r="DZ46" s="10"/>
      <c r="EA46" s="10"/>
      <c r="GH46" s="13"/>
      <c r="GJ46" s="13"/>
      <c r="GK46" s="12"/>
      <c r="GV46" s="13"/>
      <c r="GW46" s="13"/>
    </row>
    <row r="47" spans="19:205" ht="18" customHeight="1" x14ac:dyDescent="0.2">
      <c r="S47" s="12"/>
      <c r="U47" s="12"/>
      <c r="AQ47" s="13"/>
      <c r="CN47" s="13"/>
      <c r="CP47" s="13"/>
      <c r="CQ47" s="12"/>
      <c r="DB47" s="13"/>
      <c r="DC47" s="13"/>
      <c r="DN47" s="12"/>
      <c r="DP47" s="12"/>
      <c r="DT47" s="12"/>
      <c r="GH47" s="13"/>
      <c r="GJ47" s="13"/>
      <c r="GK47" s="12"/>
      <c r="GV47" s="13"/>
      <c r="GW47" s="13"/>
    </row>
    <row r="48" spans="19:205" ht="18" customHeight="1" x14ac:dyDescent="0.2">
      <c r="S48" s="12"/>
      <c r="U48" s="9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1"/>
      <c r="AQ48" s="13"/>
      <c r="CN48" s="13"/>
      <c r="CP48" s="13"/>
      <c r="CQ48" s="12"/>
      <c r="DB48" s="13"/>
      <c r="DC48" s="13"/>
      <c r="DN48" s="12"/>
      <c r="DP48" s="12"/>
      <c r="DT48" s="12"/>
      <c r="GH48" s="13"/>
      <c r="GJ48" s="13"/>
      <c r="GK48" s="12"/>
      <c r="GV48" s="13"/>
      <c r="GW48" s="13"/>
    </row>
    <row r="49" spans="19:209" ht="18" customHeight="1" x14ac:dyDescent="0.2">
      <c r="S49" s="12"/>
      <c r="U49" s="12"/>
      <c r="AP49" s="13"/>
      <c r="AQ49" s="13"/>
      <c r="CN49" s="13"/>
      <c r="CP49" s="13"/>
      <c r="CQ49" s="12"/>
      <c r="DB49" s="13"/>
      <c r="DC49" s="13"/>
      <c r="DN49" s="12"/>
      <c r="DP49" s="12"/>
      <c r="DT49" s="12"/>
      <c r="GH49" s="13"/>
      <c r="GJ49" s="13"/>
      <c r="GK49" s="12"/>
      <c r="GV49" s="13"/>
      <c r="GW49" s="13"/>
    </row>
    <row r="50" spans="19:209" ht="18" customHeight="1" x14ac:dyDescent="0.2">
      <c r="S50" s="12"/>
      <c r="U50" s="12"/>
      <c r="AP50" s="13"/>
      <c r="AQ50" s="13"/>
      <c r="CN50" s="13"/>
      <c r="CP50" s="13"/>
      <c r="CQ50" s="12"/>
      <c r="DB50" s="13"/>
      <c r="DC50" s="13"/>
      <c r="DN50" s="12"/>
      <c r="DP50" s="12"/>
      <c r="DT50" s="12"/>
      <c r="GH50" s="13"/>
      <c r="GJ50" s="13"/>
      <c r="GK50" s="12"/>
      <c r="GV50" s="13"/>
      <c r="GW50" s="13"/>
    </row>
    <row r="51" spans="19:209" ht="18" customHeight="1" x14ac:dyDescent="0.2">
      <c r="S51" s="12"/>
      <c r="U51" s="12"/>
      <c r="AP51" s="13"/>
      <c r="AQ51" s="13"/>
      <c r="CN51" s="13"/>
      <c r="CP51" s="13"/>
      <c r="CQ51" s="12"/>
      <c r="DB51" s="13"/>
      <c r="DC51" s="13"/>
      <c r="DN51" s="12"/>
      <c r="DP51" s="12"/>
      <c r="DT51" s="12"/>
      <c r="GH51" s="13"/>
      <c r="GJ51" s="13"/>
      <c r="GK51" s="12"/>
      <c r="GV51" s="13"/>
      <c r="GW51" s="13"/>
    </row>
    <row r="52" spans="19:209" ht="18" customHeight="1" x14ac:dyDescent="0.2">
      <c r="S52" s="12"/>
      <c r="U52" s="12"/>
      <c r="Y52" s="9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1"/>
      <c r="AP52" s="13"/>
      <c r="AQ52" s="13"/>
      <c r="BL52" s="15"/>
      <c r="CN52" s="13"/>
      <c r="CP52" s="13"/>
      <c r="CQ52" s="12"/>
      <c r="DB52" s="13"/>
      <c r="DC52" s="13"/>
      <c r="DN52" s="12"/>
      <c r="DP52" s="12"/>
      <c r="DT52" s="12"/>
      <c r="EB52" s="15"/>
      <c r="EC52" s="15"/>
      <c r="ED52" s="15"/>
      <c r="EE52" s="15"/>
      <c r="EM52" s="15"/>
      <c r="GH52" s="13"/>
      <c r="GJ52" s="13"/>
      <c r="GK52" s="12"/>
      <c r="GV52" s="13"/>
      <c r="GW52" s="13"/>
    </row>
    <row r="53" spans="19:209" ht="18" customHeight="1" x14ac:dyDescent="0.2">
      <c r="S53" s="12"/>
      <c r="U53" s="12"/>
      <c r="Y53" s="12"/>
      <c r="AL53" s="13"/>
      <c r="AP53" s="13"/>
      <c r="AQ53" s="13"/>
      <c r="BE53" s="9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70"/>
      <c r="CI53" s="92"/>
      <c r="CJ53" s="92"/>
      <c r="CK53" s="92"/>
      <c r="CL53" s="92"/>
      <c r="CM53" s="71"/>
      <c r="CN53" s="10"/>
      <c r="CP53" s="13"/>
      <c r="CQ53" s="12"/>
      <c r="DB53" s="13"/>
      <c r="DC53" s="13"/>
      <c r="DN53" s="12"/>
      <c r="DP53" s="12"/>
      <c r="DT53" s="12"/>
      <c r="EA53" s="13"/>
      <c r="EE53" s="13"/>
      <c r="EF53" s="9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70"/>
      <c r="GC53" s="92"/>
      <c r="GD53" s="92"/>
      <c r="GE53" s="92"/>
      <c r="GF53" s="92"/>
      <c r="GG53" s="71"/>
      <c r="GH53" s="10"/>
      <c r="GJ53" s="13"/>
      <c r="GK53" s="12"/>
      <c r="GV53" s="13"/>
      <c r="GW53" s="13"/>
    </row>
    <row r="54" spans="19:209" ht="18" customHeight="1" x14ac:dyDescent="0.2">
      <c r="S54" s="12"/>
      <c r="U54" s="12"/>
      <c r="Y54" s="12"/>
      <c r="AL54" s="13"/>
      <c r="AP54" s="13"/>
      <c r="AQ54" s="13"/>
      <c r="BE54" s="12"/>
      <c r="CH54" s="72"/>
      <c r="CI54" s="100"/>
      <c r="CJ54" s="100"/>
      <c r="CK54" s="100"/>
      <c r="CL54" s="100"/>
      <c r="CM54" s="73"/>
      <c r="CN54" s="15"/>
      <c r="CP54" s="13"/>
      <c r="CQ54" s="12"/>
      <c r="DB54" s="13"/>
      <c r="DC54" s="16"/>
      <c r="DN54" s="12"/>
      <c r="DP54" s="12"/>
      <c r="DT54" s="12"/>
      <c r="EA54" s="13"/>
      <c r="EE54" s="13"/>
      <c r="EF54" s="12"/>
      <c r="GB54" s="72"/>
      <c r="GC54" s="100"/>
      <c r="GD54" s="100"/>
      <c r="GE54" s="100"/>
      <c r="GF54" s="100"/>
      <c r="GG54" s="73"/>
      <c r="GH54" s="15"/>
      <c r="GJ54" s="13"/>
      <c r="GK54" s="12"/>
      <c r="GV54" s="13"/>
      <c r="GW54" s="16"/>
    </row>
    <row r="55" spans="19:209" ht="18" customHeight="1" x14ac:dyDescent="0.2">
      <c r="S55" s="12"/>
      <c r="U55" s="12"/>
      <c r="Y55" s="12"/>
      <c r="AL55" s="13"/>
      <c r="AP55" s="13"/>
      <c r="AQ55" s="13"/>
      <c r="BE55" s="12"/>
      <c r="BG55" s="9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DC55" s="11"/>
      <c r="DD55" s="17"/>
      <c r="DE55" s="17"/>
      <c r="DN55" s="12"/>
      <c r="DP55" s="12"/>
      <c r="DT55" s="12"/>
      <c r="EA55" s="13"/>
      <c r="EE55" s="13"/>
      <c r="EF55" s="12"/>
      <c r="EH55" s="9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W55" s="10"/>
      <c r="GX55" s="9"/>
      <c r="GY55" s="11"/>
      <c r="GZ55" s="9"/>
      <c r="HA55" s="11"/>
    </row>
    <row r="56" spans="19:209" ht="18" customHeight="1" x14ac:dyDescent="0.2">
      <c r="S56" s="12"/>
      <c r="U56" s="12"/>
      <c r="Y56" s="12"/>
      <c r="AL56" s="13"/>
      <c r="AP56" s="13"/>
      <c r="AQ56" s="13"/>
      <c r="BE56" s="12"/>
      <c r="BG56" s="12"/>
      <c r="DC56" s="13"/>
      <c r="DD56" s="18"/>
      <c r="DE56" s="18"/>
      <c r="DN56" s="12"/>
      <c r="DP56" s="12"/>
      <c r="DT56" s="12"/>
      <c r="EA56" s="13"/>
      <c r="EE56" s="13"/>
      <c r="EF56" s="12"/>
      <c r="EH56" s="12"/>
      <c r="GX56" s="12"/>
      <c r="GY56" s="13"/>
      <c r="GZ56" s="12"/>
      <c r="HA56" s="13"/>
    </row>
    <row r="57" spans="19:209" ht="18" customHeight="1" x14ac:dyDescent="0.2">
      <c r="S57" s="12"/>
      <c r="U57" s="12"/>
      <c r="Y57" s="12"/>
      <c r="AL57" s="13"/>
      <c r="AP57" s="13"/>
      <c r="AQ57" s="13"/>
      <c r="BE57" s="12"/>
      <c r="BG57" s="12"/>
      <c r="DC57" s="13"/>
      <c r="DD57" s="18"/>
      <c r="DE57" s="18"/>
      <c r="DN57" s="12"/>
      <c r="DP57" s="12"/>
      <c r="DT57" s="12"/>
      <c r="EA57" s="13"/>
      <c r="EE57" s="13"/>
      <c r="EF57" s="12"/>
      <c r="EH57" s="12"/>
      <c r="GX57" s="12"/>
      <c r="GY57" s="13"/>
      <c r="GZ57" s="12"/>
      <c r="HA57" s="13"/>
    </row>
    <row r="58" spans="19:209" ht="18" customHeight="1" x14ac:dyDescent="0.2">
      <c r="S58" s="12"/>
      <c r="U58" s="12"/>
      <c r="Y58" s="12"/>
      <c r="AL58" s="13"/>
      <c r="AP58" s="13"/>
      <c r="AQ58" s="13"/>
      <c r="BE58" s="12"/>
      <c r="BG58" s="12"/>
      <c r="DC58" s="13"/>
      <c r="DD58" s="18"/>
      <c r="DE58" s="18"/>
      <c r="DN58" s="12"/>
      <c r="DP58" s="12"/>
      <c r="DT58" s="12"/>
      <c r="EA58" s="13"/>
      <c r="EE58" s="13"/>
      <c r="EF58" s="12"/>
      <c r="EH58" s="12"/>
      <c r="GX58" s="12"/>
      <c r="GY58" s="13"/>
      <c r="GZ58" s="12"/>
      <c r="HA58" s="13"/>
    </row>
    <row r="59" spans="19:209" ht="18" customHeight="1" x14ac:dyDescent="0.2">
      <c r="S59" s="12"/>
      <c r="U59" s="12"/>
      <c r="Y59" s="12"/>
      <c r="AL59" s="13"/>
      <c r="AP59" s="13"/>
      <c r="AQ59" s="13"/>
      <c r="BE59" s="12"/>
      <c r="BG59" s="12"/>
      <c r="DC59" s="13"/>
      <c r="DD59" s="18"/>
      <c r="DE59" s="18"/>
      <c r="DN59" s="12"/>
      <c r="DP59" s="12"/>
      <c r="DT59" s="12"/>
      <c r="EA59" s="13"/>
      <c r="EE59" s="13"/>
      <c r="EF59" s="12"/>
      <c r="EH59" s="12"/>
      <c r="GX59" s="12"/>
      <c r="GY59" s="13"/>
      <c r="GZ59" s="12"/>
      <c r="HA59" s="13"/>
    </row>
    <row r="60" spans="19:209" ht="18" customHeight="1" x14ac:dyDescent="0.2">
      <c r="S60" s="12"/>
      <c r="U60" s="12"/>
      <c r="Y60" s="12"/>
      <c r="AL60" s="13"/>
      <c r="AP60" s="13"/>
      <c r="AQ60" s="13"/>
      <c r="BE60" s="12"/>
      <c r="BG60" s="12"/>
      <c r="DC60" s="13"/>
      <c r="DD60" s="18"/>
      <c r="DE60" s="18"/>
      <c r="DN60" s="12"/>
      <c r="DP60" s="12"/>
      <c r="DT60" s="12"/>
      <c r="EA60" s="13"/>
      <c r="EE60" s="13"/>
      <c r="EF60" s="12"/>
      <c r="EH60" s="12"/>
      <c r="GX60" s="12"/>
      <c r="GY60" s="13"/>
      <c r="GZ60" s="12"/>
      <c r="HA60" s="13"/>
    </row>
    <row r="61" spans="19:209" ht="18" customHeight="1" x14ac:dyDescent="0.2">
      <c r="S61" s="12"/>
      <c r="U61" s="14"/>
      <c r="V61" s="15"/>
      <c r="W61" s="15"/>
      <c r="X61" s="15"/>
      <c r="Y61" s="12"/>
      <c r="AL61" s="13"/>
      <c r="AM61" s="15"/>
      <c r="AN61" s="15"/>
      <c r="AO61" s="15"/>
      <c r="AP61" s="16"/>
      <c r="AQ61" s="16"/>
      <c r="BE61" s="12"/>
      <c r="BG61" s="12"/>
      <c r="DC61" s="13"/>
      <c r="DD61" s="18"/>
      <c r="DE61" s="18"/>
      <c r="DN61" s="12"/>
      <c r="DO61" s="13"/>
      <c r="DT61" s="12"/>
      <c r="EA61" s="13"/>
      <c r="EF61" s="12"/>
      <c r="EH61" s="12"/>
      <c r="GX61" s="12"/>
      <c r="GY61" s="13"/>
      <c r="GZ61" s="12"/>
      <c r="HA61" s="13"/>
    </row>
    <row r="62" spans="19:209" ht="18" customHeight="1" x14ac:dyDescent="0.2">
      <c r="S62" s="12"/>
      <c r="U62" s="12"/>
      <c r="BE62" s="12"/>
      <c r="BG62" s="12"/>
      <c r="DC62" s="16"/>
      <c r="DD62" s="19"/>
      <c r="DE62" s="19"/>
      <c r="DN62" s="12"/>
      <c r="DO62" s="13"/>
      <c r="DT62" s="12"/>
      <c r="EA62" s="13"/>
      <c r="EF62" s="12"/>
      <c r="EH62" s="12"/>
      <c r="GW62" s="15"/>
      <c r="GX62" s="14"/>
      <c r="GY62" s="16"/>
      <c r="GZ62" s="14"/>
      <c r="HA62" s="16"/>
    </row>
    <row r="63" spans="19:209" ht="18" customHeight="1" x14ac:dyDescent="0.2">
      <c r="S63" s="12"/>
      <c r="U63" s="12"/>
      <c r="BE63" s="12"/>
      <c r="BG63" s="12"/>
      <c r="DB63" s="13"/>
      <c r="DC63" s="13"/>
      <c r="DN63" s="12"/>
      <c r="DO63" s="13"/>
      <c r="DT63" s="12"/>
      <c r="EA63" s="13"/>
      <c r="EF63" s="12"/>
      <c r="EH63" s="12"/>
      <c r="GV63" s="13"/>
      <c r="GW63" s="13"/>
    </row>
    <row r="64" spans="19:209" ht="18" customHeight="1" x14ac:dyDescent="0.2">
      <c r="S64" s="12"/>
      <c r="U64" s="12"/>
      <c r="BE64" s="12"/>
      <c r="BG64" s="12"/>
      <c r="DB64" s="13"/>
      <c r="DC64" s="13"/>
      <c r="DN64" s="12"/>
      <c r="DO64" s="13"/>
      <c r="DT64" s="12"/>
      <c r="EA64" s="13"/>
      <c r="EF64" s="12"/>
      <c r="EH64" s="12"/>
      <c r="GV64" s="13"/>
      <c r="GW64" s="13"/>
    </row>
    <row r="65" spans="7:205" ht="18" customHeight="1" x14ac:dyDescent="0.2">
      <c r="S65" s="12"/>
      <c r="U65" s="12"/>
      <c r="BE65" s="12"/>
      <c r="BG65" s="12"/>
      <c r="DB65" s="13"/>
      <c r="DC65" s="13"/>
      <c r="DN65" s="12"/>
      <c r="DP65" s="12"/>
      <c r="DT65" s="14"/>
      <c r="DU65" s="15"/>
      <c r="DV65" s="15"/>
      <c r="DW65" s="15"/>
      <c r="DX65" s="15"/>
      <c r="DY65" s="15"/>
      <c r="DZ65" s="15"/>
      <c r="EA65" s="16"/>
      <c r="EF65" s="12"/>
      <c r="EH65" s="12"/>
      <c r="GV65" s="13"/>
      <c r="GW65" s="13"/>
    </row>
    <row r="66" spans="7:205" ht="18" customHeight="1" x14ac:dyDescent="0.2">
      <c r="S66" s="12"/>
      <c r="U66" s="12"/>
      <c r="BE66" s="12"/>
      <c r="BG66" s="12"/>
      <c r="DB66" s="13"/>
      <c r="DC66" s="13"/>
      <c r="DN66" s="12"/>
      <c r="DP66" s="12"/>
      <c r="EF66" s="12"/>
      <c r="EH66" s="12"/>
      <c r="GV66" s="13"/>
      <c r="GW66" s="13"/>
    </row>
    <row r="67" spans="7:205" ht="18" customHeight="1" x14ac:dyDescent="0.2">
      <c r="S67" s="12"/>
      <c r="U67" s="12"/>
      <c r="BE67" s="12"/>
      <c r="BG67" s="12"/>
      <c r="DB67" s="13"/>
      <c r="DC67" s="13"/>
      <c r="DN67" s="12"/>
      <c r="DP67" s="12"/>
      <c r="EF67" s="12"/>
      <c r="EH67" s="12"/>
      <c r="GV67" s="13"/>
      <c r="GW67" s="13"/>
    </row>
    <row r="68" spans="7:205" ht="18" customHeight="1" x14ac:dyDescent="0.2">
      <c r="S68" s="12"/>
      <c r="U68" s="12"/>
      <c r="BE68" s="12"/>
      <c r="BG68" s="12"/>
      <c r="DB68" s="13"/>
      <c r="DC68" s="13"/>
      <c r="DN68" s="12"/>
      <c r="DP68" s="12"/>
      <c r="EF68" s="12"/>
      <c r="EH68" s="12"/>
      <c r="GV68" s="13"/>
      <c r="GW68" s="13"/>
    </row>
    <row r="69" spans="7:205" ht="18" customHeight="1" x14ac:dyDescent="0.2">
      <c r="S69" s="12"/>
      <c r="U69" s="14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2"/>
      <c r="BF69" s="13"/>
      <c r="BG69" s="12"/>
      <c r="DB69" s="13"/>
      <c r="DC69" s="13"/>
      <c r="DN69" s="12"/>
      <c r="DP69" s="14"/>
      <c r="DQ69" s="15"/>
      <c r="DR69" s="15"/>
      <c r="DS69" s="15"/>
      <c r="DT69" s="15"/>
      <c r="DU69" s="15"/>
      <c r="DV69" s="15"/>
      <c r="DW69" s="15"/>
      <c r="DX69" s="15"/>
      <c r="DY69" s="15"/>
      <c r="DZ69" s="15"/>
      <c r="EA69" s="15"/>
      <c r="EB69" s="15"/>
      <c r="EC69" s="15"/>
      <c r="ED69" s="15"/>
      <c r="EE69" s="15"/>
      <c r="EF69" s="12"/>
      <c r="EG69" s="13"/>
      <c r="EH69" s="12"/>
      <c r="GV69" s="13"/>
      <c r="GW69" s="13"/>
    </row>
    <row r="70" spans="7:205" ht="18" customHeight="1" x14ac:dyDescent="0.2">
      <c r="S70" s="12"/>
      <c r="BG70" s="14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6"/>
      <c r="DC70" s="13"/>
      <c r="DN70" s="12"/>
      <c r="EH70" s="14"/>
      <c r="EI70" s="15"/>
      <c r="EJ70" s="15"/>
      <c r="EK70" s="15"/>
      <c r="EL70" s="15"/>
      <c r="EM70" s="15"/>
      <c r="EN70" s="15"/>
      <c r="EO70" s="15"/>
      <c r="EP70" s="15"/>
      <c r="EQ70" s="15"/>
      <c r="ER70" s="15"/>
      <c r="ES70" s="15"/>
      <c r="ET70" s="15"/>
      <c r="EU70" s="15"/>
      <c r="EV70" s="15"/>
      <c r="EW70" s="15"/>
      <c r="EX70" s="15"/>
      <c r="EY70" s="15"/>
      <c r="EZ70" s="15"/>
      <c r="FA70" s="15"/>
      <c r="FB70" s="15"/>
      <c r="FC70" s="15"/>
      <c r="FD70" s="15"/>
      <c r="FE70" s="15"/>
      <c r="FF70" s="15"/>
      <c r="FG70" s="15"/>
      <c r="FH70" s="15"/>
      <c r="FI70" s="15"/>
      <c r="FJ70" s="15"/>
      <c r="FK70" s="15"/>
      <c r="FL70" s="15"/>
      <c r="FM70" s="15"/>
      <c r="FN70" s="15"/>
      <c r="FO70" s="15"/>
      <c r="FP70" s="15"/>
      <c r="FQ70" s="15"/>
      <c r="FR70" s="15"/>
      <c r="FS70" s="15"/>
      <c r="FT70" s="15"/>
      <c r="FU70" s="15"/>
      <c r="FV70" s="15"/>
      <c r="FW70" s="15"/>
      <c r="FX70" s="15"/>
      <c r="FY70" s="15"/>
      <c r="FZ70" s="15"/>
      <c r="GA70" s="15"/>
      <c r="GB70" s="15"/>
      <c r="GC70" s="15"/>
      <c r="GD70" s="15"/>
      <c r="GE70" s="15"/>
      <c r="GF70" s="15"/>
      <c r="GG70" s="15"/>
      <c r="GH70" s="15"/>
      <c r="GI70" s="15"/>
      <c r="GJ70" s="15"/>
      <c r="GK70" s="15"/>
      <c r="GL70" s="15"/>
      <c r="GM70" s="15"/>
      <c r="GN70" s="15"/>
      <c r="GO70" s="15"/>
      <c r="GP70" s="15"/>
      <c r="GQ70" s="15"/>
      <c r="GR70" s="15"/>
      <c r="GS70" s="15"/>
      <c r="GT70" s="15"/>
      <c r="GU70" s="15"/>
      <c r="GV70" s="16"/>
      <c r="GW70" s="13"/>
    </row>
    <row r="71" spans="7:205" ht="18" customHeight="1" x14ac:dyDescent="0.2">
      <c r="S71" s="14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4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6"/>
      <c r="DN71" s="14"/>
      <c r="DO71" s="15"/>
      <c r="DP71" s="15"/>
      <c r="DQ71" s="15"/>
      <c r="DR71" s="15"/>
      <c r="DS71" s="15"/>
      <c r="DT71" s="15"/>
      <c r="DU71" s="15"/>
      <c r="DV71" s="15"/>
      <c r="DW71" s="15"/>
      <c r="DX71" s="15"/>
      <c r="DY71" s="15"/>
      <c r="DZ71" s="15"/>
      <c r="EA71" s="15"/>
      <c r="EB71" s="15"/>
      <c r="EC71" s="15"/>
      <c r="ED71" s="15"/>
      <c r="EE71" s="15"/>
      <c r="EF71" s="15"/>
      <c r="EG71" s="15"/>
      <c r="EH71" s="14"/>
      <c r="EI71" s="15"/>
      <c r="EJ71" s="15"/>
      <c r="EK71" s="15"/>
      <c r="EL71" s="15"/>
      <c r="EM71" s="15"/>
      <c r="EN71" s="15"/>
      <c r="EO71" s="15"/>
      <c r="EP71" s="15"/>
      <c r="EQ71" s="15"/>
      <c r="ER71" s="15"/>
      <c r="ES71" s="15"/>
      <c r="ET71" s="15"/>
      <c r="EU71" s="15"/>
      <c r="EV71" s="15"/>
      <c r="EW71" s="15"/>
      <c r="EX71" s="15"/>
      <c r="EY71" s="15"/>
      <c r="EZ71" s="15"/>
      <c r="FA71" s="15"/>
      <c r="FB71" s="15"/>
      <c r="FC71" s="15"/>
      <c r="FD71" s="15"/>
      <c r="FE71" s="15"/>
      <c r="FF71" s="15"/>
      <c r="FG71" s="15"/>
      <c r="FH71" s="15"/>
      <c r="FI71" s="15"/>
      <c r="FJ71" s="15"/>
      <c r="FK71" s="15"/>
      <c r="FL71" s="15"/>
      <c r="FM71" s="15"/>
      <c r="FN71" s="15"/>
      <c r="FO71" s="15"/>
      <c r="FP71" s="15"/>
      <c r="FQ71" s="15"/>
      <c r="FR71" s="15"/>
      <c r="FS71" s="15"/>
      <c r="FT71" s="15"/>
      <c r="FU71" s="15"/>
      <c r="FV71" s="15"/>
      <c r="FW71" s="15"/>
      <c r="FX71" s="15"/>
      <c r="FY71" s="15"/>
      <c r="FZ71" s="15"/>
      <c r="GA71" s="15"/>
      <c r="GB71" s="15"/>
      <c r="GC71" s="15"/>
      <c r="GD71" s="15"/>
      <c r="GE71" s="15"/>
      <c r="GF71" s="15"/>
      <c r="GG71" s="15"/>
      <c r="GH71" s="15"/>
      <c r="GI71" s="15"/>
      <c r="GJ71" s="15"/>
      <c r="GK71" s="15"/>
      <c r="GL71" s="15"/>
      <c r="GM71" s="15"/>
      <c r="GN71" s="15"/>
      <c r="GO71" s="15"/>
      <c r="GP71" s="15"/>
      <c r="GQ71" s="15"/>
      <c r="GR71" s="15"/>
      <c r="GS71" s="15"/>
      <c r="GT71" s="15"/>
      <c r="GU71" s="15"/>
      <c r="GV71" s="15"/>
      <c r="GW71" s="16"/>
    </row>
    <row r="76" spans="7:205" ht="18" customHeight="1" thickBot="1" x14ac:dyDescent="0.25"/>
    <row r="77" spans="7:205" ht="18" customHeight="1" x14ac:dyDescent="0.2">
      <c r="G77" s="1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</row>
    <row r="78" spans="7:205" ht="18" customHeight="1" x14ac:dyDescent="0.2">
      <c r="G78" s="4"/>
    </row>
    <row r="79" spans="7:205" ht="18" customHeight="1" x14ac:dyDescent="0.2">
      <c r="G79" s="4"/>
    </row>
    <row r="80" spans="7:205" ht="18" customHeight="1" x14ac:dyDescent="0.2">
      <c r="G80" s="4"/>
    </row>
    <row r="81" spans="7:7" ht="18" customHeight="1" x14ac:dyDescent="0.2">
      <c r="G81" s="4"/>
    </row>
    <row r="82" spans="7:7" ht="18" customHeight="1" x14ac:dyDescent="0.2">
      <c r="G82" s="4"/>
    </row>
    <row r="83" spans="7:7" ht="18" customHeight="1" x14ac:dyDescent="0.2">
      <c r="G83" s="4"/>
    </row>
    <row r="84" spans="7:7" ht="18" customHeight="1" x14ac:dyDescent="0.2">
      <c r="G84" s="4"/>
    </row>
    <row r="85" spans="7:7" ht="18" customHeight="1" x14ac:dyDescent="0.2">
      <c r="G85" s="4"/>
    </row>
    <row r="86" spans="7:7" ht="18" customHeight="1" x14ac:dyDescent="0.2">
      <c r="G86" s="4"/>
    </row>
    <row r="87" spans="7:7" ht="18" customHeight="1" x14ac:dyDescent="0.2">
      <c r="G87" s="4"/>
    </row>
    <row r="88" spans="7:7" ht="18" customHeight="1" x14ac:dyDescent="0.2">
      <c r="G88" s="4"/>
    </row>
    <row r="89" spans="7:7" ht="18" customHeight="1" x14ac:dyDescent="0.2">
      <c r="G89" s="4"/>
    </row>
    <row r="90" spans="7:7" ht="18" customHeight="1" x14ac:dyDescent="0.2">
      <c r="G90" s="4"/>
    </row>
    <row r="91" spans="7:7" ht="18" customHeight="1" x14ac:dyDescent="0.2">
      <c r="G91" s="4"/>
    </row>
    <row r="92" spans="7:7" ht="18" customHeight="1" x14ac:dyDescent="0.2">
      <c r="G92" s="4"/>
    </row>
    <row r="93" spans="7:7" ht="18" customHeight="1" x14ac:dyDescent="0.2">
      <c r="G93" s="4"/>
    </row>
    <row r="94" spans="7:7" ht="18" customHeight="1" x14ac:dyDescent="0.2">
      <c r="G94" s="4"/>
    </row>
    <row r="95" spans="7:7" ht="18" customHeight="1" x14ac:dyDescent="0.2">
      <c r="G95" s="4"/>
    </row>
    <row r="96" spans="7:7" ht="18" customHeight="1" x14ac:dyDescent="0.2">
      <c r="G96" s="4"/>
    </row>
    <row r="97" spans="7:324" ht="18" customHeight="1" x14ac:dyDescent="0.2">
      <c r="G97" s="4"/>
    </row>
    <row r="98" spans="7:324" ht="18" customHeight="1" x14ac:dyDescent="0.2">
      <c r="G98" s="4"/>
    </row>
    <row r="99" spans="7:324" ht="18" customHeight="1" x14ac:dyDescent="0.2">
      <c r="G99" s="4"/>
    </row>
    <row r="100" spans="7:324" ht="18" customHeight="1" x14ac:dyDescent="0.2">
      <c r="G100" s="4"/>
    </row>
    <row r="101" spans="7:324" ht="18" customHeight="1" x14ac:dyDescent="0.2">
      <c r="G101" s="4"/>
    </row>
    <row r="102" spans="7:324" ht="18" customHeight="1" x14ac:dyDescent="0.2">
      <c r="G102" s="4"/>
    </row>
    <row r="103" spans="7:324" ht="18" customHeight="1" x14ac:dyDescent="0.2">
      <c r="G103" s="4"/>
    </row>
    <row r="104" spans="7:324" ht="18" customHeight="1" x14ac:dyDescent="0.2">
      <c r="G104" s="4"/>
    </row>
    <row r="105" spans="7:324" ht="18" customHeight="1" x14ac:dyDescent="0.2">
      <c r="G105" s="4"/>
    </row>
    <row r="106" spans="7:324" ht="18" customHeight="1" x14ac:dyDescent="0.2">
      <c r="G106" s="4"/>
    </row>
    <row r="107" spans="7:324" ht="18" customHeight="1" x14ac:dyDescent="0.2">
      <c r="G107" s="4"/>
    </row>
    <row r="108" spans="7:324" ht="18" customHeight="1" x14ac:dyDescent="0.2">
      <c r="G108" s="4"/>
    </row>
    <row r="109" spans="7:324" ht="18" customHeight="1" x14ac:dyDescent="0.2">
      <c r="G109" s="4"/>
    </row>
    <row r="110" spans="7:324" ht="18" customHeight="1" x14ac:dyDescent="0.2">
      <c r="G110" s="4"/>
      <c r="S110" s="40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0"/>
      <c r="AK110" s="41"/>
      <c r="AL110" s="41"/>
      <c r="AM110" s="41"/>
      <c r="AN110" s="44"/>
      <c r="AO110" s="41"/>
      <c r="AP110" s="41"/>
      <c r="AQ110" s="41"/>
      <c r="AR110" s="41"/>
      <c r="AS110" s="41"/>
      <c r="AT110" s="41"/>
      <c r="AU110" s="41"/>
      <c r="AV110" s="41"/>
      <c r="AW110" s="40"/>
      <c r="AX110" s="41"/>
      <c r="AY110" s="41"/>
      <c r="AZ110" s="44"/>
      <c r="BA110" s="41"/>
      <c r="BB110" s="41"/>
      <c r="BC110" s="41"/>
      <c r="BD110" s="41"/>
      <c r="BE110" s="41"/>
      <c r="BF110" s="41"/>
      <c r="BG110" s="41"/>
      <c r="BH110" s="40"/>
      <c r="BI110" s="41"/>
      <c r="BJ110" s="41"/>
      <c r="BK110" s="44"/>
      <c r="BL110" s="41"/>
      <c r="BM110" s="41"/>
      <c r="BN110" s="41"/>
      <c r="BO110" s="41"/>
      <c r="BP110" s="44"/>
      <c r="BQ110" s="20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11"/>
      <c r="CW110" s="40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  <c r="DR110" s="41"/>
      <c r="DS110" s="41"/>
      <c r="DT110" s="41"/>
      <c r="DU110" s="41"/>
      <c r="DV110" s="41"/>
      <c r="DW110" s="41"/>
      <c r="DX110" s="41"/>
      <c r="DY110" s="41"/>
      <c r="DZ110" s="41"/>
      <c r="EA110" s="41"/>
      <c r="EB110" s="41"/>
      <c r="EC110" s="41"/>
      <c r="ED110" s="41"/>
      <c r="EE110" s="41"/>
      <c r="EF110" s="41"/>
      <c r="EG110" s="41"/>
      <c r="EH110" s="41"/>
      <c r="EI110" s="41"/>
      <c r="EJ110" s="41"/>
      <c r="EK110" s="41"/>
      <c r="EL110" s="41"/>
      <c r="EM110" s="41"/>
      <c r="EN110" s="41"/>
      <c r="EO110" s="41"/>
      <c r="EP110" s="41"/>
      <c r="EQ110" s="41"/>
      <c r="ER110" s="41"/>
      <c r="ES110" s="41"/>
      <c r="ET110" s="44"/>
      <c r="FH110" s="40"/>
      <c r="FI110" s="41"/>
      <c r="FJ110" s="41"/>
      <c r="FK110" s="41"/>
      <c r="FL110" s="41"/>
      <c r="FM110" s="41"/>
      <c r="FN110" s="41"/>
      <c r="FO110" s="41"/>
      <c r="FP110" s="41"/>
      <c r="FQ110" s="41"/>
      <c r="FR110" s="41"/>
      <c r="FS110" s="41"/>
      <c r="FT110" s="41"/>
      <c r="FU110" s="41"/>
      <c r="FV110" s="41"/>
      <c r="FW110" s="41"/>
      <c r="FX110" s="41"/>
      <c r="FY110" s="41"/>
      <c r="FZ110" s="41"/>
      <c r="GA110" s="41"/>
      <c r="GB110" s="41"/>
      <c r="GC110" s="41"/>
      <c r="GD110" s="41"/>
      <c r="GE110" s="41"/>
      <c r="GF110" s="41"/>
      <c r="GG110" s="41"/>
      <c r="GH110" s="41"/>
      <c r="GI110" s="41"/>
      <c r="GJ110" s="41"/>
      <c r="GK110" s="41"/>
      <c r="GL110" s="41"/>
      <c r="GM110" s="41"/>
      <c r="GN110" s="41"/>
      <c r="GO110" s="41"/>
      <c r="GP110" s="41"/>
      <c r="GQ110" s="41"/>
      <c r="GR110" s="41"/>
      <c r="GS110" s="41"/>
      <c r="GT110" s="41"/>
      <c r="GU110" s="41"/>
      <c r="GV110" s="41"/>
      <c r="GW110" s="41"/>
      <c r="GX110" s="41"/>
      <c r="GY110" s="41"/>
      <c r="GZ110" s="41"/>
      <c r="HA110" s="41"/>
      <c r="HB110" s="41"/>
      <c r="HC110" s="41"/>
      <c r="HD110" s="41"/>
      <c r="HE110" s="41"/>
      <c r="HF110" s="41"/>
      <c r="HG110" s="41"/>
      <c r="HH110" s="41"/>
      <c r="HI110" s="41"/>
      <c r="HJ110" s="41"/>
      <c r="HK110" s="41"/>
      <c r="HL110" s="41"/>
      <c r="HM110" s="41"/>
      <c r="HN110" s="41"/>
      <c r="HO110" s="41"/>
      <c r="HP110" s="41"/>
      <c r="HQ110" s="41"/>
      <c r="HR110" s="41"/>
      <c r="HS110" s="41"/>
      <c r="HT110" s="41"/>
      <c r="HU110" s="41"/>
      <c r="HV110" s="41"/>
      <c r="HW110" s="41"/>
      <c r="HX110" s="41"/>
      <c r="HY110" s="41"/>
      <c r="HZ110" s="41"/>
      <c r="IA110" s="44"/>
      <c r="IQ110" s="40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4"/>
    </row>
    <row r="111" spans="7:324" ht="18" customHeight="1" x14ac:dyDescent="0.2">
      <c r="G111" s="4"/>
      <c r="S111" s="42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123"/>
      <c r="AK111" s="109"/>
      <c r="AL111" s="109"/>
      <c r="AM111" s="109"/>
      <c r="AN111" s="124"/>
      <c r="AO111" s="43"/>
      <c r="AP111" s="43"/>
      <c r="AQ111" s="43"/>
      <c r="AR111" s="43"/>
      <c r="AS111" s="43"/>
      <c r="AT111" s="43"/>
      <c r="AU111" s="43"/>
      <c r="AV111" s="43"/>
      <c r="AW111" s="123"/>
      <c r="AX111" s="109"/>
      <c r="AY111" s="109"/>
      <c r="AZ111" s="124"/>
      <c r="BA111" s="43"/>
      <c r="BB111" s="43"/>
      <c r="BC111" s="43"/>
      <c r="BD111" s="43"/>
      <c r="BE111" s="43"/>
      <c r="BF111" s="43"/>
      <c r="BG111" s="43"/>
      <c r="BH111" s="123"/>
      <c r="BI111" s="109"/>
      <c r="BJ111" s="109"/>
      <c r="BK111" s="124"/>
      <c r="BL111" s="43"/>
      <c r="BM111" s="43"/>
      <c r="BN111" s="43"/>
      <c r="BO111" s="43"/>
      <c r="BP111" s="45"/>
      <c r="CC111" s="13"/>
      <c r="CD111" s="13"/>
      <c r="CW111" s="42"/>
      <c r="CX111" s="43"/>
      <c r="CY111" s="43"/>
      <c r="CZ111" s="43"/>
      <c r="DA111" s="43"/>
      <c r="DB111" s="43"/>
      <c r="DC111" s="43"/>
      <c r="DD111" s="43"/>
      <c r="DE111" s="43"/>
      <c r="DF111" s="43"/>
      <c r="DG111" s="43"/>
      <c r="DH111" s="43"/>
      <c r="DI111" s="43"/>
      <c r="DJ111" s="43"/>
      <c r="DK111" s="43"/>
      <c r="DL111" s="43"/>
      <c r="DM111" s="43"/>
      <c r="DN111" s="43"/>
      <c r="DO111" s="43"/>
      <c r="DP111" s="43"/>
      <c r="DQ111" s="43"/>
      <c r="DR111" s="43"/>
      <c r="DS111" s="43"/>
      <c r="DT111" s="43"/>
      <c r="DU111" s="43"/>
      <c r="DV111" s="43"/>
      <c r="DW111" s="43"/>
      <c r="DX111" s="43"/>
      <c r="DY111" s="43"/>
      <c r="DZ111" s="43"/>
      <c r="EA111" s="43"/>
      <c r="EB111" s="43"/>
      <c r="EC111" s="43"/>
      <c r="ED111" s="43"/>
      <c r="EE111" s="43"/>
      <c r="EF111" s="43"/>
      <c r="EG111" s="43"/>
      <c r="EH111" s="43"/>
      <c r="EI111" s="43"/>
      <c r="EJ111" s="43"/>
      <c r="EK111" s="43"/>
      <c r="EL111" s="43"/>
      <c r="EM111" s="43"/>
      <c r="EN111" s="43"/>
      <c r="EO111" s="43"/>
      <c r="EP111" s="43"/>
      <c r="EQ111" s="43"/>
      <c r="ER111" s="43"/>
      <c r="ES111" s="43"/>
      <c r="ET111" s="45"/>
      <c r="FH111" s="42"/>
      <c r="FI111" s="43"/>
      <c r="FJ111" s="43"/>
      <c r="FK111" s="43"/>
      <c r="FL111" s="43"/>
      <c r="FM111" s="43"/>
      <c r="FN111" s="43"/>
      <c r="FO111" s="43"/>
      <c r="FP111" s="43"/>
      <c r="FQ111" s="43"/>
      <c r="FR111" s="43"/>
      <c r="FS111" s="43"/>
      <c r="FT111" s="43"/>
      <c r="FU111" s="43"/>
      <c r="FV111" s="43"/>
      <c r="FW111" s="43"/>
      <c r="FX111" s="43"/>
      <c r="FY111" s="43"/>
      <c r="FZ111" s="43"/>
      <c r="GA111" s="43"/>
      <c r="GB111" s="43"/>
      <c r="GC111" s="43"/>
      <c r="GD111" s="43"/>
      <c r="GE111" s="43"/>
      <c r="GF111" s="43"/>
      <c r="GG111" s="43"/>
      <c r="GH111" s="43"/>
      <c r="GI111" s="43"/>
      <c r="GJ111" s="43"/>
      <c r="GK111" s="43"/>
      <c r="GL111" s="43"/>
      <c r="GM111" s="43"/>
      <c r="GN111" s="43"/>
      <c r="GO111" s="43"/>
      <c r="GP111" s="43"/>
      <c r="GQ111" s="43"/>
      <c r="GR111" s="43"/>
      <c r="GS111" s="43"/>
      <c r="GT111" s="43"/>
      <c r="GU111" s="43"/>
      <c r="GV111" s="43"/>
      <c r="GW111" s="43"/>
      <c r="GX111" s="43"/>
      <c r="GY111" s="43"/>
      <c r="GZ111" s="43"/>
      <c r="HA111" s="43"/>
      <c r="HB111" s="43"/>
      <c r="HC111" s="43"/>
      <c r="HD111" s="43"/>
      <c r="HE111" s="43"/>
      <c r="HF111" s="43"/>
      <c r="HG111" s="43"/>
      <c r="HH111" s="43"/>
      <c r="HI111" s="43"/>
      <c r="HJ111" s="43"/>
      <c r="HK111" s="43"/>
      <c r="HL111" s="43"/>
      <c r="HM111" s="43"/>
      <c r="HN111" s="43"/>
      <c r="HO111" s="43"/>
      <c r="HP111" s="43"/>
      <c r="HQ111" s="43"/>
      <c r="HR111" s="43"/>
      <c r="HS111" s="43"/>
      <c r="HT111" s="43"/>
      <c r="HU111" s="43"/>
      <c r="HV111" s="43"/>
      <c r="HW111" s="43"/>
      <c r="HX111" s="43"/>
      <c r="HY111" s="43"/>
      <c r="HZ111" s="43"/>
      <c r="IA111" s="45"/>
      <c r="IQ111" s="42"/>
      <c r="IR111" s="43"/>
      <c r="IS111" s="43"/>
      <c r="IT111" s="43"/>
      <c r="IU111" s="43"/>
      <c r="IV111" s="43"/>
      <c r="IW111" s="43"/>
      <c r="IX111" s="43"/>
      <c r="IY111" s="43"/>
      <c r="IZ111" s="43"/>
      <c r="JA111" s="43"/>
      <c r="JB111" s="43"/>
      <c r="JC111" s="43"/>
      <c r="JD111" s="43"/>
      <c r="JE111" s="43"/>
      <c r="JF111" s="43"/>
      <c r="JG111" s="43"/>
      <c r="JH111" s="43"/>
      <c r="JI111" s="43"/>
      <c r="JJ111" s="43"/>
      <c r="JK111" s="43"/>
      <c r="JL111" s="43"/>
      <c r="JM111" s="43"/>
      <c r="JN111" s="43"/>
      <c r="JO111" s="43"/>
      <c r="JP111" s="43"/>
      <c r="JQ111" s="43"/>
      <c r="JR111" s="43"/>
      <c r="JS111" s="43"/>
      <c r="JT111" s="43"/>
      <c r="JU111" s="43"/>
      <c r="JV111" s="43"/>
      <c r="JW111" s="43"/>
      <c r="JX111" s="43"/>
      <c r="JY111" s="43"/>
      <c r="JZ111" s="43"/>
      <c r="KA111" s="43"/>
      <c r="KB111" s="43"/>
      <c r="KC111" s="43"/>
      <c r="KD111" s="43"/>
      <c r="KE111" s="43"/>
      <c r="KF111" s="43"/>
      <c r="KG111" s="43"/>
      <c r="KH111" s="43"/>
      <c r="KI111" s="43"/>
      <c r="KJ111" s="43"/>
      <c r="KK111" s="43"/>
      <c r="KL111" s="43"/>
      <c r="KM111" s="43"/>
      <c r="KN111" s="43"/>
      <c r="KO111" s="43"/>
      <c r="KP111" s="43"/>
      <c r="KQ111" s="43"/>
      <c r="KR111" s="43"/>
      <c r="KS111" s="43"/>
      <c r="KT111" s="43"/>
      <c r="KU111" s="43"/>
      <c r="KV111" s="43"/>
      <c r="KW111" s="43"/>
      <c r="KX111" s="43"/>
      <c r="KY111" s="43"/>
      <c r="KZ111" s="43"/>
      <c r="LA111" s="43"/>
      <c r="LB111" s="43"/>
      <c r="LC111" s="43"/>
      <c r="LD111" s="43"/>
      <c r="LE111" s="43"/>
      <c r="LF111" s="43"/>
      <c r="LG111" s="43"/>
      <c r="LH111" s="43"/>
      <c r="LI111" s="43"/>
      <c r="LJ111" s="43"/>
      <c r="LK111" s="43"/>
      <c r="LL111" s="45"/>
    </row>
    <row r="112" spans="7:324" ht="18" customHeight="1" x14ac:dyDescent="0.2">
      <c r="G112" s="4"/>
      <c r="S112" s="42"/>
      <c r="T112" s="43"/>
      <c r="U112" s="9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O112" s="10"/>
      <c r="AP112" s="10"/>
      <c r="AQ112" s="10"/>
      <c r="AR112" s="11"/>
      <c r="AS112" s="11"/>
      <c r="AT112" s="9"/>
      <c r="AU112" s="10"/>
      <c r="AV112" s="10"/>
      <c r="BA112" s="10"/>
      <c r="BB112" s="10"/>
      <c r="BC112" s="11"/>
      <c r="BD112" s="10"/>
      <c r="BE112" s="9"/>
      <c r="BF112" s="10"/>
      <c r="BG112" s="10"/>
      <c r="BL112" s="10"/>
      <c r="BM112" s="10"/>
      <c r="BN112" s="11"/>
      <c r="BO112" s="43"/>
      <c r="BP112" s="45"/>
      <c r="CC112" s="13"/>
      <c r="CD112" s="13"/>
      <c r="CW112" s="42"/>
      <c r="CX112" s="43"/>
      <c r="CY112" s="9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  <c r="DT112" s="10"/>
      <c r="DU112" s="10"/>
      <c r="DV112" s="10"/>
      <c r="DW112" s="17"/>
      <c r="DX112" s="9"/>
      <c r="DY112" s="10"/>
      <c r="DZ112" s="10"/>
      <c r="EA112" s="10"/>
      <c r="EB112" s="10"/>
      <c r="EC112" s="10"/>
      <c r="ED112" s="10"/>
      <c r="EE112" s="10"/>
      <c r="EF112" s="10"/>
      <c r="EG112" s="11"/>
      <c r="EH112" s="10"/>
      <c r="EI112" s="9"/>
      <c r="EJ112" s="10"/>
      <c r="EK112" s="10"/>
      <c r="EL112" s="10"/>
      <c r="EM112" s="10"/>
      <c r="EN112" s="10"/>
      <c r="EO112" s="10"/>
      <c r="EP112" s="10"/>
      <c r="EQ112" s="10"/>
      <c r="ER112" s="11"/>
      <c r="ES112" s="43"/>
      <c r="ET112" s="45"/>
      <c r="FH112" s="42"/>
      <c r="FI112" s="43"/>
      <c r="FJ112" s="9"/>
      <c r="FK112" s="10"/>
      <c r="FL112" s="10"/>
      <c r="FM112" s="10"/>
      <c r="FN112" s="10"/>
      <c r="FO112" s="10"/>
      <c r="FP112" s="10"/>
      <c r="FQ112" s="10"/>
      <c r="FR112" s="10"/>
      <c r="FS112" s="10"/>
      <c r="FT112" s="10"/>
      <c r="FU112" s="10"/>
      <c r="FV112" s="10"/>
      <c r="FW112" s="10"/>
      <c r="FX112" s="10"/>
      <c r="FY112" s="10"/>
      <c r="FZ112" s="10"/>
      <c r="GA112" s="10"/>
      <c r="GB112" s="10"/>
      <c r="GC112" s="10"/>
      <c r="GD112" s="10"/>
      <c r="GE112" s="10"/>
      <c r="GF112" s="10"/>
      <c r="GG112" s="10"/>
      <c r="GH112" s="17"/>
      <c r="GI112" s="9"/>
      <c r="GJ112" s="10"/>
      <c r="GK112" s="10"/>
      <c r="GL112" s="10"/>
      <c r="GM112" s="10"/>
      <c r="GN112" s="10"/>
      <c r="GO112" s="10"/>
      <c r="GP112" s="10"/>
      <c r="GQ112" s="10"/>
      <c r="GR112" s="11"/>
      <c r="GS112" s="10"/>
      <c r="GT112" s="9"/>
      <c r="GU112" s="10"/>
      <c r="GV112" s="10"/>
      <c r="GW112" s="10"/>
      <c r="GX112" s="10"/>
      <c r="GY112" s="10"/>
      <c r="GZ112" s="10"/>
      <c r="HA112" s="10"/>
      <c r="HB112" s="10"/>
      <c r="HC112" s="11"/>
      <c r="HD112" s="9"/>
      <c r="HE112" s="9"/>
      <c r="HF112" s="10"/>
      <c r="HG112" s="10"/>
      <c r="HH112" s="10"/>
      <c r="HI112" s="10"/>
      <c r="HJ112" s="10"/>
      <c r="HK112" s="10"/>
      <c r="HL112" s="10"/>
      <c r="HM112" s="10"/>
      <c r="HN112" s="10"/>
      <c r="HO112" s="10"/>
      <c r="HP112" s="10"/>
      <c r="HQ112" s="10"/>
      <c r="HR112" s="10"/>
      <c r="HS112" s="10"/>
      <c r="HT112" s="10"/>
      <c r="HU112" s="10"/>
      <c r="HV112" s="10"/>
      <c r="HW112" s="10"/>
      <c r="HX112" s="10"/>
      <c r="HY112" s="11"/>
      <c r="HZ112" s="43"/>
      <c r="IA112" s="45"/>
      <c r="IQ112" s="42"/>
      <c r="IR112" s="43"/>
      <c r="IS112" s="9"/>
      <c r="IT112" s="10"/>
      <c r="IU112" s="10"/>
      <c r="IV112" s="10"/>
      <c r="IW112" s="10"/>
      <c r="IX112" s="10"/>
      <c r="IY112" s="10"/>
      <c r="IZ112" s="10"/>
      <c r="JA112" s="10"/>
      <c r="JB112" s="10"/>
      <c r="JC112" s="10"/>
      <c r="JD112" s="10"/>
      <c r="JE112" s="10"/>
      <c r="JF112" s="10"/>
      <c r="JG112" s="10"/>
      <c r="JH112" s="10"/>
      <c r="JI112" s="10"/>
      <c r="JJ112" s="10"/>
      <c r="JK112" s="10"/>
      <c r="JL112" s="10"/>
      <c r="JM112" s="10"/>
      <c r="JN112" s="10"/>
      <c r="JO112" s="10"/>
      <c r="JP112" s="11"/>
      <c r="JQ112" s="10"/>
      <c r="JR112" s="9"/>
      <c r="JS112" s="10"/>
      <c r="JT112" s="10"/>
      <c r="JU112" s="10"/>
      <c r="JV112" s="10"/>
      <c r="JW112" s="10"/>
      <c r="JX112" s="10"/>
      <c r="JY112" s="10"/>
      <c r="JZ112" s="10"/>
      <c r="KA112" s="10"/>
      <c r="KB112" s="10"/>
      <c r="KC112" s="10"/>
      <c r="KD112" s="10"/>
      <c r="KE112" s="10"/>
      <c r="KF112" s="10"/>
      <c r="KG112" s="10"/>
      <c r="KH112" s="10"/>
      <c r="KI112" s="11"/>
      <c r="KJ112" s="10"/>
      <c r="KK112" s="9"/>
      <c r="KL112" s="10"/>
      <c r="KM112" s="10"/>
      <c r="KN112" s="10"/>
      <c r="KO112" s="10"/>
      <c r="KP112" s="10"/>
      <c r="KQ112" s="10"/>
      <c r="KR112" s="10"/>
      <c r="KS112" s="10"/>
      <c r="KT112" s="10"/>
      <c r="KU112" s="10"/>
      <c r="KV112" s="10"/>
      <c r="KW112" s="10"/>
      <c r="KX112" s="10"/>
      <c r="KY112" s="10"/>
      <c r="KZ112" s="10"/>
      <c r="LA112" s="10"/>
      <c r="LB112" s="10"/>
      <c r="LC112" s="10"/>
      <c r="LD112" s="10"/>
      <c r="LE112" s="10"/>
      <c r="LF112" s="10"/>
      <c r="LG112" s="10"/>
      <c r="LH112" s="10"/>
      <c r="LI112" s="10"/>
      <c r="LJ112" s="11"/>
      <c r="LK112" s="43"/>
      <c r="LL112" s="45"/>
    </row>
    <row r="113" spans="7:324" ht="18" customHeight="1" x14ac:dyDescent="0.2">
      <c r="G113" s="4"/>
      <c r="S113" s="42"/>
      <c r="T113" s="43"/>
      <c r="U113" s="12"/>
      <c r="AR113" s="13"/>
      <c r="AS113" s="13"/>
      <c r="AT113" s="12"/>
      <c r="BC113" s="13"/>
      <c r="BE113" s="12"/>
      <c r="BN113" s="13"/>
      <c r="BO113" s="43"/>
      <c r="BP113" s="45"/>
      <c r="CC113" s="13"/>
      <c r="CD113" s="13"/>
      <c r="CW113" s="42"/>
      <c r="CX113" s="43"/>
      <c r="CY113" s="12"/>
      <c r="DW113" s="18"/>
      <c r="DX113" s="12"/>
      <c r="EG113" s="13"/>
      <c r="EI113" s="12"/>
      <c r="ER113" s="13"/>
      <c r="ES113" s="43"/>
      <c r="ET113" s="45"/>
      <c r="FH113" s="42"/>
      <c r="FI113" s="43"/>
      <c r="FJ113" s="12"/>
      <c r="GH113" s="18"/>
      <c r="GI113" s="12"/>
      <c r="GR113" s="13"/>
      <c r="GT113" s="12"/>
      <c r="HC113" s="13"/>
      <c r="HD113" s="12"/>
      <c r="HE113" s="12"/>
      <c r="HY113" s="13"/>
      <c r="HZ113" s="43"/>
      <c r="IA113" s="45"/>
      <c r="IQ113" s="42"/>
      <c r="IR113" s="43"/>
      <c r="IS113" s="12"/>
      <c r="JP113" s="13"/>
      <c r="JQ113" s="127"/>
      <c r="JR113" s="12"/>
      <c r="KI113" s="13"/>
      <c r="KK113" s="12"/>
      <c r="LJ113" s="13"/>
      <c r="LK113" s="43"/>
      <c r="LL113" s="45"/>
    </row>
    <row r="114" spans="7:324" ht="18" customHeight="1" x14ac:dyDescent="0.2">
      <c r="G114" s="4"/>
      <c r="S114" s="42"/>
      <c r="T114" s="43"/>
      <c r="U114" s="12"/>
      <c r="AR114" s="13"/>
      <c r="AS114" s="13"/>
      <c r="AT114" s="12"/>
      <c r="BC114" s="13"/>
      <c r="BE114" s="12"/>
      <c r="BN114" s="13"/>
      <c r="BO114" s="43"/>
      <c r="BP114" s="45"/>
      <c r="CC114" s="13"/>
      <c r="CD114" s="13"/>
      <c r="CW114" s="42"/>
      <c r="CX114" s="43"/>
      <c r="CY114" s="12"/>
      <c r="DW114" s="18"/>
      <c r="DX114" s="12"/>
      <c r="EG114" s="13"/>
      <c r="EI114" s="12"/>
      <c r="ER114" s="13"/>
      <c r="ES114" s="43"/>
      <c r="ET114" s="45"/>
      <c r="FH114" s="42"/>
      <c r="FI114" s="43"/>
      <c r="FJ114" s="12"/>
      <c r="GH114" s="18"/>
      <c r="GI114" s="12"/>
      <c r="GR114" s="13"/>
      <c r="GT114" s="12"/>
      <c r="HC114" s="13"/>
      <c r="HD114" s="12"/>
      <c r="HE114" s="12"/>
      <c r="HY114" s="13"/>
      <c r="HZ114" s="43"/>
      <c r="IA114" s="45"/>
      <c r="IQ114" s="42"/>
      <c r="IR114" s="43"/>
      <c r="IS114" s="12"/>
      <c r="JP114" s="13"/>
      <c r="JQ114" s="127"/>
      <c r="JR114" s="12"/>
      <c r="KI114" s="13"/>
      <c r="KK114" s="12"/>
      <c r="LJ114" s="13"/>
      <c r="LK114" s="43"/>
      <c r="LL114" s="45"/>
    </row>
    <row r="115" spans="7:324" ht="18" customHeight="1" x14ac:dyDescent="0.2">
      <c r="G115" s="4"/>
      <c r="S115" s="42"/>
      <c r="T115" s="43"/>
      <c r="U115" s="12"/>
      <c r="AR115" s="13"/>
      <c r="AS115" s="13"/>
      <c r="AT115" s="12"/>
      <c r="BC115" s="13"/>
      <c r="BE115" s="12"/>
      <c r="BN115" s="13"/>
      <c r="BO115" s="43"/>
      <c r="BP115" s="45"/>
      <c r="CC115" s="13"/>
      <c r="CD115" s="13"/>
      <c r="CW115" s="42"/>
      <c r="CX115" s="43"/>
      <c r="CY115" s="12"/>
      <c r="DW115" s="18"/>
      <c r="DX115" s="12"/>
      <c r="EG115" s="13"/>
      <c r="EI115" s="12"/>
      <c r="ER115" s="13"/>
      <c r="ES115" s="43"/>
      <c r="ET115" s="45"/>
      <c r="FH115" s="42"/>
      <c r="FI115" s="43"/>
      <c r="FJ115" s="12"/>
      <c r="GH115" s="18"/>
      <c r="GI115" s="12"/>
      <c r="GR115" s="13"/>
      <c r="GT115" s="12"/>
      <c r="HC115" s="13"/>
      <c r="HD115" s="12"/>
      <c r="HE115" s="12"/>
      <c r="HY115" s="13"/>
      <c r="HZ115" s="43"/>
      <c r="IA115" s="45"/>
      <c r="IQ115" s="42"/>
      <c r="IR115" s="43"/>
      <c r="IS115" s="12"/>
      <c r="JP115" s="13"/>
      <c r="JQ115" s="127"/>
      <c r="JR115" s="12"/>
      <c r="KI115" s="13"/>
      <c r="KK115" s="12"/>
      <c r="LJ115" s="13"/>
      <c r="LK115" s="43"/>
      <c r="LL115" s="45"/>
    </row>
    <row r="116" spans="7:324" ht="18" customHeight="1" x14ac:dyDescent="0.2">
      <c r="G116" s="4"/>
      <c r="S116" s="42"/>
      <c r="T116" s="43"/>
      <c r="U116" s="12"/>
      <c r="AR116" s="13"/>
      <c r="AS116" s="13"/>
      <c r="AT116" s="12"/>
      <c r="BC116" s="13"/>
      <c r="BE116" s="12"/>
      <c r="BN116" s="13"/>
      <c r="BO116" s="43"/>
      <c r="BP116" s="45"/>
      <c r="CC116" s="13"/>
      <c r="CD116" s="13"/>
      <c r="CW116" s="42"/>
      <c r="CX116" s="43"/>
      <c r="CY116" s="12"/>
      <c r="DW116" s="18"/>
      <c r="DX116" s="12"/>
      <c r="EG116" s="13"/>
      <c r="EI116" s="12"/>
      <c r="ER116" s="13"/>
      <c r="ES116" s="43"/>
      <c r="ET116" s="45"/>
      <c r="FH116" s="42"/>
      <c r="FI116" s="43"/>
      <c r="FJ116" s="12"/>
      <c r="GH116" s="18"/>
      <c r="GI116" s="12"/>
      <c r="GR116" s="13"/>
      <c r="GT116" s="12"/>
      <c r="HC116" s="13"/>
      <c r="HD116" s="12"/>
      <c r="HE116" s="12"/>
      <c r="HY116" s="13"/>
      <c r="HZ116" s="43"/>
      <c r="IA116" s="45"/>
      <c r="IQ116" s="42"/>
      <c r="IR116" s="43"/>
      <c r="IS116" s="12"/>
      <c r="JP116" s="13"/>
      <c r="JQ116" s="127"/>
      <c r="JR116" s="12"/>
      <c r="KI116" s="13"/>
      <c r="KK116" s="12"/>
      <c r="LJ116" s="13"/>
      <c r="LK116" s="43"/>
      <c r="LL116" s="45"/>
    </row>
    <row r="117" spans="7:324" ht="18" customHeight="1" x14ac:dyDescent="0.2">
      <c r="G117" s="4"/>
      <c r="S117" s="42"/>
      <c r="T117" s="43"/>
      <c r="U117" s="12"/>
      <c r="AR117" s="13"/>
      <c r="AS117" s="13"/>
      <c r="AT117" s="12"/>
      <c r="BC117" s="13"/>
      <c r="BE117" s="12"/>
      <c r="BN117" s="13"/>
      <c r="BO117" s="43"/>
      <c r="BP117" s="45"/>
      <c r="CC117" s="13"/>
      <c r="CD117" s="13"/>
      <c r="CW117" s="42"/>
      <c r="CX117" s="43"/>
      <c r="CY117" s="12"/>
      <c r="DW117" s="18"/>
      <c r="DX117" s="12"/>
      <c r="EG117" s="13"/>
      <c r="EI117" s="12"/>
      <c r="ER117" s="13"/>
      <c r="ES117" s="43"/>
      <c r="ET117" s="45"/>
      <c r="FH117" s="42"/>
      <c r="FI117" s="43"/>
      <c r="FJ117" s="12"/>
      <c r="GH117" s="18"/>
      <c r="GI117" s="12"/>
      <c r="GR117" s="13"/>
      <c r="GT117" s="12"/>
      <c r="HC117" s="13"/>
      <c r="HD117" s="12"/>
      <c r="HE117" s="12"/>
      <c r="HY117" s="13"/>
      <c r="HZ117" s="43"/>
      <c r="IA117" s="45"/>
      <c r="IQ117" s="42"/>
      <c r="IR117" s="43"/>
      <c r="IS117" s="12"/>
      <c r="JP117" s="13"/>
      <c r="JQ117" s="127"/>
      <c r="JR117" s="12"/>
      <c r="KI117" s="13"/>
      <c r="KK117" s="12"/>
      <c r="LJ117" s="13"/>
      <c r="LK117" s="43"/>
      <c r="LL117" s="45"/>
    </row>
    <row r="118" spans="7:324" ht="18" customHeight="1" x14ac:dyDescent="0.2">
      <c r="G118" s="4"/>
      <c r="S118" s="42"/>
      <c r="T118" s="43"/>
      <c r="U118" s="12"/>
      <c r="AR118" s="13"/>
      <c r="AS118" s="13"/>
      <c r="AT118" s="12"/>
      <c r="BC118" s="13"/>
      <c r="BE118" s="12"/>
      <c r="BN118" s="13"/>
      <c r="BO118" s="43"/>
      <c r="BP118" s="45"/>
      <c r="CC118" s="13"/>
      <c r="CD118" s="13"/>
      <c r="CW118" s="42"/>
      <c r="CX118" s="43"/>
      <c r="CY118" s="12"/>
      <c r="DW118" s="18"/>
      <c r="DX118" s="12"/>
      <c r="EG118" s="13"/>
      <c r="EI118" s="12"/>
      <c r="ER118" s="13"/>
      <c r="ES118" s="43"/>
      <c r="ET118" s="45"/>
      <c r="FH118" s="42"/>
      <c r="FI118" s="43"/>
      <c r="FJ118" s="9"/>
      <c r="FK118" s="10"/>
      <c r="FL118" s="10"/>
      <c r="FM118" s="10"/>
      <c r="FN118" s="10"/>
      <c r="FO118" s="10"/>
      <c r="FP118" s="10"/>
      <c r="FQ118" s="10"/>
      <c r="FR118" s="10"/>
      <c r="FS118" s="10"/>
      <c r="FT118" s="10"/>
      <c r="FU118" s="11"/>
      <c r="GH118" s="18"/>
      <c r="GI118" s="12"/>
      <c r="GR118" s="13"/>
      <c r="GT118" s="12"/>
      <c r="HC118" s="13"/>
      <c r="HD118" s="12"/>
      <c r="HE118" s="12"/>
      <c r="HY118" s="13"/>
      <c r="HZ118" s="43"/>
      <c r="IA118" s="45"/>
      <c r="IQ118" s="42"/>
      <c r="IR118" s="43"/>
      <c r="IS118" s="12"/>
      <c r="JP118" s="13"/>
      <c r="JR118" s="12"/>
      <c r="KI118" s="13"/>
      <c r="KK118" s="12"/>
      <c r="LJ118" s="13"/>
      <c r="LK118" s="43"/>
      <c r="LL118" s="45"/>
    </row>
    <row r="119" spans="7:324" ht="18" customHeight="1" x14ac:dyDescent="0.2">
      <c r="G119" s="4"/>
      <c r="S119" s="42"/>
      <c r="T119" s="43"/>
      <c r="U119" s="12"/>
      <c r="AR119" s="13"/>
      <c r="AS119" s="13"/>
      <c r="AT119" s="14"/>
      <c r="AU119" s="15"/>
      <c r="AV119" s="15"/>
      <c r="AW119" s="15"/>
      <c r="AX119" s="15"/>
      <c r="AY119" s="15"/>
      <c r="AZ119" s="15"/>
      <c r="BA119" s="15"/>
      <c r="BB119" s="15"/>
      <c r="BC119" s="16"/>
      <c r="BE119" s="14"/>
      <c r="BF119" s="15"/>
      <c r="BG119" s="15"/>
      <c r="BH119" s="15"/>
      <c r="BI119" s="15"/>
      <c r="BJ119" s="15"/>
      <c r="BK119" s="15"/>
      <c r="BL119" s="15"/>
      <c r="BM119" s="15"/>
      <c r="BN119" s="16"/>
      <c r="BO119" s="43"/>
      <c r="BP119" s="45"/>
      <c r="CC119" s="13"/>
      <c r="CD119" s="13"/>
      <c r="CW119" s="42"/>
      <c r="CX119" s="43"/>
      <c r="CY119" s="12"/>
      <c r="DW119" s="18"/>
      <c r="DX119" s="14"/>
      <c r="DY119" s="15"/>
      <c r="DZ119" s="15"/>
      <c r="EA119" s="15"/>
      <c r="EB119" s="15"/>
      <c r="EC119" s="15"/>
      <c r="ED119" s="15"/>
      <c r="EE119" s="15"/>
      <c r="EF119" s="15"/>
      <c r="EG119" s="16"/>
      <c r="EI119" s="14"/>
      <c r="EJ119" s="15"/>
      <c r="EK119" s="15"/>
      <c r="EL119" s="15"/>
      <c r="EM119" s="15"/>
      <c r="EN119" s="15"/>
      <c r="EO119" s="15"/>
      <c r="EP119" s="15"/>
      <c r="EQ119" s="15"/>
      <c r="ER119" s="16"/>
      <c r="ES119" s="43"/>
      <c r="ET119" s="45"/>
      <c r="FH119" s="42"/>
      <c r="FI119" s="43"/>
      <c r="FJ119" s="12"/>
      <c r="FU119" s="13"/>
      <c r="GH119" s="18"/>
      <c r="GI119" s="14"/>
      <c r="GJ119" s="15"/>
      <c r="GK119" s="15"/>
      <c r="GL119" s="15"/>
      <c r="GM119" s="15"/>
      <c r="GN119" s="15"/>
      <c r="GO119" s="15"/>
      <c r="GP119" s="15"/>
      <c r="GQ119" s="15"/>
      <c r="GR119" s="16"/>
      <c r="GT119" s="14"/>
      <c r="GU119" s="15"/>
      <c r="GV119" s="15"/>
      <c r="GW119" s="15"/>
      <c r="GX119" s="15"/>
      <c r="GY119" s="15"/>
      <c r="GZ119" s="15"/>
      <c r="HA119" s="15"/>
      <c r="HB119" s="15"/>
      <c r="HC119" s="16"/>
      <c r="HD119" s="12"/>
      <c r="HE119" s="12"/>
      <c r="HY119" s="13"/>
      <c r="HZ119" s="43"/>
      <c r="IA119" s="45"/>
      <c r="IQ119" s="42"/>
      <c r="IR119" s="43"/>
      <c r="IS119" s="12"/>
      <c r="JP119" s="13"/>
      <c r="JR119" s="12"/>
      <c r="KI119" s="13"/>
      <c r="KK119" s="12"/>
      <c r="LJ119" s="13"/>
      <c r="LK119" s="43"/>
      <c r="LL119" s="45"/>
    </row>
    <row r="120" spans="7:324" ht="18" customHeight="1" x14ac:dyDescent="0.2">
      <c r="G120" s="4"/>
      <c r="S120" s="42"/>
      <c r="T120" s="43"/>
      <c r="U120" s="12"/>
      <c r="AR120" s="13"/>
      <c r="AS120" s="13"/>
      <c r="AT120" s="12"/>
      <c r="AY120" s="9"/>
      <c r="AZ120" s="10"/>
      <c r="BA120" s="10"/>
      <c r="BB120" s="10"/>
      <c r="BC120" s="11"/>
      <c r="BE120" s="9"/>
      <c r="BF120" s="10"/>
      <c r="BG120" s="10"/>
      <c r="BH120" s="10"/>
      <c r="BI120" s="11"/>
      <c r="BN120" s="13"/>
      <c r="BO120" s="43"/>
      <c r="BP120" s="45"/>
      <c r="CC120" s="13"/>
      <c r="CD120" s="13"/>
      <c r="CW120" s="42"/>
      <c r="CX120" s="43"/>
      <c r="CY120" s="12"/>
      <c r="DW120" s="18"/>
      <c r="EC120" s="9"/>
      <c r="ED120" s="10"/>
      <c r="EE120" s="10"/>
      <c r="EF120" s="10"/>
      <c r="EG120" s="11"/>
      <c r="EI120" s="9"/>
      <c r="EJ120" s="10"/>
      <c r="EK120" s="10"/>
      <c r="EL120" s="10"/>
      <c r="EM120" s="11"/>
      <c r="ER120" s="13"/>
      <c r="ES120" s="43"/>
      <c r="ET120" s="45"/>
      <c r="FH120" s="42"/>
      <c r="FI120" s="43"/>
      <c r="FJ120" s="12"/>
      <c r="FU120" s="13"/>
      <c r="GH120" s="18"/>
      <c r="GN120" s="9"/>
      <c r="GO120" s="10"/>
      <c r="GP120" s="10"/>
      <c r="GQ120" s="10"/>
      <c r="GR120" s="11"/>
      <c r="GT120" s="9"/>
      <c r="GU120" s="10"/>
      <c r="GV120" s="10"/>
      <c r="GW120" s="10"/>
      <c r="GX120" s="11"/>
      <c r="HC120" s="13"/>
      <c r="HD120" s="12"/>
      <c r="HE120" s="12"/>
      <c r="HY120" s="13"/>
      <c r="HZ120" s="43"/>
      <c r="IA120" s="45"/>
      <c r="IQ120" s="42"/>
      <c r="IR120" s="43"/>
      <c r="IS120" s="12"/>
      <c r="JP120" s="13"/>
      <c r="JR120" s="12"/>
      <c r="KI120" s="13"/>
      <c r="KK120" s="12"/>
      <c r="LJ120" s="13"/>
      <c r="LK120" s="43"/>
      <c r="LL120" s="45"/>
    </row>
    <row r="121" spans="7:324" ht="18" customHeight="1" x14ac:dyDescent="0.2">
      <c r="G121" s="4"/>
      <c r="S121" s="42"/>
      <c r="T121" s="43"/>
      <c r="U121" s="12"/>
      <c r="AR121" s="13"/>
      <c r="AS121" s="13"/>
      <c r="AT121" s="12"/>
      <c r="AY121" s="12"/>
      <c r="BC121" s="13"/>
      <c r="BE121" s="12"/>
      <c r="BI121" s="13"/>
      <c r="BN121" s="13"/>
      <c r="BO121" s="43"/>
      <c r="BP121" s="45"/>
      <c r="CC121" s="13"/>
      <c r="CD121" s="13"/>
      <c r="CW121" s="42"/>
      <c r="CX121" s="43"/>
      <c r="CY121" s="12"/>
      <c r="DW121" s="18"/>
      <c r="EC121" s="12"/>
      <c r="EG121" s="13"/>
      <c r="EI121" s="12"/>
      <c r="EM121" s="13"/>
      <c r="ER121" s="13"/>
      <c r="ES121" s="43"/>
      <c r="ET121" s="45"/>
      <c r="FH121" s="42"/>
      <c r="FI121" s="43"/>
      <c r="FJ121" s="12"/>
      <c r="FU121" s="13"/>
      <c r="GH121" s="18"/>
      <c r="GN121" s="12"/>
      <c r="GR121" s="13"/>
      <c r="GT121" s="12"/>
      <c r="GX121" s="13"/>
      <c r="HC121" s="13"/>
      <c r="HD121" s="12"/>
      <c r="HE121" s="12"/>
      <c r="HY121" s="13"/>
      <c r="HZ121" s="43"/>
      <c r="IA121" s="45"/>
      <c r="IQ121" s="42"/>
      <c r="IR121" s="43"/>
      <c r="IS121" s="12"/>
      <c r="JP121" s="13"/>
      <c r="JR121" s="12"/>
      <c r="KI121" s="13"/>
      <c r="KK121" s="12"/>
      <c r="LJ121" s="13"/>
      <c r="LK121" s="43"/>
      <c r="LL121" s="45"/>
    </row>
    <row r="122" spans="7:324" ht="18" customHeight="1" x14ac:dyDescent="0.2">
      <c r="G122" s="4"/>
      <c r="S122" s="42"/>
      <c r="T122" s="43"/>
      <c r="U122" s="12"/>
      <c r="AR122" s="13"/>
      <c r="AS122" s="13"/>
      <c r="AT122" s="12"/>
      <c r="AY122" s="12"/>
      <c r="BC122" s="13"/>
      <c r="BE122" s="12"/>
      <c r="BI122" s="13"/>
      <c r="BN122" s="13"/>
      <c r="BO122" s="43"/>
      <c r="BP122" s="45"/>
      <c r="CC122" s="13"/>
      <c r="CD122" s="13"/>
      <c r="CW122" s="42"/>
      <c r="CX122" s="43"/>
      <c r="CY122" s="12"/>
      <c r="DW122" s="18"/>
      <c r="EC122" s="12"/>
      <c r="EG122" s="13"/>
      <c r="EI122" s="12"/>
      <c r="EM122" s="13"/>
      <c r="ER122" s="13"/>
      <c r="ES122" s="43"/>
      <c r="ET122" s="45"/>
      <c r="FH122" s="42"/>
      <c r="FI122" s="43"/>
      <c r="FJ122" s="12"/>
      <c r="FU122" s="13"/>
      <c r="GH122" s="18"/>
      <c r="GN122" s="12"/>
      <c r="GR122" s="13"/>
      <c r="GT122" s="12"/>
      <c r="GX122" s="13"/>
      <c r="HC122" s="13"/>
      <c r="HD122" s="12"/>
      <c r="HE122" s="12"/>
      <c r="HY122" s="13"/>
      <c r="HZ122" s="43"/>
      <c r="IA122" s="45"/>
      <c r="IQ122" s="42"/>
      <c r="IR122" s="43"/>
      <c r="IS122" s="12"/>
      <c r="JP122" s="13"/>
      <c r="JR122" s="12"/>
      <c r="KI122" s="13"/>
      <c r="KK122" s="12"/>
      <c r="LJ122" s="13"/>
      <c r="LK122" s="43"/>
      <c r="LL122" s="45"/>
    </row>
    <row r="123" spans="7:324" ht="18" customHeight="1" x14ac:dyDescent="0.2">
      <c r="G123" s="4"/>
      <c r="S123" s="42"/>
      <c r="T123" s="43"/>
      <c r="U123" s="12"/>
      <c r="AR123" s="13"/>
      <c r="AS123" s="13"/>
      <c r="AT123" s="12"/>
      <c r="AY123" s="12"/>
      <c r="BC123" s="13"/>
      <c r="BE123" s="12"/>
      <c r="BI123" s="13"/>
      <c r="BN123" s="13"/>
      <c r="BO123" s="43"/>
      <c r="BP123" s="45"/>
      <c r="CC123" s="13"/>
      <c r="CD123" s="13"/>
      <c r="CW123" s="42"/>
      <c r="CX123" s="43"/>
      <c r="CY123" s="12"/>
      <c r="DW123" s="18"/>
      <c r="EC123" s="12"/>
      <c r="EG123" s="13"/>
      <c r="EI123" s="12"/>
      <c r="EM123" s="13"/>
      <c r="ER123" s="13"/>
      <c r="ES123" s="43"/>
      <c r="ET123" s="45"/>
      <c r="FH123" s="42"/>
      <c r="FI123" s="43"/>
      <c r="FJ123" s="12"/>
      <c r="FU123" s="13"/>
      <c r="GH123" s="18"/>
      <c r="GN123" s="12"/>
      <c r="GR123" s="13"/>
      <c r="GT123" s="12"/>
      <c r="GX123" s="13"/>
      <c r="HC123" s="13"/>
      <c r="HD123" s="12"/>
      <c r="HE123" s="12"/>
      <c r="HY123" s="13"/>
      <c r="HZ123" s="43"/>
      <c r="IA123" s="45"/>
      <c r="IQ123" s="42"/>
      <c r="IR123" s="43"/>
      <c r="IS123" s="12"/>
      <c r="JP123" s="13"/>
      <c r="JR123" s="12"/>
      <c r="KI123" s="13"/>
      <c r="KK123" s="12"/>
      <c r="LJ123" s="13"/>
      <c r="LK123" s="43"/>
      <c r="LL123" s="45"/>
    </row>
    <row r="124" spans="7:324" ht="18" customHeight="1" x14ac:dyDescent="0.2">
      <c r="G124" s="4"/>
      <c r="S124" s="42"/>
      <c r="T124" s="43"/>
      <c r="U124" s="12"/>
      <c r="AR124" s="13"/>
      <c r="AS124" s="23"/>
      <c r="AT124" s="12"/>
      <c r="AY124" s="14"/>
      <c r="AZ124" s="15"/>
      <c r="BA124" s="15"/>
      <c r="BB124" s="15"/>
      <c r="BC124" s="16"/>
      <c r="BE124" s="14"/>
      <c r="BF124" s="15"/>
      <c r="BG124" s="15"/>
      <c r="BH124" s="15"/>
      <c r="BI124" s="16"/>
      <c r="BN124" s="13"/>
      <c r="BO124" s="43"/>
      <c r="BP124" s="45"/>
      <c r="CC124" s="13"/>
      <c r="CD124" s="13"/>
      <c r="CW124" s="42"/>
      <c r="CX124" s="43"/>
      <c r="CY124" s="12"/>
      <c r="DW124" s="23"/>
      <c r="EC124" s="14"/>
      <c r="ED124" s="15"/>
      <c r="EE124" s="15"/>
      <c r="EF124" s="15"/>
      <c r="EG124" s="16"/>
      <c r="EI124" s="14"/>
      <c r="EJ124" s="15"/>
      <c r="EK124" s="15"/>
      <c r="EL124" s="15"/>
      <c r="EM124" s="16"/>
      <c r="ER124" s="13"/>
      <c r="ES124" s="43"/>
      <c r="ET124" s="45"/>
      <c r="FH124" s="42"/>
      <c r="FI124" s="43"/>
      <c r="FJ124" s="12"/>
      <c r="FU124" s="13"/>
      <c r="GH124" s="23"/>
      <c r="GN124" s="14"/>
      <c r="GO124" s="15"/>
      <c r="GP124" s="15"/>
      <c r="GQ124" s="15"/>
      <c r="GR124" s="16"/>
      <c r="GT124" s="14"/>
      <c r="GU124" s="15"/>
      <c r="GV124" s="15"/>
      <c r="GW124" s="15"/>
      <c r="GX124" s="16"/>
      <c r="HC124" s="13"/>
      <c r="HD124" s="12"/>
      <c r="HE124" s="12"/>
      <c r="HY124" s="13"/>
      <c r="HZ124" s="43"/>
      <c r="IA124" s="45"/>
      <c r="IQ124" s="42"/>
      <c r="IR124" s="43"/>
      <c r="IS124" s="12"/>
      <c r="JP124" s="13"/>
      <c r="JR124" s="12"/>
      <c r="KI124" s="13"/>
      <c r="KK124" s="12"/>
      <c r="LJ124" s="13"/>
      <c r="LK124" s="43"/>
      <c r="LL124" s="45"/>
    </row>
    <row r="125" spans="7:324" ht="18" customHeight="1" x14ac:dyDescent="0.2">
      <c r="G125" s="4"/>
      <c r="S125" s="42"/>
      <c r="T125" s="43"/>
      <c r="U125" s="12"/>
      <c r="AR125" s="13"/>
      <c r="AS125" s="24"/>
      <c r="AT125" s="12"/>
      <c r="AY125" s="12"/>
      <c r="BC125" s="13"/>
      <c r="BE125" s="12"/>
      <c r="BI125" s="13"/>
      <c r="BN125" s="13"/>
      <c r="BO125" s="43"/>
      <c r="BP125" s="45"/>
      <c r="CC125" s="13"/>
      <c r="CD125" s="13"/>
      <c r="CW125" s="42"/>
      <c r="CX125" s="43"/>
      <c r="CY125" s="12"/>
      <c r="DW125" s="24"/>
      <c r="EC125" s="12"/>
      <c r="EG125" s="13"/>
      <c r="EI125" s="12"/>
      <c r="EM125" s="13"/>
      <c r="ER125" s="13"/>
      <c r="ES125" s="43"/>
      <c r="ET125" s="45"/>
      <c r="FH125" s="42"/>
      <c r="FI125" s="43"/>
      <c r="FJ125" s="12"/>
      <c r="FU125" s="13"/>
      <c r="GH125" s="24"/>
      <c r="GN125" s="12"/>
      <c r="GR125" s="13"/>
      <c r="GT125" s="12"/>
      <c r="GX125" s="13"/>
      <c r="HC125" s="13"/>
      <c r="HD125" s="12"/>
      <c r="HE125" s="12"/>
      <c r="HY125" s="13"/>
      <c r="HZ125" s="43"/>
      <c r="IA125" s="45"/>
      <c r="IQ125" s="42"/>
      <c r="IR125" s="43"/>
      <c r="IS125" s="12"/>
      <c r="JP125" s="13"/>
      <c r="JR125" s="12"/>
      <c r="KI125" s="13"/>
      <c r="KK125" s="12"/>
      <c r="LJ125" s="13"/>
      <c r="LK125" s="43"/>
      <c r="LL125" s="45"/>
    </row>
    <row r="126" spans="7:324" ht="18" customHeight="1" x14ac:dyDescent="0.2">
      <c r="G126" s="4"/>
      <c r="S126" s="42"/>
      <c r="T126" s="43"/>
      <c r="U126" s="12"/>
      <c r="AR126" s="13"/>
      <c r="AS126" s="24"/>
      <c r="AT126" s="12"/>
      <c r="AY126" s="12"/>
      <c r="BC126" s="13"/>
      <c r="BE126" s="12"/>
      <c r="BI126" s="13"/>
      <c r="BN126" s="13"/>
      <c r="BO126" s="43"/>
      <c r="BP126" s="45"/>
      <c r="CC126" s="13"/>
      <c r="CD126" s="13"/>
      <c r="CW126" s="42"/>
      <c r="CX126" s="43"/>
      <c r="CY126" s="12"/>
      <c r="DW126" s="24"/>
      <c r="EC126" s="12"/>
      <c r="EG126" s="13"/>
      <c r="EI126" s="12"/>
      <c r="EM126" s="13"/>
      <c r="ER126" s="13"/>
      <c r="ES126" s="43"/>
      <c r="ET126" s="45"/>
      <c r="FH126" s="42"/>
      <c r="FI126" s="43"/>
      <c r="FJ126" s="12"/>
      <c r="FU126" s="13"/>
      <c r="GH126" s="24"/>
      <c r="GN126" s="12"/>
      <c r="GR126" s="13"/>
      <c r="GT126" s="12"/>
      <c r="GX126" s="13"/>
      <c r="HC126" s="13"/>
      <c r="HD126" s="12"/>
      <c r="HE126" s="12"/>
      <c r="HY126" s="13"/>
      <c r="HZ126" s="43"/>
      <c r="IA126" s="45"/>
      <c r="IQ126" s="42"/>
      <c r="IR126" s="43"/>
      <c r="IS126" s="12"/>
      <c r="JP126" s="13"/>
      <c r="JR126" s="12"/>
      <c r="KI126" s="13"/>
      <c r="KK126" s="12"/>
      <c r="LJ126" s="13"/>
      <c r="LK126" s="43"/>
      <c r="LL126" s="45"/>
    </row>
    <row r="127" spans="7:324" ht="18" customHeight="1" x14ac:dyDescent="0.2">
      <c r="G127" s="4"/>
      <c r="S127" s="42"/>
      <c r="T127" s="43"/>
      <c r="U127" s="12"/>
      <c r="AR127" s="13"/>
      <c r="AS127" s="24"/>
      <c r="AT127" s="12"/>
      <c r="AY127" s="12"/>
      <c r="BC127" s="13"/>
      <c r="BE127" s="12"/>
      <c r="BI127" s="13"/>
      <c r="BN127" s="13"/>
      <c r="BO127" s="43"/>
      <c r="BP127" s="45"/>
      <c r="CC127" s="13"/>
      <c r="CD127" s="13"/>
      <c r="CW127" s="42"/>
      <c r="CX127" s="43"/>
      <c r="CY127" s="12"/>
      <c r="DW127" s="24"/>
      <c r="EC127" s="12"/>
      <c r="EG127" s="13"/>
      <c r="EI127" s="12"/>
      <c r="EM127" s="13"/>
      <c r="ER127" s="13"/>
      <c r="ES127" s="43"/>
      <c r="ET127" s="45"/>
      <c r="FH127" s="42"/>
      <c r="FI127" s="43"/>
      <c r="FJ127" s="12"/>
      <c r="FU127" s="13"/>
      <c r="GH127" s="24"/>
      <c r="GN127" s="12"/>
      <c r="GR127" s="13"/>
      <c r="GT127" s="12"/>
      <c r="GX127" s="13"/>
      <c r="HC127" s="13"/>
      <c r="HD127" s="12"/>
      <c r="HE127" s="12"/>
      <c r="HY127" s="13"/>
      <c r="HZ127" s="43"/>
      <c r="IA127" s="45"/>
      <c r="IQ127" s="42"/>
      <c r="IR127" s="43"/>
      <c r="IS127" s="12"/>
      <c r="JP127" s="13"/>
      <c r="JR127" s="12"/>
      <c r="KI127" s="13"/>
      <c r="KK127" s="12"/>
      <c r="LJ127" s="13"/>
      <c r="LK127" s="43"/>
      <c r="LL127" s="45"/>
    </row>
    <row r="128" spans="7:324" ht="18" customHeight="1" x14ac:dyDescent="0.2">
      <c r="G128" s="4"/>
      <c r="S128" s="42"/>
      <c r="T128" s="43"/>
      <c r="U128" s="12"/>
      <c r="AR128" s="13"/>
      <c r="AS128" s="25"/>
      <c r="AT128" s="12"/>
      <c r="AY128" s="12"/>
      <c r="BC128" s="13"/>
      <c r="BE128" s="12"/>
      <c r="BI128" s="13"/>
      <c r="BN128" s="13"/>
      <c r="BO128" s="43"/>
      <c r="BP128" s="45"/>
      <c r="CC128" s="13"/>
      <c r="CD128" s="13"/>
      <c r="CW128" s="42"/>
      <c r="CX128" s="43"/>
      <c r="CY128" s="12"/>
      <c r="DW128" s="25"/>
      <c r="EC128" s="12"/>
      <c r="EG128" s="13"/>
      <c r="EI128" s="12"/>
      <c r="EM128" s="13"/>
      <c r="ER128" s="13"/>
      <c r="ES128" s="43"/>
      <c r="ET128" s="45"/>
      <c r="FH128" s="42"/>
      <c r="FI128" s="43"/>
      <c r="FJ128" s="12"/>
      <c r="FU128" s="13"/>
      <c r="GH128" s="25"/>
      <c r="GN128" s="12"/>
      <c r="GR128" s="13"/>
      <c r="GT128" s="12"/>
      <c r="GX128" s="13"/>
      <c r="HC128" s="13"/>
      <c r="HD128" s="12"/>
      <c r="HE128" s="12"/>
      <c r="HY128" s="13"/>
      <c r="HZ128" s="43"/>
      <c r="IA128" s="45"/>
      <c r="IQ128" s="42"/>
      <c r="IR128" s="43"/>
      <c r="IS128" s="12"/>
      <c r="JP128" s="13"/>
      <c r="JR128" s="12"/>
      <c r="KI128" s="13"/>
      <c r="KK128" s="12"/>
      <c r="LJ128" s="13"/>
      <c r="LK128" s="43"/>
      <c r="LL128" s="45"/>
    </row>
    <row r="129" spans="7:324" ht="18" customHeight="1" x14ac:dyDescent="0.2">
      <c r="G129" s="4"/>
      <c r="S129" s="42"/>
      <c r="T129" s="43"/>
      <c r="U129" s="12"/>
      <c r="AR129" s="13"/>
      <c r="AS129" s="13"/>
      <c r="AT129" s="14"/>
      <c r="AU129" s="15"/>
      <c r="AV129" s="15"/>
      <c r="AW129" s="15"/>
      <c r="AX129" s="15"/>
      <c r="AY129" s="14"/>
      <c r="AZ129" s="15"/>
      <c r="BA129" s="15"/>
      <c r="BB129" s="15"/>
      <c r="BC129" s="16"/>
      <c r="BE129" s="14"/>
      <c r="BF129" s="15"/>
      <c r="BG129" s="15"/>
      <c r="BH129" s="15"/>
      <c r="BI129" s="16"/>
      <c r="BJ129" s="15"/>
      <c r="BK129" s="15"/>
      <c r="BL129" s="15"/>
      <c r="BM129" s="15"/>
      <c r="BN129" s="16"/>
      <c r="BO129" s="43"/>
      <c r="BP129" s="45"/>
      <c r="CC129" s="13"/>
      <c r="CD129" s="13"/>
      <c r="CW129" s="42"/>
      <c r="CX129" s="43"/>
      <c r="CY129" s="12"/>
      <c r="DW129" s="18"/>
      <c r="DX129" s="15"/>
      <c r="DY129" s="15"/>
      <c r="DZ129" s="15"/>
      <c r="EA129" s="15"/>
      <c r="EB129" s="15"/>
      <c r="EC129" s="14"/>
      <c r="ED129" s="15"/>
      <c r="EE129" s="15"/>
      <c r="EF129" s="15"/>
      <c r="EG129" s="16"/>
      <c r="EI129" s="14"/>
      <c r="EJ129" s="15"/>
      <c r="EK129" s="15"/>
      <c r="EL129" s="15"/>
      <c r="EM129" s="16"/>
      <c r="EN129" s="15"/>
      <c r="EO129" s="15"/>
      <c r="EP129" s="15"/>
      <c r="EQ129" s="15"/>
      <c r="ER129" s="16"/>
      <c r="ES129" s="43"/>
      <c r="ET129" s="45"/>
      <c r="FH129" s="42"/>
      <c r="FI129" s="43"/>
      <c r="FJ129" s="14"/>
      <c r="FK129" s="15"/>
      <c r="FL129" s="15"/>
      <c r="FM129" s="15"/>
      <c r="FN129" s="15"/>
      <c r="FO129" s="15"/>
      <c r="FP129" s="15"/>
      <c r="FQ129" s="15"/>
      <c r="FR129" s="15"/>
      <c r="FS129" s="15"/>
      <c r="FT129" s="15"/>
      <c r="FU129" s="16"/>
      <c r="GH129" s="18"/>
      <c r="GI129" s="15"/>
      <c r="GJ129" s="15"/>
      <c r="GK129" s="15"/>
      <c r="GL129" s="15"/>
      <c r="GM129" s="15"/>
      <c r="GN129" s="14"/>
      <c r="GO129" s="15"/>
      <c r="GP129" s="15"/>
      <c r="GQ129" s="15"/>
      <c r="GR129" s="16"/>
      <c r="GT129" s="14"/>
      <c r="GU129" s="15"/>
      <c r="GV129" s="15"/>
      <c r="GW129" s="15"/>
      <c r="GX129" s="16"/>
      <c r="GY129" s="15"/>
      <c r="GZ129" s="15"/>
      <c r="HA129" s="15"/>
      <c r="HB129" s="15"/>
      <c r="HC129" s="16"/>
      <c r="HD129" s="12"/>
      <c r="HE129" s="14"/>
      <c r="HF129" s="15"/>
      <c r="HG129" s="15"/>
      <c r="HH129" s="15"/>
      <c r="HI129" s="15"/>
      <c r="HJ129" s="15"/>
      <c r="HK129" s="15"/>
      <c r="HL129" s="15"/>
      <c r="HM129" s="15"/>
      <c r="HN129" s="15"/>
      <c r="HO129" s="15"/>
      <c r="HP129" s="15"/>
      <c r="HQ129" s="15"/>
      <c r="HR129" s="15"/>
      <c r="HS129" s="15"/>
      <c r="HT129" s="15"/>
      <c r="HU129" s="15"/>
      <c r="HV129" s="15"/>
      <c r="HW129" s="15"/>
      <c r="HX129" s="15"/>
      <c r="HY129" s="16"/>
      <c r="HZ129" s="43"/>
      <c r="IA129" s="45"/>
      <c r="IQ129" s="42"/>
      <c r="IR129" s="43"/>
      <c r="IS129" s="12"/>
      <c r="JP129" s="13"/>
      <c r="JR129" s="12"/>
      <c r="KI129" s="13"/>
      <c r="KK129" s="12"/>
      <c r="LJ129" s="13"/>
      <c r="LK129" s="43"/>
      <c r="LL129" s="45"/>
    </row>
    <row r="130" spans="7:324" ht="18" customHeight="1" x14ac:dyDescent="0.2">
      <c r="G130" s="4"/>
      <c r="S130" s="40"/>
      <c r="T130" s="125"/>
      <c r="AR130" s="13"/>
      <c r="AS130" s="12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26"/>
      <c r="BJ130" s="27"/>
      <c r="BK130" s="27"/>
      <c r="BL130" s="27"/>
      <c r="BM130" s="28"/>
      <c r="BN130" s="22"/>
      <c r="BO130" s="43"/>
      <c r="BP130" s="45"/>
      <c r="CC130" s="13"/>
      <c r="CD130" s="13"/>
      <c r="CW130" s="42"/>
      <c r="CX130" s="43"/>
      <c r="CY130" s="12"/>
      <c r="DW130" s="18"/>
      <c r="DX130" s="15"/>
      <c r="DY130" s="15"/>
      <c r="DZ130" s="15"/>
      <c r="EA130" s="15"/>
      <c r="EB130" s="15"/>
      <c r="EC130" s="15"/>
      <c r="ED130" s="15"/>
      <c r="EE130" s="15"/>
      <c r="EF130" s="15"/>
      <c r="EG130" s="15"/>
      <c r="EH130" s="15"/>
      <c r="EI130" s="15"/>
      <c r="EJ130" s="15"/>
      <c r="EK130" s="15"/>
      <c r="EL130" s="15"/>
      <c r="EM130" s="26"/>
      <c r="EN130" s="27"/>
      <c r="EO130" s="27"/>
      <c r="EP130" s="27"/>
      <c r="EQ130" s="28"/>
      <c r="ER130" s="22"/>
      <c r="ES130" s="43"/>
      <c r="ET130" s="45"/>
      <c r="FH130" s="42"/>
      <c r="FI130" s="43"/>
      <c r="FJ130" s="12"/>
      <c r="GH130" s="18"/>
      <c r="GI130" s="15"/>
      <c r="GJ130" s="15"/>
      <c r="GK130" s="15"/>
      <c r="GL130" s="15"/>
      <c r="GM130" s="15"/>
      <c r="GN130" s="15"/>
      <c r="GO130" s="15"/>
      <c r="GP130" s="15"/>
      <c r="GQ130" s="15"/>
      <c r="GR130" s="15"/>
      <c r="GS130" s="15"/>
      <c r="GT130" s="15"/>
      <c r="GU130" s="15"/>
      <c r="GV130" s="15"/>
      <c r="GW130" s="15"/>
      <c r="GX130" s="26"/>
      <c r="GY130" s="27"/>
      <c r="GZ130" s="27"/>
      <c r="HA130" s="27"/>
      <c r="HB130" s="28"/>
      <c r="HC130" s="22"/>
      <c r="HD130" s="18"/>
      <c r="HE130" s="15"/>
      <c r="HF130" s="15"/>
      <c r="HG130" s="15"/>
      <c r="HH130" s="15"/>
      <c r="HI130" s="15"/>
      <c r="HJ130" s="15"/>
      <c r="HK130" s="15"/>
      <c r="HL130" s="15"/>
      <c r="HM130" s="15"/>
      <c r="HN130" s="15"/>
      <c r="HO130" s="15"/>
      <c r="HP130" s="15"/>
      <c r="HQ130" s="15"/>
      <c r="HR130" s="15"/>
      <c r="HS130" s="15"/>
      <c r="HT130" s="72"/>
      <c r="HU130" s="100"/>
      <c r="HV130" s="100"/>
      <c r="HW130" s="100"/>
      <c r="HX130" s="73"/>
      <c r="HY130" s="16"/>
      <c r="HZ130" s="43"/>
      <c r="IA130" s="45"/>
      <c r="IQ130" s="42"/>
      <c r="IR130" s="43"/>
      <c r="IS130" s="12"/>
      <c r="JP130" s="13"/>
      <c r="JR130" s="12"/>
      <c r="KI130" s="13"/>
      <c r="KK130" s="12"/>
      <c r="LJ130" s="13"/>
      <c r="LK130" s="43"/>
      <c r="LL130" s="45"/>
    </row>
    <row r="131" spans="7:324" ht="18" customHeight="1" x14ac:dyDescent="0.2">
      <c r="G131" s="4"/>
      <c r="S131" s="42"/>
      <c r="T131" s="108"/>
      <c r="AR131" s="13"/>
      <c r="AT131" s="9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1"/>
      <c r="BO131" s="43"/>
      <c r="BP131" s="45"/>
      <c r="CC131" s="13"/>
      <c r="CD131" s="13"/>
      <c r="CW131" s="42"/>
      <c r="CX131" s="43"/>
      <c r="CY131" s="12"/>
      <c r="DW131" s="18"/>
      <c r="DX131" s="10"/>
      <c r="DY131" s="10"/>
      <c r="DZ131" s="10"/>
      <c r="EA131" s="10"/>
      <c r="EB131" s="10"/>
      <c r="EC131" s="10"/>
      <c r="ED131" s="10"/>
      <c r="EE131" s="10"/>
      <c r="EF131" s="10"/>
      <c r="EG131" s="10"/>
      <c r="EH131" s="10"/>
      <c r="EI131" s="10"/>
      <c r="EJ131" s="10"/>
      <c r="EK131" s="10"/>
      <c r="EL131" s="10"/>
      <c r="EM131" s="10"/>
      <c r="EN131" s="10"/>
      <c r="EO131" s="10"/>
      <c r="EP131" s="10"/>
      <c r="EQ131" s="10"/>
      <c r="ER131" s="11"/>
      <c r="ES131" s="43"/>
      <c r="ET131" s="45"/>
      <c r="FH131" s="42"/>
      <c r="FI131" s="43"/>
      <c r="FJ131" s="12"/>
      <c r="GH131" s="18"/>
      <c r="GI131" s="10"/>
      <c r="GJ131" s="10"/>
      <c r="GK131" s="10"/>
      <c r="GL131" s="10"/>
      <c r="GM131" s="10"/>
      <c r="GN131" s="10"/>
      <c r="GO131" s="10"/>
      <c r="GP131" s="10"/>
      <c r="GQ131" s="10"/>
      <c r="GR131" s="10"/>
      <c r="GS131" s="10"/>
      <c r="GT131" s="10"/>
      <c r="GU131" s="10"/>
      <c r="GV131" s="10"/>
      <c r="GW131" s="10"/>
      <c r="GX131" s="10"/>
      <c r="GY131" s="10"/>
      <c r="GZ131" s="10"/>
      <c r="HA131" s="10"/>
      <c r="HB131" s="10"/>
      <c r="HC131" s="10"/>
      <c r="HD131" s="10"/>
      <c r="HE131" s="10"/>
      <c r="HF131" s="10"/>
      <c r="HG131" s="10"/>
      <c r="HH131" s="10"/>
      <c r="HI131" s="10"/>
      <c r="HJ131" s="10"/>
      <c r="HK131" s="10"/>
      <c r="HL131" s="10"/>
      <c r="HM131" s="10"/>
      <c r="HN131" s="10"/>
      <c r="HO131" s="10"/>
      <c r="HP131" s="10"/>
      <c r="HQ131" s="10"/>
      <c r="HR131" s="10"/>
      <c r="HS131" s="10"/>
      <c r="HT131" s="10"/>
      <c r="HU131" s="10"/>
      <c r="HV131" s="10"/>
      <c r="HW131" s="10"/>
      <c r="HX131" s="10"/>
      <c r="HY131" s="11"/>
      <c r="HZ131" s="43"/>
      <c r="IA131" s="45"/>
      <c r="IQ131" s="42"/>
      <c r="IR131" s="43"/>
      <c r="IS131" s="12"/>
      <c r="JP131" s="13"/>
      <c r="JR131" s="12"/>
      <c r="KI131" s="13"/>
      <c r="KK131" s="12"/>
      <c r="LJ131" s="13"/>
      <c r="LK131" s="43"/>
      <c r="LL131" s="45"/>
    </row>
    <row r="132" spans="7:324" ht="18" customHeight="1" x14ac:dyDescent="0.2">
      <c r="G132" s="4"/>
      <c r="S132" s="42"/>
      <c r="T132" s="108"/>
      <c r="AR132" s="13"/>
      <c r="AT132" s="12"/>
      <c r="BO132" s="125"/>
      <c r="BP132" s="44"/>
      <c r="CC132" s="13"/>
      <c r="CD132" s="13"/>
      <c r="CW132" s="42"/>
      <c r="CX132" s="43"/>
      <c r="CY132" s="12"/>
      <c r="DW132" s="23"/>
      <c r="ER132" s="13"/>
      <c r="ES132" s="43"/>
      <c r="ET132" s="45"/>
      <c r="FH132" s="42"/>
      <c r="FI132" s="43"/>
      <c r="FJ132" s="12"/>
      <c r="GH132" s="23"/>
      <c r="HY132" s="13"/>
      <c r="HZ132" s="43"/>
      <c r="IA132" s="45"/>
      <c r="IQ132" s="42"/>
      <c r="IR132" s="43"/>
      <c r="IS132" s="12"/>
      <c r="JP132" s="13"/>
      <c r="JR132" s="14"/>
      <c r="JS132" s="15"/>
      <c r="JT132" s="15"/>
      <c r="JU132" s="15"/>
      <c r="JV132" s="15"/>
      <c r="JW132" s="15"/>
      <c r="JX132" s="15"/>
      <c r="JY132" s="15"/>
      <c r="JZ132" s="15"/>
      <c r="KA132" s="15"/>
      <c r="KB132" s="15"/>
      <c r="KC132" s="15"/>
      <c r="KD132" s="15"/>
      <c r="KE132" s="15"/>
      <c r="KF132" s="15"/>
      <c r="KG132" s="15"/>
      <c r="KH132" s="15"/>
      <c r="KI132" s="16"/>
      <c r="KK132" s="14"/>
      <c r="KL132" s="15"/>
      <c r="KM132" s="15"/>
      <c r="KN132" s="15"/>
      <c r="KO132" s="15"/>
      <c r="KP132" s="15"/>
      <c r="KQ132" s="15"/>
      <c r="KR132" s="15"/>
      <c r="KS132" s="15"/>
      <c r="KT132" s="15"/>
      <c r="KU132" s="15"/>
      <c r="KV132" s="15"/>
      <c r="KW132" s="15"/>
      <c r="KX132" s="15"/>
      <c r="KY132" s="15"/>
      <c r="KZ132" s="15"/>
      <c r="LA132" s="15"/>
      <c r="LB132" s="15"/>
      <c r="LC132" s="15"/>
      <c r="LD132" s="15"/>
      <c r="LE132" s="15"/>
      <c r="LF132" s="15"/>
      <c r="LG132" s="15"/>
      <c r="LH132" s="15"/>
      <c r="LI132" s="15"/>
      <c r="LJ132" s="16"/>
      <c r="LK132" s="43"/>
      <c r="LL132" s="45"/>
    </row>
    <row r="133" spans="7:324" ht="18" customHeight="1" x14ac:dyDescent="0.2">
      <c r="G133" s="4"/>
      <c r="S133" s="42"/>
      <c r="T133" s="108"/>
      <c r="AR133" s="13"/>
      <c r="AS133" s="23"/>
      <c r="AT133" s="12"/>
      <c r="BO133" s="108"/>
      <c r="BP133" s="45"/>
      <c r="CC133" s="13"/>
      <c r="CD133" s="13"/>
      <c r="CW133" s="42"/>
      <c r="CX133" s="43"/>
      <c r="CY133" s="12"/>
      <c r="DW133" s="24"/>
      <c r="ER133" s="13"/>
      <c r="ES133" s="43"/>
      <c r="ET133" s="45"/>
      <c r="FH133" s="42"/>
      <c r="FI133" s="43"/>
      <c r="FJ133" s="12"/>
      <c r="GH133" s="24"/>
      <c r="HY133" s="13"/>
      <c r="HZ133" s="43"/>
      <c r="IA133" s="45"/>
      <c r="IQ133" s="42"/>
      <c r="IR133" s="43"/>
      <c r="IS133" s="12"/>
      <c r="JP133" s="13"/>
      <c r="JR133" s="14"/>
      <c r="JS133" s="100"/>
      <c r="JT133" s="100"/>
      <c r="JU133" s="100"/>
      <c r="JV133" s="100"/>
      <c r="JW133" s="100"/>
      <c r="JX133" s="15"/>
      <c r="JY133" s="15"/>
      <c r="JZ133" s="15"/>
      <c r="KA133" s="15"/>
      <c r="KB133" s="15"/>
      <c r="KC133" s="15"/>
      <c r="KD133" s="15"/>
      <c r="KE133" s="15"/>
      <c r="KF133" s="15"/>
      <c r="KG133" s="15"/>
      <c r="KH133" s="15"/>
      <c r="KI133" s="15"/>
      <c r="KJ133" s="15"/>
      <c r="KK133" s="14"/>
      <c r="KL133" s="15"/>
      <c r="KM133" s="15"/>
      <c r="KN133" s="15"/>
      <c r="KO133" s="15"/>
      <c r="KP133" s="15"/>
      <c r="KQ133" s="15"/>
      <c r="KR133" s="15"/>
      <c r="KS133" s="15"/>
      <c r="KT133" s="15"/>
      <c r="KU133" s="15"/>
      <c r="KV133" s="15"/>
      <c r="KW133" s="15"/>
      <c r="KX133" s="15"/>
      <c r="KY133" s="15"/>
      <c r="KZ133" s="15"/>
      <c r="LA133" s="15"/>
      <c r="LB133" s="15"/>
      <c r="LC133" s="15"/>
      <c r="LD133" s="15"/>
      <c r="LE133" s="100"/>
      <c r="LF133" s="100"/>
      <c r="LG133" s="100"/>
      <c r="LH133" s="100"/>
      <c r="LI133" s="100"/>
      <c r="LJ133" s="16"/>
      <c r="LK133" s="43"/>
      <c r="LL133" s="45"/>
    </row>
    <row r="134" spans="7:324" ht="18" customHeight="1" x14ac:dyDescent="0.2">
      <c r="G134" s="4"/>
      <c r="S134" s="42"/>
      <c r="T134" s="108"/>
      <c r="AR134" s="13"/>
      <c r="AS134" s="24"/>
      <c r="AT134" s="12"/>
      <c r="BO134" s="108"/>
      <c r="BP134" s="45"/>
      <c r="CC134" s="13"/>
      <c r="CD134" s="13"/>
      <c r="CW134" s="42"/>
      <c r="CX134" s="43"/>
      <c r="CY134" s="12"/>
      <c r="DW134" s="24"/>
      <c r="ER134" s="13"/>
      <c r="ES134" s="125"/>
      <c r="ET134" s="125"/>
      <c r="FH134" s="42"/>
      <c r="FI134" s="43"/>
      <c r="FJ134" s="12"/>
      <c r="GH134" s="24"/>
      <c r="HY134" s="13"/>
      <c r="HZ134" s="43"/>
      <c r="IA134" s="45"/>
      <c r="IQ134" s="42"/>
      <c r="IR134" s="43"/>
      <c r="IS134" s="12"/>
      <c r="JP134" s="13"/>
      <c r="JR134" s="9"/>
      <c r="JS134" s="10"/>
      <c r="JT134" s="10"/>
      <c r="JU134" s="10"/>
      <c r="JV134" s="10"/>
      <c r="JW134" s="10"/>
      <c r="JX134" s="10"/>
      <c r="JY134" s="10"/>
      <c r="JZ134" s="10"/>
      <c r="KA134" s="10"/>
      <c r="KB134" s="10"/>
      <c r="KC134" s="10"/>
      <c r="KD134" s="10"/>
      <c r="KE134" s="10"/>
      <c r="KF134" s="10"/>
      <c r="KG134" s="10"/>
      <c r="KH134" s="10"/>
      <c r="KI134" s="10"/>
      <c r="KJ134" s="10"/>
      <c r="KK134" s="10"/>
      <c r="KL134" s="10"/>
      <c r="KM134" s="10"/>
      <c r="KN134" s="10"/>
      <c r="KO134" s="10"/>
      <c r="KP134" s="10"/>
      <c r="KQ134" s="10"/>
      <c r="KR134" s="10"/>
      <c r="KS134" s="10"/>
      <c r="KT134" s="10"/>
      <c r="KU134" s="10"/>
      <c r="KV134" s="10"/>
      <c r="KW134" s="10"/>
      <c r="KX134" s="10"/>
      <c r="KY134" s="10"/>
      <c r="KZ134" s="10"/>
      <c r="LA134" s="10"/>
      <c r="LB134" s="10"/>
      <c r="LC134" s="10"/>
      <c r="LD134" s="10"/>
      <c r="LE134" s="10"/>
      <c r="LF134" s="10"/>
      <c r="LG134" s="10"/>
      <c r="LH134" s="10"/>
      <c r="LI134" s="10"/>
      <c r="LJ134" s="11"/>
      <c r="LK134" s="43"/>
      <c r="LL134" s="45"/>
    </row>
    <row r="135" spans="7:324" ht="18" customHeight="1" x14ac:dyDescent="0.2">
      <c r="G135" s="4"/>
      <c r="S135" s="46"/>
      <c r="T135" s="126"/>
      <c r="AR135" s="13"/>
      <c r="AS135" s="24"/>
      <c r="AT135" s="12"/>
      <c r="BO135" s="108"/>
      <c r="BP135" s="45"/>
      <c r="CC135" s="13"/>
      <c r="CD135" s="13"/>
      <c r="CW135" s="42"/>
      <c r="CX135" s="43"/>
      <c r="CY135" s="12"/>
      <c r="DW135" s="24"/>
      <c r="ER135" s="13"/>
      <c r="ES135" s="108"/>
      <c r="ET135" s="108"/>
      <c r="FH135" s="42"/>
      <c r="FI135" s="43"/>
      <c r="FJ135" s="12"/>
      <c r="GH135" s="24"/>
      <c r="HY135" s="13"/>
      <c r="HZ135" s="43"/>
      <c r="IA135" s="45"/>
      <c r="IQ135" s="42"/>
      <c r="IR135" s="43"/>
      <c r="IS135" s="12"/>
      <c r="JP135" s="13"/>
      <c r="JQ135" s="127"/>
      <c r="JR135" s="12"/>
      <c r="LJ135" s="13"/>
      <c r="LK135" s="43"/>
      <c r="LL135" s="45"/>
    </row>
    <row r="136" spans="7:324" ht="18" customHeight="1" x14ac:dyDescent="0.2">
      <c r="G136" s="4"/>
      <c r="S136" s="42"/>
      <c r="T136" s="43"/>
      <c r="U136" s="12"/>
      <c r="AR136" s="13"/>
      <c r="AS136" s="24"/>
      <c r="AT136" s="12"/>
      <c r="BO136" s="126"/>
      <c r="BP136" s="48"/>
      <c r="CC136" s="13"/>
      <c r="CD136" s="13"/>
      <c r="CW136" s="42"/>
      <c r="CX136" s="43"/>
      <c r="CY136" s="12"/>
      <c r="DW136" s="25"/>
      <c r="ER136" s="13"/>
      <c r="ES136" s="108"/>
      <c r="ET136" s="108"/>
      <c r="FH136" s="42"/>
      <c r="FI136" s="43"/>
      <c r="FJ136" s="12"/>
      <c r="GH136" s="25"/>
      <c r="HY136" s="13"/>
      <c r="HZ136" s="43"/>
      <c r="IA136" s="45"/>
      <c r="IQ136" s="42"/>
      <c r="IR136" s="43"/>
      <c r="IS136" s="12"/>
      <c r="JP136" s="13"/>
      <c r="JQ136" s="127"/>
      <c r="JR136" s="12"/>
      <c r="LJ136" s="13"/>
      <c r="LK136" s="43"/>
      <c r="LL136" s="45"/>
    </row>
    <row r="137" spans="7:324" ht="18" customHeight="1" x14ac:dyDescent="0.2">
      <c r="G137" s="4"/>
      <c r="S137" s="42"/>
      <c r="T137" s="43"/>
      <c r="U137" s="12"/>
      <c r="AR137" s="13"/>
      <c r="AS137" s="24"/>
      <c r="AT137" s="12"/>
      <c r="BN137" s="13"/>
      <c r="BO137" s="43"/>
      <c r="BP137" s="45"/>
      <c r="CC137" s="13"/>
      <c r="CD137" s="13"/>
      <c r="CW137" s="42"/>
      <c r="CX137" s="43"/>
      <c r="CY137" s="14"/>
      <c r="CZ137" s="15"/>
      <c r="DA137" s="15"/>
      <c r="DB137" s="15"/>
      <c r="DC137" s="15"/>
      <c r="DD137" s="15"/>
      <c r="DE137" s="15"/>
      <c r="DF137" s="15"/>
      <c r="DG137" s="15"/>
      <c r="DH137" s="15"/>
      <c r="DI137" s="15"/>
      <c r="DJ137" s="15"/>
      <c r="DK137" s="15"/>
      <c r="DL137" s="15"/>
      <c r="DM137" s="15"/>
      <c r="DN137" s="15"/>
      <c r="DO137" s="15"/>
      <c r="DP137" s="15"/>
      <c r="DQ137" s="15"/>
      <c r="DR137" s="15"/>
      <c r="DS137" s="15"/>
      <c r="DT137" s="15"/>
      <c r="DU137" s="15"/>
      <c r="DV137" s="15"/>
      <c r="DW137" s="18"/>
      <c r="ER137" s="13"/>
      <c r="ES137" s="108"/>
      <c r="ET137" s="108"/>
      <c r="FH137" s="42"/>
      <c r="FI137" s="43"/>
      <c r="FJ137" s="14"/>
      <c r="FK137" s="15"/>
      <c r="FL137" s="15"/>
      <c r="FM137" s="15"/>
      <c r="FN137" s="15"/>
      <c r="FO137" s="15"/>
      <c r="FP137" s="15"/>
      <c r="FQ137" s="15"/>
      <c r="FR137" s="15"/>
      <c r="FS137" s="15"/>
      <c r="FT137" s="15"/>
      <c r="FU137" s="15"/>
      <c r="FV137" s="15"/>
      <c r="FW137" s="15"/>
      <c r="FX137" s="15"/>
      <c r="FY137" s="15"/>
      <c r="FZ137" s="15"/>
      <c r="GA137" s="15"/>
      <c r="GB137" s="15"/>
      <c r="GC137" s="15"/>
      <c r="GD137" s="15"/>
      <c r="GE137" s="15"/>
      <c r="GF137" s="15"/>
      <c r="GG137" s="15"/>
      <c r="GH137" s="18"/>
      <c r="HY137" s="13"/>
      <c r="HZ137" s="43"/>
      <c r="IA137" s="45"/>
      <c r="IQ137" s="42"/>
      <c r="IR137" s="43"/>
      <c r="IS137" s="12"/>
      <c r="JP137" s="13"/>
      <c r="JQ137" s="127"/>
      <c r="JR137" s="12"/>
      <c r="LJ137" s="13"/>
      <c r="LK137" s="43"/>
      <c r="LL137" s="45"/>
    </row>
    <row r="138" spans="7:324" ht="18" customHeight="1" x14ac:dyDescent="0.2">
      <c r="G138" s="4"/>
      <c r="S138" s="42"/>
      <c r="T138" s="43"/>
      <c r="U138" s="12"/>
      <c r="AR138" s="13"/>
      <c r="AS138" s="25"/>
      <c r="BN138" s="13"/>
      <c r="BO138" s="43" t="s">
        <v>6</v>
      </c>
      <c r="BP138" s="45"/>
      <c r="CC138" s="13"/>
      <c r="CD138" s="13"/>
      <c r="CW138" s="42"/>
      <c r="CX138" s="43"/>
      <c r="DW138" s="18"/>
      <c r="ER138" s="13"/>
      <c r="ES138" s="108"/>
      <c r="ET138" s="108"/>
      <c r="FH138" s="42"/>
      <c r="FI138" s="43"/>
      <c r="FJ138" s="12"/>
      <c r="FU138" s="21"/>
      <c r="FW138" s="21"/>
      <c r="GG138" s="21"/>
      <c r="GH138" s="18"/>
      <c r="HY138" s="13"/>
      <c r="HZ138" s="43"/>
      <c r="IA138" s="45"/>
      <c r="IQ138" s="42"/>
      <c r="IR138" s="43"/>
      <c r="IS138" s="12"/>
      <c r="JP138" s="13"/>
      <c r="JQ138" s="127"/>
      <c r="JR138" s="12"/>
      <c r="LJ138" s="13"/>
      <c r="LK138" s="43"/>
      <c r="LL138" s="45"/>
    </row>
    <row r="139" spans="7:324" ht="18" customHeight="1" x14ac:dyDescent="0.2">
      <c r="G139" s="4"/>
      <c r="S139" s="42"/>
      <c r="T139" s="43"/>
      <c r="U139" s="14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6"/>
      <c r="AS139" s="13"/>
      <c r="BN139" s="13"/>
      <c r="BO139" s="43"/>
      <c r="BP139" s="45"/>
      <c r="CC139" s="13"/>
      <c r="CD139" s="13"/>
      <c r="CW139" s="42"/>
      <c r="CX139" s="43"/>
      <c r="CY139" s="9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  <c r="DV139" s="10"/>
      <c r="DW139" s="18"/>
      <c r="ER139" s="13"/>
      <c r="ES139" s="126"/>
      <c r="ET139" s="126"/>
      <c r="FH139" s="42"/>
      <c r="FI139" s="43"/>
      <c r="FJ139" s="9"/>
      <c r="FK139" s="10"/>
      <c r="FL139" s="10"/>
      <c r="FM139" s="11"/>
      <c r="FN139" s="10"/>
      <c r="FO139" s="10"/>
      <c r="FP139" s="10"/>
      <c r="FQ139" s="10"/>
      <c r="FR139" s="9"/>
      <c r="FS139" s="10"/>
      <c r="FT139" s="10"/>
      <c r="FU139" s="11"/>
      <c r="FV139" s="10"/>
      <c r="FW139" s="10"/>
      <c r="FX139" s="10"/>
      <c r="FY139" s="10"/>
      <c r="FZ139" s="9"/>
      <c r="GA139" s="10"/>
      <c r="GB139" s="10"/>
      <c r="GC139" s="11"/>
      <c r="GD139" s="10"/>
      <c r="GE139" s="10"/>
      <c r="GF139" s="10"/>
      <c r="GG139" s="10"/>
      <c r="GH139" s="18"/>
      <c r="HY139" s="13"/>
      <c r="HZ139" s="43"/>
      <c r="IA139" s="45"/>
      <c r="IQ139" s="42"/>
      <c r="IR139" s="43"/>
      <c r="IS139" s="12"/>
      <c r="JP139" s="13"/>
      <c r="JQ139" s="127"/>
      <c r="JR139" s="12"/>
      <c r="LJ139" s="13"/>
      <c r="LK139" s="43"/>
      <c r="LL139" s="45"/>
    </row>
    <row r="140" spans="7:324" ht="18" customHeight="1" x14ac:dyDescent="0.2">
      <c r="G140" s="4"/>
      <c r="S140" s="42"/>
      <c r="T140" s="43"/>
      <c r="U140" s="12"/>
      <c r="AF140" s="21"/>
      <c r="AH140" s="21"/>
      <c r="AR140" s="21"/>
      <c r="AS140" s="13"/>
      <c r="BN140" s="13"/>
      <c r="BO140" s="43"/>
      <c r="BP140" s="45"/>
      <c r="CC140" s="13"/>
      <c r="CD140" s="13"/>
      <c r="CW140" s="42"/>
      <c r="CX140" s="43"/>
      <c r="CY140" s="12"/>
      <c r="DW140" s="23"/>
      <c r="ER140" s="13"/>
      <c r="ES140" s="43"/>
      <c r="ET140" s="45"/>
      <c r="FH140" s="42"/>
      <c r="FI140" s="43"/>
      <c r="FJ140" s="12"/>
      <c r="FM140" s="13"/>
      <c r="FR140" s="12"/>
      <c r="FU140" s="13"/>
      <c r="FZ140" s="12"/>
      <c r="GC140" s="13"/>
      <c r="GH140" s="18"/>
      <c r="HY140" s="13"/>
      <c r="HZ140" s="43"/>
      <c r="IA140" s="45"/>
      <c r="IQ140" s="42"/>
      <c r="IR140" s="43"/>
      <c r="IS140" s="14"/>
      <c r="IT140" s="15"/>
      <c r="IU140" s="15"/>
      <c r="IV140" s="15"/>
      <c r="IW140" s="15"/>
      <c r="IX140" s="15"/>
      <c r="IY140" s="15"/>
      <c r="IZ140" s="15"/>
      <c r="JA140" s="15"/>
      <c r="JB140" s="15"/>
      <c r="JC140" s="15"/>
      <c r="JD140" s="15"/>
      <c r="JE140" s="15"/>
      <c r="JF140" s="15"/>
      <c r="JG140" s="15"/>
      <c r="JH140" s="15"/>
      <c r="JI140" s="15"/>
      <c r="JJ140" s="15"/>
      <c r="JK140" s="15"/>
      <c r="JL140" s="15"/>
      <c r="JM140" s="15"/>
      <c r="JN140" s="15"/>
      <c r="JO140" s="15"/>
      <c r="JP140" s="16"/>
      <c r="JR140" s="12"/>
      <c r="LJ140" s="13"/>
      <c r="LK140" s="43"/>
      <c r="LL140" s="45"/>
    </row>
    <row r="141" spans="7:324" ht="18" customHeight="1" x14ac:dyDescent="0.2">
      <c r="G141" s="4"/>
      <c r="S141" s="42"/>
      <c r="T141" s="43"/>
      <c r="U141" s="9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1"/>
      <c r="AS141" s="13"/>
      <c r="BN141" s="13"/>
      <c r="BO141" s="43"/>
      <c r="BP141" s="45"/>
      <c r="CC141" s="13"/>
      <c r="CD141" s="13"/>
      <c r="CW141" s="42"/>
      <c r="CX141" s="43"/>
      <c r="CY141" s="12"/>
      <c r="DW141" s="24"/>
      <c r="ER141" s="13"/>
      <c r="ES141" s="43"/>
      <c r="ET141" s="45"/>
      <c r="FH141" s="42"/>
      <c r="FI141" s="43"/>
      <c r="FJ141" s="12"/>
      <c r="FM141" s="13"/>
      <c r="FR141" s="12"/>
      <c r="FU141" s="13"/>
      <c r="FZ141" s="12"/>
      <c r="GC141" s="13"/>
      <c r="GH141" s="18"/>
      <c r="HY141" s="13"/>
      <c r="HZ141" s="43"/>
      <c r="IA141" s="45"/>
      <c r="IQ141" s="42"/>
      <c r="IR141" s="43"/>
      <c r="IS141" s="12"/>
      <c r="JQ141" s="12"/>
      <c r="JR141" s="12"/>
      <c r="LJ141" s="13"/>
      <c r="LK141" s="43"/>
      <c r="LL141" s="45"/>
    </row>
    <row r="142" spans="7:324" ht="18" customHeight="1" x14ac:dyDescent="0.2">
      <c r="G142" s="4"/>
      <c r="S142" s="42"/>
      <c r="T142" s="43"/>
      <c r="U142" s="12"/>
      <c r="AR142" s="13"/>
      <c r="AS142" s="13"/>
      <c r="BN142" s="13"/>
      <c r="BO142" s="43"/>
      <c r="BP142" s="45"/>
      <c r="CC142" s="13"/>
      <c r="CD142" s="13"/>
      <c r="CW142" s="42"/>
      <c r="CX142" s="43"/>
      <c r="CY142" s="12"/>
      <c r="DW142" s="24"/>
      <c r="ER142" s="13"/>
      <c r="ES142" s="43"/>
      <c r="ET142" s="45"/>
      <c r="FH142" s="42"/>
      <c r="FI142" s="43"/>
      <c r="FJ142" s="14"/>
      <c r="FK142" s="15"/>
      <c r="FL142" s="15"/>
      <c r="FM142" s="16"/>
      <c r="FR142" s="14"/>
      <c r="FS142" s="15"/>
      <c r="FT142" s="15"/>
      <c r="FU142" s="16"/>
      <c r="FZ142" s="14"/>
      <c r="GA142" s="15"/>
      <c r="GB142" s="15"/>
      <c r="GC142" s="16"/>
      <c r="GH142" s="19"/>
      <c r="HY142" s="13"/>
      <c r="HZ142" s="43"/>
      <c r="IA142" s="45"/>
      <c r="IQ142" s="42"/>
      <c r="IR142" s="43"/>
      <c r="IS142" s="9"/>
      <c r="IT142" s="10"/>
      <c r="IU142" s="10"/>
      <c r="IV142" s="10"/>
      <c r="IW142" s="10"/>
      <c r="IX142" s="10"/>
      <c r="IY142" s="10"/>
      <c r="IZ142" s="10"/>
      <c r="JA142" s="10"/>
      <c r="JB142" s="10"/>
      <c r="JC142" s="10"/>
      <c r="JD142" s="10"/>
      <c r="JE142" s="10"/>
      <c r="JF142" s="10"/>
      <c r="JG142" s="10"/>
      <c r="JH142" s="10"/>
      <c r="JI142" s="10"/>
      <c r="JJ142" s="10"/>
      <c r="JK142" s="10"/>
      <c r="JL142" s="10"/>
      <c r="JM142" s="10"/>
      <c r="JN142" s="10"/>
      <c r="JO142" s="10"/>
      <c r="JP142" s="11"/>
      <c r="JQ142" s="12"/>
      <c r="JR142" s="12"/>
      <c r="LJ142" s="13"/>
      <c r="LK142" s="43"/>
      <c r="LL142" s="45"/>
    </row>
    <row r="143" spans="7:324" ht="18" customHeight="1" x14ac:dyDescent="0.2">
      <c r="G143" s="4"/>
      <c r="S143" s="42"/>
      <c r="T143" s="43"/>
      <c r="U143" s="12"/>
      <c r="AR143" s="13"/>
      <c r="AS143" s="13"/>
      <c r="BN143" s="13"/>
      <c r="BO143" s="43"/>
      <c r="BP143" s="45"/>
      <c r="CC143" s="13"/>
      <c r="CD143" s="13"/>
      <c r="CW143" s="42"/>
      <c r="CX143" s="43"/>
      <c r="CY143" s="12"/>
      <c r="DW143" s="24"/>
      <c r="ER143" s="13"/>
      <c r="ES143" s="43"/>
      <c r="ET143" s="45"/>
      <c r="FH143" s="42"/>
      <c r="FI143" s="43"/>
      <c r="FJ143" s="9"/>
      <c r="FK143" s="10"/>
      <c r="FL143" s="10"/>
      <c r="FM143" s="11"/>
      <c r="FN143" s="9"/>
      <c r="FO143" s="10"/>
      <c r="FP143" s="10"/>
      <c r="FQ143" s="10"/>
      <c r="FR143" s="10"/>
      <c r="FS143" s="10"/>
      <c r="FT143" s="10"/>
      <c r="FU143" s="10"/>
      <c r="FV143" s="10"/>
      <c r="FW143" s="10"/>
      <c r="FX143" s="10"/>
      <c r="FY143" s="10"/>
      <c r="FZ143" s="10"/>
      <c r="GA143" s="10"/>
      <c r="GB143" s="10"/>
      <c r="GC143" s="10"/>
      <c r="GD143" s="9"/>
      <c r="GE143" s="10"/>
      <c r="GF143" s="10"/>
      <c r="GG143" s="11"/>
      <c r="GH143" s="18"/>
      <c r="HY143" s="13"/>
      <c r="HZ143" s="43"/>
      <c r="IA143" s="45"/>
      <c r="IQ143" s="42"/>
      <c r="IR143" s="43"/>
      <c r="IS143" s="12"/>
      <c r="JP143" s="13"/>
      <c r="JQ143" s="12"/>
      <c r="JR143" s="12"/>
      <c r="LJ143" s="13"/>
      <c r="LK143" s="43"/>
      <c r="LL143" s="45"/>
    </row>
    <row r="144" spans="7:324" ht="18" customHeight="1" x14ac:dyDescent="0.2">
      <c r="G144" s="4"/>
      <c r="S144" s="42"/>
      <c r="T144" s="43"/>
      <c r="U144" s="12"/>
      <c r="AR144" s="13"/>
      <c r="AS144" s="13"/>
      <c r="BN144" s="13"/>
      <c r="BO144" s="43"/>
      <c r="BP144" s="45"/>
      <c r="CC144" s="13"/>
      <c r="CD144" s="13"/>
      <c r="CW144" s="42"/>
      <c r="CX144" s="43"/>
      <c r="CY144" s="12"/>
      <c r="DW144" s="25"/>
      <c r="ER144" s="13"/>
      <c r="ES144" s="43"/>
      <c r="ET144" s="45"/>
      <c r="FH144" s="42"/>
      <c r="FI144" s="43"/>
      <c r="FJ144" s="12"/>
      <c r="FM144" s="13"/>
      <c r="FN144" s="12"/>
      <c r="GD144" s="12"/>
      <c r="GG144" s="13"/>
      <c r="GH144" s="18"/>
      <c r="HY144" s="13"/>
      <c r="HZ144" s="43"/>
      <c r="IA144" s="45"/>
      <c r="IQ144" s="42"/>
      <c r="IR144" s="43"/>
      <c r="IS144" s="12"/>
      <c r="JP144" s="13"/>
      <c r="JQ144" s="12"/>
      <c r="JR144" s="12"/>
      <c r="LJ144" s="13"/>
      <c r="LK144" s="43"/>
      <c r="LL144" s="45"/>
    </row>
    <row r="145" spans="7:324" ht="18" customHeight="1" x14ac:dyDescent="0.2">
      <c r="G145" s="4"/>
      <c r="S145" s="42"/>
      <c r="T145" s="43"/>
      <c r="U145" s="12"/>
      <c r="Y145" s="9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1"/>
      <c r="AR145" s="13"/>
      <c r="AS145" s="13"/>
      <c r="BN145" s="13"/>
      <c r="BO145" s="43"/>
      <c r="BP145" s="45"/>
      <c r="CC145" s="13"/>
      <c r="CD145" s="13"/>
      <c r="CW145" s="42"/>
      <c r="CX145" s="43"/>
      <c r="CY145" s="12"/>
      <c r="DW145" s="18"/>
      <c r="DX145" s="12"/>
      <c r="ER145" s="13"/>
      <c r="ES145" s="43"/>
      <c r="ET145" s="45"/>
      <c r="FH145" s="42"/>
      <c r="FI145" s="43"/>
      <c r="FJ145" s="12"/>
      <c r="FM145" s="13"/>
      <c r="FN145" s="12"/>
      <c r="GD145" s="12"/>
      <c r="GG145" s="13"/>
      <c r="GH145" s="18"/>
      <c r="HY145" s="13"/>
      <c r="HZ145" s="43"/>
      <c r="IA145" s="45"/>
      <c r="IQ145" s="42"/>
      <c r="IR145" s="43"/>
      <c r="IS145" s="12"/>
      <c r="JP145" s="13"/>
      <c r="JQ145" s="12"/>
      <c r="JR145" s="12"/>
      <c r="LJ145" s="13"/>
      <c r="LK145" s="43"/>
      <c r="LL145" s="45"/>
    </row>
    <row r="146" spans="7:324" ht="18" customHeight="1" x14ac:dyDescent="0.2">
      <c r="G146" s="4"/>
      <c r="S146" s="40"/>
      <c r="T146" s="125"/>
      <c r="Y146" s="12"/>
      <c r="AN146" s="13"/>
      <c r="AR146" s="13"/>
      <c r="AS146" s="13"/>
      <c r="BN146" s="13"/>
      <c r="BO146" s="43"/>
      <c r="BP146" s="45"/>
      <c r="CC146" s="13"/>
      <c r="CD146" s="13"/>
      <c r="CW146" s="42"/>
      <c r="CX146" s="43"/>
      <c r="CY146" s="12"/>
      <c r="DW146" s="18"/>
      <c r="DX146" s="12"/>
      <c r="ER146" s="13"/>
      <c r="ES146" s="43"/>
      <c r="ET146" s="45"/>
      <c r="FH146" s="42"/>
      <c r="FI146" s="43"/>
      <c r="FJ146" s="14"/>
      <c r="FK146" s="15"/>
      <c r="FL146" s="15"/>
      <c r="FM146" s="16"/>
      <c r="FN146" s="12"/>
      <c r="GD146" s="14"/>
      <c r="GE146" s="15"/>
      <c r="GF146" s="15"/>
      <c r="GG146" s="16"/>
      <c r="GH146" s="19"/>
      <c r="HY146" s="13"/>
      <c r="HZ146" s="43"/>
      <c r="IA146" s="45"/>
      <c r="IQ146" s="42"/>
      <c r="IR146" s="43"/>
      <c r="IS146" s="12"/>
      <c r="IW146" s="9"/>
      <c r="IX146" s="10"/>
      <c r="IY146" s="10"/>
      <c r="IZ146" s="10"/>
      <c r="JA146" s="10"/>
      <c r="JB146" s="10"/>
      <c r="JC146" s="10"/>
      <c r="JD146" s="10"/>
      <c r="JE146" s="10"/>
      <c r="JF146" s="10"/>
      <c r="JG146" s="10"/>
      <c r="JH146" s="10"/>
      <c r="JI146" s="10"/>
      <c r="JJ146" s="10"/>
      <c r="JK146" s="10"/>
      <c r="JL146" s="10"/>
      <c r="JM146" s="10"/>
      <c r="JN146" s="10"/>
      <c r="JO146" s="10"/>
      <c r="JP146" s="11"/>
      <c r="JQ146" s="12"/>
      <c r="JR146" s="12"/>
      <c r="LJ146" s="13"/>
      <c r="LK146" s="43"/>
      <c r="LL146" s="45"/>
    </row>
    <row r="147" spans="7:324" ht="18" customHeight="1" x14ac:dyDescent="0.2">
      <c r="G147" s="4"/>
      <c r="S147" s="42"/>
      <c r="T147" s="108"/>
      <c r="Y147" s="12"/>
      <c r="AN147" s="13"/>
      <c r="AR147" s="13"/>
      <c r="AS147" s="13"/>
      <c r="BN147" s="13"/>
      <c r="BO147" s="43"/>
      <c r="BP147" s="45"/>
      <c r="CC147" s="13"/>
      <c r="CD147" s="13"/>
      <c r="CW147" s="42"/>
      <c r="CX147" s="43"/>
      <c r="CY147" s="12"/>
      <c r="DW147" s="18"/>
      <c r="DX147" s="12"/>
      <c r="ER147" s="13"/>
      <c r="ES147" s="43"/>
      <c r="ET147" s="45"/>
      <c r="FH147" s="42"/>
      <c r="FI147" s="43"/>
      <c r="FJ147" s="9"/>
      <c r="FK147" s="10"/>
      <c r="FL147" s="10"/>
      <c r="FM147" s="11"/>
      <c r="FN147" s="12"/>
      <c r="HY147" s="13"/>
      <c r="HZ147" s="43"/>
      <c r="IA147" s="45"/>
      <c r="IQ147" s="42"/>
      <c r="IR147" s="43"/>
      <c r="IS147" s="12"/>
      <c r="IW147" s="12"/>
      <c r="JP147" s="13"/>
      <c r="JQ147" s="12"/>
      <c r="JR147" s="12"/>
      <c r="LJ147" s="13"/>
      <c r="LK147" s="43"/>
      <c r="LL147" s="45"/>
    </row>
    <row r="148" spans="7:324" ht="18" customHeight="1" x14ac:dyDescent="0.2">
      <c r="G148" s="4"/>
      <c r="S148" s="42"/>
      <c r="T148" s="108"/>
      <c r="Y148" s="12"/>
      <c r="AN148" s="13"/>
      <c r="AR148" s="13"/>
      <c r="AS148" s="13"/>
      <c r="BN148" s="13"/>
      <c r="BO148" s="43"/>
      <c r="BP148" s="45"/>
      <c r="CC148" s="13"/>
      <c r="CD148" s="13"/>
      <c r="CW148" s="42"/>
      <c r="CX148" s="43"/>
      <c r="CY148" s="12"/>
      <c r="DW148" s="18"/>
      <c r="DX148" s="12"/>
      <c r="ER148" s="13"/>
      <c r="ES148" s="43"/>
      <c r="ET148" s="45"/>
      <c r="FH148" s="42"/>
      <c r="FI148" s="43"/>
      <c r="FJ148" s="12"/>
      <c r="FM148" s="13"/>
      <c r="FN148" s="12"/>
      <c r="HY148" s="13"/>
      <c r="HZ148" s="43"/>
      <c r="IA148" s="45"/>
      <c r="IQ148" s="42"/>
      <c r="IR148" s="43"/>
      <c r="IS148" s="12"/>
      <c r="IW148" s="12"/>
      <c r="JP148" s="13"/>
      <c r="JQ148" s="12"/>
      <c r="JR148" s="12"/>
      <c r="LJ148" s="13"/>
      <c r="LK148" s="43"/>
      <c r="LL148" s="45"/>
    </row>
    <row r="149" spans="7:324" ht="18" customHeight="1" x14ac:dyDescent="0.2">
      <c r="G149" s="4"/>
      <c r="S149" s="42"/>
      <c r="T149" s="108"/>
      <c r="Y149" s="12"/>
      <c r="AN149" s="13"/>
      <c r="AR149" s="13"/>
      <c r="AS149" s="13"/>
      <c r="BN149" s="13"/>
      <c r="BO149" s="43"/>
      <c r="BP149" s="45"/>
      <c r="CC149" s="13"/>
      <c r="CD149" s="13"/>
      <c r="CW149" s="42"/>
      <c r="CX149" s="43"/>
      <c r="CY149" s="12"/>
      <c r="DW149" s="18"/>
      <c r="DX149" s="12"/>
      <c r="ER149" s="13"/>
      <c r="ES149" s="43"/>
      <c r="ET149" s="45"/>
      <c r="FH149" s="42"/>
      <c r="FI149" s="43"/>
      <c r="FJ149" s="12"/>
      <c r="FM149" s="13"/>
      <c r="FN149" s="12"/>
      <c r="HY149" s="13"/>
      <c r="HZ149" s="43"/>
      <c r="IA149" s="45"/>
      <c r="IQ149" s="42"/>
      <c r="IR149" s="43"/>
      <c r="IS149" s="12"/>
      <c r="IW149" s="12"/>
      <c r="JP149" s="13"/>
      <c r="JQ149" s="12"/>
      <c r="JR149" s="12"/>
      <c r="LJ149" s="13"/>
      <c r="LK149" s="43"/>
      <c r="LL149" s="45"/>
    </row>
    <row r="150" spans="7:324" ht="18" customHeight="1" x14ac:dyDescent="0.2">
      <c r="G150" s="4"/>
      <c r="S150" s="42"/>
      <c r="T150" s="108"/>
      <c r="Y150" s="12"/>
      <c r="AN150" s="13"/>
      <c r="AR150" s="13"/>
      <c r="AS150" s="16"/>
      <c r="BN150" s="13"/>
      <c r="BO150" s="43"/>
      <c r="BP150" s="45"/>
      <c r="CC150" s="13"/>
      <c r="CD150" s="13"/>
      <c r="CW150" s="42"/>
      <c r="CX150" s="43"/>
      <c r="CY150" s="12"/>
      <c r="DW150" s="18"/>
      <c r="DX150" s="12"/>
      <c r="ER150" s="13"/>
      <c r="ES150" s="43"/>
      <c r="ET150" s="45"/>
      <c r="FH150" s="42"/>
      <c r="FI150" s="43"/>
      <c r="FJ150" s="14"/>
      <c r="FK150" s="15"/>
      <c r="FL150" s="15"/>
      <c r="FM150" s="16"/>
      <c r="FN150" s="12"/>
      <c r="HY150" s="13"/>
      <c r="HZ150" s="43"/>
      <c r="IA150" s="45"/>
      <c r="IQ150" s="42"/>
      <c r="IR150" s="43"/>
      <c r="IS150" s="12"/>
      <c r="IW150" s="12"/>
      <c r="JP150" s="13"/>
      <c r="JQ150" s="12"/>
      <c r="JR150" s="12"/>
      <c r="LJ150" s="13"/>
      <c r="LK150" s="43"/>
      <c r="LL150" s="45"/>
    </row>
    <row r="151" spans="7:324" ht="18" customHeight="1" x14ac:dyDescent="0.2">
      <c r="G151" s="4"/>
      <c r="S151" s="46"/>
      <c r="T151" s="126"/>
      <c r="Y151" s="12"/>
      <c r="AO151" s="10"/>
      <c r="AP151" s="10"/>
      <c r="AQ151" s="10"/>
      <c r="AR151" s="10"/>
      <c r="BN151" s="13"/>
      <c r="BO151" s="43"/>
      <c r="BP151" s="45"/>
      <c r="CC151" s="13"/>
      <c r="CD151" s="13"/>
      <c r="CW151" s="42"/>
      <c r="CX151" s="43"/>
      <c r="CY151" s="12"/>
      <c r="DW151" s="18"/>
      <c r="DX151" s="12"/>
      <c r="ER151" s="13"/>
      <c r="ES151" s="43"/>
      <c r="ET151" s="45"/>
      <c r="FH151" s="42"/>
      <c r="FI151" s="43"/>
      <c r="FJ151" s="9"/>
      <c r="FK151" s="10"/>
      <c r="FL151" s="10"/>
      <c r="FM151" s="11"/>
      <c r="FN151" s="12"/>
      <c r="HY151" s="13"/>
      <c r="HZ151" s="43"/>
      <c r="IA151" s="45"/>
      <c r="IQ151" s="42"/>
      <c r="IR151" s="43"/>
      <c r="IS151" s="12"/>
      <c r="IW151" s="12"/>
      <c r="JP151" s="13"/>
      <c r="JQ151" s="12"/>
      <c r="JR151" s="12"/>
      <c r="LJ151" s="13"/>
      <c r="LK151" s="43"/>
      <c r="LL151" s="45"/>
    </row>
    <row r="152" spans="7:324" ht="18" customHeight="1" x14ac:dyDescent="0.2">
      <c r="G152" s="4"/>
      <c r="S152" s="42"/>
      <c r="T152" s="43"/>
      <c r="U152" s="12"/>
      <c r="Y152" s="12"/>
      <c r="BN152" s="13"/>
      <c r="BO152" s="43"/>
      <c r="BP152" s="45"/>
      <c r="CC152" s="13"/>
      <c r="CD152" s="13"/>
      <c r="CW152" s="42"/>
      <c r="CX152" s="43"/>
      <c r="CY152" s="12"/>
      <c r="DW152" s="18"/>
      <c r="DX152" s="12"/>
      <c r="ER152" s="13"/>
      <c r="ES152" s="43"/>
      <c r="ET152" s="45"/>
      <c r="FH152" s="42"/>
      <c r="FI152" s="43"/>
      <c r="FJ152" s="12"/>
      <c r="FM152" s="13"/>
      <c r="FN152" s="12"/>
      <c r="HY152" s="13"/>
      <c r="HZ152" s="43"/>
      <c r="IA152" s="45"/>
      <c r="IQ152" s="42"/>
      <c r="IR152" s="43"/>
      <c r="IS152" s="12"/>
      <c r="IW152" s="12"/>
      <c r="JP152" s="13"/>
      <c r="JQ152" s="12"/>
      <c r="JR152" s="12"/>
      <c r="LJ152" s="13"/>
      <c r="LK152" s="43"/>
      <c r="LL152" s="45"/>
    </row>
    <row r="153" spans="7:324" ht="18" customHeight="1" x14ac:dyDescent="0.2">
      <c r="G153" s="4"/>
      <c r="S153" s="42"/>
      <c r="T153" s="43"/>
      <c r="U153" s="12"/>
      <c r="Y153" s="12"/>
      <c r="BN153" s="13"/>
      <c r="BO153" s="43"/>
      <c r="BP153" s="45"/>
      <c r="CC153" s="13"/>
      <c r="CD153" s="13"/>
      <c r="CW153" s="42"/>
      <c r="CX153" s="43"/>
      <c r="CY153" s="12"/>
      <c r="DW153" s="18"/>
      <c r="DX153" s="12"/>
      <c r="ER153" s="13"/>
      <c r="ES153" s="43"/>
      <c r="ET153" s="45"/>
      <c r="FH153" s="42"/>
      <c r="FI153" s="43"/>
      <c r="FJ153" s="12"/>
      <c r="FM153" s="13"/>
      <c r="FN153" s="12"/>
      <c r="HY153" s="13"/>
      <c r="HZ153" s="43"/>
      <c r="IA153" s="45"/>
      <c r="IQ153" s="42"/>
      <c r="IR153" s="43"/>
      <c r="IS153" s="12"/>
      <c r="IW153" s="14"/>
      <c r="IX153" s="15"/>
      <c r="IY153" s="15"/>
      <c r="IZ153" s="15"/>
      <c r="JA153" s="15"/>
      <c r="JB153" s="15"/>
      <c r="JC153" s="15"/>
      <c r="JD153" s="15"/>
      <c r="JE153" s="15"/>
      <c r="JF153" s="15"/>
      <c r="JG153" s="15"/>
      <c r="JH153" s="15"/>
      <c r="JI153" s="15"/>
      <c r="JJ153" s="15"/>
      <c r="JK153" s="15"/>
      <c r="JL153" s="15"/>
      <c r="JM153" s="15"/>
      <c r="JN153" s="15"/>
      <c r="JO153" s="15"/>
      <c r="JP153" s="16"/>
      <c r="JQ153" s="12"/>
      <c r="JR153" s="12"/>
      <c r="LJ153" s="13"/>
      <c r="LK153" s="43"/>
      <c r="LL153" s="45"/>
    </row>
    <row r="154" spans="7:324" ht="18" customHeight="1" x14ac:dyDescent="0.2">
      <c r="G154" s="4"/>
      <c r="S154" s="42"/>
      <c r="T154" s="43"/>
      <c r="U154" s="12"/>
      <c r="Y154" s="12"/>
      <c r="BN154" s="13"/>
      <c r="BO154" s="43"/>
      <c r="BP154" s="45"/>
      <c r="CC154" s="13"/>
      <c r="CD154" s="13"/>
      <c r="CW154" s="42"/>
      <c r="CX154" s="43"/>
      <c r="CY154" s="12"/>
      <c r="DW154" s="18"/>
      <c r="DX154" s="12"/>
      <c r="ER154" s="13"/>
      <c r="ES154" s="43"/>
      <c r="ET154" s="45"/>
      <c r="FH154" s="42"/>
      <c r="FI154" s="43"/>
      <c r="FJ154" s="14"/>
      <c r="FK154" s="15"/>
      <c r="FL154" s="15"/>
      <c r="FM154" s="16"/>
      <c r="FN154" s="14"/>
      <c r="FO154" s="15"/>
      <c r="FP154" s="15"/>
      <c r="FQ154" s="15"/>
      <c r="FR154" s="15"/>
      <c r="FS154" s="15"/>
      <c r="FT154" s="15"/>
      <c r="FU154" s="15"/>
      <c r="FV154" s="15"/>
      <c r="FW154" s="15"/>
      <c r="FX154" s="15"/>
      <c r="FY154" s="15"/>
      <c r="FZ154" s="15"/>
      <c r="GA154" s="15"/>
      <c r="GB154" s="15"/>
      <c r="GC154" s="15"/>
      <c r="GD154" s="15"/>
      <c r="GE154" s="15"/>
      <c r="GF154" s="15"/>
      <c r="GG154" s="15"/>
      <c r="GH154" s="15"/>
      <c r="GI154" s="15"/>
      <c r="GJ154" s="15"/>
      <c r="GK154" s="15"/>
      <c r="GL154" s="15"/>
      <c r="GS154" s="15"/>
      <c r="GT154" s="15"/>
      <c r="GU154" s="15"/>
      <c r="GV154" s="15"/>
      <c r="GW154" s="15"/>
      <c r="GX154" s="15"/>
      <c r="GY154" s="15"/>
      <c r="GZ154" s="15"/>
      <c r="HA154" s="15"/>
      <c r="HB154" s="15"/>
      <c r="HC154" s="15"/>
      <c r="HH154" s="15"/>
      <c r="HO154" s="15"/>
      <c r="HP154" s="15"/>
      <c r="HQ154" s="15"/>
      <c r="HR154" s="15"/>
      <c r="HS154" s="15"/>
      <c r="HT154" s="15"/>
      <c r="HU154" s="15"/>
      <c r="HV154" s="15"/>
      <c r="HW154" s="15"/>
      <c r="HX154" s="15"/>
      <c r="HY154" s="16"/>
      <c r="HZ154" s="43"/>
      <c r="IA154" s="45"/>
      <c r="IQ154" s="42"/>
      <c r="IR154" s="43"/>
      <c r="IS154" s="12"/>
      <c r="JP154" s="13"/>
      <c r="JR154" s="12"/>
      <c r="LJ154" s="13"/>
      <c r="LK154" s="43"/>
      <c r="LL154" s="45"/>
    </row>
    <row r="155" spans="7:324" ht="18" customHeight="1" x14ac:dyDescent="0.2">
      <c r="G155" s="4"/>
      <c r="S155" s="42"/>
      <c r="T155" s="43"/>
      <c r="U155" s="12"/>
      <c r="Y155" s="12"/>
      <c r="BN155" s="13"/>
      <c r="BO155" s="43"/>
      <c r="BP155" s="45"/>
      <c r="CC155" s="13"/>
      <c r="CD155" s="13"/>
      <c r="CW155" s="42"/>
      <c r="CX155" s="43"/>
      <c r="CY155" s="12"/>
      <c r="DW155" s="18"/>
      <c r="DX155" s="12"/>
      <c r="ER155" s="13"/>
      <c r="ES155" s="43"/>
      <c r="ET155" s="45"/>
      <c r="FH155" s="42"/>
      <c r="FI155" s="43"/>
      <c r="FJ155" s="41"/>
      <c r="FK155" s="41"/>
      <c r="FL155" s="41"/>
      <c r="FM155" s="41"/>
      <c r="FN155" s="41"/>
      <c r="FO155" s="41"/>
      <c r="FP155" s="41"/>
      <c r="FQ155" s="41"/>
      <c r="FR155" s="41"/>
      <c r="FS155" s="41"/>
      <c r="FT155" s="41"/>
      <c r="FU155" s="41"/>
      <c r="FV155" s="41"/>
      <c r="FW155" s="41"/>
      <c r="FX155" s="41"/>
      <c r="FY155" s="41"/>
      <c r="FZ155" s="4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3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3"/>
      <c r="HQ155" s="43"/>
      <c r="HR155" s="43"/>
      <c r="HS155" s="70"/>
      <c r="HT155" s="92"/>
      <c r="HU155" s="92"/>
      <c r="HV155" s="92"/>
      <c r="HW155" s="92"/>
      <c r="HX155" s="71"/>
      <c r="HY155" s="43"/>
      <c r="HZ155" s="43"/>
      <c r="IA155" s="45"/>
      <c r="IQ155" s="42"/>
      <c r="IR155" s="43"/>
      <c r="IS155" s="12"/>
      <c r="JP155" s="13"/>
      <c r="JR155" s="12"/>
      <c r="LJ155" s="13"/>
      <c r="LK155" s="43"/>
      <c r="LL155" s="45"/>
    </row>
    <row r="156" spans="7:324" ht="18" customHeight="1" x14ac:dyDescent="0.2">
      <c r="G156" s="4"/>
      <c r="S156" s="42"/>
      <c r="T156" s="43"/>
      <c r="U156" s="12"/>
      <c r="Y156" s="12"/>
      <c r="BN156" s="13"/>
      <c r="BO156" s="43"/>
      <c r="BP156" s="45"/>
      <c r="CC156" s="13"/>
      <c r="CD156" s="13"/>
      <c r="CW156" s="42"/>
      <c r="CX156" s="43"/>
      <c r="CY156" s="12"/>
      <c r="DW156" s="18"/>
      <c r="DX156" s="12"/>
      <c r="ER156" s="13"/>
      <c r="ES156" s="43"/>
      <c r="ET156" s="45"/>
      <c r="FH156" s="42"/>
      <c r="FI156" s="43"/>
      <c r="FJ156" s="43"/>
      <c r="FK156" s="43"/>
      <c r="FL156" s="43"/>
      <c r="FM156" s="43"/>
      <c r="FN156" s="43"/>
      <c r="FO156" s="43"/>
      <c r="FP156" s="43"/>
      <c r="FQ156" s="43"/>
      <c r="FR156" s="43"/>
      <c r="FS156" s="43"/>
      <c r="FT156" s="43"/>
      <c r="FU156" s="43"/>
      <c r="FV156" s="43"/>
      <c r="FW156" s="43"/>
      <c r="FX156" s="43"/>
      <c r="FY156" s="43"/>
      <c r="FZ156" s="43"/>
      <c r="GA156" s="43"/>
      <c r="GB156" s="43"/>
      <c r="GC156" s="43"/>
      <c r="GD156" s="43"/>
      <c r="GE156" s="43"/>
      <c r="GF156" s="43"/>
      <c r="GG156" s="43"/>
      <c r="GH156" s="43"/>
      <c r="GI156" s="43"/>
      <c r="GJ156" s="43"/>
      <c r="GK156" s="43"/>
      <c r="GL156" s="43"/>
      <c r="GM156" s="43"/>
      <c r="GN156" s="43"/>
      <c r="GO156" s="43"/>
      <c r="GP156" s="43"/>
      <c r="GQ156" s="43"/>
      <c r="GR156" s="43"/>
      <c r="GS156" s="43"/>
      <c r="GT156" s="43"/>
      <c r="GU156" s="43"/>
      <c r="GV156" s="43"/>
      <c r="GW156" s="43"/>
      <c r="GX156" s="43"/>
      <c r="GY156" s="43"/>
      <c r="GZ156" s="43"/>
      <c r="HA156" s="43"/>
      <c r="HB156" s="43"/>
      <c r="HC156" s="43"/>
      <c r="HD156" s="43"/>
      <c r="HE156" s="43"/>
      <c r="HF156" s="43"/>
      <c r="HG156" s="43"/>
      <c r="HH156" s="43"/>
      <c r="HI156" s="43"/>
      <c r="HJ156" s="43"/>
      <c r="HK156" s="43"/>
      <c r="HL156" s="43"/>
      <c r="HM156" s="43"/>
      <c r="HN156" s="43"/>
      <c r="HO156" s="43"/>
      <c r="HP156" s="43"/>
      <c r="HQ156" s="43"/>
      <c r="HR156" s="43"/>
      <c r="HS156" s="107"/>
      <c r="HT156" s="127"/>
      <c r="HU156" s="127"/>
      <c r="HV156" s="127"/>
      <c r="HW156" s="127"/>
      <c r="HX156" s="90"/>
      <c r="HY156" s="43"/>
      <c r="HZ156" s="43"/>
      <c r="IA156" s="45"/>
      <c r="IQ156" s="42"/>
      <c r="IR156" s="43"/>
      <c r="IS156" s="12"/>
      <c r="JP156" s="13"/>
      <c r="JR156" s="12"/>
      <c r="LJ156" s="13"/>
      <c r="LK156" s="43"/>
      <c r="LL156" s="45"/>
    </row>
    <row r="157" spans="7:324" ht="18" customHeight="1" x14ac:dyDescent="0.2">
      <c r="G157" s="4"/>
      <c r="S157" s="42"/>
      <c r="T157" s="43"/>
      <c r="U157" s="12"/>
      <c r="Y157" s="12"/>
      <c r="BN157" s="13"/>
      <c r="BO157" s="43"/>
      <c r="BP157" s="45"/>
      <c r="CC157" s="13"/>
      <c r="CD157" s="13"/>
      <c r="CW157" s="42"/>
      <c r="CX157" s="43"/>
      <c r="CY157" s="12"/>
      <c r="DW157" s="18"/>
      <c r="DX157" s="12"/>
      <c r="ER157" s="13"/>
      <c r="ES157" s="43"/>
      <c r="ET157" s="45"/>
      <c r="FH157" s="9"/>
      <c r="FI157" s="9"/>
      <c r="FJ157" s="10"/>
      <c r="FK157" s="10"/>
      <c r="FL157" s="10"/>
      <c r="FM157" s="10"/>
      <c r="FN157" s="10"/>
      <c r="FO157" s="10"/>
      <c r="FP157" s="10"/>
      <c r="FQ157" s="10"/>
      <c r="FR157" s="10"/>
      <c r="FS157" s="10"/>
      <c r="FT157" s="10"/>
      <c r="FU157" s="10"/>
      <c r="FV157" s="10"/>
      <c r="FW157" s="10"/>
      <c r="FX157" s="10"/>
      <c r="FY157" s="10"/>
      <c r="FZ157" s="10"/>
      <c r="GA157" s="10"/>
      <c r="GB157" s="10"/>
      <c r="GC157" s="10"/>
      <c r="GD157" s="10"/>
      <c r="GE157" s="10"/>
      <c r="GF157" s="10"/>
      <c r="GG157" s="10"/>
      <c r="GH157" s="10"/>
      <c r="GI157" s="10"/>
      <c r="GJ157" s="10"/>
      <c r="GK157" s="10"/>
      <c r="GL157" s="10"/>
      <c r="GM157" s="10"/>
      <c r="GN157" s="10"/>
      <c r="GO157" s="10"/>
      <c r="GP157" s="10"/>
      <c r="GQ157" s="10"/>
      <c r="GR157" s="10"/>
      <c r="GS157" s="10"/>
      <c r="GT157" s="10"/>
      <c r="GU157" s="10"/>
      <c r="GV157" s="10"/>
      <c r="GW157" s="10"/>
      <c r="GX157" s="10"/>
      <c r="GY157" s="10"/>
      <c r="GZ157" s="10"/>
      <c r="HA157" s="10"/>
      <c r="HB157" s="10"/>
      <c r="HC157" s="10"/>
      <c r="HD157" s="10"/>
      <c r="HE157" s="10"/>
      <c r="HF157" s="10"/>
      <c r="HG157" s="10"/>
      <c r="HH157" s="10"/>
      <c r="HI157" s="10"/>
      <c r="HJ157" s="10"/>
      <c r="HK157" s="10"/>
      <c r="HL157" s="10"/>
      <c r="HM157" s="10"/>
      <c r="HN157" s="10"/>
      <c r="HO157" s="10"/>
      <c r="HP157" s="10"/>
      <c r="HQ157" s="10"/>
      <c r="HR157" s="10"/>
      <c r="HS157" s="10"/>
      <c r="HT157" s="10"/>
      <c r="HU157" s="10"/>
      <c r="HV157" s="10"/>
      <c r="HW157" s="10"/>
      <c r="HX157" s="10"/>
      <c r="HY157" s="10"/>
      <c r="HZ157" s="11"/>
      <c r="IA157" s="11"/>
      <c r="IQ157" s="42"/>
      <c r="IR157" s="43"/>
      <c r="IS157" s="14"/>
      <c r="IT157" s="15"/>
      <c r="IU157" s="15"/>
      <c r="IV157" s="15"/>
      <c r="IW157" s="15"/>
      <c r="IX157" s="15"/>
      <c r="IY157" s="15"/>
      <c r="IZ157" s="15"/>
      <c r="JA157" s="15"/>
      <c r="JB157" s="15"/>
      <c r="JC157" s="15"/>
      <c r="JD157" s="15"/>
      <c r="JE157" s="15"/>
      <c r="JF157" s="15"/>
      <c r="JG157" s="15"/>
      <c r="JH157" s="15"/>
      <c r="JI157" s="15"/>
      <c r="JJ157" s="15"/>
      <c r="JK157" s="15"/>
      <c r="JL157" s="15"/>
      <c r="JM157" s="15"/>
      <c r="JN157" s="15"/>
      <c r="JO157" s="15"/>
      <c r="JP157" s="16"/>
      <c r="JQ157" s="15"/>
      <c r="JR157" s="14"/>
      <c r="JS157" s="15"/>
      <c r="JT157" s="15"/>
      <c r="JU157" s="15"/>
      <c r="JV157" s="15"/>
      <c r="JW157" s="15"/>
      <c r="JX157" s="15"/>
      <c r="JY157" s="15"/>
      <c r="JZ157" s="15"/>
      <c r="KA157" s="15"/>
      <c r="KB157" s="15"/>
      <c r="KC157" s="15"/>
      <c r="KD157" s="15"/>
      <c r="KE157" s="15"/>
      <c r="KF157" s="15"/>
      <c r="KG157" s="15"/>
      <c r="KH157" s="15"/>
      <c r="KI157" s="15"/>
      <c r="KJ157" s="15"/>
      <c r="KK157" s="15"/>
      <c r="KL157" s="15"/>
      <c r="KM157" s="15"/>
      <c r="KN157" s="15"/>
      <c r="KO157" s="15"/>
      <c r="KP157" s="15"/>
      <c r="KQ157" s="15"/>
      <c r="KR157" s="15"/>
      <c r="KS157" s="15"/>
      <c r="KT157" s="15"/>
      <c r="KU157" s="15"/>
      <c r="KV157" s="15"/>
      <c r="KW157" s="15"/>
      <c r="KX157" s="15"/>
      <c r="KY157" s="15"/>
      <c r="KZ157" s="15"/>
      <c r="LA157" s="15"/>
      <c r="LB157" s="15"/>
      <c r="LC157" s="15"/>
      <c r="LD157" s="15"/>
      <c r="LE157" s="15"/>
      <c r="LF157" s="15"/>
      <c r="LG157" s="15"/>
      <c r="LH157" s="15"/>
      <c r="LI157" s="15"/>
      <c r="LJ157" s="16"/>
      <c r="LK157" s="43"/>
      <c r="LL157" s="45"/>
    </row>
    <row r="158" spans="7:324" ht="18" customHeight="1" x14ac:dyDescent="0.2">
      <c r="G158" s="4"/>
      <c r="S158" s="42"/>
      <c r="T158" s="43"/>
      <c r="U158" s="14"/>
      <c r="V158" s="15"/>
      <c r="W158" s="15"/>
      <c r="X158" s="15"/>
      <c r="Y158" s="14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6"/>
      <c r="BO158" s="43"/>
      <c r="BP158" s="45"/>
      <c r="CC158" s="13"/>
      <c r="CD158" s="13"/>
      <c r="CW158" s="42"/>
      <c r="CX158" s="43"/>
      <c r="CY158" s="14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  <c r="DL158" s="15"/>
      <c r="DM158" s="15"/>
      <c r="DN158" s="15"/>
      <c r="DO158" s="15"/>
      <c r="DP158" s="15"/>
      <c r="DQ158" s="15"/>
      <c r="DR158" s="15"/>
      <c r="DS158" s="15"/>
      <c r="DT158" s="15"/>
      <c r="DU158" s="15"/>
      <c r="DV158" s="15"/>
      <c r="DW158" s="18"/>
      <c r="DX158" s="12"/>
      <c r="ER158" s="13"/>
      <c r="ES158" s="43"/>
      <c r="ET158" s="45"/>
      <c r="FH158" s="12"/>
      <c r="FI158" s="12"/>
      <c r="HZ158" s="13"/>
      <c r="IA158" s="13"/>
      <c r="IQ158" s="42"/>
      <c r="IR158" s="43"/>
      <c r="IS158" s="43"/>
      <c r="IT158" s="43"/>
      <c r="IU158" s="43"/>
      <c r="IV158" s="43"/>
      <c r="IW158" s="43"/>
      <c r="IX158" s="43"/>
      <c r="IY158" s="43"/>
      <c r="IZ158" s="43"/>
      <c r="JA158" s="43"/>
      <c r="JB158" s="43"/>
      <c r="JC158" s="43"/>
      <c r="JD158" s="43"/>
      <c r="JE158" s="43"/>
      <c r="JF158" s="43"/>
      <c r="JG158" s="43"/>
      <c r="JH158" s="43"/>
      <c r="JI158" s="43"/>
      <c r="JJ158" s="43"/>
      <c r="JK158" s="43"/>
      <c r="JL158" s="43"/>
      <c r="JM158" s="43"/>
      <c r="JN158" s="43"/>
      <c r="JO158" s="43"/>
      <c r="JP158" s="43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3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3"/>
      <c r="LB158" s="43"/>
      <c r="LC158" s="43"/>
      <c r="LD158" s="70"/>
      <c r="LE158" s="92"/>
      <c r="LF158" s="92"/>
      <c r="LG158" s="92"/>
      <c r="LH158" s="92"/>
      <c r="LI158" s="71"/>
      <c r="LJ158" s="43"/>
      <c r="LK158" s="43"/>
      <c r="LL158" s="45"/>
    </row>
    <row r="159" spans="7:324" ht="18" customHeight="1" x14ac:dyDescent="0.2">
      <c r="G159" s="4"/>
      <c r="S159" s="42"/>
      <c r="T159" s="43"/>
      <c r="AL159" s="26"/>
      <c r="AM159" s="27"/>
      <c r="AN159" s="27"/>
      <c r="AO159" s="27"/>
      <c r="AP159" s="27"/>
      <c r="AQ159" s="28"/>
      <c r="AS159" s="40"/>
      <c r="AT159" s="43"/>
      <c r="AU159" s="43"/>
      <c r="AV159" s="43"/>
      <c r="AW159" s="43"/>
      <c r="AX159" s="123"/>
      <c r="AY159" s="109"/>
      <c r="AZ159" s="109"/>
      <c r="BA159" s="109"/>
      <c r="BB159" s="109"/>
      <c r="BC159" s="124"/>
      <c r="BD159" s="43"/>
      <c r="BE159" s="43"/>
      <c r="BF159" s="43"/>
      <c r="BG159" s="43"/>
      <c r="BH159" s="70"/>
      <c r="BI159" s="92"/>
      <c r="BJ159" s="92"/>
      <c r="BK159" s="92"/>
      <c r="BL159" s="92"/>
      <c r="BM159" s="71"/>
      <c r="BN159" s="43"/>
      <c r="BO159" s="43"/>
      <c r="BP159" s="45"/>
      <c r="CC159" s="13"/>
      <c r="CD159" s="13"/>
      <c r="CW159" s="42"/>
      <c r="CX159" s="43"/>
      <c r="CY159" s="12"/>
      <c r="DJ159" s="21"/>
      <c r="DL159" s="21"/>
      <c r="DV159" s="21"/>
      <c r="DW159" s="18"/>
      <c r="DX159" s="12"/>
      <c r="ER159" s="13"/>
      <c r="ES159" s="43"/>
      <c r="ET159" s="45"/>
      <c r="FH159" s="12"/>
      <c r="FI159" s="12"/>
      <c r="HZ159" s="13"/>
      <c r="IA159" s="13"/>
      <c r="IQ159" s="46"/>
      <c r="IR159" s="47"/>
      <c r="IS159" s="47"/>
      <c r="IT159" s="47"/>
      <c r="IU159" s="47"/>
      <c r="IV159" s="47"/>
      <c r="IW159" s="47"/>
      <c r="IX159" s="47"/>
      <c r="IY159" s="47"/>
      <c r="IZ159" s="47"/>
      <c r="JA159" s="47"/>
      <c r="JB159" s="47"/>
      <c r="JC159" s="47"/>
      <c r="JD159" s="47"/>
      <c r="JE159" s="47"/>
      <c r="JF159" s="47"/>
      <c r="JG159" s="47"/>
      <c r="JH159" s="47"/>
      <c r="JI159" s="47"/>
      <c r="JJ159" s="47"/>
      <c r="JK159" s="47"/>
      <c r="JL159" s="47"/>
      <c r="JM159" s="47"/>
      <c r="JN159" s="47"/>
      <c r="JO159" s="47"/>
      <c r="JP159" s="47"/>
      <c r="JQ159" s="47"/>
      <c r="JR159" s="47"/>
      <c r="JS159" s="47"/>
      <c r="JT159" s="47"/>
      <c r="JU159" s="47"/>
      <c r="JV159" s="47"/>
      <c r="JW159" s="47"/>
      <c r="JX159" s="47"/>
      <c r="JY159" s="47"/>
      <c r="JZ159" s="47"/>
      <c r="KA159" s="47"/>
      <c r="KB159" s="47"/>
      <c r="KC159" s="47"/>
      <c r="KD159" s="47"/>
      <c r="KE159" s="47"/>
      <c r="KF159" s="47"/>
      <c r="KG159" s="47"/>
      <c r="KH159" s="47"/>
      <c r="KI159" s="47"/>
      <c r="KJ159" s="47"/>
      <c r="KK159" s="47"/>
      <c r="KL159" s="47"/>
      <c r="KM159" s="47"/>
      <c r="KN159" s="47"/>
      <c r="KO159" s="47"/>
      <c r="KP159" s="47"/>
      <c r="KQ159" s="47"/>
      <c r="KR159" s="47"/>
      <c r="KS159" s="47"/>
      <c r="KT159" s="47"/>
      <c r="KU159" s="47"/>
      <c r="KV159" s="47"/>
      <c r="KW159" s="47"/>
      <c r="KX159" s="47"/>
      <c r="KY159" s="47"/>
      <c r="KZ159" s="47"/>
      <c r="LA159" s="47"/>
      <c r="LB159" s="47"/>
      <c r="LC159" s="47"/>
      <c r="LD159" s="72"/>
      <c r="LE159" s="100"/>
      <c r="LF159" s="100"/>
      <c r="LG159" s="100"/>
      <c r="LH159" s="100"/>
      <c r="LI159" s="73"/>
      <c r="LJ159" s="47"/>
      <c r="LK159" s="47"/>
      <c r="LL159" s="48"/>
    </row>
    <row r="160" spans="7:324" ht="18" customHeight="1" x14ac:dyDescent="0.2">
      <c r="G160" s="4"/>
      <c r="S160" s="42"/>
      <c r="T160" s="45"/>
      <c r="U160" s="9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1"/>
      <c r="AS160" s="42"/>
      <c r="AT160" s="43"/>
      <c r="AU160" s="47"/>
      <c r="AV160" s="47"/>
      <c r="AW160" s="47"/>
      <c r="AX160" s="46"/>
      <c r="AY160" s="47"/>
      <c r="AZ160" s="47"/>
      <c r="BA160" s="47"/>
      <c r="BB160" s="47"/>
      <c r="BC160" s="48"/>
      <c r="BD160" s="47"/>
      <c r="BE160" s="47"/>
      <c r="BF160" s="47"/>
      <c r="BG160" s="47"/>
      <c r="BH160" s="72"/>
      <c r="BI160" s="100"/>
      <c r="BJ160" s="100"/>
      <c r="BK160" s="100"/>
      <c r="BL160" s="100"/>
      <c r="BM160" s="73"/>
      <c r="BN160" s="47"/>
      <c r="BO160" s="47"/>
      <c r="BP160" s="48"/>
      <c r="CC160" s="13"/>
      <c r="CD160" s="13"/>
      <c r="CW160" s="42"/>
      <c r="CX160" s="43"/>
      <c r="CY160" s="9"/>
      <c r="CZ160" s="10"/>
      <c r="DA160" s="10"/>
      <c r="DB160" s="11"/>
      <c r="DC160" s="10"/>
      <c r="DD160" s="10"/>
      <c r="DE160" s="10"/>
      <c r="DF160" s="10"/>
      <c r="DG160" s="9"/>
      <c r="DH160" s="10"/>
      <c r="DI160" s="10"/>
      <c r="DJ160" s="11"/>
      <c r="DK160" s="10"/>
      <c r="DL160" s="10"/>
      <c r="DM160" s="10"/>
      <c r="DN160" s="10"/>
      <c r="DO160" s="9"/>
      <c r="DP160" s="10"/>
      <c r="DQ160" s="10"/>
      <c r="DR160" s="11"/>
      <c r="DS160" s="10"/>
      <c r="DT160" s="10"/>
      <c r="DU160" s="10"/>
      <c r="DV160" s="10"/>
      <c r="DW160" s="18"/>
      <c r="DX160" s="12"/>
      <c r="ER160" s="13"/>
      <c r="ES160" s="43"/>
      <c r="ET160" s="45"/>
      <c r="FH160" s="12"/>
      <c r="FI160" s="12"/>
      <c r="HZ160" s="13"/>
      <c r="IA160" s="13"/>
    </row>
    <row r="161" spans="7:235" ht="18" customHeight="1" x14ac:dyDescent="0.25">
      <c r="G161" s="4"/>
      <c r="S161" s="42"/>
      <c r="T161" s="43"/>
      <c r="U161" s="12"/>
      <c r="AR161" s="13"/>
      <c r="AS161" s="43"/>
      <c r="AT161" s="45"/>
      <c r="CC161" s="13"/>
      <c r="CD161" s="13"/>
      <c r="CW161" s="42"/>
      <c r="CX161" s="43"/>
      <c r="CY161" s="12"/>
      <c r="DB161" s="13"/>
      <c r="DC161" s="128"/>
      <c r="DD161" s="99"/>
      <c r="DG161" s="12"/>
      <c r="DH161" s="129"/>
      <c r="DJ161" s="13"/>
      <c r="DL161" s="128"/>
      <c r="DN161" s="13"/>
      <c r="DR161" s="13"/>
      <c r="DT161" s="128"/>
      <c r="DW161" s="18"/>
      <c r="DX161" s="12"/>
      <c r="ER161" s="13"/>
      <c r="ES161" s="43"/>
      <c r="ET161" s="45"/>
      <c r="FH161" s="12"/>
      <c r="FI161" s="12"/>
      <c r="HZ161" s="13"/>
      <c r="IA161" s="13"/>
    </row>
    <row r="162" spans="7:235" ht="18" customHeight="1" x14ac:dyDescent="0.2">
      <c r="G162" s="4"/>
      <c r="S162" s="42"/>
      <c r="T162" s="43"/>
      <c r="U162" s="12"/>
      <c r="AR162" s="13"/>
      <c r="AS162" s="43"/>
      <c r="AT162" s="45"/>
      <c r="CC162" s="13"/>
      <c r="CD162" s="16"/>
      <c r="CW162" s="42"/>
      <c r="CX162" s="43"/>
      <c r="CY162" s="12"/>
      <c r="DB162" s="13"/>
      <c r="DG162" s="12"/>
      <c r="DJ162" s="13"/>
      <c r="DN162" s="13"/>
      <c r="DR162" s="13"/>
      <c r="DW162" s="18"/>
      <c r="DX162" s="12"/>
      <c r="ER162" s="13"/>
      <c r="ES162" s="43"/>
      <c r="ET162" s="45"/>
      <c r="FH162" s="12"/>
      <c r="FI162" s="12"/>
      <c r="HZ162" s="13"/>
      <c r="IA162" s="13"/>
    </row>
    <row r="163" spans="7:235" ht="18" customHeight="1" x14ac:dyDescent="0.2">
      <c r="G163" s="4"/>
      <c r="S163" s="42"/>
      <c r="T163" s="43"/>
      <c r="U163" s="12"/>
      <c r="AR163" s="13"/>
      <c r="AS163" s="43"/>
      <c r="AT163" s="45"/>
      <c r="CD163" s="10"/>
      <c r="CE163" s="9"/>
      <c r="CF163" s="11"/>
      <c r="CG163" s="9"/>
      <c r="CH163" s="11"/>
      <c r="CW163" s="42"/>
      <c r="CX163" s="43"/>
      <c r="CY163" s="14"/>
      <c r="CZ163" s="15"/>
      <c r="DA163" s="15"/>
      <c r="DB163" s="16"/>
      <c r="DG163" s="14"/>
      <c r="DH163" s="15"/>
      <c r="DI163" s="15"/>
      <c r="DJ163" s="16"/>
      <c r="DO163" s="14"/>
      <c r="DP163" s="15"/>
      <c r="DQ163" s="15"/>
      <c r="DR163" s="16"/>
      <c r="DW163" s="19"/>
      <c r="DX163" s="12"/>
      <c r="ER163" s="13"/>
      <c r="ES163" s="43"/>
      <c r="ET163" s="45"/>
      <c r="FH163" s="12"/>
      <c r="FI163" s="12"/>
      <c r="HZ163" s="13"/>
      <c r="IA163" s="13"/>
    </row>
    <row r="164" spans="7:235" ht="18" customHeight="1" x14ac:dyDescent="0.2">
      <c r="G164" s="4"/>
      <c r="S164" s="42"/>
      <c r="T164" s="43"/>
      <c r="U164" s="12"/>
      <c r="AR164" s="13"/>
      <c r="AS164" s="43"/>
      <c r="AT164" s="45"/>
      <c r="CE164" s="12"/>
      <c r="CF164" s="13"/>
      <c r="CG164" s="12"/>
      <c r="CH164" s="13"/>
      <c r="CW164" s="42"/>
      <c r="CX164" s="43"/>
      <c r="CY164" s="9"/>
      <c r="CZ164" s="10"/>
      <c r="DA164" s="10"/>
      <c r="DB164" s="11"/>
      <c r="DC164" s="9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10"/>
      <c r="DP164" s="10"/>
      <c r="DQ164" s="10"/>
      <c r="DR164" s="10"/>
      <c r="DS164" s="10"/>
      <c r="DT164" s="10"/>
      <c r="DU164" s="10"/>
      <c r="DV164" s="10"/>
      <c r="DW164" s="10"/>
      <c r="ER164" s="13"/>
      <c r="ES164" s="43"/>
      <c r="ET164" s="45"/>
      <c r="FH164" s="12"/>
      <c r="FI164" s="12"/>
      <c r="HZ164" s="13"/>
      <c r="IA164" s="13"/>
    </row>
    <row r="165" spans="7:235" ht="18" customHeight="1" x14ac:dyDescent="0.2">
      <c r="G165" s="4"/>
      <c r="S165" s="42"/>
      <c r="T165" s="43"/>
      <c r="U165" s="12"/>
      <c r="AR165" s="13"/>
      <c r="AS165" s="43"/>
      <c r="AT165" s="45"/>
      <c r="CE165" s="12"/>
      <c r="CF165" s="13"/>
      <c r="CG165" s="12"/>
      <c r="CH165" s="13"/>
      <c r="CW165" s="42"/>
      <c r="CX165" s="43"/>
      <c r="CY165" s="12"/>
      <c r="DB165" s="13"/>
      <c r="DC165" s="12"/>
      <c r="DD165" s="129"/>
      <c r="DH165" s="129"/>
      <c r="DL165" s="129"/>
      <c r="DP165" s="129"/>
      <c r="ER165" s="13"/>
      <c r="ES165" s="43"/>
      <c r="ET165" s="45"/>
      <c r="FH165" s="12"/>
      <c r="FI165" s="12"/>
      <c r="HZ165" s="13"/>
      <c r="IA165" s="13"/>
    </row>
    <row r="166" spans="7:235" ht="18" customHeight="1" x14ac:dyDescent="0.2">
      <c r="G166" s="4"/>
      <c r="S166" s="42"/>
      <c r="T166" s="43"/>
      <c r="U166" s="12"/>
      <c r="AR166" s="13"/>
      <c r="AS166" s="43"/>
      <c r="AT166" s="45"/>
      <c r="CE166" s="12"/>
      <c r="CF166" s="13"/>
      <c r="CG166" s="12"/>
      <c r="CH166" s="13"/>
      <c r="CW166" s="42"/>
      <c r="CX166" s="43"/>
      <c r="CY166" s="12"/>
      <c r="CZ166" s="128"/>
      <c r="DB166" s="13"/>
      <c r="DC166" s="12"/>
      <c r="DD166" s="129"/>
      <c r="DH166" s="129"/>
      <c r="DL166" s="129"/>
      <c r="DP166" s="129"/>
      <c r="ER166" s="13"/>
      <c r="ES166" s="43"/>
      <c r="ET166" s="45"/>
      <c r="FH166" s="12"/>
      <c r="FI166" s="12"/>
      <c r="HZ166" s="13"/>
      <c r="IA166" s="13"/>
    </row>
    <row r="167" spans="7:235" ht="18" customHeight="1" x14ac:dyDescent="0.2">
      <c r="G167" s="4"/>
      <c r="S167" s="42"/>
      <c r="T167" s="43"/>
      <c r="U167" s="12"/>
      <c r="AR167" s="13"/>
      <c r="AS167" s="43"/>
      <c r="AT167" s="45"/>
      <c r="CE167" s="12"/>
      <c r="CF167" s="13"/>
      <c r="CG167" s="12"/>
      <c r="CH167" s="13"/>
      <c r="CW167" s="42"/>
      <c r="CX167" s="43"/>
      <c r="CY167" s="14"/>
      <c r="CZ167" s="15"/>
      <c r="DA167" s="15"/>
      <c r="DB167" s="16"/>
      <c r="DC167" s="12"/>
      <c r="ER167" s="13"/>
      <c r="ES167" s="43"/>
      <c r="ET167" s="45"/>
      <c r="FH167" s="12"/>
      <c r="FI167" s="12"/>
      <c r="HZ167" s="13"/>
      <c r="IA167" s="13"/>
    </row>
    <row r="168" spans="7:235" ht="18" customHeight="1" x14ac:dyDescent="0.2">
      <c r="G168" s="4"/>
      <c r="S168" s="42"/>
      <c r="T168" s="43"/>
      <c r="U168" s="12"/>
      <c r="AR168" s="13"/>
      <c r="AS168" s="43"/>
      <c r="AT168" s="45"/>
      <c r="CE168" s="12"/>
      <c r="CF168" s="13"/>
      <c r="CG168" s="12"/>
      <c r="CH168" s="13"/>
      <c r="CW168" s="42"/>
      <c r="CX168" s="43"/>
      <c r="CY168" s="9"/>
      <c r="CZ168" s="10"/>
      <c r="DA168" s="10"/>
      <c r="DB168" s="11"/>
      <c r="DC168" s="12"/>
      <c r="ER168" s="13"/>
      <c r="ES168" s="43"/>
      <c r="ET168" s="45"/>
      <c r="FH168" s="12"/>
      <c r="FI168" s="12"/>
      <c r="HZ168" s="13"/>
      <c r="IA168" s="13"/>
    </row>
    <row r="169" spans="7:235" ht="18" customHeight="1" x14ac:dyDescent="0.2">
      <c r="G169" s="4"/>
      <c r="S169" s="42"/>
      <c r="T169" s="43"/>
      <c r="U169" s="12"/>
      <c r="AR169" s="13"/>
      <c r="AS169" s="43"/>
      <c r="AT169" s="45"/>
      <c r="CE169" s="12"/>
      <c r="CF169" s="13"/>
      <c r="CG169" s="12"/>
      <c r="CH169" s="13"/>
      <c r="CW169" s="42"/>
      <c r="CX169" s="43"/>
      <c r="CY169" s="12"/>
      <c r="DB169" s="13"/>
      <c r="DC169" s="12"/>
      <c r="ER169" s="13"/>
      <c r="ES169" s="43"/>
      <c r="ET169" s="45"/>
      <c r="FH169" s="12"/>
      <c r="FI169" s="12"/>
      <c r="HZ169" s="13"/>
      <c r="IA169" s="13"/>
    </row>
    <row r="170" spans="7:235" ht="18" customHeight="1" x14ac:dyDescent="0.2">
      <c r="G170" s="4"/>
      <c r="S170" s="42"/>
      <c r="T170" s="43"/>
      <c r="U170" s="12"/>
      <c r="AR170" s="13"/>
      <c r="AS170" s="43"/>
      <c r="AT170" s="45"/>
      <c r="CD170" s="15"/>
      <c r="CE170" s="14"/>
      <c r="CF170" s="16"/>
      <c r="CG170" s="14"/>
      <c r="CH170" s="16"/>
      <c r="CW170" s="42"/>
      <c r="CX170" s="43"/>
      <c r="CY170" s="12"/>
      <c r="CZ170" s="128"/>
      <c r="DB170" s="13"/>
      <c r="DC170" s="12"/>
      <c r="ER170" s="13"/>
      <c r="ES170" s="43"/>
      <c r="ET170" s="45"/>
      <c r="FH170" s="12"/>
      <c r="FI170" s="12"/>
      <c r="HZ170" s="13"/>
      <c r="IA170" s="13"/>
    </row>
    <row r="171" spans="7:235" ht="18" customHeight="1" x14ac:dyDescent="0.2">
      <c r="G171" s="4"/>
      <c r="S171" s="42"/>
      <c r="T171" s="43"/>
      <c r="U171" s="12"/>
      <c r="AR171" s="13"/>
      <c r="AS171" s="43"/>
      <c r="AT171" s="45"/>
      <c r="CC171" s="13"/>
      <c r="CD171" s="13"/>
      <c r="CW171" s="42"/>
      <c r="CX171" s="43"/>
      <c r="CY171" s="14"/>
      <c r="CZ171" s="15"/>
      <c r="DA171" s="15"/>
      <c r="DB171" s="16"/>
      <c r="DC171" s="12"/>
      <c r="ER171" s="13"/>
      <c r="ES171" s="43"/>
      <c r="ET171" s="45"/>
      <c r="FH171" s="12"/>
      <c r="FI171" s="12"/>
      <c r="HZ171" s="13"/>
      <c r="IA171" s="13"/>
    </row>
    <row r="172" spans="7:235" ht="18" customHeight="1" x14ac:dyDescent="0.2">
      <c r="G172" s="4"/>
      <c r="S172" s="42"/>
      <c r="T172" s="43"/>
      <c r="U172" s="12"/>
      <c r="AR172" s="13"/>
      <c r="AS172" s="43"/>
      <c r="AT172" s="45"/>
      <c r="CC172" s="13"/>
      <c r="CD172" s="13"/>
      <c r="CW172" s="42"/>
      <c r="CX172" s="43"/>
      <c r="CY172" s="9"/>
      <c r="CZ172" s="10"/>
      <c r="DA172" s="10"/>
      <c r="DB172" s="11"/>
      <c r="DC172" s="10"/>
      <c r="DD172" s="10"/>
      <c r="DE172" s="10"/>
      <c r="DF172" s="10"/>
      <c r="DG172" s="9"/>
      <c r="DH172" s="10"/>
      <c r="DI172" s="10"/>
      <c r="DJ172" s="10"/>
      <c r="DK172" s="9"/>
      <c r="DL172" s="10"/>
      <c r="DM172" s="10"/>
      <c r="DN172" s="11"/>
      <c r="ER172" s="13"/>
      <c r="ES172" s="43"/>
      <c r="ET172" s="45"/>
      <c r="FH172" s="12"/>
      <c r="FI172" s="14"/>
      <c r="FJ172" s="15"/>
      <c r="FK172" s="15"/>
      <c r="FL172" s="15"/>
      <c r="FM172" s="15"/>
      <c r="FN172" s="15"/>
      <c r="FO172" s="15"/>
      <c r="FP172" s="15"/>
      <c r="FQ172" s="15"/>
      <c r="FR172" s="15"/>
      <c r="FS172" s="15"/>
      <c r="FT172" s="15"/>
      <c r="FU172" s="15"/>
      <c r="FV172" s="15"/>
      <c r="FW172" s="15"/>
      <c r="FX172" s="15"/>
      <c r="FY172" s="15"/>
      <c r="FZ172" s="15"/>
      <c r="GA172" s="15"/>
      <c r="GB172" s="15"/>
      <c r="GC172" s="15"/>
      <c r="GD172" s="15"/>
      <c r="GE172" s="15"/>
      <c r="GF172" s="15"/>
      <c r="GG172" s="15"/>
      <c r="GH172" s="15"/>
      <c r="GI172" s="15"/>
      <c r="GJ172" s="15"/>
      <c r="GK172" s="15"/>
      <c r="GL172" s="15"/>
      <c r="GM172" s="15"/>
      <c r="GN172" s="15"/>
      <c r="GO172" s="15"/>
      <c r="GP172" s="15"/>
      <c r="GQ172" s="15"/>
      <c r="GR172" s="15"/>
      <c r="GS172" s="15"/>
      <c r="GT172" s="15"/>
      <c r="GU172" s="15"/>
      <c r="GV172" s="15"/>
      <c r="GW172" s="15"/>
      <c r="GX172" s="15"/>
      <c r="GY172" s="15"/>
      <c r="GZ172" s="15"/>
      <c r="HA172" s="15"/>
      <c r="HB172" s="15"/>
      <c r="HC172" s="15"/>
      <c r="HD172" s="15"/>
      <c r="HE172" s="15"/>
      <c r="HF172" s="15"/>
      <c r="HG172" s="15"/>
      <c r="HH172" s="15"/>
      <c r="HI172" s="15"/>
      <c r="HJ172" s="15"/>
      <c r="HK172" s="15"/>
      <c r="HL172" s="15"/>
      <c r="HM172" s="15"/>
      <c r="HN172" s="15"/>
      <c r="HO172" s="15"/>
      <c r="HP172" s="15"/>
      <c r="HQ172" s="15"/>
      <c r="HR172" s="15"/>
      <c r="HS172" s="15"/>
      <c r="HT172" s="15"/>
      <c r="HU172" s="15"/>
      <c r="HV172" s="15"/>
      <c r="HW172" s="15"/>
      <c r="HX172" s="15"/>
      <c r="HY172" s="15"/>
      <c r="HZ172" s="16"/>
      <c r="IA172" s="13"/>
    </row>
    <row r="173" spans="7:235" ht="18" customHeight="1" x14ac:dyDescent="0.25">
      <c r="G173" s="4"/>
      <c r="S173" s="42"/>
      <c r="T173" s="43"/>
      <c r="U173" s="12"/>
      <c r="AR173" s="13"/>
      <c r="AS173" s="43"/>
      <c r="AT173" s="45"/>
      <c r="CC173" s="13"/>
      <c r="CD173" s="13"/>
      <c r="CW173" s="42"/>
      <c r="CX173" s="43"/>
      <c r="CY173" s="12"/>
      <c r="DB173" s="13"/>
      <c r="DC173" s="128"/>
      <c r="DD173" s="99"/>
      <c r="DG173" s="12"/>
      <c r="DH173" s="129"/>
      <c r="DK173" s="12"/>
      <c r="DL173" s="129"/>
      <c r="DN173" s="13"/>
      <c r="ER173" s="13"/>
      <c r="ES173" s="43"/>
      <c r="ET173" s="45"/>
      <c r="FH173" s="14"/>
      <c r="FI173" s="15"/>
      <c r="FJ173" s="15"/>
      <c r="FK173" s="15"/>
      <c r="FL173" s="15"/>
      <c r="FM173" s="15"/>
      <c r="FN173" s="15"/>
      <c r="FO173" s="15"/>
      <c r="FP173" s="15"/>
      <c r="FQ173" s="15"/>
      <c r="FR173" s="15"/>
      <c r="FS173" s="15"/>
      <c r="FT173" s="15"/>
      <c r="FU173" s="15"/>
      <c r="FV173" s="15"/>
      <c r="FW173" s="15"/>
      <c r="FX173" s="15"/>
      <c r="FY173" s="15"/>
      <c r="FZ173" s="15"/>
      <c r="GA173" s="15"/>
      <c r="GB173" s="15"/>
      <c r="GC173" s="15"/>
      <c r="GD173" s="15"/>
      <c r="GE173" s="15"/>
      <c r="GF173" s="15"/>
      <c r="GG173" s="15"/>
      <c r="GH173" s="15"/>
      <c r="GI173" s="15"/>
      <c r="GJ173" s="15"/>
      <c r="GK173" s="15"/>
      <c r="GL173" s="15"/>
      <c r="GM173" s="15"/>
      <c r="GN173" s="15"/>
      <c r="GO173" s="15"/>
      <c r="GP173" s="15"/>
      <c r="GQ173" s="15"/>
      <c r="GR173" s="15"/>
      <c r="GS173" s="15"/>
      <c r="GT173" s="15"/>
      <c r="GU173" s="15"/>
      <c r="GV173" s="15"/>
      <c r="GW173" s="15"/>
      <c r="GX173" s="15"/>
      <c r="GY173" s="15"/>
      <c r="GZ173" s="15"/>
      <c r="HA173" s="15"/>
      <c r="HB173" s="15"/>
      <c r="HC173" s="15"/>
      <c r="HD173" s="15"/>
      <c r="HE173" s="15"/>
      <c r="HF173" s="15"/>
      <c r="HG173" s="15"/>
      <c r="HH173" s="15"/>
      <c r="HI173" s="15"/>
      <c r="HJ173" s="15"/>
      <c r="HK173" s="15"/>
      <c r="HL173" s="15"/>
      <c r="HM173" s="15"/>
      <c r="HN173" s="15"/>
      <c r="HO173" s="15"/>
      <c r="HP173" s="15"/>
      <c r="HQ173" s="15"/>
      <c r="HR173" s="15"/>
      <c r="HS173" s="15"/>
      <c r="HT173" s="15"/>
      <c r="HU173" s="15"/>
      <c r="HV173" s="15"/>
      <c r="HW173" s="15"/>
      <c r="HX173" s="15"/>
      <c r="HY173" s="15"/>
      <c r="HZ173" s="15"/>
      <c r="IA173" s="16"/>
    </row>
    <row r="174" spans="7:235" ht="18" customHeight="1" x14ac:dyDescent="0.2">
      <c r="G174" s="4"/>
      <c r="S174" s="42"/>
      <c r="T174" s="43"/>
      <c r="U174" s="12"/>
      <c r="AR174" s="13"/>
      <c r="AS174" s="43"/>
      <c r="AT174" s="45"/>
      <c r="CC174" s="13"/>
      <c r="CD174" s="13"/>
      <c r="CW174" s="42"/>
      <c r="CX174" s="43"/>
      <c r="CY174" s="12"/>
      <c r="DB174" s="13"/>
      <c r="DG174" s="12"/>
      <c r="DK174" s="12"/>
      <c r="DN174" s="13"/>
      <c r="ER174" s="13"/>
      <c r="ES174" s="43"/>
      <c r="ET174" s="45"/>
    </row>
    <row r="175" spans="7:235" ht="18" customHeight="1" x14ac:dyDescent="0.2">
      <c r="G175" s="4"/>
      <c r="S175" s="42"/>
      <c r="T175" s="43"/>
      <c r="U175" s="12"/>
      <c r="AR175" s="13"/>
      <c r="AS175" s="42"/>
      <c r="AT175" s="45"/>
      <c r="CC175" s="13"/>
      <c r="CD175" s="13"/>
      <c r="CW175" s="42"/>
      <c r="CX175" s="43"/>
      <c r="CY175" s="14"/>
      <c r="CZ175" s="15"/>
      <c r="DA175" s="15"/>
      <c r="DB175" s="16"/>
      <c r="DG175" s="14"/>
      <c r="DH175" s="15"/>
      <c r="DI175" s="15"/>
      <c r="DK175" s="14"/>
      <c r="DL175" s="15"/>
      <c r="DM175" s="15"/>
      <c r="DN175" s="16"/>
      <c r="DO175" s="15"/>
      <c r="DP175" s="15"/>
      <c r="DQ175" s="15"/>
      <c r="DR175" s="15"/>
      <c r="DS175" s="15"/>
      <c r="DT175" s="15"/>
      <c r="DU175" s="15"/>
      <c r="DV175" s="15"/>
      <c r="DW175" s="15"/>
      <c r="DX175" s="15"/>
      <c r="DY175" s="15"/>
      <c r="DZ175" s="15"/>
      <c r="EA175" s="15"/>
      <c r="EH175" s="15"/>
      <c r="EI175" s="15"/>
      <c r="EJ175" s="15"/>
      <c r="EK175" s="15"/>
      <c r="EL175" s="15"/>
      <c r="EM175" s="15"/>
      <c r="EN175" s="15"/>
      <c r="EO175" s="15"/>
      <c r="EP175" s="15"/>
      <c r="EQ175" s="15"/>
      <c r="ER175" s="16"/>
      <c r="ES175" s="43"/>
      <c r="ET175" s="45"/>
    </row>
    <row r="176" spans="7:235" ht="18" customHeight="1" x14ac:dyDescent="0.2">
      <c r="G176" s="4"/>
      <c r="S176" s="42"/>
      <c r="T176" s="43"/>
      <c r="U176" s="41"/>
      <c r="V176" s="41"/>
      <c r="W176" s="41"/>
      <c r="X176" s="41"/>
      <c r="Y176" s="123"/>
      <c r="Z176" s="109"/>
      <c r="AA176" s="109"/>
      <c r="AB176" s="109"/>
      <c r="AC176" s="124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3"/>
      <c r="AT176" s="4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  <c r="CA176" s="15"/>
      <c r="CB176" s="15"/>
      <c r="CC176" s="16"/>
      <c r="CD176" s="13"/>
      <c r="CW176" s="42"/>
      <c r="CX176" s="43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  <c r="DJ176" s="41"/>
      <c r="DK176" s="41"/>
      <c r="DL176" s="41"/>
      <c r="DM176" s="41"/>
      <c r="DN176" s="41"/>
      <c r="DO176" s="41"/>
      <c r="DP176" s="41"/>
      <c r="DQ176" s="41"/>
      <c r="DR176" s="41"/>
      <c r="DS176" s="41"/>
      <c r="DT176" s="41"/>
      <c r="DU176" s="41"/>
      <c r="DV176" s="41"/>
      <c r="DW176" s="41"/>
      <c r="DX176" s="41"/>
      <c r="DY176" s="41"/>
      <c r="DZ176" s="41"/>
      <c r="EA176" s="41"/>
      <c r="EB176" s="41"/>
      <c r="EC176" s="41"/>
      <c r="ED176" s="41"/>
      <c r="EE176" s="41"/>
      <c r="EF176" s="41"/>
      <c r="EG176" s="41"/>
      <c r="EH176" s="41"/>
      <c r="EI176" s="43"/>
      <c r="EJ176" s="43"/>
      <c r="EK176" s="43"/>
      <c r="EL176" s="70"/>
      <c r="EM176" s="92"/>
      <c r="EN176" s="92"/>
      <c r="EO176" s="92"/>
      <c r="EP176" s="92"/>
      <c r="EQ176" s="71"/>
      <c r="ER176" s="43"/>
      <c r="ES176" s="43"/>
      <c r="ET176" s="45"/>
    </row>
    <row r="177" spans="7:154" ht="18" customHeight="1" x14ac:dyDescent="0.2">
      <c r="G177" s="4"/>
      <c r="S177" s="46"/>
      <c r="T177" s="47"/>
      <c r="U177" s="47"/>
      <c r="V177" s="47"/>
      <c r="W177" s="47"/>
      <c r="X177" s="47"/>
      <c r="Y177" s="46"/>
      <c r="Z177" s="47"/>
      <c r="AA177" s="47"/>
      <c r="AB177" s="47"/>
      <c r="AC177" s="48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8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  <c r="CA177" s="15"/>
      <c r="CB177" s="15"/>
      <c r="CC177" s="15"/>
      <c r="CD177" s="16"/>
      <c r="CW177" s="42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  <c r="EA177" s="43"/>
      <c r="EB177" s="43"/>
      <c r="EC177" s="43"/>
      <c r="ED177" s="43"/>
      <c r="EE177" s="43"/>
      <c r="EF177" s="43"/>
      <c r="EG177" s="43"/>
      <c r="EH177" s="43"/>
      <c r="EI177" s="43"/>
      <c r="EJ177" s="43"/>
      <c r="EK177" s="43"/>
      <c r="EL177" s="107"/>
      <c r="EM177" s="127"/>
      <c r="EN177" s="127"/>
      <c r="EO177" s="127"/>
      <c r="EP177" s="127"/>
      <c r="EQ177" s="90"/>
      <c r="ER177" s="43"/>
      <c r="ES177" s="43"/>
      <c r="ET177" s="45"/>
    </row>
    <row r="178" spans="7:154" ht="18" customHeight="1" x14ac:dyDescent="0.2">
      <c r="G178" s="4"/>
      <c r="CW178" s="9"/>
      <c r="CX178" s="9"/>
      <c r="CY178" s="10"/>
      <c r="CZ178" s="10"/>
      <c r="DA178" s="10"/>
      <c r="DB178" s="10"/>
      <c r="DC178" s="10"/>
      <c r="DD178" s="10"/>
      <c r="DE178" s="10"/>
      <c r="DF178" s="10"/>
      <c r="DG178" s="10"/>
      <c r="DH178" s="10"/>
      <c r="DI178" s="10"/>
      <c r="DJ178" s="10"/>
      <c r="DK178" s="10"/>
      <c r="DL178" s="10"/>
      <c r="DM178" s="10"/>
      <c r="DN178" s="10"/>
      <c r="DO178" s="10"/>
      <c r="DP178" s="10"/>
      <c r="DQ178" s="10"/>
      <c r="DR178" s="10"/>
      <c r="DS178" s="10"/>
      <c r="DT178" s="10"/>
      <c r="DU178" s="10"/>
      <c r="DV178" s="10"/>
      <c r="DW178" s="10"/>
      <c r="DX178" s="10"/>
      <c r="DY178" s="10"/>
      <c r="DZ178" s="10"/>
      <c r="EA178" s="10"/>
      <c r="EB178" s="10"/>
      <c r="EC178" s="10"/>
      <c r="ED178" s="10"/>
      <c r="EE178" s="10"/>
      <c r="EF178" s="10"/>
      <c r="EG178" s="10"/>
      <c r="EH178" s="10"/>
      <c r="EI178" s="10"/>
      <c r="EJ178" s="10"/>
      <c r="EK178" s="10"/>
      <c r="EL178" s="10"/>
      <c r="EM178" s="10"/>
      <c r="EN178" s="10"/>
      <c r="EO178" s="10"/>
      <c r="EP178" s="10"/>
      <c r="EQ178" s="10"/>
      <c r="ER178" s="10"/>
      <c r="ES178" s="11"/>
      <c r="ET178" s="11"/>
    </row>
    <row r="179" spans="7:154" ht="18" customHeight="1" x14ac:dyDescent="0.2">
      <c r="G179" s="4"/>
      <c r="CW179" s="12"/>
      <c r="CX179" s="12"/>
      <c r="ES179" s="13"/>
      <c r="ET179" s="13"/>
    </row>
    <row r="180" spans="7:154" ht="18" customHeight="1" x14ac:dyDescent="0.2">
      <c r="G180" s="4"/>
      <c r="CW180" s="12"/>
      <c r="CX180" s="12"/>
      <c r="ES180" s="13"/>
      <c r="ET180" s="13"/>
    </row>
    <row r="181" spans="7:154" ht="18" customHeight="1" x14ac:dyDescent="0.2">
      <c r="G181" s="4"/>
      <c r="CW181" s="12"/>
      <c r="CX181" s="12"/>
      <c r="ES181" s="13"/>
      <c r="ET181" s="16"/>
    </row>
    <row r="182" spans="7:154" ht="18" customHeight="1" x14ac:dyDescent="0.2">
      <c r="G182" s="4"/>
      <c r="CW182" s="12"/>
      <c r="CX182" s="12"/>
      <c r="ET182" s="10"/>
      <c r="EU182" s="9"/>
      <c r="EV182" s="11"/>
      <c r="EW182" s="9"/>
      <c r="EX182" s="11"/>
    </row>
    <row r="183" spans="7:154" ht="18" customHeight="1" x14ac:dyDescent="0.2">
      <c r="G183" s="4"/>
      <c r="CW183" s="12"/>
      <c r="CX183" s="12"/>
      <c r="EU183" s="12"/>
      <c r="EV183" s="13"/>
      <c r="EW183" s="12"/>
      <c r="EX183" s="13"/>
    </row>
    <row r="184" spans="7:154" ht="18" customHeight="1" x14ac:dyDescent="0.2">
      <c r="G184" s="4"/>
      <c r="CW184" s="12"/>
      <c r="CX184" s="12"/>
      <c r="EU184" s="12"/>
      <c r="EV184" s="13"/>
      <c r="EW184" s="12"/>
      <c r="EX184" s="13"/>
    </row>
    <row r="185" spans="7:154" ht="18" customHeight="1" x14ac:dyDescent="0.2">
      <c r="G185" s="4"/>
      <c r="CW185" s="12"/>
      <c r="CX185" s="12"/>
      <c r="EU185" s="12"/>
      <c r="EV185" s="13"/>
      <c r="EW185" s="12"/>
      <c r="EX185" s="13"/>
    </row>
    <row r="186" spans="7:154" ht="18" customHeight="1" x14ac:dyDescent="0.2">
      <c r="G186" s="4"/>
      <c r="CW186" s="12"/>
      <c r="CX186" s="12"/>
      <c r="EU186" s="12"/>
      <c r="EV186" s="13"/>
      <c r="EW186" s="12"/>
      <c r="EX186" s="13"/>
    </row>
    <row r="187" spans="7:154" ht="18" customHeight="1" x14ac:dyDescent="0.2">
      <c r="G187" s="4"/>
      <c r="CW187" s="12"/>
      <c r="CX187" s="12"/>
      <c r="EU187" s="12"/>
      <c r="EV187" s="13"/>
      <c r="EW187" s="12"/>
      <c r="EX187" s="13"/>
    </row>
    <row r="188" spans="7:154" ht="18" customHeight="1" x14ac:dyDescent="0.2">
      <c r="G188" s="4"/>
      <c r="CW188" s="12"/>
      <c r="CX188" s="12"/>
      <c r="EU188" s="12"/>
      <c r="EV188" s="13"/>
      <c r="EW188" s="12"/>
      <c r="EX188" s="13"/>
    </row>
    <row r="189" spans="7:154" ht="18" customHeight="1" x14ac:dyDescent="0.2">
      <c r="G189" s="4"/>
      <c r="CW189" s="12"/>
      <c r="CX189" s="12"/>
      <c r="ET189" s="15"/>
      <c r="EU189" s="14"/>
      <c r="EV189" s="16"/>
      <c r="EW189" s="14"/>
      <c r="EX189" s="16"/>
    </row>
    <row r="190" spans="7:154" ht="18" customHeight="1" x14ac:dyDescent="0.2">
      <c r="G190" s="4"/>
      <c r="CW190" s="12"/>
      <c r="CX190" s="12"/>
      <c r="ES190" s="13"/>
      <c r="ET190" s="13"/>
    </row>
    <row r="191" spans="7:154" ht="18" customHeight="1" x14ac:dyDescent="0.2">
      <c r="G191" s="4"/>
      <c r="CW191" s="12"/>
      <c r="CX191" s="12"/>
      <c r="ES191" s="13"/>
      <c r="ET191" s="13"/>
    </row>
    <row r="192" spans="7:154" ht="18" customHeight="1" x14ac:dyDescent="0.2">
      <c r="G192" s="4"/>
      <c r="CW192" s="12"/>
      <c r="CX192" s="12"/>
      <c r="ES192" s="13"/>
      <c r="ET192" s="13"/>
    </row>
    <row r="193" spans="7:150" ht="18" customHeight="1" x14ac:dyDescent="0.2">
      <c r="G193" s="4"/>
      <c r="CW193" s="12"/>
      <c r="CX193" s="14"/>
      <c r="CY193" s="15"/>
      <c r="CZ193" s="15"/>
      <c r="DA193" s="15"/>
      <c r="DB193" s="15"/>
      <c r="DC193" s="15"/>
      <c r="DD193" s="15"/>
      <c r="DE193" s="15"/>
      <c r="DF193" s="15"/>
      <c r="DG193" s="15"/>
      <c r="DH193" s="15"/>
      <c r="DI193" s="15"/>
      <c r="DJ193" s="15"/>
      <c r="DK193" s="15"/>
      <c r="DL193" s="15"/>
      <c r="DM193" s="15"/>
      <c r="DN193" s="15"/>
      <c r="DO193" s="15"/>
      <c r="DP193" s="15"/>
      <c r="DQ193" s="15"/>
      <c r="DR193" s="15"/>
      <c r="DS193" s="15"/>
      <c r="DT193" s="15"/>
      <c r="DU193" s="15"/>
      <c r="DV193" s="15"/>
      <c r="DW193" s="15"/>
      <c r="DX193" s="15"/>
      <c r="DY193" s="15"/>
      <c r="DZ193" s="15"/>
      <c r="EA193" s="15"/>
      <c r="EB193" s="15"/>
      <c r="EC193" s="15"/>
      <c r="ED193" s="15"/>
      <c r="EE193" s="15"/>
      <c r="EF193" s="15"/>
      <c r="EG193" s="15"/>
      <c r="EH193" s="15"/>
      <c r="EI193" s="15"/>
      <c r="EJ193" s="15"/>
      <c r="EK193" s="15"/>
      <c r="EL193" s="15"/>
      <c r="EM193" s="15"/>
      <c r="EN193" s="15"/>
      <c r="EO193" s="15"/>
      <c r="EP193" s="15"/>
      <c r="EQ193" s="15"/>
      <c r="ER193" s="15"/>
      <c r="ES193" s="16"/>
      <c r="ET193" s="13"/>
    </row>
    <row r="194" spans="7:150" ht="18" customHeight="1" x14ac:dyDescent="0.2">
      <c r="G194" s="4"/>
      <c r="CW194" s="14"/>
      <c r="CX194" s="15"/>
      <c r="CY194" s="15"/>
      <c r="CZ194" s="15"/>
      <c r="DA194" s="15"/>
      <c r="DB194" s="15"/>
      <c r="DC194" s="15"/>
      <c r="DD194" s="15"/>
      <c r="DE194" s="15"/>
      <c r="DF194" s="15"/>
      <c r="DG194" s="15"/>
      <c r="DH194" s="15"/>
      <c r="DI194" s="15"/>
      <c r="DJ194" s="15"/>
      <c r="DK194" s="15"/>
      <c r="DL194" s="15"/>
      <c r="DM194" s="15"/>
      <c r="DN194" s="15"/>
      <c r="DO194" s="15"/>
      <c r="DP194" s="15"/>
      <c r="DQ194" s="15"/>
      <c r="DR194" s="15"/>
      <c r="DS194" s="15"/>
      <c r="DT194" s="15"/>
      <c r="DU194" s="15"/>
      <c r="DV194" s="15"/>
      <c r="DW194" s="15"/>
      <c r="DX194" s="15"/>
      <c r="DY194" s="15"/>
      <c r="DZ194" s="15"/>
      <c r="EA194" s="15"/>
      <c r="EB194" s="15"/>
      <c r="EC194" s="15"/>
      <c r="ED194" s="15"/>
      <c r="EE194" s="15"/>
      <c r="EF194" s="15"/>
      <c r="EG194" s="15"/>
      <c r="EH194" s="15"/>
      <c r="EI194" s="15"/>
      <c r="EJ194" s="15"/>
      <c r="EK194" s="15"/>
      <c r="EL194" s="15"/>
      <c r="EM194" s="15"/>
      <c r="EN194" s="15"/>
      <c r="EO194" s="15"/>
      <c r="EP194" s="15"/>
      <c r="EQ194" s="15"/>
      <c r="ER194" s="15"/>
      <c r="ES194" s="15"/>
      <c r="ET194" s="16"/>
    </row>
    <row r="195" spans="7:150" ht="18" customHeight="1" x14ac:dyDescent="0.2">
      <c r="G195" s="4"/>
    </row>
    <row r="196" spans="7:150" ht="18" customHeight="1" thickBot="1" x14ac:dyDescent="0.25">
      <c r="G196" s="6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</row>
    <row r="212" spans="17:247" ht="18" customHeight="1" x14ac:dyDescent="0.2">
      <c r="GP212" s="40"/>
      <c r="GQ212" s="41"/>
      <c r="GR212" s="41"/>
      <c r="GS212" s="41"/>
      <c r="GT212" s="41"/>
      <c r="GU212" s="41"/>
      <c r="GV212" s="41"/>
      <c r="GW212" s="41"/>
      <c r="GX212" s="41"/>
      <c r="GY212" s="41"/>
      <c r="GZ212" s="41"/>
      <c r="HA212" s="41"/>
      <c r="HB212" s="41"/>
      <c r="HC212" s="41"/>
      <c r="HD212" s="41"/>
      <c r="HE212" s="41"/>
      <c r="HF212" s="41"/>
      <c r="HG212" s="40"/>
      <c r="HH212" s="41"/>
      <c r="HI212" s="41"/>
      <c r="HJ212" s="41"/>
      <c r="HK212" s="44"/>
      <c r="HL212" s="41"/>
      <c r="HM212" s="41"/>
      <c r="HN212" s="41"/>
      <c r="HO212" s="41"/>
      <c r="HP212" s="41"/>
      <c r="HQ212" s="41"/>
      <c r="HR212" s="41"/>
      <c r="HS212" s="41"/>
      <c r="HT212" s="40"/>
      <c r="HU212" s="41"/>
      <c r="HV212" s="41"/>
      <c r="HW212" s="44"/>
      <c r="HX212" s="41"/>
      <c r="HY212" s="41"/>
      <c r="HZ212" s="41"/>
      <c r="IA212" s="41"/>
      <c r="IB212" s="41"/>
      <c r="IC212" s="41"/>
      <c r="ID212" s="41"/>
      <c r="IE212" s="40"/>
      <c r="IF212" s="41"/>
      <c r="IG212" s="41"/>
      <c r="IH212" s="44"/>
      <c r="II212" s="41"/>
      <c r="IJ212" s="41"/>
      <c r="IK212" s="41"/>
      <c r="IL212" s="41"/>
      <c r="IM212" s="44"/>
    </row>
    <row r="213" spans="17:247" ht="18" customHeight="1" x14ac:dyDescent="0.2">
      <c r="Q213" s="9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/>
      <c r="BJ213" s="10"/>
      <c r="BK213" s="10"/>
      <c r="BL213" s="10"/>
      <c r="BM213" s="10"/>
      <c r="BN213" s="10"/>
      <c r="BO213" s="11"/>
      <c r="CV213" s="40"/>
      <c r="CW213" s="41"/>
      <c r="CX213" s="41"/>
      <c r="CY213" s="41"/>
      <c r="CZ213" s="41"/>
      <c r="DA213" s="41"/>
      <c r="DB213" s="41"/>
      <c r="DC213" s="41"/>
      <c r="DD213" s="41"/>
      <c r="DE213" s="41"/>
      <c r="DF213" s="41"/>
      <c r="DG213" s="41"/>
      <c r="DH213" s="41"/>
      <c r="DI213" s="41"/>
      <c r="DJ213" s="41"/>
      <c r="DK213" s="41"/>
      <c r="DL213" s="41"/>
      <c r="DM213" s="41"/>
      <c r="DN213" s="41"/>
      <c r="DO213" s="41"/>
      <c r="DP213" s="41"/>
      <c r="DQ213" s="41"/>
      <c r="DR213" s="41"/>
      <c r="DS213" s="41"/>
      <c r="DT213" s="41"/>
      <c r="DU213" s="41"/>
      <c r="DV213" s="41"/>
      <c r="DW213" s="41"/>
      <c r="DX213" s="41"/>
      <c r="DY213" s="41"/>
      <c r="DZ213" s="41"/>
      <c r="EA213" s="41"/>
      <c r="EB213" s="41"/>
      <c r="EC213" s="41"/>
      <c r="ED213" s="41"/>
      <c r="EE213" s="41"/>
      <c r="EF213" s="41"/>
      <c r="EG213" s="41"/>
      <c r="EH213" s="41"/>
      <c r="EI213" s="41"/>
      <c r="EJ213" s="41"/>
      <c r="EK213" s="41"/>
      <c r="EL213" s="41"/>
      <c r="EM213" s="41"/>
      <c r="EN213" s="41"/>
      <c r="EO213" s="41"/>
      <c r="EP213" s="41"/>
      <c r="EQ213" s="41"/>
      <c r="ER213" s="41"/>
      <c r="ES213" s="44"/>
      <c r="GP213" s="42"/>
      <c r="GQ213" s="43"/>
      <c r="GR213" s="43"/>
      <c r="GS213" s="43"/>
      <c r="GT213" s="43"/>
      <c r="GU213" s="43"/>
      <c r="GV213" s="43"/>
      <c r="GW213" s="43"/>
      <c r="GX213" s="43"/>
      <c r="GY213" s="43"/>
      <c r="GZ213" s="43"/>
      <c r="HA213" s="43"/>
      <c r="HB213" s="43"/>
      <c r="HC213" s="43"/>
      <c r="HD213" s="43"/>
      <c r="HE213" s="43"/>
      <c r="HF213" s="43"/>
      <c r="HG213" s="40"/>
      <c r="HH213" s="41"/>
      <c r="HI213" s="41"/>
      <c r="HJ213" s="41"/>
      <c r="HK213" s="44"/>
      <c r="HL213" s="43"/>
      <c r="HM213" s="43"/>
      <c r="HN213" s="43"/>
      <c r="HO213" s="43"/>
      <c r="HP213" s="43"/>
      <c r="HQ213" s="43"/>
      <c r="HR213" s="43"/>
      <c r="HS213" s="43"/>
      <c r="HT213" s="123"/>
      <c r="HU213" s="109"/>
      <c r="HV213" s="109"/>
      <c r="HW213" s="124"/>
      <c r="HX213" s="43"/>
      <c r="HY213" s="43"/>
      <c r="HZ213" s="43"/>
      <c r="IA213" s="43"/>
      <c r="IB213" s="43"/>
      <c r="IC213" s="43"/>
      <c r="ID213" s="43"/>
      <c r="IE213" s="123"/>
      <c r="IF213" s="109"/>
      <c r="IG213" s="109"/>
      <c r="IH213" s="124"/>
      <c r="II213" s="43"/>
      <c r="IJ213" s="43"/>
      <c r="IK213" s="43"/>
      <c r="IL213" s="43"/>
      <c r="IM213" s="45"/>
    </row>
    <row r="214" spans="17:247" ht="18" customHeight="1" x14ac:dyDescent="0.2">
      <c r="Q214" s="12"/>
      <c r="BO214" s="13"/>
      <c r="CV214" s="42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  <c r="EA214" s="43"/>
      <c r="EB214" s="43"/>
      <c r="EC214" s="43"/>
      <c r="ED214" s="43"/>
      <c r="EE214" s="43"/>
      <c r="EF214" s="43"/>
      <c r="EG214" s="43"/>
      <c r="EH214" s="43"/>
      <c r="EI214" s="43"/>
      <c r="EJ214" s="43"/>
      <c r="EK214" s="43"/>
      <c r="EL214" s="43"/>
      <c r="EM214" s="43"/>
      <c r="EN214" s="43"/>
      <c r="EO214" s="43"/>
      <c r="EP214" s="43"/>
      <c r="EQ214" s="43"/>
      <c r="ER214" s="43"/>
      <c r="ES214" s="45"/>
      <c r="GP214" s="42"/>
      <c r="GQ214" s="43"/>
      <c r="GR214" s="9"/>
      <c r="GS214" s="10"/>
      <c r="GT214" s="10"/>
      <c r="GU214" s="10"/>
      <c r="GV214" s="10"/>
      <c r="GW214" s="10"/>
      <c r="GX214" s="10"/>
      <c r="GY214" s="10"/>
      <c r="GZ214" s="10"/>
      <c r="HA214" s="10"/>
      <c r="HB214" s="10"/>
      <c r="HC214" s="10"/>
      <c r="HD214" s="10"/>
      <c r="HE214" s="10"/>
      <c r="HF214" s="10"/>
      <c r="HG214" s="10"/>
      <c r="HH214" s="10"/>
      <c r="HI214" s="10"/>
      <c r="HJ214" s="10"/>
      <c r="HK214" s="10"/>
      <c r="HL214" s="10"/>
      <c r="HM214" s="10"/>
      <c r="HN214" s="10"/>
      <c r="HO214" s="10"/>
      <c r="HP214" s="17"/>
      <c r="HQ214" s="10"/>
      <c r="HR214" s="10"/>
      <c r="HS214" s="10"/>
      <c r="HT214" s="10"/>
      <c r="HU214" s="10"/>
      <c r="HV214" s="10"/>
      <c r="HW214" s="10"/>
      <c r="HX214" s="10"/>
      <c r="HY214" s="10"/>
      <c r="HZ214" s="11"/>
      <c r="IA214" s="10"/>
      <c r="IB214" s="9"/>
      <c r="IC214" s="10"/>
      <c r="ID214" s="10"/>
      <c r="IE214" s="10"/>
      <c r="IF214" s="10"/>
      <c r="IG214" s="10"/>
      <c r="IH214" s="10"/>
      <c r="II214" s="10"/>
      <c r="IJ214" s="10"/>
      <c r="IK214" s="11"/>
      <c r="IL214" s="43"/>
      <c r="IM214" s="45"/>
    </row>
    <row r="215" spans="17:247" ht="18" customHeight="1" x14ac:dyDescent="0.2">
      <c r="Q215" s="12"/>
      <c r="S215" s="9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7"/>
      <c r="AT215" s="9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L215" s="10"/>
      <c r="BM215" s="11"/>
      <c r="BO215" s="13"/>
      <c r="CV215" s="42"/>
      <c r="CW215" s="43"/>
      <c r="CX215" s="9"/>
      <c r="CY215" s="10"/>
      <c r="CZ215" s="10"/>
      <c r="DA215" s="10"/>
      <c r="DB215" s="10"/>
      <c r="DC215" s="10"/>
      <c r="DD215" s="10"/>
      <c r="DE215" s="10"/>
      <c r="DF215" s="10"/>
      <c r="DG215" s="10"/>
      <c r="DH215" s="10"/>
      <c r="DI215" s="10"/>
      <c r="DJ215" s="10"/>
      <c r="DK215" s="10"/>
      <c r="DL215" s="10"/>
      <c r="DM215" s="10"/>
      <c r="DN215" s="10"/>
      <c r="DO215" s="10"/>
      <c r="DP215" s="10"/>
      <c r="DQ215" s="10"/>
      <c r="DR215" s="10"/>
      <c r="DS215" s="10"/>
      <c r="DT215" s="10"/>
      <c r="DU215" s="10"/>
      <c r="DV215" s="17"/>
      <c r="DW215" s="10"/>
      <c r="DX215" s="10"/>
      <c r="DY215" s="10"/>
      <c r="DZ215" s="10"/>
      <c r="EA215" s="10"/>
      <c r="EB215" s="10"/>
      <c r="EC215" s="10"/>
      <c r="ED215" s="10"/>
      <c r="EE215" s="10"/>
      <c r="EF215" s="11"/>
      <c r="EG215" s="17"/>
      <c r="EH215" s="9"/>
      <c r="EI215" s="10"/>
      <c r="EJ215" s="10"/>
      <c r="EK215" s="10"/>
      <c r="EL215" s="10"/>
      <c r="EM215" s="10"/>
      <c r="EN215" s="10"/>
      <c r="EO215" s="10"/>
      <c r="EP215" s="10"/>
      <c r="EQ215" s="11"/>
      <c r="ER215" s="43"/>
      <c r="ES215" s="45"/>
      <c r="GP215" s="42"/>
      <c r="GQ215" s="43"/>
      <c r="GR215" s="12"/>
      <c r="HP215" s="18"/>
      <c r="HZ215" s="13"/>
      <c r="IB215" s="12"/>
      <c r="IK215" s="13"/>
      <c r="IL215" s="43"/>
      <c r="IM215" s="45"/>
    </row>
    <row r="216" spans="17:247" ht="18" customHeight="1" x14ac:dyDescent="0.2">
      <c r="Q216" s="12"/>
      <c r="S216" s="12"/>
      <c r="AS216" s="18"/>
      <c r="AT216" s="12"/>
      <c r="BM216" s="13"/>
      <c r="BO216" s="13"/>
      <c r="CV216" s="42"/>
      <c r="CW216" s="43"/>
      <c r="CX216" s="12"/>
      <c r="DS216" s="9"/>
      <c r="DT216" s="10"/>
      <c r="DU216" s="11"/>
      <c r="DV216" s="18"/>
      <c r="EF216" s="13"/>
      <c r="EG216" s="18"/>
      <c r="EH216" s="12"/>
      <c r="EQ216" s="13"/>
      <c r="ER216" s="43"/>
      <c r="ES216" s="45"/>
      <c r="GP216" s="42"/>
      <c r="GQ216" s="43"/>
      <c r="GR216" s="12"/>
      <c r="HP216" s="18"/>
      <c r="HZ216" s="13"/>
      <c r="IB216" s="12"/>
      <c r="IK216" s="13"/>
      <c r="IL216" s="43"/>
      <c r="IM216" s="45"/>
    </row>
    <row r="217" spans="17:247" ht="18" customHeight="1" x14ac:dyDescent="0.2">
      <c r="Q217" s="12"/>
      <c r="S217" s="12"/>
      <c r="AS217" s="18"/>
      <c r="AT217" s="12"/>
      <c r="BM217" s="13"/>
      <c r="BO217" s="13"/>
      <c r="CV217" s="42"/>
      <c r="CW217" s="43"/>
      <c r="CX217" s="12"/>
      <c r="DS217" s="12"/>
      <c r="DU217" s="13"/>
      <c r="DV217" s="18"/>
      <c r="EF217" s="13"/>
      <c r="EG217" s="18"/>
      <c r="EH217" s="12"/>
      <c r="EQ217" s="13"/>
      <c r="ER217" s="43"/>
      <c r="ES217" s="45"/>
      <c r="GP217" s="42"/>
      <c r="GQ217" s="43"/>
      <c r="GR217" s="12"/>
      <c r="HP217" s="18"/>
      <c r="HZ217" s="13"/>
      <c r="IB217" s="12"/>
      <c r="IK217" s="13"/>
      <c r="IL217" s="43"/>
      <c r="IM217" s="45"/>
    </row>
    <row r="218" spans="17:247" ht="18" customHeight="1" x14ac:dyDescent="0.2">
      <c r="Q218" s="12"/>
      <c r="S218" s="12"/>
      <c r="AS218" s="18"/>
      <c r="AT218" s="12"/>
      <c r="BM218" s="13"/>
      <c r="BO218" s="13"/>
      <c r="CV218" s="42"/>
      <c r="CW218" s="43"/>
      <c r="CX218" s="9"/>
      <c r="CY218" s="11"/>
      <c r="DS218" s="12"/>
      <c r="DU218" s="13"/>
      <c r="DV218" s="18"/>
      <c r="EF218" s="13"/>
      <c r="EG218" s="18"/>
      <c r="EH218" s="12"/>
      <c r="EQ218" s="13"/>
      <c r="ER218" s="43"/>
      <c r="ES218" s="45"/>
      <c r="GP218" s="42"/>
      <c r="GQ218" s="43"/>
      <c r="GR218" s="12"/>
      <c r="HP218" s="18"/>
      <c r="HZ218" s="13"/>
      <c r="IB218" s="12"/>
      <c r="IK218" s="13"/>
      <c r="IL218" s="43"/>
      <c r="IM218" s="45"/>
    </row>
    <row r="219" spans="17:247" ht="18" customHeight="1" x14ac:dyDescent="0.2">
      <c r="Q219" s="12"/>
      <c r="S219" s="12"/>
      <c r="AS219" s="18"/>
      <c r="AT219" s="12"/>
      <c r="BM219" s="13"/>
      <c r="BO219" s="13"/>
      <c r="CV219" s="42"/>
      <c r="CW219" s="43"/>
      <c r="CX219" s="12"/>
      <c r="CY219" s="13"/>
      <c r="DS219" s="12"/>
      <c r="DU219" s="13"/>
      <c r="DV219" s="18"/>
      <c r="EF219" s="13"/>
      <c r="EG219" s="18"/>
      <c r="EH219" s="12"/>
      <c r="EQ219" s="13"/>
      <c r="ER219" s="43"/>
      <c r="ES219" s="45"/>
      <c r="GP219" s="42"/>
      <c r="GQ219" s="43"/>
      <c r="GR219" s="12"/>
      <c r="HP219" s="18"/>
      <c r="HZ219" s="13"/>
      <c r="IB219" s="12"/>
      <c r="IK219" s="13"/>
      <c r="IL219" s="43"/>
      <c r="IM219" s="45"/>
    </row>
    <row r="220" spans="17:247" ht="18" customHeight="1" x14ac:dyDescent="0.2">
      <c r="Q220" s="12"/>
      <c r="S220" s="12"/>
      <c r="AS220" s="18"/>
      <c r="AT220" s="12"/>
      <c r="BM220" s="13"/>
      <c r="BO220" s="13"/>
      <c r="CV220" s="42"/>
      <c r="CW220" s="43"/>
      <c r="CX220" s="14"/>
      <c r="CY220" s="16"/>
      <c r="DS220" s="12"/>
      <c r="DU220" s="13"/>
      <c r="DV220" s="18"/>
      <c r="EF220" s="13"/>
      <c r="EG220" s="18"/>
      <c r="EH220" s="12"/>
      <c r="EQ220" s="13"/>
      <c r="ER220" s="43"/>
      <c r="ES220" s="45"/>
      <c r="GP220" s="42"/>
      <c r="GQ220" s="43"/>
      <c r="GR220" s="12"/>
      <c r="HP220" s="18"/>
      <c r="HZ220" s="13"/>
      <c r="IB220" s="12"/>
      <c r="IK220" s="13"/>
      <c r="IL220" s="43"/>
      <c r="IM220" s="45"/>
    </row>
    <row r="221" spans="17:247" ht="18" customHeight="1" x14ac:dyDescent="0.2">
      <c r="Q221" s="12"/>
      <c r="S221" s="12"/>
      <c r="AS221" s="18"/>
      <c r="AT221" s="12"/>
      <c r="BM221" s="13"/>
      <c r="BO221" s="13"/>
      <c r="CV221" s="42"/>
      <c r="CW221" s="43"/>
      <c r="CX221" s="9"/>
      <c r="CY221" s="10"/>
      <c r="CZ221" s="10"/>
      <c r="DA221" s="10"/>
      <c r="DB221" s="10"/>
      <c r="DC221" s="10"/>
      <c r="DD221" s="10"/>
      <c r="DE221" s="10"/>
      <c r="DF221" s="10"/>
      <c r="DG221" s="10"/>
      <c r="DH221" s="10"/>
      <c r="DI221" s="11"/>
      <c r="DS221" s="12"/>
      <c r="DU221" s="13"/>
      <c r="DV221" s="18"/>
      <c r="EF221" s="13"/>
      <c r="EG221" s="18"/>
      <c r="EH221" s="12"/>
      <c r="EQ221" s="13"/>
      <c r="ER221" s="43"/>
      <c r="ES221" s="45"/>
      <c r="GP221" s="42"/>
      <c r="GQ221" s="43"/>
      <c r="GR221" s="12"/>
      <c r="HP221" s="18"/>
      <c r="HQ221" s="15"/>
      <c r="HR221" s="15"/>
      <c r="HS221" s="15"/>
      <c r="HT221" s="15"/>
      <c r="HU221" s="15"/>
      <c r="HV221" s="15"/>
      <c r="HW221" s="15"/>
      <c r="HX221" s="15"/>
      <c r="HY221" s="15"/>
      <c r="HZ221" s="16"/>
      <c r="IB221" s="14"/>
      <c r="IC221" s="15"/>
      <c r="ID221" s="15"/>
      <c r="IE221" s="15"/>
      <c r="IF221" s="15"/>
      <c r="IG221" s="15"/>
      <c r="IH221" s="15"/>
      <c r="II221" s="15"/>
      <c r="IJ221" s="15"/>
      <c r="IK221" s="16"/>
      <c r="IL221" s="43"/>
      <c r="IM221" s="45"/>
    </row>
    <row r="222" spans="17:247" ht="18" customHeight="1" x14ac:dyDescent="0.2">
      <c r="Q222" s="12"/>
      <c r="S222" s="12"/>
      <c r="AS222" s="18"/>
      <c r="AT222" s="12"/>
      <c r="BM222" s="13"/>
      <c r="BO222" s="13"/>
      <c r="CV222" s="42"/>
      <c r="CW222" s="43"/>
      <c r="CX222" s="12"/>
      <c r="DI222" s="13"/>
      <c r="DS222" s="12"/>
      <c r="DU222" s="13"/>
      <c r="DV222" s="18"/>
      <c r="DW222" s="15"/>
      <c r="DX222" s="15"/>
      <c r="DY222" s="15"/>
      <c r="DZ222" s="15"/>
      <c r="EA222" s="15"/>
      <c r="EB222" s="15"/>
      <c r="EC222" s="15"/>
      <c r="ED222" s="15"/>
      <c r="EE222" s="15"/>
      <c r="EF222" s="16"/>
      <c r="EG222" s="18"/>
      <c r="EH222" s="14"/>
      <c r="EI222" s="15"/>
      <c r="EJ222" s="15"/>
      <c r="EK222" s="15"/>
      <c r="EL222" s="15"/>
      <c r="EM222" s="15"/>
      <c r="EN222" s="15"/>
      <c r="EO222" s="15"/>
      <c r="EP222" s="15"/>
      <c r="EQ222" s="16"/>
      <c r="ER222" s="43"/>
      <c r="ES222" s="45"/>
      <c r="GP222" s="42"/>
      <c r="GQ222" s="43"/>
      <c r="GR222" s="12"/>
      <c r="HP222" s="18"/>
      <c r="HV222" s="9"/>
      <c r="HW222" s="10"/>
      <c r="HX222" s="10"/>
      <c r="HY222" s="10"/>
      <c r="HZ222" s="11"/>
      <c r="IB222" s="9"/>
      <c r="IC222" s="10"/>
      <c r="ID222" s="10"/>
      <c r="IE222" s="10"/>
      <c r="IF222" s="11"/>
      <c r="IK222" s="13"/>
      <c r="IL222" s="43"/>
      <c r="IM222" s="45"/>
    </row>
    <row r="223" spans="17:247" ht="18" customHeight="1" x14ac:dyDescent="0.2">
      <c r="Q223" s="12"/>
      <c r="S223" s="12"/>
      <c r="AS223" s="18"/>
      <c r="AT223" s="12"/>
      <c r="BM223" s="13"/>
      <c r="BO223" s="13"/>
      <c r="CV223" s="42"/>
      <c r="CW223" s="43"/>
      <c r="CX223" s="12"/>
      <c r="DI223" s="13"/>
      <c r="DS223" s="12"/>
      <c r="DU223" s="13"/>
      <c r="DV223" s="18"/>
      <c r="EB223" s="9"/>
      <c r="EC223" s="10"/>
      <c r="ED223" s="10"/>
      <c r="EE223" s="10"/>
      <c r="EF223" s="11"/>
      <c r="EG223" s="18"/>
      <c r="EH223" s="9"/>
      <c r="EI223" s="10"/>
      <c r="EJ223" s="10"/>
      <c r="EK223" s="10"/>
      <c r="EL223" s="11"/>
      <c r="EQ223" s="13"/>
      <c r="ER223" s="43"/>
      <c r="ES223" s="45"/>
      <c r="GP223" s="42"/>
      <c r="GQ223" s="43"/>
      <c r="GR223" s="12"/>
      <c r="HP223" s="18"/>
      <c r="HV223" s="12"/>
      <c r="HZ223" s="13"/>
      <c r="IB223" s="12"/>
      <c r="IF223" s="13"/>
      <c r="IK223" s="13"/>
      <c r="IL223" s="43"/>
      <c r="IM223" s="45"/>
    </row>
    <row r="224" spans="17:247" ht="18" customHeight="1" x14ac:dyDescent="0.2">
      <c r="Q224" s="12"/>
      <c r="S224" s="12"/>
      <c r="AS224" s="18"/>
      <c r="AT224" s="12"/>
      <c r="BM224" s="13"/>
      <c r="BO224" s="13"/>
      <c r="CV224" s="42"/>
      <c r="CW224" s="43"/>
      <c r="CX224" s="12"/>
      <c r="DI224" s="13"/>
      <c r="DS224" s="12"/>
      <c r="DU224" s="13"/>
      <c r="DV224" s="18"/>
      <c r="EB224" s="12"/>
      <c r="EF224" s="13"/>
      <c r="EG224" s="18"/>
      <c r="EH224" s="12"/>
      <c r="EL224" s="13"/>
      <c r="EQ224" s="13"/>
      <c r="ER224" s="43"/>
      <c r="ES224" s="45"/>
      <c r="GP224" s="42"/>
      <c r="GQ224" s="43"/>
      <c r="GR224" s="12"/>
      <c r="HP224" s="18"/>
      <c r="HV224" s="12"/>
      <c r="HZ224" s="13"/>
      <c r="IB224" s="12"/>
      <c r="IF224" s="13"/>
      <c r="IK224" s="13"/>
      <c r="IL224" s="43"/>
      <c r="IM224" s="45"/>
    </row>
    <row r="225" spans="17:247" ht="18" customHeight="1" x14ac:dyDescent="0.2">
      <c r="Q225" s="12"/>
      <c r="S225" s="12"/>
      <c r="AS225" s="18"/>
      <c r="AT225" s="12"/>
      <c r="BM225" s="13"/>
      <c r="BO225" s="13"/>
      <c r="CV225" s="42"/>
      <c r="CW225" s="43"/>
      <c r="CX225" s="12"/>
      <c r="DI225" s="13"/>
      <c r="DS225" s="14"/>
      <c r="DT225" s="15"/>
      <c r="DU225" s="16"/>
      <c r="DV225" s="18"/>
      <c r="EB225" s="12"/>
      <c r="EF225" s="13"/>
      <c r="EG225" s="18"/>
      <c r="EH225" s="12"/>
      <c r="EL225" s="13"/>
      <c r="EQ225" s="13"/>
      <c r="ER225" s="43"/>
      <c r="ES225" s="45"/>
      <c r="GP225" s="42"/>
      <c r="GQ225" s="43"/>
      <c r="GR225" s="12"/>
      <c r="HP225" s="18"/>
      <c r="HV225" s="12"/>
      <c r="HZ225" s="13"/>
      <c r="IB225" s="12"/>
      <c r="IF225" s="13"/>
      <c r="IK225" s="13"/>
      <c r="IL225" s="43"/>
      <c r="IM225" s="45"/>
    </row>
    <row r="226" spans="17:247" ht="18" customHeight="1" x14ac:dyDescent="0.2">
      <c r="Q226" s="12"/>
      <c r="S226" s="12"/>
      <c r="AS226" s="18"/>
      <c r="AT226" s="12"/>
      <c r="BM226" s="13"/>
      <c r="BO226" s="13"/>
      <c r="CV226" s="42"/>
      <c r="CW226" s="43"/>
      <c r="CX226" s="12"/>
      <c r="DI226" s="13"/>
      <c r="DV226" s="18"/>
      <c r="EB226" s="12"/>
      <c r="EF226" s="13"/>
      <c r="EG226" s="18"/>
      <c r="EH226" s="12"/>
      <c r="EL226" s="13"/>
      <c r="EQ226" s="13"/>
      <c r="ER226" s="43"/>
      <c r="ES226" s="45"/>
      <c r="GP226" s="42"/>
      <c r="GQ226" s="43"/>
      <c r="GR226" s="12"/>
      <c r="HP226" s="18"/>
      <c r="HV226" s="14"/>
      <c r="HW226" s="15"/>
      <c r="HX226" s="15"/>
      <c r="HY226" s="15"/>
      <c r="HZ226" s="16"/>
      <c r="IB226" s="14"/>
      <c r="IC226" s="15"/>
      <c r="ID226" s="15"/>
      <c r="IE226" s="15"/>
      <c r="IF226" s="16"/>
      <c r="IK226" s="13"/>
      <c r="IL226" s="43"/>
      <c r="IM226" s="45"/>
    </row>
    <row r="227" spans="17:247" ht="18" customHeight="1" x14ac:dyDescent="0.2">
      <c r="Q227" s="12"/>
      <c r="S227" s="12"/>
      <c r="AS227" s="18"/>
      <c r="AT227" s="12"/>
      <c r="BM227" s="13"/>
      <c r="BO227" s="13"/>
      <c r="CV227" s="42"/>
      <c r="CW227" s="43"/>
      <c r="CX227" s="12"/>
      <c r="DI227" s="13"/>
      <c r="DV227" s="24"/>
      <c r="EB227" s="14"/>
      <c r="EC227" s="15"/>
      <c r="ED227" s="15"/>
      <c r="EE227" s="15"/>
      <c r="EF227" s="16"/>
      <c r="EG227" s="18"/>
      <c r="EH227" s="14"/>
      <c r="EI227" s="15"/>
      <c r="EJ227" s="15"/>
      <c r="EK227" s="15"/>
      <c r="EL227" s="16"/>
      <c r="EQ227" s="13"/>
      <c r="ER227" s="43"/>
      <c r="ES227" s="45"/>
      <c r="GP227" s="42"/>
      <c r="GQ227" s="43"/>
      <c r="GR227" s="12"/>
      <c r="HP227" s="18"/>
      <c r="HV227" s="12"/>
      <c r="HZ227" s="13"/>
      <c r="IB227" s="12"/>
      <c r="IF227" s="13"/>
      <c r="IK227" s="13"/>
      <c r="IL227" s="43"/>
      <c r="IM227" s="45"/>
    </row>
    <row r="228" spans="17:247" ht="18" customHeight="1" x14ac:dyDescent="0.2">
      <c r="Q228" s="12"/>
      <c r="S228" s="12"/>
      <c r="AS228" s="18"/>
      <c r="AT228" s="12"/>
      <c r="BM228" s="13"/>
      <c r="BO228" s="13"/>
      <c r="CV228" s="42"/>
      <c r="CW228" s="43"/>
      <c r="CX228" s="12"/>
      <c r="DI228" s="13"/>
      <c r="DV228" s="24"/>
      <c r="EB228" s="12"/>
      <c r="EF228" s="13"/>
      <c r="EG228" s="18"/>
      <c r="EH228" s="12"/>
      <c r="EL228" s="13"/>
      <c r="EQ228" s="13"/>
      <c r="ER228" s="43"/>
      <c r="ES228" s="45"/>
      <c r="GP228" s="42"/>
      <c r="GQ228" s="43"/>
      <c r="GR228" s="12"/>
      <c r="HP228" s="18"/>
      <c r="HV228" s="12"/>
      <c r="HZ228" s="13"/>
      <c r="IB228" s="12"/>
      <c r="IF228" s="13"/>
      <c r="IK228" s="13"/>
      <c r="IL228" s="43"/>
      <c r="IM228" s="45"/>
    </row>
    <row r="229" spans="17:247" ht="18" customHeight="1" x14ac:dyDescent="0.2">
      <c r="Q229" s="12"/>
      <c r="S229" s="12"/>
      <c r="AS229" s="18"/>
      <c r="AT229" s="12"/>
      <c r="BM229" s="13"/>
      <c r="BO229" s="13"/>
      <c r="CV229" s="42"/>
      <c r="CW229" s="43"/>
      <c r="CX229" s="12"/>
      <c r="DI229" s="13"/>
      <c r="DV229" s="24"/>
      <c r="EB229" s="12"/>
      <c r="EC229" s="32"/>
      <c r="ED229" s="32"/>
      <c r="EF229" s="13"/>
      <c r="EG229" s="18"/>
      <c r="EH229" s="12"/>
      <c r="EJ229" s="32"/>
      <c r="EK229" s="32"/>
      <c r="EL229" s="13"/>
      <c r="EQ229" s="13"/>
      <c r="ER229" s="43"/>
      <c r="ES229" s="45"/>
      <c r="GP229" s="42"/>
      <c r="GQ229" s="43"/>
      <c r="GR229" s="12"/>
      <c r="HP229" s="18"/>
      <c r="HV229" s="12"/>
      <c r="HZ229" s="13"/>
      <c r="IB229" s="12"/>
      <c r="IF229" s="13"/>
      <c r="IK229" s="13"/>
      <c r="IL229" s="43"/>
      <c r="IM229" s="45"/>
    </row>
    <row r="230" spans="17:247" ht="18" customHeight="1" x14ac:dyDescent="0.2">
      <c r="Q230" s="12"/>
      <c r="S230" s="12"/>
      <c r="AS230" s="18"/>
      <c r="AT230" s="12"/>
      <c r="BM230" s="13"/>
      <c r="BO230" s="13"/>
      <c r="CV230" s="42"/>
      <c r="CW230" s="43"/>
      <c r="CX230" s="12"/>
      <c r="DI230" s="13"/>
      <c r="DV230" s="24"/>
      <c r="EB230" s="12"/>
      <c r="EC230" s="32"/>
      <c r="ED230" s="32"/>
      <c r="EF230" s="13"/>
      <c r="EG230" s="18"/>
      <c r="EH230" s="12"/>
      <c r="EJ230" s="32"/>
      <c r="EK230" s="32"/>
      <c r="EL230" s="13"/>
      <c r="EQ230" s="13"/>
      <c r="ER230" s="43"/>
      <c r="ES230" s="45"/>
      <c r="GP230" s="42"/>
      <c r="GQ230" s="43"/>
      <c r="GR230" s="12"/>
      <c r="HP230" s="18"/>
      <c r="HV230" s="12"/>
      <c r="HZ230" s="13"/>
      <c r="IB230" s="12"/>
      <c r="IF230" s="13"/>
      <c r="IK230" s="13"/>
      <c r="IL230" s="43"/>
      <c r="IM230" s="45"/>
    </row>
    <row r="231" spans="17:247" ht="18" customHeight="1" x14ac:dyDescent="0.2">
      <c r="Q231" s="12"/>
      <c r="S231" s="12"/>
      <c r="AS231" s="18"/>
      <c r="AT231" s="12"/>
      <c r="BM231" s="13"/>
      <c r="BO231" s="13"/>
      <c r="CV231" s="42"/>
      <c r="CW231" s="43"/>
      <c r="CX231" s="12"/>
      <c r="DI231" s="13"/>
      <c r="DV231" s="24"/>
      <c r="EB231" s="12"/>
      <c r="EC231" s="32"/>
      <c r="ED231" s="32"/>
      <c r="EF231" s="13"/>
      <c r="EG231" s="18"/>
      <c r="EH231" s="12"/>
      <c r="EJ231" s="32"/>
      <c r="EK231" s="32"/>
      <c r="EL231" s="13"/>
      <c r="EQ231" s="13"/>
      <c r="ER231" s="43"/>
      <c r="ES231" s="45"/>
      <c r="GP231" s="42"/>
      <c r="GQ231" s="43"/>
      <c r="GR231" s="12"/>
      <c r="HP231" s="18"/>
      <c r="HQ231" s="15"/>
      <c r="HR231" s="15"/>
      <c r="HS231" s="15"/>
      <c r="HT231" s="15"/>
      <c r="HU231" s="15"/>
      <c r="HV231" s="14"/>
      <c r="HW231" s="15"/>
      <c r="HX231" s="15"/>
      <c r="HY231" s="15"/>
      <c r="HZ231" s="16"/>
      <c r="IB231" s="14"/>
      <c r="IC231" s="15"/>
      <c r="ID231" s="15"/>
      <c r="IE231" s="15"/>
      <c r="IF231" s="16"/>
      <c r="IG231" s="15"/>
      <c r="IH231" s="15"/>
      <c r="II231" s="15"/>
      <c r="IJ231" s="15"/>
      <c r="IK231" s="16"/>
      <c r="IL231" s="43"/>
      <c r="IM231" s="45"/>
    </row>
    <row r="232" spans="17:247" ht="18" customHeight="1" x14ac:dyDescent="0.2">
      <c r="Q232" s="12"/>
      <c r="S232" s="12"/>
      <c r="AS232" s="18"/>
      <c r="AT232" s="12"/>
      <c r="BM232" s="13"/>
      <c r="BO232" s="13"/>
      <c r="CV232" s="42"/>
      <c r="CW232" s="43"/>
      <c r="CX232" s="14"/>
      <c r="CY232" s="15"/>
      <c r="CZ232" s="15"/>
      <c r="DA232" s="15"/>
      <c r="DB232" s="15"/>
      <c r="DC232" s="15"/>
      <c r="DD232" s="15"/>
      <c r="DE232" s="15"/>
      <c r="DF232" s="15"/>
      <c r="DG232" s="15"/>
      <c r="DH232" s="15"/>
      <c r="DI232" s="16"/>
      <c r="DV232" s="18"/>
      <c r="DW232" s="15"/>
      <c r="DX232" s="15"/>
      <c r="DY232" s="15"/>
      <c r="DZ232" s="15"/>
      <c r="EA232" s="15"/>
      <c r="EB232" s="14"/>
      <c r="EC232" s="15"/>
      <c r="ED232" s="15"/>
      <c r="EE232" s="15"/>
      <c r="EF232" s="16"/>
      <c r="EG232" s="19"/>
      <c r="EH232" s="14"/>
      <c r="EI232" s="15"/>
      <c r="EJ232" s="15"/>
      <c r="EK232" s="15"/>
      <c r="EL232" s="16"/>
      <c r="EM232" s="15"/>
      <c r="EN232" s="15"/>
      <c r="EO232" s="15"/>
      <c r="EP232" s="15"/>
      <c r="EQ232" s="16"/>
      <c r="ER232" s="43"/>
      <c r="ES232" s="45"/>
      <c r="GP232" s="40"/>
      <c r="GQ232" s="40"/>
      <c r="GR232" s="12"/>
      <c r="HG232" s="9"/>
      <c r="HH232" s="10"/>
      <c r="HI232" s="10"/>
      <c r="HJ232" s="10"/>
      <c r="HK232" s="10"/>
      <c r="HL232" s="10"/>
      <c r="HM232" s="10"/>
      <c r="HN232" s="10"/>
      <c r="HO232" s="11"/>
      <c r="HP232" s="18"/>
      <c r="HQ232" s="15"/>
      <c r="HR232" s="15"/>
      <c r="HS232" s="15"/>
      <c r="HT232" s="15"/>
      <c r="HU232" s="15"/>
      <c r="HV232" s="15"/>
      <c r="HW232" s="15"/>
      <c r="HX232" s="15"/>
      <c r="HY232" s="15"/>
      <c r="HZ232" s="15"/>
      <c r="IA232" s="15"/>
      <c r="IB232" s="15"/>
      <c r="IC232" s="15"/>
      <c r="ID232" s="15"/>
      <c r="IE232" s="15"/>
      <c r="IF232" s="15"/>
      <c r="IG232" s="15"/>
      <c r="IH232" s="15"/>
      <c r="II232" s="15"/>
      <c r="IJ232" s="15"/>
      <c r="IK232" s="22"/>
      <c r="IL232" s="43"/>
      <c r="IM232" s="45"/>
    </row>
    <row r="233" spans="17:247" ht="18" customHeight="1" x14ac:dyDescent="0.2">
      <c r="Q233" s="12"/>
      <c r="S233" s="12"/>
      <c r="AS233" s="18"/>
      <c r="AT233" s="12"/>
      <c r="BM233" s="13"/>
      <c r="BO233" s="13"/>
      <c r="CV233" s="42"/>
      <c r="CW233" s="43"/>
      <c r="CX233" s="9"/>
      <c r="CY233" s="11"/>
      <c r="DV233" s="18"/>
      <c r="DW233" s="15"/>
      <c r="DX233" s="15"/>
      <c r="DY233" s="15"/>
      <c r="DZ233" s="15"/>
      <c r="EA233" s="15"/>
      <c r="EB233" s="15"/>
      <c r="EC233" s="15"/>
      <c r="ED233" s="15"/>
      <c r="EE233" s="15"/>
      <c r="EF233" s="15"/>
      <c r="EG233" s="15"/>
      <c r="EH233" s="15"/>
      <c r="EI233" s="15"/>
      <c r="EJ233" s="15"/>
      <c r="EK233" s="15"/>
      <c r="EL233" s="100"/>
      <c r="EM233" s="100"/>
      <c r="EN233" s="100"/>
      <c r="EO233" s="100"/>
      <c r="EP233" s="100"/>
      <c r="EQ233" s="22"/>
      <c r="ER233" s="43"/>
      <c r="ES233" s="45"/>
      <c r="GP233" s="42"/>
      <c r="GQ233" s="42"/>
      <c r="GR233" s="12"/>
      <c r="HG233" s="12"/>
      <c r="HH233" s="9"/>
      <c r="HI233" s="10"/>
      <c r="HJ233" s="10"/>
      <c r="HK233" s="10"/>
      <c r="HL233" s="10"/>
      <c r="HM233" s="10"/>
      <c r="HN233" s="10"/>
      <c r="HO233" s="11"/>
      <c r="HP233" s="18"/>
      <c r="HQ233" s="10"/>
      <c r="HR233" s="10"/>
      <c r="HS233" s="10"/>
      <c r="HT233" s="10"/>
      <c r="HU233" s="10"/>
      <c r="HV233" s="10"/>
      <c r="HW233" s="10"/>
      <c r="HX233" s="10"/>
      <c r="HY233" s="10"/>
      <c r="HZ233" s="10"/>
      <c r="IA233" s="10"/>
      <c r="IB233" s="10"/>
      <c r="IC233" s="10"/>
      <c r="ID233" s="10"/>
      <c r="IE233" s="10"/>
      <c r="IF233" s="10"/>
      <c r="IG233" s="10"/>
      <c r="IH233" s="10"/>
      <c r="II233" s="10"/>
      <c r="IJ233" s="10"/>
      <c r="IK233" s="11"/>
      <c r="IL233" s="43"/>
      <c r="IM233" s="45"/>
    </row>
    <row r="234" spans="17:247" ht="18" customHeight="1" x14ac:dyDescent="0.2">
      <c r="Q234" s="12"/>
      <c r="S234" s="12"/>
      <c r="AS234" s="18"/>
      <c r="AT234" s="12"/>
      <c r="BM234" s="13"/>
      <c r="BO234" s="13"/>
      <c r="CV234" s="42"/>
      <c r="CW234" s="43"/>
      <c r="CX234" s="12"/>
      <c r="CY234" s="13"/>
      <c r="DV234" s="18"/>
      <c r="DW234" s="10"/>
      <c r="DX234" s="10"/>
      <c r="DY234" s="10"/>
      <c r="DZ234" s="10"/>
      <c r="EA234" s="10"/>
      <c r="EB234" s="10"/>
      <c r="EC234" s="10"/>
      <c r="ED234" s="9"/>
      <c r="EE234" s="38"/>
      <c r="EF234" s="38"/>
      <c r="EG234" s="11"/>
      <c r="EH234" s="10"/>
      <c r="EI234" s="10"/>
      <c r="EJ234" s="10"/>
      <c r="EK234" s="10"/>
      <c r="EL234" s="10"/>
      <c r="EM234" s="10"/>
      <c r="EN234" s="10"/>
      <c r="EO234" s="10"/>
      <c r="EP234" s="10"/>
      <c r="EQ234" s="11"/>
      <c r="ER234" s="43"/>
      <c r="ES234" s="45"/>
      <c r="GP234" s="42"/>
      <c r="GQ234" s="42"/>
      <c r="GR234" s="12"/>
      <c r="HG234" s="12"/>
      <c r="HH234" s="12"/>
      <c r="HO234" s="13"/>
      <c r="HP234" s="18"/>
      <c r="IK234" s="13"/>
      <c r="IL234" s="44"/>
      <c r="IM234" s="44"/>
    </row>
    <row r="235" spans="17:247" ht="18" customHeight="1" x14ac:dyDescent="0.2">
      <c r="Q235" s="12"/>
      <c r="S235" s="12"/>
      <c r="AS235" s="18"/>
      <c r="AT235" s="12"/>
      <c r="BM235" s="13"/>
      <c r="BO235" s="13"/>
      <c r="CV235" s="42"/>
      <c r="CW235" s="43"/>
      <c r="CX235" s="14"/>
      <c r="CY235" s="16"/>
      <c r="DV235" s="24"/>
      <c r="ED235" s="12"/>
      <c r="EE235" s="32"/>
      <c r="EF235" s="32"/>
      <c r="EG235" s="13"/>
      <c r="EQ235" s="13"/>
      <c r="ER235" s="43"/>
      <c r="ES235" s="45"/>
      <c r="GP235" s="42"/>
      <c r="GQ235" s="42"/>
      <c r="GR235" s="12"/>
      <c r="HG235" s="12"/>
      <c r="HH235" s="12"/>
      <c r="HO235" s="13"/>
      <c r="HP235" s="18"/>
      <c r="IK235" s="13"/>
      <c r="IL235" s="45"/>
      <c r="IM235" s="45"/>
    </row>
    <row r="236" spans="17:247" ht="18" customHeight="1" x14ac:dyDescent="0.2">
      <c r="Q236" s="12"/>
      <c r="S236" s="12"/>
      <c r="AS236" s="18"/>
      <c r="AT236" s="12"/>
      <c r="BM236" s="13"/>
      <c r="BO236" s="13"/>
      <c r="CV236" s="42"/>
      <c r="CW236" s="43"/>
      <c r="CX236" s="12"/>
      <c r="DV236" s="24"/>
      <c r="ED236" s="14"/>
      <c r="EE236" s="15"/>
      <c r="EF236" s="15"/>
      <c r="EG236" s="16"/>
      <c r="EQ236" s="13"/>
      <c r="ER236" s="43"/>
      <c r="ES236" s="45"/>
      <c r="GP236" s="42"/>
      <c r="GQ236" s="42"/>
      <c r="GR236" s="12"/>
      <c r="HG236" s="12"/>
      <c r="HH236" s="12"/>
      <c r="HO236" s="13"/>
      <c r="HP236" s="18"/>
      <c r="IK236" s="13"/>
      <c r="IL236" s="45"/>
      <c r="IM236" s="45"/>
    </row>
    <row r="237" spans="17:247" ht="18" customHeight="1" x14ac:dyDescent="0.2">
      <c r="Q237" s="12"/>
      <c r="S237" s="12"/>
      <c r="AS237" s="18"/>
      <c r="AT237" s="12"/>
      <c r="BM237" s="13"/>
      <c r="BO237" s="13"/>
      <c r="CV237" s="42"/>
      <c r="CW237" s="43"/>
      <c r="CX237" s="12"/>
      <c r="DV237" s="24"/>
      <c r="EQ237" s="13"/>
      <c r="ER237" s="125"/>
      <c r="ES237" s="125"/>
      <c r="GP237" s="46"/>
      <c r="GQ237" s="46"/>
      <c r="GR237" s="12"/>
      <c r="HG237" s="12"/>
      <c r="HH237" s="12"/>
      <c r="HO237" s="13"/>
      <c r="HP237" s="18"/>
      <c r="IK237" s="13"/>
      <c r="IL237" s="45"/>
      <c r="IM237" s="45"/>
    </row>
    <row r="238" spans="17:247" ht="18" customHeight="1" x14ac:dyDescent="0.2">
      <c r="Q238" s="12"/>
      <c r="S238" s="12"/>
      <c r="AS238" s="18"/>
      <c r="AT238" s="12"/>
      <c r="BM238" s="13"/>
      <c r="BO238" s="13"/>
      <c r="CV238" s="42"/>
      <c r="CW238" s="43"/>
      <c r="CX238" s="12"/>
      <c r="DV238" s="24"/>
      <c r="EQ238" s="13"/>
      <c r="ER238" s="108"/>
      <c r="ES238" s="108"/>
      <c r="GP238" s="42"/>
      <c r="GQ238" s="43"/>
      <c r="GR238" s="12"/>
      <c r="HG238" s="12"/>
      <c r="HH238" s="12"/>
      <c r="HO238" s="13"/>
      <c r="HP238" s="18"/>
      <c r="IK238" s="13"/>
      <c r="IL238" s="48"/>
      <c r="IM238" s="48"/>
    </row>
    <row r="239" spans="17:247" ht="18" customHeight="1" x14ac:dyDescent="0.2">
      <c r="Q239" s="12"/>
      <c r="S239" s="20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7"/>
      <c r="AF239" s="27"/>
      <c r="AG239" s="27"/>
      <c r="AH239" s="27"/>
      <c r="AI239" s="27"/>
      <c r="AJ239" s="21"/>
      <c r="AK239" s="10"/>
      <c r="AL239" s="21"/>
      <c r="AM239" s="27"/>
      <c r="AN239" s="27"/>
      <c r="AO239" s="27"/>
      <c r="AP239" s="27"/>
      <c r="AQ239" s="27"/>
      <c r="AR239" s="21"/>
      <c r="AS239" s="131"/>
      <c r="AT239" s="20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7"/>
      <c r="BI239" s="27"/>
      <c r="BJ239" s="27"/>
      <c r="BK239" s="27"/>
      <c r="BL239" s="27"/>
      <c r="BM239" s="22"/>
      <c r="BO239" s="13"/>
      <c r="CV239" s="42"/>
      <c r="CW239" s="43"/>
      <c r="CX239" s="12"/>
      <c r="DV239" s="24"/>
      <c r="EQ239" s="13"/>
      <c r="ER239" s="108"/>
      <c r="ES239" s="108"/>
      <c r="GP239" s="42"/>
      <c r="GQ239" s="42"/>
      <c r="GR239" s="12"/>
      <c r="HG239" s="12"/>
      <c r="HH239" s="12"/>
      <c r="HO239" s="13"/>
      <c r="HP239" s="18"/>
      <c r="IK239" s="13"/>
      <c r="IL239" s="43"/>
      <c r="IM239" s="45"/>
    </row>
    <row r="240" spans="17:247" ht="18" customHeight="1" x14ac:dyDescent="0.2">
      <c r="Q240" s="12"/>
      <c r="S240" s="12"/>
      <c r="AK240" s="17"/>
      <c r="BM240" s="13"/>
      <c r="BO240" s="13"/>
      <c r="CV240" s="42"/>
      <c r="CW240" s="43"/>
      <c r="CX240" s="14"/>
      <c r="CY240" s="15"/>
      <c r="CZ240" s="15"/>
      <c r="DA240" s="15"/>
      <c r="DB240" s="15"/>
      <c r="DC240" s="15"/>
      <c r="DD240" s="15"/>
      <c r="DE240" s="15"/>
      <c r="DF240" s="15"/>
      <c r="DG240" s="15"/>
      <c r="DH240" s="15"/>
      <c r="DI240" s="15"/>
      <c r="DJ240" s="15"/>
      <c r="DK240" s="15"/>
      <c r="DL240" s="15"/>
      <c r="DM240" s="15"/>
      <c r="DN240" s="15"/>
      <c r="DO240" s="15"/>
      <c r="DP240" s="15"/>
      <c r="DQ240" s="15"/>
      <c r="DR240" s="15"/>
      <c r="DS240" s="15"/>
      <c r="DT240" s="15"/>
      <c r="DU240" s="15"/>
      <c r="DV240" s="18"/>
      <c r="EQ240" s="13"/>
      <c r="ER240" s="108"/>
      <c r="ES240" s="108"/>
      <c r="GP240" s="42"/>
      <c r="GQ240" s="42"/>
      <c r="GR240" s="14"/>
      <c r="GS240" s="15"/>
      <c r="GT240" s="15"/>
      <c r="GU240" s="15"/>
      <c r="GV240" s="15"/>
      <c r="GW240" s="15"/>
      <c r="GX240" s="15"/>
      <c r="GY240" s="15"/>
      <c r="GZ240" s="15"/>
      <c r="HA240" s="15"/>
      <c r="HB240" s="15"/>
      <c r="HC240" s="15"/>
      <c r="HD240" s="15"/>
      <c r="HE240" s="15"/>
      <c r="HF240" s="15"/>
      <c r="HG240" s="14"/>
      <c r="HH240" s="14"/>
      <c r="HI240" s="15"/>
      <c r="HJ240" s="15"/>
      <c r="HK240" s="15"/>
      <c r="HL240" s="15"/>
      <c r="HM240" s="15"/>
      <c r="HN240" s="15"/>
      <c r="HO240" s="16"/>
      <c r="HP240" s="18"/>
      <c r="HQ240" s="15"/>
      <c r="HR240" s="15"/>
      <c r="IK240" s="13"/>
      <c r="IL240" s="43" t="s">
        <v>6</v>
      </c>
      <c r="IM240" s="45"/>
    </row>
    <row r="241" spans="17:264" ht="18" customHeight="1" x14ac:dyDescent="0.25">
      <c r="Q241" s="12"/>
      <c r="S241" s="12"/>
      <c r="W241" s="128"/>
      <c r="X241" s="99"/>
      <c r="AB241" s="129"/>
      <c r="AH241" s="128"/>
      <c r="AK241" s="18"/>
      <c r="BM241" s="13"/>
      <c r="BO241" s="13"/>
      <c r="CV241" s="42"/>
      <c r="CW241" s="43"/>
      <c r="CX241" s="20"/>
      <c r="CY241" s="21"/>
      <c r="CZ241" s="21"/>
      <c r="DA241" s="21"/>
      <c r="DB241" s="21"/>
      <c r="DC241" s="21"/>
      <c r="DD241" s="21"/>
      <c r="DE241" s="21"/>
      <c r="DF241" s="21"/>
      <c r="DG241" s="21"/>
      <c r="DH241" s="21"/>
      <c r="DI241" s="21"/>
      <c r="DJ241" s="21"/>
      <c r="DK241" s="21"/>
      <c r="DL241" s="21"/>
      <c r="DM241" s="21"/>
      <c r="DN241" s="21"/>
      <c r="DO241" s="21"/>
      <c r="DP241" s="21"/>
      <c r="DQ241" s="21"/>
      <c r="DR241" s="21"/>
      <c r="DS241" s="21"/>
      <c r="DT241" s="21"/>
      <c r="DU241" s="22"/>
      <c r="DV241" s="18"/>
      <c r="EQ241" s="13"/>
      <c r="ER241" s="108"/>
      <c r="ES241" s="108"/>
      <c r="GP241" s="46"/>
      <c r="GQ241" s="46"/>
      <c r="GR241" s="12"/>
      <c r="HP241" s="18"/>
      <c r="HQ241" s="10"/>
      <c r="HR241" s="10"/>
      <c r="HS241" s="11"/>
      <c r="IK241" s="13"/>
      <c r="IL241" s="43"/>
      <c r="IM241" s="45"/>
    </row>
    <row r="242" spans="17:264" ht="18" customHeight="1" x14ac:dyDescent="0.2">
      <c r="Q242" s="12"/>
      <c r="S242" s="12"/>
      <c r="AK242" s="18"/>
      <c r="BM242" s="13"/>
      <c r="BO242" s="13"/>
      <c r="CV242" s="42"/>
      <c r="CW242" s="43"/>
      <c r="CX242" s="9"/>
      <c r="CY242" s="10"/>
      <c r="CZ242" s="10"/>
      <c r="DA242" s="10"/>
      <c r="DB242" s="10"/>
      <c r="DC242" s="10"/>
      <c r="DD242" s="10"/>
      <c r="DE242" s="10"/>
      <c r="DF242" s="10"/>
      <c r="DG242" s="10"/>
      <c r="DH242" s="10"/>
      <c r="DI242" s="10"/>
      <c r="DJ242" s="10"/>
      <c r="DK242" s="10"/>
      <c r="DL242" s="10"/>
      <c r="DM242" s="10"/>
      <c r="DN242" s="10"/>
      <c r="DO242" s="10"/>
      <c r="DP242" s="10"/>
      <c r="DQ242" s="10"/>
      <c r="DR242" s="10"/>
      <c r="DS242" s="10"/>
      <c r="DT242" s="10"/>
      <c r="DU242" s="10"/>
      <c r="DV242" s="18"/>
      <c r="EQ242" s="13"/>
      <c r="ER242" s="126"/>
      <c r="ES242" s="126"/>
      <c r="GP242" s="42"/>
      <c r="GQ242" s="43"/>
      <c r="GR242" s="9"/>
      <c r="GS242" s="10"/>
      <c r="GT242" s="10"/>
      <c r="GU242" s="10"/>
      <c r="GV242" s="10"/>
      <c r="GW242" s="10"/>
      <c r="GX242" s="10"/>
      <c r="GY242" s="10"/>
      <c r="GZ242" s="10"/>
      <c r="HA242" s="10"/>
      <c r="HB242" s="10"/>
      <c r="HC242" s="10"/>
      <c r="HD242" s="10"/>
      <c r="HE242" s="10"/>
      <c r="HF242" s="10"/>
      <c r="HG242" s="10"/>
      <c r="HH242" s="10"/>
      <c r="HI242" s="10"/>
      <c r="HJ242" s="10"/>
      <c r="HK242" s="10"/>
      <c r="HL242" s="10"/>
      <c r="HM242" s="10"/>
      <c r="HN242" s="10"/>
      <c r="HO242" s="10"/>
      <c r="HP242" s="18"/>
      <c r="HS242" s="13"/>
      <c r="IK242" s="13"/>
      <c r="IL242" s="43"/>
      <c r="IM242" s="45"/>
    </row>
    <row r="243" spans="17:264" ht="18" customHeight="1" x14ac:dyDescent="0.2">
      <c r="Q243" s="12"/>
      <c r="S243" s="12"/>
      <c r="AK243" s="18"/>
      <c r="BM243" s="13"/>
      <c r="BO243" s="13"/>
      <c r="CV243" s="42"/>
      <c r="CW243" s="43"/>
      <c r="CX243" s="12"/>
      <c r="DV243" s="24"/>
      <c r="EQ243" s="13"/>
      <c r="ER243" s="43"/>
      <c r="ES243" s="45"/>
      <c r="GP243" s="42"/>
      <c r="GQ243" s="43"/>
      <c r="GR243" s="12"/>
      <c r="HP243" s="18"/>
      <c r="HQ243" s="15"/>
      <c r="HR243" s="15"/>
      <c r="HS243" s="16"/>
      <c r="IK243" s="13"/>
      <c r="IL243" s="43"/>
      <c r="IM243" s="45"/>
    </row>
    <row r="244" spans="17:264" ht="18" customHeight="1" x14ac:dyDescent="0.2">
      <c r="Q244" s="12"/>
      <c r="S244" s="12"/>
      <c r="AK244" s="18"/>
      <c r="BM244" s="13"/>
      <c r="BO244" s="13"/>
      <c r="CV244" s="42"/>
      <c r="CW244" s="43"/>
      <c r="CX244" s="12"/>
      <c r="DV244" s="24"/>
      <c r="EN244" s="9"/>
      <c r="EO244" s="10"/>
      <c r="EP244" s="10"/>
      <c r="EQ244" s="11"/>
      <c r="ER244" s="43"/>
      <c r="ES244" s="45"/>
      <c r="GP244" s="42"/>
      <c r="GQ244" s="43"/>
      <c r="GR244" s="12"/>
      <c r="HP244" s="18"/>
      <c r="HQ244" s="10"/>
      <c r="HR244" s="10"/>
      <c r="HS244" s="10"/>
      <c r="HT244" s="10"/>
      <c r="HU244" s="10"/>
      <c r="HV244" s="11"/>
      <c r="IK244" s="13"/>
      <c r="IL244" s="43"/>
      <c r="IM244" s="45"/>
      <c r="IN244" s="20"/>
      <c r="IO244" s="21"/>
      <c r="IP244" s="21"/>
      <c r="IQ244" s="21"/>
      <c r="IR244" s="21"/>
      <c r="IS244" s="21"/>
      <c r="IT244" s="21"/>
      <c r="IU244" s="21"/>
      <c r="IV244" s="21"/>
      <c r="IW244" s="21"/>
      <c r="IX244" s="21"/>
      <c r="IY244" s="21"/>
      <c r="IZ244" s="21"/>
      <c r="JA244" s="21"/>
      <c r="JB244" s="21"/>
      <c r="JC244" s="21"/>
      <c r="JD244" s="11"/>
    </row>
    <row r="245" spans="17:264" ht="18" customHeight="1" x14ac:dyDescent="0.2">
      <c r="Q245" s="12"/>
      <c r="S245" s="12"/>
      <c r="X245" s="129"/>
      <c r="AB245" s="129"/>
      <c r="AK245" s="18"/>
      <c r="BM245" s="13"/>
      <c r="BO245" s="13"/>
      <c r="CV245" s="42"/>
      <c r="CW245" s="43"/>
      <c r="CX245" s="12"/>
      <c r="DV245" s="24"/>
      <c r="EN245" s="12"/>
      <c r="EQ245" s="13"/>
      <c r="ER245" s="43"/>
      <c r="ES245" s="45"/>
      <c r="GP245" s="42"/>
      <c r="GQ245" s="43"/>
      <c r="GR245" s="12"/>
      <c r="HP245" s="18"/>
      <c r="HQ245" s="10"/>
      <c r="HR245" s="11"/>
      <c r="HS245" s="10"/>
      <c r="HT245" s="10"/>
      <c r="HU245" s="10"/>
      <c r="HV245" s="11"/>
      <c r="IK245" s="13"/>
      <c r="IL245" s="43"/>
      <c r="IM245" s="45"/>
      <c r="JC245" s="13"/>
      <c r="JD245" s="13"/>
    </row>
    <row r="246" spans="17:264" ht="18" customHeight="1" x14ac:dyDescent="0.2">
      <c r="Q246" s="12"/>
      <c r="S246" s="12"/>
      <c r="T246" s="128"/>
      <c r="X246" s="129"/>
      <c r="AB246" s="129"/>
      <c r="AK246" s="18"/>
      <c r="BM246" s="13"/>
      <c r="BO246" s="13"/>
      <c r="CV246" s="42"/>
      <c r="CW246" s="43"/>
      <c r="CX246" s="12"/>
      <c r="DV246" s="24"/>
      <c r="EH246" s="9"/>
      <c r="EI246" s="10"/>
      <c r="EJ246" s="10"/>
      <c r="EK246" s="11"/>
      <c r="EN246" s="12"/>
      <c r="EQ246" s="13"/>
      <c r="ER246" s="43"/>
      <c r="ES246" s="45"/>
      <c r="GP246" s="42"/>
      <c r="GQ246" s="43"/>
      <c r="GR246" s="12"/>
      <c r="HP246" s="18"/>
      <c r="HR246" s="13"/>
      <c r="HV246" s="13"/>
      <c r="IK246" s="13"/>
      <c r="IL246" s="43"/>
      <c r="IM246" s="45"/>
      <c r="JC246" s="13"/>
      <c r="JD246" s="13"/>
    </row>
    <row r="247" spans="17:264" ht="18" customHeight="1" x14ac:dyDescent="0.2">
      <c r="Q247" s="12"/>
      <c r="S247" s="12"/>
      <c r="AK247" s="18"/>
      <c r="BM247" s="13"/>
      <c r="BO247" s="13"/>
      <c r="CV247" s="42"/>
      <c r="CW247" s="43"/>
      <c r="CX247" s="12"/>
      <c r="DV247" s="24"/>
      <c r="EH247" s="12"/>
      <c r="EK247" s="13"/>
      <c r="EN247" s="12"/>
      <c r="EQ247" s="13"/>
      <c r="ER247" s="43"/>
      <c r="ES247" s="45"/>
      <c r="GP247" s="42"/>
      <c r="GQ247" s="43"/>
      <c r="GR247" s="12"/>
      <c r="HP247" s="18"/>
      <c r="HR247" s="13"/>
      <c r="HV247" s="13"/>
      <c r="IK247" s="13"/>
      <c r="IL247" s="43"/>
      <c r="IM247" s="45"/>
      <c r="JC247" s="13"/>
      <c r="JD247" s="13"/>
    </row>
    <row r="248" spans="17:264" ht="18" customHeight="1" x14ac:dyDescent="0.2">
      <c r="Q248" s="12"/>
      <c r="S248" s="12"/>
      <c r="AK248" s="18"/>
      <c r="BM248" s="13"/>
      <c r="BO248" s="13"/>
      <c r="CV248" s="42"/>
      <c r="CW248" s="43"/>
      <c r="CX248" s="12"/>
      <c r="DV248" s="18"/>
      <c r="EH248" s="12"/>
      <c r="EK248" s="13"/>
      <c r="EN248" s="12"/>
      <c r="EQ248" s="13"/>
      <c r="ER248" s="43"/>
      <c r="ES248" s="45"/>
      <c r="GP248" s="42"/>
      <c r="GQ248" s="43"/>
      <c r="GR248" s="12"/>
      <c r="HP248" s="18"/>
      <c r="HR248" s="13"/>
      <c r="HV248" s="13"/>
      <c r="IK248" s="13"/>
      <c r="IL248" s="43"/>
      <c r="IM248" s="45"/>
      <c r="JC248" s="13"/>
      <c r="JD248" s="13"/>
    </row>
    <row r="249" spans="17:264" ht="18" customHeight="1" x14ac:dyDescent="0.2">
      <c r="Q249" s="12"/>
      <c r="S249" s="12"/>
      <c r="AK249" s="18"/>
      <c r="BM249" s="13"/>
      <c r="BO249" s="13"/>
      <c r="CV249" s="42"/>
      <c r="CW249" s="43"/>
      <c r="CX249" s="12"/>
      <c r="DV249" s="18"/>
      <c r="EH249" s="14"/>
      <c r="EI249" s="15"/>
      <c r="EJ249" s="15"/>
      <c r="EK249" s="16"/>
      <c r="EN249" s="12"/>
      <c r="EQ249" s="13"/>
      <c r="ER249" s="43"/>
      <c r="ES249" s="45"/>
      <c r="GP249" s="42"/>
      <c r="GQ249" s="43"/>
      <c r="GR249" s="12"/>
      <c r="HP249" s="18"/>
      <c r="HR249" s="13"/>
      <c r="HS249" s="15"/>
      <c r="HT249" s="15"/>
      <c r="HU249" s="15"/>
      <c r="HV249" s="16"/>
      <c r="IK249" s="13"/>
      <c r="IL249" s="43"/>
      <c r="IM249" s="45"/>
      <c r="JC249" s="13"/>
      <c r="JD249" s="13"/>
    </row>
    <row r="250" spans="17:264" ht="18" customHeight="1" x14ac:dyDescent="0.2">
      <c r="Q250" s="12"/>
      <c r="S250" s="20"/>
      <c r="T250" s="130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18"/>
      <c r="BM250" s="13"/>
      <c r="BO250" s="13"/>
      <c r="CV250" s="42"/>
      <c r="CW250" s="43"/>
      <c r="CX250" s="12"/>
      <c r="DV250" s="18"/>
      <c r="EN250" s="12"/>
      <c r="EQ250" s="13"/>
      <c r="ER250" s="43"/>
      <c r="ES250" s="45"/>
      <c r="GP250" s="42"/>
      <c r="GQ250" s="43"/>
      <c r="GR250" s="12"/>
      <c r="HP250" s="18"/>
      <c r="HR250" s="13"/>
      <c r="HS250" s="10"/>
      <c r="HT250" s="10"/>
      <c r="HU250" s="10"/>
      <c r="HV250" s="11"/>
      <c r="IK250" s="13"/>
      <c r="IL250" s="43"/>
      <c r="IM250" s="45"/>
      <c r="JC250" s="13"/>
      <c r="JD250" s="13"/>
    </row>
    <row r="251" spans="17:264" ht="18" customHeight="1" x14ac:dyDescent="0.2">
      <c r="Q251" s="12"/>
      <c r="S251" s="12"/>
      <c r="T251" s="128"/>
      <c r="X251" s="129"/>
      <c r="AB251" s="129"/>
      <c r="AK251" s="18"/>
      <c r="BM251" s="13"/>
      <c r="BO251" s="13"/>
      <c r="CV251" s="42"/>
      <c r="CW251" s="43"/>
      <c r="CX251" s="12"/>
      <c r="DS251" s="9"/>
      <c r="DT251" s="10"/>
      <c r="DU251" s="11"/>
      <c r="DV251" s="18"/>
      <c r="DW251" s="9"/>
      <c r="DX251" s="10"/>
      <c r="DY251" s="11"/>
      <c r="EN251" s="14"/>
      <c r="EO251" s="15"/>
      <c r="EP251" s="15"/>
      <c r="EQ251" s="16"/>
      <c r="ER251" s="43"/>
      <c r="ES251" s="45"/>
      <c r="GP251" s="42"/>
      <c r="GQ251" s="43"/>
      <c r="GR251" s="12"/>
      <c r="HP251" s="18"/>
      <c r="HR251" s="13"/>
      <c r="HV251" s="13"/>
      <c r="IK251" s="13"/>
      <c r="IL251" s="43"/>
      <c r="IM251" s="45"/>
      <c r="JC251" s="13"/>
      <c r="JD251" s="13"/>
    </row>
    <row r="252" spans="17:264" ht="18" customHeight="1" x14ac:dyDescent="0.2">
      <c r="Q252" s="12"/>
      <c r="S252" s="12"/>
      <c r="AK252" s="24"/>
      <c r="BM252" s="13"/>
      <c r="BO252" s="13"/>
      <c r="CV252" s="42"/>
      <c r="CW252" s="43"/>
      <c r="CX252" s="12"/>
      <c r="DS252" s="12"/>
      <c r="DU252" s="13"/>
      <c r="DV252" s="18"/>
      <c r="DW252" s="12"/>
      <c r="DY252" s="13"/>
      <c r="EO252" s="9"/>
      <c r="EP252" s="10"/>
      <c r="EQ252" s="11"/>
      <c r="ER252" s="43"/>
      <c r="ES252" s="45"/>
      <c r="GP252" s="42"/>
      <c r="GQ252" s="43"/>
      <c r="GR252" s="12"/>
      <c r="HP252" s="18"/>
      <c r="HR252" s="13"/>
      <c r="HV252" s="13"/>
      <c r="IK252" s="13"/>
      <c r="IL252" s="43"/>
      <c r="IM252" s="45"/>
      <c r="JC252" s="13"/>
      <c r="JD252" s="13"/>
    </row>
    <row r="253" spans="17:264" ht="18" customHeight="1" x14ac:dyDescent="0.2">
      <c r="Q253" s="12"/>
      <c r="S253" s="12"/>
      <c r="AK253" s="24"/>
      <c r="BM253" s="13"/>
      <c r="BO253" s="13"/>
      <c r="CV253" s="42"/>
      <c r="CW253" s="43"/>
      <c r="CX253" s="12"/>
      <c r="DS253" s="12"/>
      <c r="DU253" s="13"/>
      <c r="DV253" s="18"/>
      <c r="DW253" s="14"/>
      <c r="DX253" s="15"/>
      <c r="DY253" s="16"/>
      <c r="EO253" s="12"/>
      <c r="EQ253" s="13"/>
      <c r="ER253" s="43"/>
      <c r="ES253" s="45"/>
      <c r="GP253" s="42"/>
      <c r="GQ253" s="43"/>
      <c r="GR253" s="12"/>
      <c r="HP253" s="18"/>
      <c r="HR253" s="13"/>
      <c r="HV253" s="13"/>
      <c r="IK253" s="13"/>
      <c r="IL253" s="43"/>
      <c r="IM253" s="45"/>
      <c r="JC253" s="13"/>
      <c r="JD253" s="13"/>
    </row>
    <row r="254" spans="17:264" ht="18" customHeight="1" x14ac:dyDescent="0.2">
      <c r="Q254" s="12"/>
      <c r="S254" s="12"/>
      <c r="AK254" s="24"/>
      <c r="BM254" s="13"/>
      <c r="BO254" s="13"/>
      <c r="CV254" s="42"/>
      <c r="CW254" s="43"/>
      <c r="CX254" s="12"/>
      <c r="DS254" s="12"/>
      <c r="DU254" s="13"/>
      <c r="DV254" s="18"/>
      <c r="DW254" s="9"/>
      <c r="DX254" s="10"/>
      <c r="DY254" s="10"/>
      <c r="DZ254" s="10"/>
      <c r="EA254" s="10"/>
      <c r="EB254" s="11"/>
      <c r="EO254" s="12"/>
      <c r="EQ254" s="13"/>
      <c r="ER254" s="43"/>
      <c r="ES254" s="45"/>
      <c r="GP254" s="42"/>
      <c r="GQ254" s="43"/>
      <c r="GR254" s="12"/>
      <c r="HP254" s="18"/>
      <c r="HQ254" s="15"/>
      <c r="HR254" s="16"/>
      <c r="HS254" s="15"/>
      <c r="HT254" s="15"/>
      <c r="HU254" s="15"/>
      <c r="HV254" s="16"/>
      <c r="IK254" s="13"/>
      <c r="IL254" s="43"/>
      <c r="IM254" s="45"/>
      <c r="JC254" s="13"/>
      <c r="JD254" s="13"/>
    </row>
    <row r="255" spans="17:264" ht="18" customHeight="1" x14ac:dyDescent="0.2">
      <c r="Q255" s="12"/>
      <c r="S255" s="12"/>
      <c r="T255" s="128"/>
      <c r="AK255" s="24"/>
      <c r="BM255" s="13"/>
      <c r="BO255" s="13"/>
      <c r="CV255" s="42"/>
      <c r="CW255" s="43"/>
      <c r="CX255" s="12"/>
      <c r="DS255" s="12"/>
      <c r="DU255" s="13"/>
      <c r="DV255" s="18"/>
      <c r="DW255" s="9"/>
      <c r="DX255" s="11"/>
      <c r="DY255" s="10"/>
      <c r="DZ255" s="10"/>
      <c r="EA255" s="10"/>
      <c r="EB255" s="11"/>
      <c r="EO255" s="14"/>
      <c r="EP255" s="15"/>
      <c r="EQ255" s="16"/>
      <c r="ER255" s="43"/>
      <c r="ES255" s="45"/>
      <c r="GP255" s="42"/>
      <c r="GQ255" s="43"/>
      <c r="GR255" s="12"/>
      <c r="HP255" s="18"/>
      <c r="HQ255" s="15"/>
      <c r="HR255" s="15"/>
      <c r="HS255" s="15"/>
      <c r="HT255" s="15"/>
      <c r="HU255" s="15"/>
      <c r="HV255" s="16"/>
      <c r="IK255" s="13"/>
      <c r="IL255" s="43"/>
      <c r="IM255" s="45"/>
      <c r="JC255" s="13"/>
      <c r="JD255" s="13"/>
    </row>
    <row r="256" spans="17:264" ht="18" customHeight="1" x14ac:dyDescent="0.2">
      <c r="Q256" s="12"/>
      <c r="S256" s="12"/>
      <c r="AK256" s="24"/>
      <c r="BM256" s="13"/>
      <c r="BO256" s="13"/>
      <c r="CV256" s="42"/>
      <c r="CW256" s="43"/>
      <c r="CX256" s="12"/>
      <c r="DS256" s="12"/>
      <c r="DU256" s="13"/>
      <c r="DV256" s="12"/>
      <c r="DW256" s="12"/>
      <c r="DX256" s="13"/>
      <c r="EB256" s="13"/>
      <c r="EO256" s="9"/>
      <c r="EP256" s="10"/>
      <c r="EQ256" s="11"/>
      <c r="ER256" s="43"/>
      <c r="ES256" s="45"/>
      <c r="GP256" s="42"/>
      <c r="GQ256" s="43"/>
      <c r="GR256" s="12"/>
      <c r="HP256" s="18"/>
      <c r="HQ256" s="9"/>
      <c r="HR256" s="10"/>
      <c r="HS256" s="11"/>
      <c r="IK256" s="13"/>
      <c r="IL256" s="43"/>
      <c r="IM256" s="45"/>
      <c r="JC256" s="13"/>
      <c r="JD256" s="13"/>
    </row>
    <row r="257" spans="17:264" ht="18" customHeight="1" x14ac:dyDescent="0.2">
      <c r="Q257" s="12"/>
      <c r="S257" s="12"/>
      <c r="AK257" s="18"/>
      <c r="BM257" s="13"/>
      <c r="BO257" s="13"/>
      <c r="CV257" s="42"/>
      <c r="CW257" s="43"/>
      <c r="CX257" s="12"/>
      <c r="DS257" s="12"/>
      <c r="DU257" s="13"/>
      <c r="DV257" s="12"/>
      <c r="DW257" s="12"/>
      <c r="DX257" s="13"/>
      <c r="EB257" s="13"/>
      <c r="EO257" s="12"/>
      <c r="EQ257" s="17"/>
      <c r="ER257" s="43"/>
      <c r="ES257" s="45"/>
      <c r="GP257" s="42"/>
      <c r="GQ257" s="43"/>
      <c r="GR257" s="14"/>
      <c r="GS257" s="15"/>
      <c r="GT257" s="15"/>
      <c r="GU257" s="15"/>
      <c r="GV257" s="15"/>
      <c r="GW257" s="15"/>
      <c r="GX257" s="15"/>
      <c r="GY257" s="15"/>
      <c r="GZ257" s="15"/>
      <c r="HA257" s="15"/>
      <c r="HB257" s="15"/>
      <c r="HC257" s="15"/>
      <c r="HD257" s="15"/>
      <c r="HE257" s="15"/>
      <c r="HF257" s="15"/>
      <c r="HG257" s="15"/>
      <c r="HH257" s="15"/>
      <c r="HI257" s="15"/>
      <c r="HJ257" s="15"/>
      <c r="HK257" s="15"/>
      <c r="HL257" s="15"/>
      <c r="HM257" s="15"/>
      <c r="HN257" s="15"/>
      <c r="HO257" s="15"/>
      <c r="HP257" s="18"/>
      <c r="HQ257" s="12"/>
      <c r="HS257" s="13"/>
      <c r="IK257" s="13"/>
      <c r="IL257" s="43"/>
      <c r="IM257" s="45"/>
      <c r="JC257" s="13"/>
      <c r="JD257" s="13"/>
    </row>
    <row r="258" spans="17:264" ht="18" customHeight="1" x14ac:dyDescent="0.25">
      <c r="Q258" s="12"/>
      <c r="S258" s="12"/>
      <c r="W258" s="128"/>
      <c r="X258" s="99"/>
      <c r="AB258" s="129"/>
      <c r="AK258" s="18"/>
      <c r="BM258" s="13"/>
      <c r="BO258" s="13"/>
      <c r="CV258" s="42"/>
      <c r="CW258" s="43"/>
      <c r="CX258" s="12"/>
      <c r="DS258" s="12"/>
      <c r="DU258" s="13"/>
      <c r="DV258" s="12"/>
      <c r="DW258" s="12"/>
      <c r="DX258" s="13"/>
      <c r="EB258" s="13"/>
      <c r="EO258" s="12"/>
      <c r="EQ258" s="18"/>
      <c r="ER258" s="43"/>
      <c r="ES258" s="45"/>
      <c r="GP258" s="42"/>
      <c r="GQ258" s="43"/>
      <c r="GR258" s="12"/>
      <c r="HP258" s="18"/>
      <c r="HQ258" s="14"/>
      <c r="HR258" s="15"/>
      <c r="HS258" s="16"/>
      <c r="IK258" s="13"/>
      <c r="IL258" s="43"/>
      <c r="IM258" s="45"/>
      <c r="JC258" s="13"/>
      <c r="JD258" s="13"/>
    </row>
    <row r="259" spans="17:264" ht="18" customHeight="1" x14ac:dyDescent="0.2">
      <c r="Q259" s="12"/>
      <c r="S259" s="12"/>
      <c r="AK259" s="18"/>
      <c r="BM259" s="13"/>
      <c r="BO259" s="13"/>
      <c r="CV259" s="42"/>
      <c r="CW259" s="43"/>
      <c r="CX259" s="12"/>
      <c r="DS259" s="12"/>
      <c r="DU259" s="13"/>
      <c r="DV259" s="12"/>
      <c r="DW259" s="12"/>
      <c r="DX259" s="13"/>
      <c r="DY259" s="15"/>
      <c r="DZ259" s="15"/>
      <c r="EA259" s="15"/>
      <c r="EB259" s="16"/>
      <c r="EO259" s="12"/>
      <c r="EQ259" s="18"/>
      <c r="ER259" s="43"/>
      <c r="ES259" s="45"/>
      <c r="GP259" s="42"/>
      <c r="GQ259" s="43"/>
      <c r="GR259" s="9"/>
      <c r="GS259" s="10"/>
      <c r="GT259" s="10"/>
      <c r="GU259" s="10"/>
      <c r="GV259" s="10"/>
      <c r="GW259" s="10"/>
      <c r="GX259" s="10"/>
      <c r="GY259" s="10"/>
      <c r="GZ259" s="10"/>
      <c r="HA259" s="10"/>
      <c r="HB259" s="10"/>
      <c r="HC259" s="10"/>
      <c r="HD259" s="10"/>
      <c r="HE259" s="10"/>
      <c r="HF259" s="10"/>
      <c r="HG259" s="10"/>
      <c r="HH259" s="10"/>
      <c r="HI259" s="10"/>
      <c r="HJ259" s="10"/>
      <c r="HK259" s="10"/>
      <c r="HL259" s="10"/>
      <c r="HM259" s="10"/>
      <c r="HN259" s="10"/>
      <c r="HO259" s="10"/>
      <c r="HP259" s="18"/>
      <c r="IK259" s="13"/>
      <c r="IL259" s="43"/>
      <c r="IM259" s="45"/>
      <c r="JC259" s="13"/>
      <c r="JD259" s="13"/>
    </row>
    <row r="260" spans="17:264" ht="18" customHeight="1" x14ac:dyDescent="0.2">
      <c r="Q260" s="12"/>
      <c r="S260" s="14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8"/>
      <c r="BM260" s="13"/>
      <c r="BO260" s="13"/>
      <c r="CV260" s="42"/>
      <c r="CW260" s="43"/>
      <c r="CX260" s="12"/>
      <c r="DS260" s="14"/>
      <c r="DT260" s="15"/>
      <c r="DU260" s="16"/>
      <c r="DV260" s="12"/>
      <c r="DW260" s="12"/>
      <c r="DX260" s="13"/>
      <c r="DY260" s="10"/>
      <c r="DZ260" s="10"/>
      <c r="EA260" s="10"/>
      <c r="EB260" s="11"/>
      <c r="EO260" s="12"/>
      <c r="EQ260" s="18"/>
      <c r="ER260" s="43"/>
      <c r="ES260" s="45"/>
      <c r="GP260" s="42"/>
      <c r="GQ260" s="43"/>
      <c r="GR260" s="12"/>
      <c r="HP260" s="18"/>
      <c r="IK260" s="13"/>
      <c r="IL260" s="43"/>
      <c r="IM260" s="45"/>
      <c r="JC260" s="13"/>
      <c r="JD260" s="13"/>
    </row>
    <row r="261" spans="17:264" ht="18" customHeight="1" x14ac:dyDescent="0.2">
      <c r="Q261" s="12"/>
      <c r="S261" s="12"/>
      <c r="AD261" s="10"/>
      <c r="AF261" s="10"/>
      <c r="AK261" s="18"/>
      <c r="BM261" s="13"/>
      <c r="BO261" s="13"/>
      <c r="CV261" s="42"/>
      <c r="CW261" s="43"/>
      <c r="CX261" s="14"/>
      <c r="CY261" s="15"/>
      <c r="CZ261" s="15"/>
      <c r="DA261" s="15"/>
      <c r="DB261" s="15"/>
      <c r="DC261" s="15"/>
      <c r="DD261" s="15"/>
      <c r="DE261" s="15"/>
      <c r="DF261" s="15"/>
      <c r="DG261" s="15"/>
      <c r="DH261" s="15"/>
      <c r="DI261" s="15"/>
      <c r="DJ261" s="15"/>
      <c r="DK261" s="15"/>
      <c r="DL261" s="15"/>
      <c r="DM261" s="15"/>
      <c r="DN261" s="15"/>
      <c r="DO261" s="15"/>
      <c r="DP261" s="15"/>
      <c r="DQ261" s="15"/>
      <c r="DR261" s="15"/>
      <c r="DS261" s="15"/>
      <c r="DT261" s="15"/>
      <c r="DU261" s="15"/>
      <c r="DV261" s="12"/>
      <c r="DW261" s="12"/>
      <c r="DX261" s="13"/>
      <c r="EB261" s="13"/>
      <c r="EO261" s="12"/>
      <c r="EQ261" s="18"/>
      <c r="ER261" s="43"/>
      <c r="ES261" s="45"/>
      <c r="GP261" s="42"/>
      <c r="GQ261" s="43"/>
      <c r="GR261" s="12"/>
      <c r="HP261" s="18"/>
      <c r="IK261" s="13"/>
      <c r="IL261" s="43"/>
      <c r="IM261" s="45"/>
      <c r="JC261" s="13"/>
      <c r="JD261" s="13"/>
    </row>
    <row r="262" spans="17:264" ht="18" customHeight="1" x14ac:dyDescent="0.2">
      <c r="Q262" s="12"/>
      <c r="S262" s="9"/>
      <c r="T262" s="10"/>
      <c r="U262" s="10"/>
      <c r="V262" s="11"/>
      <c r="W262" s="10"/>
      <c r="X262" s="10"/>
      <c r="Y262" s="10"/>
      <c r="Z262" s="10"/>
      <c r="AA262" s="10"/>
      <c r="AB262" s="10"/>
      <c r="AC262" s="9"/>
      <c r="AD262" s="10"/>
      <c r="AE262" s="10"/>
      <c r="AF262" s="11"/>
      <c r="AG262" s="10"/>
      <c r="AH262" s="10"/>
      <c r="AI262" s="10"/>
      <c r="AJ262" s="10"/>
      <c r="AK262" s="18"/>
      <c r="BM262" s="13"/>
      <c r="BO262" s="13"/>
      <c r="CI262" s="9"/>
      <c r="CJ262" s="10"/>
      <c r="CK262" s="10"/>
      <c r="CL262" s="10"/>
      <c r="CM262" s="10"/>
      <c r="CN262" s="10"/>
      <c r="CO262" s="10"/>
      <c r="CP262" s="10"/>
      <c r="CQ262" s="10"/>
      <c r="CR262" s="10"/>
      <c r="CS262" s="10"/>
      <c r="CT262" s="10"/>
      <c r="CU262" s="11"/>
      <c r="CV262" s="42"/>
      <c r="CW262" s="43"/>
      <c r="CX262" s="12"/>
      <c r="DI262" s="21"/>
      <c r="DK262" s="21"/>
      <c r="DU262" s="21"/>
      <c r="DV262" s="12"/>
      <c r="DW262" s="12"/>
      <c r="DX262" s="13"/>
      <c r="EB262" s="13"/>
      <c r="EO262" s="12"/>
      <c r="EQ262" s="19"/>
      <c r="ER262" s="43"/>
      <c r="ES262" s="45"/>
      <c r="ET262" s="9"/>
      <c r="EU262" s="10"/>
      <c r="EV262" s="10"/>
      <c r="EW262" s="10"/>
      <c r="EX262" s="10"/>
      <c r="EY262" s="10"/>
      <c r="EZ262" s="10"/>
      <c r="FA262" s="10"/>
      <c r="FB262" s="10"/>
      <c r="FC262" s="10"/>
      <c r="FD262" s="10"/>
      <c r="FE262" s="10"/>
      <c r="FF262" s="11"/>
      <c r="GP262" s="42"/>
      <c r="GQ262" s="43"/>
      <c r="GR262" s="12"/>
      <c r="HP262" s="19"/>
      <c r="IK262" s="13"/>
      <c r="IL262" s="43"/>
      <c r="IM262" s="45"/>
      <c r="JC262" s="13"/>
      <c r="JD262" s="13"/>
    </row>
    <row r="263" spans="17:264" ht="18" customHeight="1" x14ac:dyDescent="0.25">
      <c r="Q263" s="12"/>
      <c r="S263" s="12"/>
      <c r="V263" s="13"/>
      <c r="W263" s="128"/>
      <c r="X263" s="99"/>
      <c r="AB263" s="129"/>
      <c r="AC263" s="12"/>
      <c r="AF263" s="13"/>
      <c r="AH263" s="128"/>
      <c r="AK263" s="18"/>
      <c r="BM263" s="13"/>
      <c r="BO263" s="13"/>
      <c r="CI263" s="12"/>
      <c r="CJ263" s="9"/>
      <c r="CK263" s="10"/>
      <c r="CL263" s="10"/>
      <c r="CM263" s="10"/>
      <c r="CN263" s="10"/>
      <c r="CO263" s="10"/>
      <c r="CP263" s="10"/>
      <c r="CQ263" s="10"/>
      <c r="CR263" s="10"/>
      <c r="CS263" s="10"/>
      <c r="CT263" s="10"/>
      <c r="CU263" s="11"/>
      <c r="CV263" s="42"/>
      <c r="CW263" s="43"/>
      <c r="CX263" s="9"/>
      <c r="CY263" s="10"/>
      <c r="CZ263" s="10"/>
      <c r="DA263" s="11"/>
      <c r="DB263" s="10"/>
      <c r="DC263" s="10"/>
      <c r="DD263" s="10"/>
      <c r="DE263" s="10"/>
      <c r="DF263" s="9"/>
      <c r="DG263" s="10"/>
      <c r="DH263" s="10"/>
      <c r="DI263" s="11"/>
      <c r="DJ263" s="85"/>
      <c r="DK263" s="74"/>
      <c r="DL263" s="75"/>
      <c r="DM263" s="85"/>
      <c r="DN263" s="9"/>
      <c r="DO263" s="10"/>
      <c r="DP263" s="10"/>
      <c r="DQ263" s="11"/>
      <c r="DR263" s="141"/>
      <c r="DS263" s="141"/>
      <c r="DT263" s="141"/>
      <c r="DU263" s="141"/>
      <c r="DV263" s="12"/>
      <c r="DW263" s="12"/>
      <c r="DX263" s="13"/>
      <c r="EB263" s="13"/>
      <c r="EO263" s="14"/>
      <c r="EP263" s="15"/>
      <c r="EQ263" s="16"/>
      <c r="ER263" s="43"/>
      <c r="ES263" s="45"/>
      <c r="ET263" s="9"/>
      <c r="EU263" s="10"/>
      <c r="EV263" s="10"/>
      <c r="EW263" s="10"/>
      <c r="EX263" s="10"/>
      <c r="EY263" s="10"/>
      <c r="EZ263" s="10"/>
      <c r="FA263" s="10"/>
      <c r="FB263" s="10"/>
      <c r="FC263" s="10"/>
      <c r="FD263" s="10"/>
      <c r="FE263" s="11"/>
      <c r="FF263" s="13"/>
      <c r="GP263" s="42"/>
      <c r="GQ263" s="43"/>
      <c r="GR263" s="12"/>
      <c r="GV263" s="9"/>
      <c r="GW263" s="10"/>
      <c r="GX263" s="10"/>
      <c r="GY263" s="10"/>
      <c r="GZ263" s="10"/>
      <c r="HA263" s="10"/>
      <c r="HB263" s="10"/>
      <c r="HC263" s="10"/>
      <c r="HD263" s="10"/>
      <c r="HE263" s="10"/>
      <c r="HF263" s="10"/>
      <c r="HG263" s="10"/>
      <c r="HH263" s="10"/>
      <c r="HI263" s="10"/>
      <c r="HJ263" s="10"/>
      <c r="HK263" s="10"/>
      <c r="HL263" s="10"/>
      <c r="HM263" s="10"/>
      <c r="HN263" s="10"/>
      <c r="HO263" s="10"/>
      <c r="IK263" s="13"/>
      <c r="IL263" s="43"/>
      <c r="IM263" s="45"/>
      <c r="JC263" s="13"/>
      <c r="JD263" s="13"/>
    </row>
    <row r="264" spans="17:264" ht="18" customHeight="1" x14ac:dyDescent="0.25">
      <c r="Q264" s="12"/>
      <c r="S264" s="12"/>
      <c r="V264" s="13"/>
      <c r="AC264" s="12"/>
      <c r="AF264" s="13"/>
      <c r="AK264" s="18"/>
      <c r="BM264" s="13"/>
      <c r="BO264" s="13"/>
      <c r="CI264" s="12"/>
      <c r="CJ264" s="12"/>
      <c r="CU264" s="13"/>
      <c r="CV264" s="42"/>
      <c r="CW264" s="43"/>
      <c r="CX264" s="12"/>
      <c r="DA264" s="13"/>
      <c r="DB264" s="128"/>
      <c r="DC264" s="99"/>
      <c r="DF264" s="12"/>
      <c r="DG264" s="129"/>
      <c r="DI264" s="13"/>
      <c r="DJ264" s="87"/>
      <c r="DK264" s="138"/>
      <c r="DL264" s="88"/>
      <c r="DM264" s="88"/>
      <c r="DO264" s="32"/>
      <c r="DP264" s="32"/>
      <c r="DQ264" s="13"/>
      <c r="DR264" s="49"/>
      <c r="DS264" s="142"/>
      <c r="DT264" s="49"/>
      <c r="DU264" s="49"/>
      <c r="DV264" s="18"/>
      <c r="DW264" s="14"/>
      <c r="DX264" s="16"/>
      <c r="DY264" s="15"/>
      <c r="DZ264" s="15"/>
      <c r="EA264" s="15"/>
      <c r="EB264" s="16"/>
      <c r="EQ264" s="13"/>
      <c r="ER264" s="43"/>
      <c r="ES264" s="45"/>
      <c r="ET264" s="12"/>
      <c r="FE264" s="13"/>
      <c r="FF264" s="13"/>
      <c r="GP264" s="40"/>
      <c r="GQ264" s="40"/>
      <c r="GR264" s="12"/>
      <c r="GV264" s="12"/>
      <c r="IK264" s="13"/>
      <c r="IL264" s="43"/>
      <c r="IM264" s="45"/>
      <c r="JC264" s="13"/>
      <c r="JD264" s="13"/>
    </row>
    <row r="265" spans="17:264" ht="18" customHeight="1" x14ac:dyDescent="0.2">
      <c r="Q265" s="12"/>
      <c r="S265" s="14"/>
      <c r="T265" s="15"/>
      <c r="U265" s="15"/>
      <c r="V265" s="16"/>
      <c r="AC265" s="14"/>
      <c r="AD265" s="15"/>
      <c r="AE265" s="15"/>
      <c r="AF265" s="16"/>
      <c r="AK265" s="18"/>
      <c r="BM265" s="13"/>
      <c r="BO265" s="13"/>
      <c r="CI265" s="12"/>
      <c r="CJ265" s="12"/>
      <c r="CU265" s="13"/>
      <c r="CV265" s="42"/>
      <c r="CW265" s="43"/>
      <c r="CX265" s="12"/>
      <c r="DA265" s="13"/>
      <c r="DF265" s="20"/>
      <c r="DG265" s="21"/>
      <c r="DH265" s="21"/>
      <c r="DI265" s="22"/>
      <c r="DJ265" s="87"/>
      <c r="DK265" s="86"/>
      <c r="DL265" s="88"/>
      <c r="DM265" s="88"/>
      <c r="DO265" s="32"/>
      <c r="DP265" s="32"/>
      <c r="DQ265" s="13"/>
      <c r="DR265" s="49"/>
      <c r="DS265" s="49"/>
      <c r="DT265" s="49"/>
      <c r="DU265" s="49"/>
      <c r="DV265" s="18"/>
      <c r="DW265" s="14"/>
      <c r="DX265" s="15"/>
      <c r="DY265" s="15"/>
      <c r="DZ265" s="15"/>
      <c r="EA265" s="15"/>
      <c r="EB265" s="16"/>
      <c r="EQ265" s="13"/>
      <c r="ER265" s="43"/>
      <c r="ES265" s="45"/>
      <c r="ET265" s="12"/>
      <c r="FE265" s="13"/>
      <c r="FF265" s="13"/>
      <c r="GP265" s="42"/>
      <c r="GQ265" s="42"/>
      <c r="GR265" s="12"/>
      <c r="GV265" s="12"/>
      <c r="IK265" s="13"/>
      <c r="IL265" s="43"/>
      <c r="IM265" s="45"/>
      <c r="JC265" s="13"/>
      <c r="JD265" s="13"/>
    </row>
    <row r="266" spans="17:264" ht="18" customHeight="1" x14ac:dyDescent="0.2">
      <c r="Q266" s="12"/>
      <c r="S266" s="12"/>
      <c r="W266" s="9"/>
      <c r="X266" s="10"/>
      <c r="Y266" s="10"/>
      <c r="Z266" s="10"/>
      <c r="AA266" s="10"/>
      <c r="AB266" s="10"/>
      <c r="AC266" s="10"/>
      <c r="AD266" s="10"/>
      <c r="AE266" s="10"/>
      <c r="AF266" s="11"/>
      <c r="AG266" s="9"/>
      <c r="AH266" s="10"/>
      <c r="AI266" s="10"/>
      <c r="AJ266" s="11"/>
      <c r="AK266" s="18"/>
      <c r="BM266" s="13"/>
      <c r="BO266" s="13"/>
      <c r="CI266" s="12"/>
      <c r="CJ266" s="12"/>
      <c r="CU266" s="13"/>
      <c r="CV266" s="42"/>
      <c r="CW266" s="43"/>
      <c r="CX266" s="14"/>
      <c r="CY266" s="15"/>
      <c r="CZ266" s="15"/>
      <c r="DA266" s="16"/>
      <c r="DF266" s="14"/>
      <c r="DG266" s="15"/>
      <c r="DH266" s="15"/>
      <c r="DI266" s="16"/>
      <c r="DJ266" s="87"/>
      <c r="DK266" s="76"/>
      <c r="DL266" s="77"/>
      <c r="DM266" s="87"/>
      <c r="DN266" s="14"/>
      <c r="DO266" s="15"/>
      <c r="DP266" s="15"/>
      <c r="DQ266" s="16"/>
      <c r="DR266" s="49"/>
      <c r="DS266" s="49"/>
      <c r="DT266" s="49"/>
      <c r="DU266" s="49"/>
      <c r="DV266" s="18"/>
      <c r="DW266" s="9"/>
      <c r="DX266" s="10"/>
      <c r="DY266" s="11"/>
      <c r="EQ266" s="13"/>
      <c r="ER266" s="43"/>
      <c r="ES266" s="45"/>
      <c r="ET266" s="12"/>
      <c r="FE266" s="13"/>
      <c r="FF266" s="13"/>
      <c r="GP266" s="42"/>
      <c r="GQ266" s="42"/>
      <c r="GR266" s="12"/>
      <c r="GV266" s="12"/>
      <c r="IK266" s="13"/>
      <c r="IL266" s="44"/>
      <c r="IM266" s="44"/>
      <c r="JC266" s="13"/>
      <c r="JD266" s="13"/>
    </row>
    <row r="267" spans="17:264" ht="18" customHeight="1" x14ac:dyDescent="0.2">
      <c r="Q267" s="12"/>
      <c r="S267" s="12"/>
      <c r="W267" s="12"/>
      <c r="X267" s="129"/>
      <c r="AB267" s="129"/>
      <c r="AF267" s="13"/>
      <c r="AG267" s="12"/>
      <c r="AJ267" s="13"/>
      <c r="AK267" s="18"/>
      <c r="BM267" s="13"/>
      <c r="BO267" s="13"/>
      <c r="CI267" s="12"/>
      <c r="CJ267" s="12"/>
      <c r="CU267" s="13"/>
      <c r="CV267" s="42"/>
      <c r="CW267" s="43"/>
      <c r="CX267" s="9"/>
      <c r="CY267" s="10"/>
      <c r="CZ267" s="10"/>
      <c r="DA267" s="11"/>
      <c r="DB267" s="139"/>
      <c r="DC267" s="10"/>
      <c r="DD267" s="10"/>
      <c r="DE267" s="10"/>
      <c r="DF267" s="10"/>
      <c r="DG267" s="10"/>
      <c r="DH267" s="10"/>
      <c r="DI267" s="10"/>
      <c r="DJ267" s="38"/>
      <c r="DK267" s="38"/>
      <c r="DL267" s="38"/>
      <c r="DM267" s="38"/>
      <c r="DN267" s="38"/>
      <c r="DO267" s="38"/>
      <c r="DP267" s="38"/>
      <c r="DQ267" s="38"/>
      <c r="DR267" s="38"/>
      <c r="DS267" s="38"/>
      <c r="DT267" s="38"/>
      <c r="DU267" s="38"/>
      <c r="DV267" s="18"/>
      <c r="DW267" s="12"/>
      <c r="DY267" s="13"/>
      <c r="EQ267" s="13"/>
      <c r="ER267" s="43"/>
      <c r="ES267" s="45"/>
      <c r="ET267" s="12"/>
      <c r="FE267" s="13"/>
      <c r="FF267" s="13"/>
      <c r="GP267" s="42"/>
      <c r="GQ267" s="42"/>
      <c r="GR267" s="12"/>
      <c r="GV267" s="12"/>
      <c r="IK267" s="13"/>
      <c r="IL267" s="45"/>
      <c r="IM267" s="45"/>
      <c r="JC267" s="13"/>
      <c r="JD267" s="13"/>
    </row>
    <row r="268" spans="17:264" ht="18" customHeight="1" x14ac:dyDescent="0.2">
      <c r="Q268" s="12"/>
      <c r="S268" s="12"/>
      <c r="T268" s="128"/>
      <c r="W268" s="12"/>
      <c r="X268" s="129"/>
      <c r="AB268" s="129"/>
      <c r="AF268" s="13"/>
      <c r="AG268" s="12"/>
      <c r="AJ268" s="13"/>
      <c r="AK268" s="18"/>
      <c r="BM268" s="13"/>
      <c r="BO268" s="13"/>
      <c r="CI268" s="12"/>
      <c r="CJ268" s="12"/>
      <c r="CU268" s="13"/>
      <c r="CV268" s="42"/>
      <c r="CW268" s="43"/>
      <c r="CX268" s="12"/>
      <c r="DA268" s="13"/>
      <c r="DB268" s="140"/>
      <c r="DC268" s="129"/>
      <c r="DG268" s="129"/>
      <c r="DK268" s="129"/>
      <c r="DO268" s="129"/>
      <c r="DV268" s="18"/>
      <c r="DW268" s="14"/>
      <c r="DX268" s="15"/>
      <c r="DY268" s="16"/>
      <c r="EQ268" s="13"/>
      <c r="ER268" s="125"/>
      <c r="ES268" s="125"/>
      <c r="ET268" s="12"/>
      <c r="FE268" s="13"/>
      <c r="FF268" s="13"/>
      <c r="GP268" s="42"/>
      <c r="GQ268" s="42"/>
      <c r="GR268" s="12"/>
      <c r="GV268" s="12"/>
      <c r="IK268" s="13"/>
      <c r="IL268" s="45"/>
      <c r="IM268" s="45"/>
      <c r="JC268" s="13"/>
      <c r="JD268" s="13"/>
    </row>
    <row r="269" spans="17:264" ht="18" customHeight="1" x14ac:dyDescent="0.2">
      <c r="Q269" s="12"/>
      <c r="S269" s="12"/>
      <c r="W269" s="12"/>
      <c r="AF269" s="13"/>
      <c r="AG269" s="14"/>
      <c r="AH269" s="15"/>
      <c r="AI269" s="15"/>
      <c r="AJ269" s="16"/>
      <c r="AK269" s="19"/>
      <c r="BM269" s="13"/>
      <c r="BO269" s="13"/>
      <c r="CI269" s="12"/>
      <c r="CJ269" s="12"/>
      <c r="CU269" s="13"/>
      <c r="CV269" s="42"/>
      <c r="CW269" s="43"/>
      <c r="CX269" s="12"/>
      <c r="CY269" s="137"/>
      <c r="CZ269" s="97"/>
      <c r="DA269" s="13"/>
      <c r="DB269" s="140"/>
      <c r="DC269" s="129"/>
      <c r="DG269" s="129"/>
      <c r="DK269" s="129"/>
      <c r="DO269" s="129"/>
      <c r="DV269" s="18"/>
      <c r="EQ269" s="13"/>
      <c r="ER269" s="108"/>
      <c r="ES269" s="108"/>
      <c r="ET269" s="12"/>
      <c r="FE269" s="13"/>
      <c r="FF269" s="13"/>
      <c r="GP269" s="46"/>
      <c r="GQ269" s="46"/>
      <c r="GR269" s="12"/>
      <c r="GV269" s="12"/>
      <c r="IK269" s="13"/>
      <c r="IL269" s="45"/>
      <c r="IM269" s="45"/>
      <c r="JC269" s="13"/>
      <c r="JD269" s="13"/>
    </row>
    <row r="270" spans="17:264" ht="18" customHeight="1" x14ac:dyDescent="0.2">
      <c r="Q270" s="12"/>
      <c r="S270" s="9"/>
      <c r="T270" s="10"/>
      <c r="U270" s="10"/>
      <c r="V270" s="11"/>
      <c r="W270" s="12"/>
      <c r="BM270" s="13"/>
      <c r="BO270" s="13"/>
      <c r="CI270" s="12"/>
      <c r="CJ270" s="12"/>
      <c r="CU270" s="13"/>
      <c r="CV270" s="42"/>
      <c r="CW270" s="43"/>
      <c r="CX270" s="12"/>
      <c r="CY270" s="97"/>
      <c r="CZ270" s="97"/>
      <c r="DA270" s="13"/>
      <c r="DB270" s="140"/>
      <c r="DV270" s="18"/>
      <c r="EQ270" s="13"/>
      <c r="ER270" s="108"/>
      <c r="ES270" s="108"/>
      <c r="ET270" s="12"/>
      <c r="FE270" s="13"/>
      <c r="FF270" s="13"/>
      <c r="GP270" s="42"/>
      <c r="GQ270" s="43"/>
      <c r="GR270" s="12"/>
      <c r="GV270" s="14"/>
      <c r="GW270" s="15"/>
      <c r="GX270" s="15"/>
      <c r="GY270" s="15"/>
      <c r="GZ270" s="15"/>
      <c r="HA270" s="15"/>
      <c r="HB270" s="15"/>
      <c r="HC270" s="15"/>
      <c r="HD270" s="15"/>
      <c r="HE270" s="15"/>
      <c r="HF270" s="15"/>
      <c r="HG270" s="15"/>
      <c r="HH270" s="15"/>
      <c r="HI270" s="15"/>
      <c r="HJ270" s="15"/>
      <c r="HK270" s="15"/>
      <c r="HL270" s="15"/>
      <c r="HM270" s="15"/>
      <c r="HN270" s="15"/>
      <c r="HO270" s="15"/>
      <c r="IK270" s="13"/>
      <c r="IL270" s="48"/>
      <c r="IM270" s="48"/>
      <c r="JC270" s="13"/>
      <c r="JD270" s="13"/>
    </row>
    <row r="271" spans="17:264" ht="18" customHeight="1" x14ac:dyDescent="0.2">
      <c r="Q271" s="12"/>
      <c r="S271" s="12"/>
      <c r="V271" s="13"/>
      <c r="W271" s="12"/>
      <c r="BM271" s="13"/>
      <c r="BO271" s="13"/>
      <c r="CI271" s="12"/>
      <c r="CJ271" s="12"/>
      <c r="CU271" s="13"/>
      <c r="CV271" s="42"/>
      <c r="CW271" s="43"/>
      <c r="CX271" s="12"/>
      <c r="CY271" s="137"/>
      <c r="CZ271" s="97"/>
      <c r="DA271" s="13"/>
      <c r="DB271" s="140"/>
      <c r="DV271" s="24"/>
      <c r="EQ271" s="13"/>
      <c r="ER271" s="108"/>
      <c r="ES271" s="108"/>
      <c r="ET271" s="12"/>
      <c r="FE271" s="13"/>
      <c r="FF271" s="13"/>
      <c r="GP271" s="42"/>
      <c r="GQ271" s="43"/>
      <c r="GR271" s="12"/>
      <c r="HP271" s="17"/>
      <c r="IK271" s="13"/>
      <c r="IL271" s="43"/>
      <c r="IM271" s="45"/>
      <c r="JC271" s="13"/>
      <c r="JD271" s="13"/>
    </row>
    <row r="272" spans="17:264" ht="18" customHeight="1" x14ac:dyDescent="0.2">
      <c r="Q272" s="12"/>
      <c r="S272" s="12"/>
      <c r="T272" s="128"/>
      <c r="V272" s="13"/>
      <c r="W272" s="12"/>
      <c r="BM272" s="13"/>
      <c r="BO272" s="13"/>
      <c r="CI272" s="12"/>
      <c r="CJ272" s="12"/>
      <c r="CU272" s="13"/>
      <c r="CV272" s="42"/>
      <c r="CW272" s="43"/>
      <c r="CX272" s="12"/>
      <c r="CY272" s="97"/>
      <c r="CZ272" s="97"/>
      <c r="DA272" s="13"/>
      <c r="DB272" s="140"/>
      <c r="DV272" s="24"/>
      <c r="EQ272" s="13"/>
      <c r="ER272" s="108"/>
      <c r="ES272" s="108"/>
      <c r="ET272" s="12"/>
      <c r="FE272" s="13"/>
      <c r="FF272" s="13"/>
      <c r="GP272" s="42"/>
      <c r="GQ272" s="43"/>
      <c r="GR272" s="12"/>
      <c r="HP272" s="18"/>
      <c r="IK272" s="13"/>
      <c r="IL272" s="43"/>
      <c r="IM272" s="45"/>
      <c r="JC272" s="13"/>
      <c r="JD272" s="13"/>
    </row>
    <row r="273" spans="17:264" ht="18" customHeight="1" x14ac:dyDescent="0.2">
      <c r="Q273" s="12"/>
      <c r="S273" s="14"/>
      <c r="T273" s="15"/>
      <c r="U273" s="15"/>
      <c r="V273" s="16"/>
      <c r="W273" s="12"/>
      <c r="BM273" s="13"/>
      <c r="BO273" s="13"/>
      <c r="CI273" s="12"/>
      <c r="CJ273" s="12"/>
      <c r="CU273" s="13"/>
      <c r="CV273" s="42"/>
      <c r="CW273" s="43"/>
      <c r="CX273" s="12"/>
      <c r="CY273" s="128"/>
      <c r="DA273" s="13"/>
      <c r="DB273" s="140"/>
      <c r="DV273" s="24"/>
      <c r="EQ273" s="13"/>
      <c r="ER273" s="126"/>
      <c r="ES273" s="126"/>
      <c r="ET273" s="12"/>
      <c r="FE273" s="13"/>
      <c r="FF273" s="13"/>
      <c r="GP273" s="42"/>
      <c r="GQ273" s="43"/>
      <c r="GR273" s="12"/>
      <c r="HP273" s="18"/>
      <c r="IK273" s="13"/>
      <c r="IL273" s="43"/>
      <c r="IM273" s="45"/>
      <c r="JC273" s="13"/>
      <c r="JD273" s="13"/>
    </row>
    <row r="274" spans="17:264" ht="18" customHeight="1" x14ac:dyDescent="0.2">
      <c r="Q274" s="12"/>
      <c r="S274" s="12"/>
      <c r="W274" s="12"/>
      <c r="BM274" s="13"/>
      <c r="BO274" s="13"/>
      <c r="CI274" s="12"/>
      <c r="CJ274" s="12"/>
      <c r="CU274" s="13"/>
      <c r="CV274" s="42"/>
      <c r="CW274" s="43"/>
      <c r="CX274" s="14"/>
      <c r="CY274" s="15"/>
      <c r="CZ274" s="15"/>
      <c r="DA274" s="16"/>
      <c r="DB274" s="140"/>
      <c r="DV274" s="24"/>
      <c r="EQ274" s="13"/>
      <c r="ER274" s="43"/>
      <c r="ES274" s="45"/>
      <c r="ET274" s="12"/>
      <c r="FE274" s="13"/>
      <c r="FF274" s="13"/>
      <c r="GP274" s="42"/>
      <c r="GQ274" s="43"/>
      <c r="GR274" s="14"/>
      <c r="GS274" s="15"/>
      <c r="GT274" s="15"/>
      <c r="GU274" s="15"/>
      <c r="GV274" s="15"/>
      <c r="GW274" s="15"/>
      <c r="GX274" s="15"/>
      <c r="GY274" s="15"/>
      <c r="GZ274" s="15"/>
      <c r="HA274" s="15"/>
      <c r="HB274" s="15"/>
      <c r="HC274" s="15"/>
      <c r="HD274" s="15"/>
      <c r="HE274" s="15"/>
      <c r="HF274" s="15"/>
      <c r="HG274" s="15"/>
      <c r="HH274" s="15"/>
      <c r="HI274" s="15"/>
      <c r="HJ274" s="15"/>
      <c r="HK274" s="15"/>
      <c r="HL274" s="15"/>
      <c r="HM274" s="15"/>
      <c r="HN274" s="15"/>
      <c r="HO274" s="15"/>
      <c r="HP274" s="19"/>
      <c r="HQ274" s="15"/>
      <c r="HR274" s="15"/>
      <c r="HS274" s="15"/>
      <c r="HT274" s="15"/>
      <c r="HU274" s="15"/>
      <c r="HV274" s="15"/>
      <c r="HW274" s="15"/>
      <c r="HX274" s="15"/>
      <c r="HY274" s="15"/>
      <c r="HZ274" s="15"/>
      <c r="IA274" s="15"/>
      <c r="IB274" s="15"/>
      <c r="IC274" s="15"/>
      <c r="ID274" s="15"/>
      <c r="IE274" s="15"/>
      <c r="IF274" s="15"/>
      <c r="IG274" s="15"/>
      <c r="IH274" s="15"/>
      <c r="II274" s="15"/>
      <c r="IJ274" s="15"/>
      <c r="IK274" s="16"/>
      <c r="IL274" s="43"/>
      <c r="IM274" s="45"/>
      <c r="JC274" s="13"/>
      <c r="JD274" s="13"/>
    </row>
    <row r="275" spans="17:264" ht="18" customHeight="1" x14ac:dyDescent="0.25">
      <c r="Q275" s="12"/>
      <c r="S275" s="12"/>
      <c r="W275" s="132"/>
      <c r="X275" s="99"/>
      <c r="AB275" s="129"/>
      <c r="BM275" s="13"/>
      <c r="BO275" s="13"/>
      <c r="CI275" s="12"/>
      <c r="CJ275" s="12"/>
      <c r="CU275" s="13"/>
      <c r="CV275" s="42"/>
      <c r="CW275" s="43"/>
      <c r="CX275" s="9"/>
      <c r="CY275" s="10"/>
      <c r="CZ275" s="10"/>
      <c r="DA275" s="11"/>
      <c r="DB275" s="10"/>
      <c r="DC275" s="10"/>
      <c r="DD275" s="10"/>
      <c r="DE275" s="10"/>
      <c r="DF275" s="9"/>
      <c r="DG275" s="10"/>
      <c r="DH275" s="10"/>
      <c r="DI275" s="10"/>
      <c r="DJ275" s="133"/>
      <c r="DK275" s="134"/>
      <c r="DL275" s="134"/>
      <c r="DM275" s="135"/>
      <c r="DV275" s="24"/>
      <c r="EQ275" s="13"/>
      <c r="ER275" s="43"/>
      <c r="ES275" s="45"/>
      <c r="ET275" s="12"/>
      <c r="FE275" s="13"/>
      <c r="FF275" s="13"/>
      <c r="GP275" s="42"/>
      <c r="GQ275" s="43"/>
      <c r="GR275" s="43"/>
      <c r="GS275" s="43"/>
      <c r="GT275" s="43"/>
      <c r="GU275" s="43"/>
      <c r="GV275" s="46"/>
      <c r="GW275" s="47"/>
      <c r="GX275" s="47"/>
      <c r="GY275" s="47"/>
      <c r="GZ275" s="48"/>
      <c r="HA275" s="43"/>
      <c r="HB275" s="43"/>
      <c r="HC275" s="43"/>
      <c r="HD275" s="43"/>
      <c r="HE275" s="43"/>
      <c r="HF275" s="43"/>
      <c r="HG275" s="43"/>
      <c r="HH275" s="43"/>
      <c r="HI275" s="43"/>
      <c r="HJ275" s="43"/>
      <c r="HK275" s="43"/>
      <c r="HL275" s="43"/>
      <c r="HM275" s="43"/>
      <c r="HN275" s="43"/>
      <c r="HO275" s="43"/>
      <c r="HP275" s="43"/>
      <c r="HQ275" s="43"/>
      <c r="HR275" s="43"/>
      <c r="HS275" s="43"/>
      <c r="HT275" s="43"/>
      <c r="HU275" s="123"/>
      <c r="HV275" s="109"/>
      <c r="HW275" s="109"/>
      <c r="HX275" s="109"/>
      <c r="HY275" s="109"/>
      <c r="HZ275" s="124"/>
      <c r="IA275" s="43"/>
      <c r="IB275" s="43"/>
      <c r="IC275" s="43"/>
      <c r="ID275" s="43"/>
      <c r="IE275" s="70"/>
      <c r="IF275" s="92"/>
      <c r="IG275" s="92"/>
      <c r="IH275" s="92"/>
      <c r="II275" s="92"/>
      <c r="IJ275" s="71"/>
      <c r="IK275" s="43"/>
      <c r="IL275" s="43"/>
      <c r="IM275" s="45"/>
      <c r="JC275" s="13"/>
      <c r="JD275" s="13"/>
    </row>
    <row r="276" spans="17:264" ht="18" customHeight="1" x14ac:dyDescent="0.25">
      <c r="Q276" s="12"/>
      <c r="S276" s="12"/>
      <c r="W276" s="12"/>
      <c r="BM276" s="13"/>
      <c r="BO276" s="13"/>
      <c r="CI276" s="12"/>
      <c r="CJ276" s="12"/>
      <c r="CU276" s="13"/>
      <c r="CV276" s="42"/>
      <c r="CW276" s="43"/>
      <c r="CX276" s="12"/>
      <c r="DA276" s="13"/>
      <c r="DB276" s="128"/>
      <c r="DC276" s="99"/>
      <c r="DF276" s="12"/>
      <c r="DG276" s="129"/>
      <c r="DJ276" s="86"/>
      <c r="DK276" s="136"/>
      <c r="DL276" s="87"/>
      <c r="DM276" s="88"/>
      <c r="DN276" s="9"/>
      <c r="DO276" s="10"/>
      <c r="DP276" s="11"/>
      <c r="DV276" s="24"/>
      <c r="EQ276" s="13"/>
      <c r="ER276" s="43"/>
      <c r="ES276" s="45"/>
      <c r="ET276" s="12"/>
      <c r="FE276" s="13"/>
      <c r="FF276" s="13"/>
      <c r="GP276" s="46"/>
      <c r="GQ276" s="47"/>
      <c r="GR276" s="47"/>
      <c r="GS276" s="47"/>
      <c r="GT276" s="47"/>
      <c r="GU276" s="47"/>
      <c r="GV276" s="46"/>
      <c r="GW276" s="47"/>
      <c r="GX276" s="47"/>
      <c r="GY276" s="47"/>
      <c r="GZ276" s="48"/>
      <c r="HA276" s="47"/>
      <c r="HB276" s="47"/>
      <c r="HC276" s="47"/>
      <c r="HD276" s="47"/>
      <c r="HE276" s="47"/>
      <c r="HF276" s="47"/>
      <c r="HG276" s="47"/>
      <c r="HH276" s="47"/>
      <c r="HI276" s="47"/>
      <c r="HJ276" s="47"/>
      <c r="HK276" s="47"/>
      <c r="HL276" s="47"/>
      <c r="HM276" s="47"/>
      <c r="HN276" s="47"/>
      <c r="HO276" s="47"/>
      <c r="HP276" s="47"/>
      <c r="HQ276" s="47"/>
      <c r="HR276" s="47"/>
      <c r="HS276" s="47"/>
      <c r="HT276" s="47"/>
      <c r="HU276" s="46"/>
      <c r="HV276" s="47"/>
      <c r="HW276" s="47"/>
      <c r="HX276" s="47"/>
      <c r="HY276" s="47"/>
      <c r="HZ276" s="48"/>
      <c r="IA276" s="47"/>
      <c r="IB276" s="47"/>
      <c r="IC276" s="47"/>
      <c r="ID276" s="47"/>
      <c r="IE276" s="72"/>
      <c r="IF276" s="100"/>
      <c r="IG276" s="100"/>
      <c r="IH276" s="100"/>
      <c r="II276" s="100"/>
      <c r="IJ276" s="73"/>
      <c r="IK276" s="47"/>
      <c r="IL276" s="47"/>
      <c r="IM276" s="48"/>
      <c r="JC276" s="13"/>
      <c r="JD276" s="13"/>
    </row>
    <row r="277" spans="17:264" ht="18" customHeight="1" x14ac:dyDescent="0.2">
      <c r="Q277" s="12"/>
      <c r="S277" s="14"/>
      <c r="T277" s="15"/>
      <c r="U277" s="15"/>
      <c r="V277" s="15"/>
      <c r="W277" s="14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6"/>
      <c r="BO277" s="13"/>
      <c r="CI277" s="12"/>
      <c r="CJ277" s="12"/>
      <c r="CU277" s="13"/>
      <c r="CV277" s="42"/>
      <c r="CW277" s="43"/>
      <c r="CX277" s="12"/>
      <c r="DA277" s="13"/>
      <c r="DF277" s="12"/>
      <c r="DJ277" s="86"/>
      <c r="DK277" s="87"/>
      <c r="DL277" s="87"/>
      <c r="DM277" s="88"/>
      <c r="DN277" s="12"/>
      <c r="DO277" s="131"/>
      <c r="DP277" s="13"/>
      <c r="DV277" s="24"/>
      <c r="EQ277" s="13"/>
      <c r="ER277" s="43"/>
      <c r="ES277" s="45"/>
      <c r="ET277" s="12"/>
      <c r="FE277" s="13"/>
      <c r="FF277" s="13"/>
      <c r="HD277" s="10"/>
      <c r="HE277" s="9"/>
      <c r="HF277" s="9"/>
      <c r="HG277" s="10"/>
      <c r="HH277" s="10"/>
      <c r="HI277" s="10"/>
      <c r="HJ277" s="10"/>
      <c r="HK277" s="10"/>
      <c r="HL277" s="10"/>
      <c r="JC277" s="13"/>
      <c r="JD277" s="13"/>
    </row>
    <row r="278" spans="17:264" ht="18" customHeight="1" x14ac:dyDescent="0.2">
      <c r="Q278" s="12"/>
      <c r="AL278" s="10"/>
      <c r="AM278" s="10"/>
      <c r="AN278" s="10"/>
      <c r="AO278" s="10"/>
      <c r="AP278" s="10"/>
      <c r="AQ278" s="10"/>
      <c r="AR278" s="10"/>
      <c r="BO278" s="13"/>
      <c r="CI278" s="12"/>
      <c r="CJ278" s="12"/>
      <c r="CU278" s="13"/>
      <c r="CV278" s="42"/>
      <c r="CW278" s="43"/>
      <c r="CX278" s="14"/>
      <c r="CY278" s="15"/>
      <c r="CZ278" s="15"/>
      <c r="DA278" s="16"/>
      <c r="DF278" s="14"/>
      <c r="DG278" s="15"/>
      <c r="DH278" s="15"/>
      <c r="DJ278" s="76"/>
      <c r="DK278" s="89"/>
      <c r="DL278" s="89"/>
      <c r="DM278" s="77"/>
      <c r="DN278" s="14"/>
      <c r="DO278" s="15"/>
      <c r="DP278" s="16"/>
      <c r="DQ278" s="15"/>
      <c r="DR278" s="15"/>
      <c r="DS278" s="15"/>
      <c r="DT278" s="15"/>
      <c r="DU278" s="15"/>
      <c r="DV278" s="25"/>
      <c r="DW278" s="15"/>
      <c r="DX278" s="15"/>
      <c r="DY278" s="15"/>
      <c r="DZ278" s="15"/>
      <c r="EG278" s="15"/>
      <c r="EH278" s="15"/>
      <c r="EI278" s="15"/>
      <c r="EJ278" s="15"/>
      <c r="EK278" s="15"/>
      <c r="EL278" s="15"/>
      <c r="EM278" s="15"/>
      <c r="EN278" s="15"/>
      <c r="EO278" s="15"/>
      <c r="EP278" s="15"/>
      <c r="EQ278" s="16"/>
      <c r="ER278" s="43"/>
      <c r="ES278" s="45"/>
      <c r="ET278" s="12"/>
      <c r="FE278" s="13"/>
      <c r="FF278" s="13"/>
      <c r="HE278" s="12"/>
      <c r="HF278" s="12"/>
      <c r="JC278" s="13"/>
      <c r="JD278" s="13"/>
    </row>
    <row r="279" spans="17:264" ht="18" customHeight="1" x14ac:dyDescent="0.2">
      <c r="Q279" s="14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6"/>
      <c r="CI279" s="12"/>
      <c r="CJ279" s="12"/>
      <c r="CU279" s="13"/>
      <c r="CV279" s="42"/>
      <c r="CW279" s="43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3"/>
      <c r="DW279" s="41"/>
      <c r="DX279" s="41"/>
      <c r="DY279" s="41"/>
      <c r="DZ279" s="41"/>
      <c r="EA279" s="41"/>
      <c r="EB279" s="41"/>
      <c r="EC279" s="41"/>
      <c r="ED279" s="41"/>
      <c r="EE279" s="41"/>
      <c r="EF279" s="41"/>
      <c r="EG279" s="41"/>
      <c r="EH279" s="43"/>
      <c r="EI279" s="43"/>
      <c r="EJ279" s="43"/>
      <c r="EK279" s="70"/>
      <c r="EL279" s="92"/>
      <c r="EM279" s="92"/>
      <c r="EN279" s="92"/>
      <c r="EO279" s="92"/>
      <c r="EP279" s="71"/>
      <c r="EQ279" s="43"/>
      <c r="ER279" s="43"/>
      <c r="ES279" s="45"/>
      <c r="ET279" s="12"/>
      <c r="FE279" s="13"/>
      <c r="FF279" s="13"/>
      <c r="HE279" s="12"/>
      <c r="HF279" s="12"/>
      <c r="JC279" s="13"/>
      <c r="JD279" s="13"/>
    </row>
    <row r="280" spans="17:264" ht="18" customHeight="1" x14ac:dyDescent="0.2">
      <c r="Q280" s="12"/>
      <c r="R280" s="12"/>
      <c r="BN280" s="13"/>
      <c r="BO280" s="13"/>
      <c r="CI280" s="12"/>
      <c r="CJ280" s="12"/>
      <c r="CU280" s="13"/>
      <c r="CV280" s="42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  <c r="EA280" s="43"/>
      <c r="EB280" s="43"/>
      <c r="EC280" s="43"/>
      <c r="ED280" s="43"/>
      <c r="EE280" s="43"/>
      <c r="EF280" s="43"/>
      <c r="EG280" s="43"/>
      <c r="EH280" s="43"/>
      <c r="EI280" s="43"/>
      <c r="EJ280" s="43"/>
      <c r="EK280" s="107"/>
      <c r="EL280" s="127"/>
      <c r="EM280" s="127"/>
      <c r="EN280" s="127"/>
      <c r="EO280" s="127"/>
      <c r="EP280" s="90"/>
      <c r="EQ280" s="43"/>
      <c r="ER280" s="43"/>
      <c r="ES280" s="45"/>
      <c r="ET280" s="12"/>
      <c r="FE280" s="13"/>
      <c r="FF280" s="13"/>
      <c r="HE280" s="12"/>
      <c r="HF280" s="12"/>
      <c r="JC280" s="13"/>
      <c r="JD280" s="13"/>
    </row>
    <row r="281" spans="17:264" ht="18" customHeight="1" x14ac:dyDescent="0.2">
      <c r="Q281" s="12"/>
      <c r="R281" s="12"/>
      <c r="BN281" s="13"/>
      <c r="BO281" s="13"/>
      <c r="CI281" s="12"/>
      <c r="CJ281" s="12"/>
      <c r="CV281" s="10"/>
      <c r="CW281" s="10"/>
      <c r="CX281" s="10"/>
      <c r="CY281" s="10"/>
      <c r="CZ281" s="10"/>
      <c r="DA281" s="10"/>
      <c r="DB281" s="10"/>
      <c r="DC281" s="10"/>
      <c r="DD281" s="10"/>
      <c r="DE281" s="10"/>
      <c r="DF281" s="10"/>
      <c r="DG281" s="10"/>
      <c r="DH281" s="10"/>
      <c r="DI281" s="10"/>
      <c r="DJ281" s="10"/>
      <c r="DK281" s="10"/>
      <c r="DL281" s="10"/>
      <c r="DM281" s="10"/>
      <c r="DN281" s="10"/>
      <c r="DO281" s="10"/>
      <c r="DP281" s="10"/>
      <c r="DQ281" s="10"/>
      <c r="DR281" s="10"/>
      <c r="DS281" s="10"/>
      <c r="DT281" s="10"/>
      <c r="DU281" s="10"/>
      <c r="DV281" s="10"/>
      <c r="DW281" s="10"/>
      <c r="DX281" s="10"/>
      <c r="DY281" s="10"/>
      <c r="DZ281" s="10"/>
      <c r="EA281" s="10"/>
      <c r="EB281" s="10"/>
      <c r="EC281" s="10"/>
      <c r="ED281" s="10"/>
      <c r="EE281" s="10"/>
      <c r="EF281" s="10"/>
      <c r="EG281" s="10"/>
      <c r="EH281" s="10"/>
      <c r="EI281" s="10"/>
      <c r="EJ281" s="10"/>
      <c r="EK281" s="10"/>
      <c r="EL281" s="10"/>
      <c r="EM281" s="10"/>
      <c r="EN281" s="10"/>
      <c r="EO281" s="10"/>
      <c r="EP281" s="10"/>
      <c r="EQ281" s="10"/>
      <c r="ER281" s="10"/>
      <c r="ES281" s="10"/>
      <c r="FE281" s="13"/>
      <c r="FF281" s="13"/>
      <c r="HE281" s="12"/>
      <c r="HF281" s="12"/>
      <c r="JC281" s="13"/>
      <c r="JD281" s="13"/>
    </row>
    <row r="282" spans="17:264" ht="18" customHeight="1" x14ac:dyDescent="0.2">
      <c r="Q282" s="12"/>
      <c r="R282" s="12"/>
      <c r="BN282" s="13"/>
      <c r="BO282" s="13"/>
      <c r="CI282" s="12"/>
      <c r="CJ282" s="12"/>
      <c r="FE282" s="13"/>
      <c r="FF282" s="13"/>
      <c r="HE282" s="12"/>
      <c r="HF282" s="12"/>
      <c r="JC282" s="13"/>
      <c r="JD282" s="13"/>
    </row>
    <row r="283" spans="17:264" ht="18" customHeight="1" x14ac:dyDescent="0.2">
      <c r="Q283" s="12"/>
      <c r="R283" s="12"/>
      <c r="BN283" s="13"/>
      <c r="BO283" s="16"/>
      <c r="CI283" s="12"/>
      <c r="CJ283" s="12"/>
      <c r="FE283" s="13"/>
      <c r="FF283" s="13"/>
      <c r="HE283" s="12"/>
      <c r="HF283" s="12"/>
      <c r="JC283" s="13"/>
      <c r="JD283" s="13"/>
    </row>
    <row r="284" spans="17:264" ht="18" customHeight="1" x14ac:dyDescent="0.2">
      <c r="Q284" s="12"/>
      <c r="R284" s="12"/>
      <c r="BO284" s="10"/>
      <c r="BP284" s="9"/>
      <c r="BQ284" s="11"/>
      <c r="BR284" s="9"/>
      <c r="BS284" s="11"/>
      <c r="CI284" s="12"/>
      <c r="CJ284" s="12"/>
      <c r="FE284" s="13"/>
      <c r="FF284" s="13"/>
      <c r="HE284" s="12"/>
      <c r="HF284" s="12"/>
      <c r="JC284" s="13"/>
      <c r="JD284" s="13"/>
    </row>
    <row r="285" spans="17:264" ht="18" customHeight="1" x14ac:dyDescent="0.2">
      <c r="Q285" s="12"/>
      <c r="R285" s="12"/>
      <c r="BP285" s="12"/>
      <c r="BQ285" s="13"/>
      <c r="BR285" s="12"/>
      <c r="BS285" s="13"/>
      <c r="CI285" s="12"/>
      <c r="CJ285" s="12"/>
      <c r="FE285" s="13"/>
      <c r="FF285" s="13"/>
      <c r="HE285" s="12"/>
      <c r="HF285" s="12"/>
      <c r="JC285" s="13"/>
      <c r="JD285" s="13"/>
    </row>
    <row r="286" spans="17:264" ht="18" customHeight="1" x14ac:dyDescent="0.2">
      <c r="Q286" s="12"/>
      <c r="R286" s="12"/>
      <c r="BP286" s="12"/>
      <c r="BQ286" s="13"/>
      <c r="BR286" s="12"/>
      <c r="BS286" s="13"/>
      <c r="CI286" s="12"/>
      <c r="CJ286" s="12"/>
      <c r="FE286" s="13"/>
      <c r="FF286" s="13"/>
      <c r="HE286" s="12"/>
      <c r="HF286" s="12"/>
      <c r="JC286" s="13"/>
      <c r="JD286" s="13"/>
    </row>
    <row r="287" spans="17:264" ht="18" customHeight="1" x14ac:dyDescent="0.2">
      <c r="Q287" s="12"/>
      <c r="R287" s="12"/>
      <c r="BP287" s="12"/>
      <c r="BQ287" s="13"/>
      <c r="BR287" s="12"/>
      <c r="BS287" s="13"/>
      <c r="CI287" s="12"/>
      <c r="CJ287" s="12"/>
      <c r="FE287" s="13"/>
      <c r="FF287" s="13"/>
      <c r="HE287" s="12"/>
      <c r="HF287" s="12"/>
      <c r="JC287" s="13"/>
      <c r="JD287" s="13"/>
    </row>
    <row r="288" spans="17:264" ht="18" customHeight="1" x14ac:dyDescent="0.2">
      <c r="Q288" s="12"/>
      <c r="R288" s="12"/>
      <c r="BP288" s="12"/>
      <c r="BQ288" s="13"/>
      <c r="BR288" s="12"/>
      <c r="BS288" s="13"/>
      <c r="CI288" s="12"/>
      <c r="CJ288" s="12"/>
      <c r="FE288" s="13"/>
      <c r="FF288" s="13"/>
      <c r="HE288" s="12"/>
      <c r="HF288" s="12"/>
      <c r="JC288" s="13"/>
      <c r="JD288" s="13"/>
    </row>
    <row r="289" spans="17:265" ht="18" customHeight="1" x14ac:dyDescent="0.2">
      <c r="Q289" s="12"/>
      <c r="R289" s="12"/>
      <c r="BP289" s="12"/>
      <c r="BQ289" s="13"/>
      <c r="BR289" s="12"/>
      <c r="BS289" s="13"/>
      <c r="CI289" s="12"/>
      <c r="CJ289" s="12"/>
      <c r="FE289" s="13"/>
      <c r="FF289" s="13"/>
      <c r="HE289" s="12"/>
      <c r="HF289" s="12"/>
      <c r="JC289" s="13"/>
      <c r="JD289" s="13"/>
    </row>
    <row r="290" spans="17:265" ht="18" customHeight="1" x14ac:dyDescent="0.2">
      <c r="Q290" s="12"/>
      <c r="R290" s="12"/>
      <c r="BP290" s="12"/>
      <c r="BQ290" s="13"/>
      <c r="BR290" s="12"/>
      <c r="BS290" s="13"/>
      <c r="CI290" s="12"/>
      <c r="CJ290" s="12"/>
      <c r="FE290" s="13"/>
      <c r="FF290" s="13"/>
      <c r="HE290" s="12"/>
      <c r="HF290" s="12"/>
      <c r="JC290" s="13"/>
      <c r="JD290" s="13"/>
    </row>
    <row r="291" spans="17:265" ht="18" customHeight="1" x14ac:dyDescent="0.2">
      <c r="Q291" s="12"/>
      <c r="R291" s="12"/>
      <c r="BO291" s="15"/>
      <c r="BP291" s="14"/>
      <c r="BQ291" s="16"/>
      <c r="BR291" s="14"/>
      <c r="BS291" s="16"/>
      <c r="CI291" s="12"/>
      <c r="CJ291" s="12"/>
      <c r="FE291" s="13"/>
      <c r="FF291" s="13"/>
      <c r="HE291" s="12"/>
      <c r="HF291" s="12"/>
      <c r="JC291" s="13"/>
      <c r="JD291" s="13"/>
    </row>
    <row r="292" spans="17:265" ht="18" customHeight="1" x14ac:dyDescent="0.2">
      <c r="Q292" s="12"/>
      <c r="R292" s="12"/>
      <c r="BN292" s="13"/>
      <c r="BO292" s="13"/>
      <c r="CI292" s="12"/>
      <c r="CJ292" s="12"/>
      <c r="FE292" s="13"/>
      <c r="FF292" s="13"/>
      <c r="HE292" s="12"/>
      <c r="HF292" s="14"/>
      <c r="HG292" s="15"/>
      <c r="HH292" s="15"/>
      <c r="HI292" s="15"/>
      <c r="HJ292" s="15"/>
      <c r="HK292" s="15"/>
      <c r="HL292" s="15"/>
      <c r="HM292" s="15"/>
      <c r="HN292" s="15"/>
      <c r="HO292" s="15"/>
      <c r="HP292" s="15"/>
      <c r="HQ292" s="15"/>
      <c r="HR292" s="15"/>
      <c r="HS292" s="15"/>
      <c r="HT292" s="15"/>
      <c r="HU292" s="15"/>
      <c r="HV292" s="15"/>
      <c r="HW292" s="15"/>
      <c r="HX292" s="15"/>
      <c r="HY292" s="15"/>
      <c r="HZ292" s="15"/>
      <c r="IA292" s="15"/>
      <c r="IB292" s="15"/>
      <c r="IC292" s="15"/>
      <c r="ID292" s="15"/>
      <c r="IE292" s="15"/>
      <c r="IF292" s="15"/>
      <c r="IG292" s="15"/>
      <c r="IH292" s="15"/>
      <c r="II292" s="15"/>
      <c r="IJ292" s="15"/>
      <c r="IK292" s="15"/>
      <c r="IL292" s="15"/>
      <c r="IM292" s="15"/>
      <c r="IN292" s="15"/>
      <c r="IO292" s="15"/>
      <c r="IP292" s="15"/>
      <c r="IQ292" s="15"/>
      <c r="IR292" s="15"/>
      <c r="IS292" s="15"/>
      <c r="IT292" s="15"/>
      <c r="IU292" s="15"/>
      <c r="IV292" s="15"/>
      <c r="IW292" s="15"/>
      <c r="IX292" s="15"/>
      <c r="IY292" s="15"/>
      <c r="IZ292" s="15"/>
      <c r="JA292" s="15"/>
      <c r="JB292" s="15"/>
      <c r="JC292" s="16"/>
      <c r="JD292" s="13"/>
    </row>
    <row r="293" spans="17:265" ht="18" customHeight="1" x14ac:dyDescent="0.2">
      <c r="Q293" s="12"/>
      <c r="R293" s="12"/>
      <c r="BN293" s="13"/>
      <c r="BO293" s="13"/>
      <c r="CI293" s="12"/>
      <c r="CJ293" s="12"/>
      <c r="FE293" s="13"/>
      <c r="FF293" s="13"/>
      <c r="HE293" s="14"/>
      <c r="HF293" s="15"/>
      <c r="HG293" s="15"/>
      <c r="HH293" s="15"/>
      <c r="HI293" s="15"/>
      <c r="HJ293" s="15"/>
      <c r="HK293" s="15"/>
      <c r="HL293" s="15"/>
      <c r="HM293" s="15"/>
      <c r="HN293" s="15"/>
      <c r="HO293" s="15"/>
      <c r="HP293" s="15"/>
      <c r="HQ293" s="15"/>
      <c r="HR293" s="15"/>
      <c r="HS293" s="15"/>
      <c r="HT293" s="15"/>
      <c r="HU293" s="15"/>
      <c r="HV293" s="15"/>
      <c r="HW293" s="15"/>
      <c r="HX293" s="15"/>
      <c r="HY293" s="15"/>
      <c r="HZ293" s="15"/>
      <c r="IA293" s="15"/>
      <c r="IB293" s="15"/>
      <c r="IC293" s="15"/>
      <c r="ID293" s="15"/>
      <c r="IE293" s="15"/>
      <c r="IF293" s="15"/>
      <c r="IG293" s="15"/>
      <c r="IH293" s="15"/>
      <c r="II293" s="15"/>
      <c r="IJ293" s="15"/>
      <c r="IK293" s="15"/>
      <c r="IL293" s="15"/>
      <c r="IM293" s="15"/>
      <c r="IN293" s="15"/>
      <c r="IO293" s="15"/>
      <c r="IP293" s="15"/>
      <c r="IQ293" s="15"/>
      <c r="IR293" s="15"/>
      <c r="IS293" s="15"/>
      <c r="IT293" s="15"/>
      <c r="IU293" s="15"/>
      <c r="IV293" s="15"/>
      <c r="IW293" s="15"/>
      <c r="IX293" s="15"/>
      <c r="IY293" s="15"/>
      <c r="IZ293" s="15"/>
      <c r="JA293" s="15"/>
      <c r="JB293" s="15"/>
      <c r="JC293" s="15"/>
      <c r="JD293" s="16"/>
    </row>
    <row r="294" spans="17:265" ht="18" customHeight="1" x14ac:dyDescent="0.2">
      <c r="Q294" s="12"/>
      <c r="R294" s="12"/>
      <c r="BN294" s="13"/>
      <c r="BO294" s="13"/>
      <c r="CI294" s="12"/>
      <c r="CJ294" s="12"/>
      <c r="FE294" s="13"/>
      <c r="FF294" s="13"/>
    </row>
    <row r="295" spans="17:265" ht="18" customHeight="1" x14ac:dyDescent="0.2">
      <c r="Q295" s="12"/>
      <c r="R295" s="14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  <c r="BM295" s="15"/>
      <c r="BN295" s="16"/>
      <c r="BO295" s="13"/>
      <c r="CI295" s="12"/>
      <c r="CJ295" s="12"/>
      <c r="FE295" s="13"/>
      <c r="FF295" s="13"/>
    </row>
    <row r="296" spans="17:265" ht="18" customHeight="1" x14ac:dyDescent="0.2">
      <c r="Q296" s="14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6"/>
      <c r="CI296" s="12"/>
      <c r="CJ296" s="14"/>
      <c r="CK296" s="15"/>
      <c r="CL296" s="15"/>
      <c r="CM296" s="15"/>
      <c r="CN296" s="15"/>
      <c r="CO296" s="15"/>
      <c r="CP296" s="15"/>
      <c r="CQ296" s="15"/>
      <c r="CR296" s="15"/>
      <c r="CS296" s="15"/>
      <c r="CT296" s="15"/>
      <c r="CU296" s="15"/>
      <c r="CV296" s="15"/>
      <c r="CW296" s="15"/>
      <c r="CX296" s="15"/>
      <c r="CY296" s="15"/>
      <c r="CZ296" s="15"/>
      <c r="DA296" s="15"/>
      <c r="DB296" s="15"/>
      <c r="DC296" s="15"/>
      <c r="DD296" s="15"/>
      <c r="DE296" s="15"/>
      <c r="DF296" s="15"/>
      <c r="DG296" s="15"/>
      <c r="DH296" s="15"/>
      <c r="DI296" s="15"/>
      <c r="DJ296" s="15"/>
      <c r="DK296" s="15"/>
      <c r="DL296" s="15"/>
      <c r="DM296" s="15"/>
      <c r="DN296" s="15"/>
      <c r="DO296" s="15"/>
      <c r="DP296" s="15"/>
      <c r="DQ296" s="15"/>
      <c r="DR296" s="15"/>
      <c r="DS296" s="15"/>
      <c r="DT296" s="15"/>
      <c r="DU296" s="15"/>
      <c r="DV296" s="15"/>
      <c r="DW296" s="15"/>
      <c r="DX296" s="15"/>
      <c r="DY296" s="15"/>
      <c r="DZ296" s="15"/>
      <c r="EA296" s="15"/>
      <c r="EB296" s="15"/>
      <c r="EC296" s="15"/>
      <c r="ED296" s="15"/>
      <c r="EE296" s="15"/>
      <c r="EF296" s="15"/>
      <c r="EG296" s="15"/>
      <c r="EH296" s="15"/>
      <c r="EI296" s="15"/>
      <c r="EJ296" s="15"/>
      <c r="EK296" s="15"/>
      <c r="EL296" s="15"/>
      <c r="EM296" s="15"/>
      <c r="EN296" s="15"/>
      <c r="EO296" s="15"/>
      <c r="EP296" s="15"/>
      <c r="EQ296" s="15"/>
      <c r="ER296" s="15"/>
      <c r="ES296" s="15"/>
      <c r="ET296" s="15"/>
      <c r="EU296" s="15"/>
      <c r="EV296" s="15"/>
      <c r="EW296" s="15"/>
      <c r="EX296" s="15"/>
      <c r="EY296" s="15"/>
      <c r="EZ296" s="15"/>
      <c r="FA296" s="15"/>
      <c r="FB296" s="15"/>
      <c r="FC296" s="15"/>
      <c r="FD296" s="15"/>
      <c r="FE296" s="16"/>
      <c r="FF296" s="13"/>
    </row>
    <row r="297" spans="17:265" ht="18" customHeight="1" x14ac:dyDescent="0.2">
      <c r="CI297" s="14"/>
      <c r="CJ297" s="15"/>
      <c r="CK297" s="15"/>
      <c r="CL297" s="15"/>
      <c r="CM297" s="15"/>
      <c r="CN297" s="15"/>
      <c r="CO297" s="15"/>
      <c r="CP297" s="15"/>
      <c r="CQ297" s="15"/>
      <c r="CR297" s="15"/>
      <c r="CS297" s="15"/>
      <c r="CT297" s="15"/>
      <c r="CU297" s="15"/>
      <c r="CV297" s="15"/>
      <c r="CW297" s="15"/>
      <c r="CX297" s="15"/>
      <c r="CY297" s="15"/>
      <c r="CZ297" s="15"/>
      <c r="DA297" s="15"/>
      <c r="DB297" s="15"/>
      <c r="DC297" s="15"/>
      <c r="DD297" s="15"/>
      <c r="DE297" s="15"/>
      <c r="DF297" s="15"/>
      <c r="DG297" s="15"/>
      <c r="DH297" s="15"/>
      <c r="DI297" s="15"/>
      <c r="DJ297" s="15"/>
      <c r="DK297" s="15"/>
      <c r="DL297" s="15"/>
      <c r="DM297" s="15"/>
      <c r="DN297" s="15"/>
      <c r="DO297" s="15"/>
      <c r="DP297" s="15"/>
      <c r="DQ297" s="15"/>
      <c r="DR297" s="15"/>
      <c r="DS297" s="15"/>
      <c r="DT297" s="15"/>
      <c r="DU297" s="15"/>
      <c r="DV297" s="15"/>
      <c r="DW297" s="15"/>
      <c r="DX297" s="15"/>
      <c r="DY297" s="15"/>
      <c r="DZ297" s="15"/>
      <c r="EA297" s="15"/>
      <c r="EB297" s="15"/>
      <c r="EC297" s="15"/>
      <c r="ED297" s="15"/>
      <c r="EE297" s="15"/>
      <c r="EF297" s="15"/>
      <c r="EG297" s="15"/>
      <c r="EH297" s="15"/>
      <c r="EI297" s="15"/>
      <c r="EJ297" s="15"/>
      <c r="EK297" s="15"/>
      <c r="EL297" s="15"/>
      <c r="EM297" s="15"/>
      <c r="EN297" s="15"/>
      <c r="EO297" s="15"/>
      <c r="EP297" s="15"/>
      <c r="EQ297" s="15"/>
      <c r="ER297" s="15"/>
      <c r="ES297" s="15"/>
      <c r="ET297" s="15"/>
      <c r="EU297" s="15"/>
      <c r="EV297" s="15"/>
      <c r="EW297" s="15"/>
      <c r="EX297" s="15"/>
      <c r="EY297" s="15"/>
      <c r="EZ297" s="15"/>
      <c r="FA297" s="15"/>
      <c r="FB297" s="15"/>
      <c r="FC297" s="15"/>
      <c r="FD297" s="15"/>
      <c r="FE297" s="15"/>
      <c r="FF297" s="16"/>
    </row>
    <row r="300" spans="17:265" ht="18" customHeight="1" thickBot="1" x14ac:dyDescent="0.25"/>
    <row r="301" spans="17:265" ht="18" customHeight="1" x14ac:dyDescent="0.2">
      <c r="EP301" s="1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3"/>
    </row>
    <row r="302" spans="17:265" ht="18" customHeight="1" x14ac:dyDescent="0.2">
      <c r="EP302" s="4"/>
      <c r="JE302" s="5"/>
    </row>
    <row r="303" spans="17:265" ht="18" customHeight="1" x14ac:dyDescent="0.2">
      <c r="EP303" s="4"/>
      <c r="JE303" s="5"/>
    </row>
    <row r="304" spans="17:265" ht="18" customHeight="1" x14ac:dyDescent="0.2">
      <c r="EP304" s="4"/>
      <c r="JE304" s="5"/>
    </row>
    <row r="305" spans="31:265" ht="18" customHeight="1" x14ac:dyDescent="0.2">
      <c r="EP305" s="4"/>
      <c r="JE305" s="5"/>
    </row>
    <row r="306" spans="31:265" ht="18" customHeight="1" x14ac:dyDescent="0.2">
      <c r="EP306" s="4"/>
      <c r="JE306" s="5"/>
    </row>
    <row r="307" spans="31:265" ht="18" customHeight="1" x14ac:dyDescent="0.2">
      <c r="EP307" s="4"/>
      <c r="JE307" s="5"/>
    </row>
    <row r="308" spans="31:265" ht="18" customHeight="1" x14ac:dyDescent="0.2">
      <c r="EP308" s="4"/>
      <c r="JE308" s="5"/>
    </row>
    <row r="309" spans="31:265" ht="18" customHeight="1" x14ac:dyDescent="0.2">
      <c r="EP309" s="4"/>
      <c r="JE309" s="5"/>
    </row>
    <row r="310" spans="31:265" ht="18" customHeight="1" x14ac:dyDescent="0.2">
      <c r="EP310" s="4"/>
      <c r="JE310" s="5"/>
    </row>
    <row r="311" spans="31:265" ht="18" customHeight="1" x14ac:dyDescent="0.2">
      <c r="EP311" s="4"/>
      <c r="JE311" s="5"/>
    </row>
    <row r="312" spans="31:265" ht="18" customHeight="1" x14ac:dyDescent="0.2">
      <c r="EP312" s="4"/>
      <c r="JE312" s="5"/>
    </row>
    <row r="313" spans="31:265" ht="18" customHeight="1" x14ac:dyDescent="0.2">
      <c r="EP313" s="4"/>
      <c r="JE313" s="5"/>
    </row>
    <row r="314" spans="31:265" ht="18" customHeight="1" x14ac:dyDescent="0.2">
      <c r="EP314" s="4"/>
      <c r="GP314" s="15"/>
      <c r="GQ314" s="15"/>
      <c r="GR314" s="15"/>
      <c r="GS314" s="15"/>
      <c r="GT314" s="15"/>
      <c r="GU314" s="15"/>
      <c r="GV314" s="15"/>
      <c r="GW314" s="15"/>
      <c r="JE314" s="5"/>
    </row>
    <row r="315" spans="31:265" ht="18" customHeight="1" x14ac:dyDescent="0.2">
      <c r="EP315" s="4"/>
      <c r="FC315" s="9"/>
      <c r="FD315" s="10"/>
      <c r="FE315" s="10"/>
      <c r="FF315" s="10"/>
      <c r="FG315" s="10"/>
      <c r="FH315" s="10"/>
      <c r="FI315" s="10"/>
      <c r="FJ315" s="10"/>
      <c r="FK315" s="10"/>
      <c r="FL315" s="10"/>
      <c r="FM315" s="10"/>
      <c r="FN315" s="10"/>
      <c r="FO315" s="10"/>
      <c r="FP315" s="10"/>
      <c r="FQ315" s="10"/>
      <c r="FR315" s="10"/>
      <c r="FS315" s="10"/>
      <c r="FT315" s="11"/>
      <c r="FU315" s="20"/>
      <c r="FV315" s="21"/>
      <c r="FW315" s="21"/>
      <c r="FX315" s="21"/>
      <c r="FY315" s="21"/>
      <c r="FZ315" s="22"/>
      <c r="GA315" s="9"/>
      <c r="GB315" s="10"/>
      <c r="GC315" s="10"/>
      <c r="GD315" s="10"/>
      <c r="GE315" s="10"/>
      <c r="GF315" s="10"/>
      <c r="GG315" s="10"/>
      <c r="GH315" s="10"/>
      <c r="GI315" s="10"/>
      <c r="GJ315" s="10"/>
      <c r="GK315" s="10"/>
      <c r="GL315" s="10"/>
      <c r="GM315" s="10"/>
      <c r="GN315" s="10"/>
      <c r="GO315" s="10"/>
      <c r="GW315" s="11"/>
      <c r="JE315" s="5"/>
    </row>
    <row r="316" spans="31:265" ht="18" customHeight="1" x14ac:dyDescent="0.2">
      <c r="AE316" s="40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4"/>
      <c r="EP316" s="4"/>
      <c r="FC316" s="12"/>
      <c r="FT316" s="15"/>
      <c r="FU316" s="20"/>
      <c r="FV316" s="21"/>
      <c r="FW316" s="21"/>
      <c r="FX316" s="21"/>
      <c r="FY316" s="21"/>
      <c r="FZ316" s="22"/>
      <c r="GP316" s="15"/>
      <c r="GQ316" s="15"/>
      <c r="GR316" s="15"/>
      <c r="GW316" s="13"/>
      <c r="JE316" s="5"/>
    </row>
    <row r="317" spans="31:265" ht="18" customHeight="1" x14ac:dyDescent="0.2">
      <c r="AE317" s="42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5"/>
      <c r="EP317" s="4"/>
      <c r="FC317" s="12"/>
      <c r="FE317" s="9"/>
      <c r="FF317" s="10"/>
      <c r="FG317" s="10"/>
      <c r="FH317" s="10"/>
      <c r="FI317" s="10"/>
      <c r="FJ317" s="10"/>
      <c r="FK317" s="10"/>
      <c r="FL317" s="10"/>
      <c r="FM317" s="11"/>
      <c r="FN317" s="10"/>
      <c r="FO317" s="10"/>
      <c r="FP317" s="10"/>
      <c r="FQ317" s="10"/>
      <c r="FR317" s="10"/>
      <c r="FS317" s="10"/>
      <c r="FT317" s="10"/>
      <c r="FU317" s="10"/>
      <c r="FV317" s="10"/>
      <c r="FW317" s="10"/>
      <c r="FX317" s="10"/>
      <c r="FY317" s="10"/>
      <c r="FZ317" s="10"/>
      <c r="GA317" s="10"/>
      <c r="GB317" s="11"/>
      <c r="GD317" s="9"/>
      <c r="GE317" s="10"/>
      <c r="GF317" s="10"/>
      <c r="GG317" s="10"/>
      <c r="GH317" s="10"/>
      <c r="GI317" s="10"/>
      <c r="GJ317" s="10"/>
      <c r="GK317" s="10"/>
      <c r="GL317" s="10"/>
      <c r="GM317" s="10"/>
      <c r="GN317" s="9"/>
      <c r="GO317" s="10"/>
      <c r="GP317" s="10"/>
      <c r="GQ317" s="10"/>
      <c r="GR317" s="10"/>
      <c r="GS317" s="10"/>
      <c r="GT317" s="10"/>
      <c r="GU317" s="11"/>
      <c r="GW317" s="13"/>
      <c r="JE317" s="5"/>
    </row>
    <row r="318" spans="31:265" ht="18" customHeight="1" x14ac:dyDescent="0.2">
      <c r="AE318" s="42"/>
      <c r="AF318" s="43"/>
      <c r="AG318" s="9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7"/>
      <c r="BF318" s="10"/>
      <c r="BG318" s="10"/>
      <c r="BH318" s="10"/>
      <c r="BI318" s="10"/>
      <c r="BJ318" s="10"/>
      <c r="BK318" s="10"/>
      <c r="BL318" s="10"/>
      <c r="BM318" s="10"/>
      <c r="BN318" s="10"/>
      <c r="BO318" s="11"/>
      <c r="BP318" s="17"/>
      <c r="BQ318" s="9"/>
      <c r="BR318" s="10"/>
      <c r="BS318" s="10"/>
      <c r="BT318" s="10"/>
      <c r="BU318" s="10"/>
      <c r="BV318" s="10"/>
      <c r="BW318" s="10"/>
      <c r="BX318" s="10"/>
      <c r="BY318" s="10"/>
      <c r="BZ318" s="11"/>
      <c r="CA318" s="43"/>
      <c r="CB318" s="45"/>
      <c r="EP318" s="4"/>
      <c r="FC318" s="12"/>
      <c r="FE318" s="12"/>
      <c r="FM318" s="13"/>
      <c r="GB318" s="13"/>
      <c r="GC318" s="90"/>
      <c r="GD318" s="12"/>
      <c r="GN318" s="12"/>
      <c r="GU318" s="13"/>
      <c r="GW318" s="13"/>
      <c r="JE318" s="5"/>
    </row>
    <row r="319" spans="31:265" ht="18" customHeight="1" x14ac:dyDescent="0.2">
      <c r="AE319" s="42"/>
      <c r="AF319" s="43"/>
      <c r="AG319" s="12"/>
      <c r="BB319" s="9"/>
      <c r="BC319" s="10"/>
      <c r="BD319" s="11"/>
      <c r="BE319" s="18"/>
      <c r="BO319" s="13"/>
      <c r="BP319" s="18"/>
      <c r="BQ319" s="12"/>
      <c r="BZ319" s="13"/>
      <c r="CA319" s="43"/>
      <c r="CB319" s="45"/>
      <c r="EP319" s="4"/>
      <c r="FC319" s="12"/>
      <c r="FE319" s="14"/>
      <c r="FF319" s="15"/>
      <c r="FG319" s="15"/>
      <c r="FH319" s="15"/>
      <c r="FI319" s="15"/>
      <c r="FJ319" s="15"/>
      <c r="FK319" s="15"/>
      <c r="FL319" s="15"/>
      <c r="FM319" s="16"/>
      <c r="GB319" s="13"/>
      <c r="GC319" s="127"/>
      <c r="GD319" s="12"/>
      <c r="GN319" s="12"/>
      <c r="GU319" s="13"/>
      <c r="GW319" s="13"/>
      <c r="JE319" s="5"/>
    </row>
    <row r="320" spans="31:265" ht="18" customHeight="1" x14ac:dyDescent="0.2">
      <c r="AE320" s="42"/>
      <c r="AF320" s="43"/>
      <c r="AG320" s="12"/>
      <c r="BB320" s="12"/>
      <c r="BD320" s="13"/>
      <c r="BE320" s="18"/>
      <c r="BO320" s="13"/>
      <c r="BP320" s="18"/>
      <c r="BQ320" s="12"/>
      <c r="BZ320" s="13"/>
      <c r="CA320" s="43"/>
      <c r="CB320" s="45"/>
      <c r="EP320" s="4"/>
      <c r="FC320" s="12"/>
      <c r="FE320" s="12"/>
      <c r="GB320" s="13"/>
      <c r="GC320" s="127"/>
      <c r="GD320" s="12"/>
      <c r="GN320" s="12"/>
      <c r="GU320" s="13"/>
      <c r="GV320" s="17"/>
      <c r="GW320" s="17"/>
      <c r="JE320" s="5"/>
    </row>
    <row r="321" spans="31:265" ht="18" customHeight="1" x14ac:dyDescent="0.2">
      <c r="AE321" s="42"/>
      <c r="AF321" s="43"/>
      <c r="AG321" s="9"/>
      <c r="AH321" s="11"/>
      <c r="BB321" s="12"/>
      <c r="BD321" s="13"/>
      <c r="BE321" s="18"/>
      <c r="BO321" s="13"/>
      <c r="BP321" s="18"/>
      <c r="BQ321" s="12"/>
      <c r="BZ321" s="13"/>
      <c r="CA321" s="43"/>
      <c r="CB321" s="45"/>
      <c r="EP321" s="4"/>
      <c r="FC321" s="12"/>
      <c r="FE321" s="12"/>
      <c r="GB321" s="13"/>
      <c r="GC321" s="127"/>
      <c r="GD321" s="12"/>
      <c r="GN321" s="12"/>
      <c r="GU321" s="13"/>
      <c r="GV321" s="18"/>
      <c r="GW321" s="18"/>
      <c r="JE321" s="5"/>
    </row>
    <row r="322" spans="31:265" ht="18" customHeight="1" x14ac:dyDescent="0.2">
      <c r="AE322" s="42"/>
      <c r="AF322" s="43"/>
      <c r="AG322" s="12"/>
      <c r="AH322" s="13"/>
      <c r="BB322" s="12"/>
      <c r="BD322" s="13"/>
      <c r="BE322" s="18"/>
      <c r="BO322" s="13"/>
      <c r="BP322" s="18"/>
      <c r="BQ322" s="12"/>
      <c r="BZ322" s="13"/>
      <c r="CA322" s="43"/>
      <c r="CB322" s="45"/>
      <c r="EP322" s="4"/>
      <c r="FC322" s="17"/>
      <c r="FD322" s="17"/>
      <c r="FE322" s="12"/>
      <c r="GB322" s="13"/>
      <c r="GC322" s="127"/>
      <c r="GD322" s="9"/>
      <c r="GE322" s="10"/>
      <c r="GF322" s="10"/>
      <c r="GG322" s="10"/>
      <c r="GH322" s="11"/>
      <c r="GI322" s="10"/>
      <c r="GJ322" s="10"/>
      <c r="GK322" s="10"/>
      <c r="GL322" s="10"/>
      <c r="GM322" s="10"/>
      <c r="GN322" s="12"/>
      <c r="GU322" s="13"/>
      <c r="GV322" s="18"/>
      <c r="GW322" s="18"/>
      <c r="JE322" s="5"/>
    </row>
    <row r="323" spans="31:265" ht="18" customHeight="1" x14ac:dyDescent="0.2">
      <c r="AE323" s="42"/>
      <c r="AF323" s="43"/>
      <c r="AG323" s="14"/>
      <c r="AH323" s="16"/>
      <c r="BB323" s="12"/>
      <c r="BD323" s="13"/>
      <c r="BE323" s="18"/>
      <c r="BO323" s="13"/>
      <c r="BP323" s="18"/>
      <c r="BQ323" s="12"/>
      <c r="BZ323" s="13"/>
      <c r="CA323" s="43"/>
      <c r="CB323" s="45"/>
      <c r="EP323" s="4"/>
      <c r="FC323" s="18"/>
      <c r="FD323" s="18"/>
      <c r="FE323" s="12"/>
      <c r="GB323" s="13"/>
      <c r="GD323" s="12"/>
      <c r="GH323" s="13"/>
      <c r="GN323" s="12"/>
      <c r="GU323" s="13"/>
      <c r="GV323" s="19"/>
      <c r="GW323" s="19"/>
      <c r="GX323" s="12"/>
      <c r="JE323" s="5"/>
    </row>
    <row r="324" spans="31:265" ht="18" customHeight="1" x14ac:dyDescent="0.2">
      <c r="AE324" s="42"/>
      <c r="AF324" s="43"/>
      <c r="AG324" s="9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1"/>
      <c r="BB324" s="12"/>
      <c r="BD324" s="13"/>
      <c r="BE324" s="18"/>
      <c r="BF324" s="15"/>
      <c r="BG324" s="15"/>
      <c r="BH324" s="15"/>
      <c r="BI324" s="15"/>
      <c r="BJ324" s="15"/>
      <c r="BK324" s="15"/>
      <c r="BL324" s="15"/>
      <c r="BM324" s="15"/>
      <c r="BN324" s="15"/>
      <c r="BO324" s="16"/>
      <c r="BP324" s="18"/>
      <c r="BQ324" s="14"/>
      <c r="BR324" s="15"/>
      <c r="BS324" s="15"/>
      <c r="BT324" s="15"/>
      <c r="BU324" s="15"/>
      <c r="BV324" s="15"/>
      <c r="BW324" s="15"/>
      <c r="BX324" s="15"/>
      <c r="BY324" s="15"/>
      <c r="BZ324" s="16"/>
      <c r="CA324" s="43"/>
      <c r="CB324" s="45"/>
      <c r="EP324" s="4"/>
      <c r="FC324" s="18"/>
      <c r="FD324" s="18"/>
      <c r="FE324" s="12"/>
      <c r="GB324" s="13"/>
      <c r="GD324" s="12"/>
      <c r="GH324" s="13"/>
      <c r="GN324" s="12"/>
      <c r="GU324" s="13"/>
      <c r="GX324" s="12"/>
      <c r="JE324" s="5"/>
    </row>
    <row r="325" spans="31:265" ht="18" customHeight="1" x14ac:dyDescent="0.2">
      <c r="AE325" s="42"/>
      <c r="AF325" s="43"/>
      <c r="AG325" s="12"/>
      <c r="AR325" s="13"/>
      <c r="BB325" s="12"/>
      <c r="BD325" s="13"/>
      <c r="BE325" s="18"/>
      <c r="BK325" s="9"/>
      <c r="BL325" s="10"/>
      <c r="BM325" s="10"/>
      <c r="BN325" s="10"/>
      <c r="BO325" s="11"/>
      <c r="BP325" s="18"/>
      <c r="BQ325" s="9"/>
      <c r="BR325" s="10"/>
      <c r="BS325" s="10"/>
      <c r="BT325" s="10"/>
      <c r="BU325" s="11"/>
      <c r="BZ325" s="13"/>
      <c r="CA325" s="43"/>
      <c r="CB325" s="45"/>
      <c r="EP325" s="4"/>
      <c r="FC325" s="18"/>
      <c r="FD325" s="18"/>
      <c r="FE325" s="12"/>
      <c r="GB325" s="13"/>
      <c r="GD325" s="12"/>
      <c r="GH325" s="13"/>
      <c r="GN325" s="12"/>
      <c r="GU325" s="13"/>
      <c r="GX325" s="12"/>
      <c r="JE325" s="5"/>
    </row>
    <row r="326" spans="31:265" ht="18" customHeight="1" x14ac:dyDescent="0.2">
      <c r="AE326" s="42"/>
      <c r="AF326" s="43"/>
      <c r="AG326" s="12"/>
      <c r="AR326" s="13"/>
      <c r="BB326" s="12"/>
      <c r="BD326" s="13"/>
      <c r="BE326" s="18"/>
      <c r="BK326" s="12"/>
      <c r="BL326" s="32"/>
      <c r="BM326" s="32"/>
      <c r="BO326" s="13"/>
      <c r="BP326" s="18"/>
      <c r="BQ326" s="12"/>
      <c r="BS326" s="32"/>
      <c r="BT326" s="32"/>
      <c r="BU326" s="13"/>
      <c r="BZ326" s="13"/>
      <c r="CA326" s="43"/>
      <c r="CB326" s="45"/>
      <c r="EP326" s="4"/>
      <c r="FC326" s="18"/>
      <c r="FD326" s="18"/>
      <c r="FE326" s="12"/>
      <c r="GB326" s="13"/>
      <c r="GD326" s="14"/>
      <c r="GE326" s="15"/>
      <c r="GF326" s="15"/>
      <c r="GG326" s="15"/>
      <c r="GH326" s="16"/>
      <c r="GI326" s="15"/>
      <c r="GJ326" s="15"/>
      <c r="GK326" s="15"/>
      <c r="GL326" s="15"/>
      <c r="GM326" s="15"/>
      <c r="GN326" s="14"/>
      <c r="GO326" s="15"/>
      <c r="GP326" s="15"/>
      <c r="GQ326" s="15"/>
      <c r="GR326" s="15"/>
      <c r="GS326" s="15"/>
      <c r="GT326" s="15"/>
      <c r="GU326" s="16"/>
      <c r="GX326" s="12"/>
      <c r="JE326" s="5"/>
    </row>
    <row r="327" spans="31:265" ht="18" customHeight="1" x14ac:dyDescent="0.2">
      <c r="AE327" s="42"/>
      <c r="AF327" s="43"/>
      <c r="AG327" s="12"/>
      <c r="AR327" s="13"/>
      <c r="BB327" s="12"/>
      <c r="BD327" s="13"/>
      <c r="BE327" s="18"/>
      <c r="BK327" s="12"/>
      <c r="BL327" s="32"/>
      <c r="BM327" s="32"/>
      <c r="BO327" s="13"/>
      <c r="BP327" s="18"/>
      <c r="BQ327" s="12"/>
      <c r="BS327" s="32"/>
      <c r="BT327" s="32"/>
      <c r="BU327" s="13"/>
      <c r="BZ327" s="13"/>
      <c r="CA327" s="43"/>
      <c r="CB327" s="45"/>
      <c r="EP327" s="4"/>
      <c r="FC327" s="19"/>
      <c r="FD327" s="19"/>
      <c r="FE327" s="12"/>
      <c r="GB327" s="13"/>
      <c r="GD327" s="20"/>
      <c r="GE327" s="21"/>
      <c r="GF327" s="21"/>
      <c r="GG327" s="21"/>
      <c r="GH327" s="21"/>
      <c r="GI327" s="21"/>
      <c r="GJ327" s="21"/>
      <c r="GK327" s="21"/>
      <c r="GL327" s="21"/>
      <c r="GM327" s="21"/>
      <c r="GN327" s="21"/>
      <c r="GO327" s="21"/>
      <c r="GP327" s="21"/>
      <c r="GQ327" s="21"/>
      <c r="GR327" s="21"/>
      <c r="GS327" s="21"/>
      <c r="GT327" s="21"/>
      <c r="GU327" s="22"/>
      <c r="GX327" s="12"/>
      <c r="JE327" s="5"/>
    </row>
    <row r="328" spans="31:265" ht="18" customHeight="1" x14ac:dyDescent="0.2">
      <c r="AE328" s="42"/>
      <c r="AF328" s="43"/>
      <c r="AG328" s="12"/>
      <c r="AR328" s="13"/>
      <c r="BB328" s="14"/>
      <c r="BC328" s="15"/>
      <c r="BD328" s="16"/>
      <c r="BE328" s="18"/>
      <c r="BK328" s="12"/>
      <c r="BL328" s="32"/>
      <c r="BM328" s="32"/>
      <c r="BO328" s="13"/>
      <c r="BP328" s="18"/>
      <c r="BQ328" s="12"/>
      <c r="BS328" s="32"/>
      <c r="BT328" s="32"/>
      <c r="BU328" s="13"/>
      <c r="BZ328" s="13"/>
      <c r="CA328" s="43"/>
      <c r="CB328" s="45"/>
      <c r="EP328" s="4"/>
      <c r="FC328" s="12"/>
      <c r="FE328" s="12"/>
      <c r="GB328" s="13"/>
      <c r="GD328" s="9"/>
      <c r="GE328" s="10"/>
      <c r="GF328" s="10"/>
      <c r="GG328" s="10"/>
      <c r="GH328" s="11"/>
      <c r="GI328" s="10"/>
      <c r="GJ328" s="10"/>
      <c r="GK328" s="10"/>
      <c r="GL328" s="10"/>
      <c r="GM328" s="10"/>
      <c r="GN328" s="9"/>
      <c r="GO328" s="10"/>
      <c r="GP328" s="10"/>
      <c r="GQ328" s="10"/>
      <c r="GR328" s="10"/>
      <c r="GS328" s="10"/>
      <c r="GT328" s="10"/>
      <c r="GU328" s="11"/>
      <c r="GX328" s="12"/>
      <c r="JE328" s="5"/>
    </row>
    <row r="329" spans="31:265" ht="18" customHeight="1" x14ac:dyDescent="0.2">
      <c r="AE329" s="42"/>
      <c r="AF329" s="43"/>
      <c r="AG329" s="12"/>
      <c r="AR329" s="13"/>
      <c r="BE329" s="18"/>
      <c r="BK329" s="14"/>
      <c r="BL329" s="15"/>
      <c r="BM329" s="15"/>
      <c r="BN329" s="15"/>
      <c r="BO329" s="16"/>
      <c r="BP329" s="18"/>
      <c r="BQ329" s="14"/>
      <c r="BR329" s="15"/>
      <c r="BS329" s="15"/>
      <c r="BT329" s="15"/>
      <c r="BU329" s="16"/>
      <c r="BZ329" s="13"/>
      <c r="CA329" s="43"/>
      <c r="CB329" s="45"/>
      <c r="EP329" s="4"/>
      <c r="FC329" s="12"/>
      <c r="FE329" s="9"/>
      <c r="FF329" s="10"/>
      <c r="FG329" s="10"/>
      <c r="FH329" s="10"/>
      <c r="FI329" s="10"/>
      <c r="FJ329" s="10"/>
      <c r="FK329" s="10"/>
      <c r="FL329" s="10"/>
      <c r="FM329" s="10"/>
      <c r="FN329" s="10"/>
      <c r="FO329" s="10"/>
      <c r="FP329" s="11"/>
      <c r="GB329" s="13"/>
      <c r="GD329" s="12"/>
      <c r="GH329" s="13"/>
      <c r="GN329" s="12"/>
      <c r="GU329" s="13"/>
      <c r="GX329" s="12"/>
      <c r="JE329" s="5"/>
    </row>
    <row r="330" spans="31:265" ht="18" customHeight="1" x14ac:dyDescent="0.2">
      <c r="AE330" s="42"/>
      <c r="AF330" s="43"/>
      <c r="AG330" s="12"/>
      <c r="AR330" s="13"/>
      <c r="BE330" s="24"/>
      <c r="BK330" s="12"/>
      <c r="BO330" s="13"/>
      <c r="BP330" s="18"/>
      <c r="BQ330" s="12"/>
      <c r="BU330" s="13"/>
      <c r="BZ330" s="13"/>
      <c r="CA330" s="43"/>
      <c r="CB330" s="45"/>
      <c r="EP330" s="4"/>
      <c r="FC330" s="12"/>
      <c r="FE330" s="12"/>
      <c r="FP330" s="13"/>
      <c r="GB330" s="13"/>
      <c r="GD330" s="12"/>
      <c r="GH330" s="13"/>
      <c r="GN330" s="12"/>
      <c r="GU330" s="13"/>
      <c r="GW330" s="13"/>
      <c r="GX330" s="12"/>
      <c r="JE330" s="5"/>
    </row>
    <row r="331" spans="31:265" ht="18" customHeight="1" x14ac:dyDescent="0.2">
      <c r="AE331" s="42"/>
      <c r="AF331" s="43"/>
      <c r="AG331" s="12"/>
      <c r="AR331" s="13"/>
      <c r="BE331" s="24"/>
      <c r="BK331" s="12"/>
      <c r="BO331" s="13"/>
      <c r="BP331" s="18"/>
      <c r="BQ331" s="12"/>
      <c r="BU331" s="13"/>
      <c r="BZ331" s="13"/>
      <c r="CA331" s="43"/>
      <c r="CB331" s="45"/>
      <c r="EP331" s="4"/>
      <c r="FC331" s="12"/>
      <c r="FE331" s="12"/>
      <c r="FP331" s="13"/>
      <c r="GB331" s="13"/>
      <c r="GD331" s="12"/>
      <c r="GH331" s="13"/>
      <c r="GN331" s="12"/>
      <c r="GU331" s="13"/>
      <c r="GV331" s="17"/>
      <c r="GW331" s="17"/>
      <c r="GX331" s="12"/>
      <c r="JE331" s="5"/>
    </row>
    <row r="332" spans="31:265" ht="18" customHeight="1" x14ac:dyDescent="0.2">
      <c r="AE332" s="42"/>
      <c r="AF332" s="43"/>
      <c r="AG332" s="12"/>
      <c r="AR332" s="13"/>
      <c r="BE332" s="24"/>
      <c r="BK332" s="12"/>
      <c r="BO332" s="13"/>
      <c r="BP332" s="18"/>
      <c r="BQ332" s="12"/>
      <c r="BU332" s="13"/>
      <c r="BZ332" s="13"/>
      <c r="CA332" s="43"/>
      <c r="CB332" s="45"/>
      <c r="EP332" s="4"/>
      <c r="FC332" s="12"/>
      <c r="FE332" s="12"/>
      <c r="FP332" s="13"/>
      <c r="GB332" s="13"/>
      <c r="GD332" s="14"/>
      <c r="GE332" s="15"/>
      <c r="GF332" s="15"/>
      <c r="GG332" s="15"/>
      <c r="GH332" s="16"/>
      <c r="GI332" s="15"/>
      <c r="GJ332" s="15"/>
      <c r="GK332" s="15"/>
      <c r="GL332" s="15"/>
      <c r="GM332" s="15"/>
      <c r="GN332" s="12"/>
      <c r="GU332" s="13"/>
      <c r="GV332" s="18"/>
      <c r="GW332" s="18"/>
      <c r="GX332" s="12"/>
      <c r="JE332" s="5"/>
    </row>
    <row r="333" spans="31:265" ht="18" customHeight="1" x14ac:dyDescent="0.2">
      <c r="AE333" s="42"/>
      <c r="AF333" s="43"/>
      <c r="AG333" s="12"/>
      <c r="AR333" s="13"/>
      <c r="BE333" s="24"/>
      <c r="BK333" s="12"/>
      <c r="BO333" s="13"/>
      <c r="BP333" s="18"/>
      <c r="BQ333" s="12"/>
      <c r="BU333" s="13"/>
      <c r="BZ333" s="13"/>
      <c r="CA333" s="43"/>
      <c r="CB333" s="45"/>
      <c r="EP333" s="4"/>
      <c r="FC333" s="12"/>
      <c r="FE333" s="12"/>
      <c r="FP333" s="13"/>
      <c r="GB333" s="13"/>
      <c r="GD333" s="12"/>
      <c r="GN333" s="12"/>
      <c r="GU333" s="13"/>
      <c r="GV333" s="18"/>
      <c r="GW333" s="18"/>
      <c r="GX333" s="12"/>
      <c r="JE333" s="5"/>
    </row>
    <row r="334" spans="31:265" ht="18" customHeight="1" x14ac:dyDescent="0.2">
      <c r="AE334" s="42"/>
      <c r="AF334" s="43"/>
      <c r="AG334" s="12"/>
      <c r="AR334" s="13"/>
      <c r="BE334" s="18"/>
      <c r="BF334" s="15"/>
      <c r="BG334" s="15"/>
      <c r="BH334" s="15"/>
      <c r="BI334" s="15"/>
      <c r="BJ334" s="15"/>
      <c r="BK334" s="14"/>
      <c r="BL334" s="15"/>
      <c r="BM334" s="15"/>
      <c r="BN334" s="15"/>
      <c r="BO334" s="16"/>
      <c r="BP334" s="19"/>
      <c r="BQ334" s="14"/>
      <c r="BR334" s="15"/>
      <c r="BS334" s="15"/>
      <c r="BT334" s="15"/>
      <c r="BU334" s="16"/>
      <c r="BV334" s="15"/>
      <c r="BW334" s="15"/>
      <c r="BX334" s="15"/>
      <c r="BY334" s="15"/>
      <c r="BZ334" s="16"/>
      <c r="CA334" s="43"/>
      <c r="CB334" s="45"/>
      <c r="EP334" s="4"/>
      <c r="FC334" s="12"/>
      <c r="FE334" s="12"/>
      <c r="FP334" s="13"/>
      <c r="GB334" s="13"/>
      <c r="GD334" s="12"/>
      <c r="GN334" s="12"/>
      <c r="GU334" s="13"/>
      <c r="GV334" s="19"/>
      <c r="GW334" s="19"/>
      <c r="GX334" s="12"/>
      <c r="JE334" s="5"/>
    </row>
    <row r="335" spans="31:265" ht="18" customHeight="1" x14ac:dyDescent="0.2">
      <c r="AE335" s="42"/>
      <c r="AF335" s="43"/>
      <c r="AG335" s="14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6"/>
      <c r="BE335" s="18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5"/>
      <c r="BQ335" s="15"/>
      <c r="BR335" s="15"/>
      <c r="BS335" s="15"/>
      <c r="BT335" s="15"/>
      <c r="BU335" s="100"/>
      <c r="BV335" s="100"/>
      <c r="BW335" s="100"/>
      <c r="BX335" s="100"/>
      <c r="BY335" s="100"/>
      <c r="BZ335" s="22"/>
      <c r="CA335" s="43"/>
      <c r="CB335" s="45"/>
      <c r="EP335" s="4"/>
      <c r="FC335" s="12"/>
      <c r="FE335" s="12"/>
      <c r="FP335" s="13"/>
      <c r="GB335" s="13"/>
      <c r="GD335" s="12"/>
      <c r="GN335" s="12"/>
      <c r="GU335" s="13"/>
      <c r="GX335" s="12"/>
      <c r="JE335" s="5"/>
    </row>
    <row r="336" spans="31:265" ht="18" customHeight="1" x14ac:dyDescent="0.2">
      <c r="AE336" s="42"/>
      <c r="AF336" s="43"/>
      <c r="AG336" s="9"/>
      <c r="AH336" s="11"/>
      <c r="BE336" s="18"/>
      <c r="BF336" s="10"/>
      <c r="BG336" s="10"/>
      <c r="BH336" s="10"/>
      <c r="BI336" s="10"/>
      <c r="BJ336" s="10"/>
      <c r="BK336" s="10"/>
      <c r="BL336" s="10"/>
      <c r="BM336" s="9"/>
      <c r="BN336" s="38"/>
      <c r="BO336" s="38"/>
      <c r="BP336" s="11"/>
      <c r="BQ336" s="10"/>
      <c r="BR336" s="10"/>
      <c r="BS336" s="10"/>
      <c r="BT336" s="10"/>
      <c r="BU336" s="10"/>
      <c r="BV336" s="10"/>
      <c r="BW336" s="10"/>
      <c r="BX336" s="10"/>
      <c r="BY336" s="10"/>
      <c r="BZ336" s="11"/>
      <c r="CA336" s="43"/>
      <c r="CB336" s="45"/>
      <c r="EP336" s="4"/>
      <c r="FC336" s="12"/>
      <c r="FE336" s="12"/>
      <c r="FP336" s="13"/>
      <c r="GB336" s="13"/>
      <c r="GD336" s="12"/>
      <c r="GN336" s="12"/>
      <c r="GU336" s="13"/>
      <c r="GX336" s="14"/>
      <c r="GY336" s="15"/>
      <c r="GZ336" s="15"/>
      <c r="HA336" s="15"/>
      <c r="HB336" s="15"/>
      <c r="HC336" s="15"/>
      <c r="HD336" s="15"/>
      <c r="HE336" s="15"/>
      <c r="HF336" s="15"/>
      <c r="HG336" s="15"/>
      <c r="HH336" s="15"/>
      <c r="HI336" s="15"/>
      <c r="HJ336" s="15"/>
      <c r="HK336" s="15"/>
      <c r="HL336" s="15"/>
      <c r="JE336" s="5"/>
    </row>
    <row r="337" spans="31:265" ht="18" customHeight="1" x14ac:dyDescent="0.2">
      <c r="AE337" s="42"/>
      <c r="AF337" s="43"/>
      <c r="AG337" s="12"/>
      <c r="AH337" s="13"/>
      <c r="BE337" s="24"/>
      <c r="BM337" s="12"/>
      <c r="BN337" s="32"/>
      <c r="BO337" s="32"/>
      <c r="BP337" s="13"/>
      <c r="BZ337" s="13"/>
      <c r="CA337" s="43"/>
      <c r="CB337" s="45"/>
      <c r="EP337" s="4"/>
      <c r="FC337" s="12"/>
      <c r="FE337" s="12"/>
      <c r="FP337" s="13"/>
      <c r="GB337" s="13"/>
      <c r="GD337" s="14"/>
      <c r="GE337" s="15"/>
      <c r="GF337" s="15"/>
      <c r="GG337" s="15"/>
      <c r="GH337" s="15"/>
      <c r="GI337" s="15"/>
      <c r="GJ337" s="15"/>
      <c r="GK337" s="15"/>
      <c r="GL337" s="15"/>
      <c r="GM337" s="15"/>
      <c r="GN337" s="14"/>
      <c r="GO337" s="15"/>
      <c r="GP337" s="15"/>
      <c r="GQ337" s="15"/>
      <c r="GR337" s="15"/>
      <c r="GS337" s="15"/>
      <c r="GT337" s="15"/>
      <c r="GU337" s="16"/>
      <c r="HC337" s="20"/>
      <c r="HD337" s="21"/>
      <c r="HE337" s="21"/>
      <c r="HF337" s="21"/>
      <c r="HG337" s="21"/>
      <c r="HH337" s="22"/>
      <c r="HL337" s="11"/>
      <c r="JE337" s="5"/>
    </row>
    <row r="338" spans="31:265" ht="18" customHeight="1" x14ac:dyDescent="0.2">
      <c r="AE338" s="42"/>
      <c r="AF338" s="43"/>
      <c r="AG338" s="14"/>
      <c r="AH338" s="16"/>
      <c r="BE338" s="24"/>
      <c r="BM338" s="14"/>
      <c r="BN338" s="15"/>
      <c r="BO338" s="15"/>
      <c r="BP338" s="16"/>
      <c r="BZ338" s="13"/>
      <c r="CA338" s="43"/>
      <c r="CB338" s="45"/>
      <c r="EP338" s="4"/>
      <c r="FC338" s="12"/>
      <c r="FE338" s="12"/>
      <c r="FP338" s="13"/>
      <c r="GB338" s="13"/>
      <c r="GE338" s="127"/>
      <c r="GF338" s="127"/>
      <c r="GG338" s="127"/>
      <c r="GH338" s="127"/>
      <c r="GI338" s="127"/>
      <c r="GL338" s="15"/>
      <c r="GM338" s="15"/>
      <c r="GQ338" s="15"/>
      <c r="GR338" s="15"/>
      <c r="GV338" s="15"/>
      <c r="GW338" s="15"/>
      <c r="GX338" s="15"/>
      <c r="GY338" s="15"/>
      <c r="GZ338" s="15"/>
      <c r="HA338" s="15"/>
      <c r="HB338" s="15"/>
      <c r="HC338" s="20"/>
      <c r="HD338" s="21"/>
      <c r="HE338" s="21"/>
      <c r="HF338" s="21"/>
      <c r="HG338" s="21"/>
      <c r="HH338" s="22"/>
      <c r="HL338" s="13"/>
      <c r="JE338" s="5"/>
    </row>
    <row r="339" spans="31:265" ht="18" customHeight="1" x14ac:dyDescent="0.2">
      <c r="AE339" s="42"/>
      <c r="AF339" s="43"/>
      <c r="AG339" s="12"/>
      <c r="BE339" s="24"/>
      <c r="BZ339" s="13"/>
      <c r="CA339" s="43"/>
      <c r="CB339" s="45"/>
      <c r="EP339" s="4"/>
      <c r="FC339" s="12"/>
      <c r="FE339" s="12"/>
      <c r="FP339" s="13"/>
      <c r="GB339" s="13"/>
      <c r="GD339" s="9"/>
      <c r="GE339" s="10"/>
      <c r="GF339" s="10"/>
      <c r="GG339" s="10"/>
      <c r="GH339" s="10"/>
      <c r="GI339" s="10"/>
      <c r="GJ339" s="10"/>
      <c r="GK339" s="10"/>
      <c r="GL339" s="10"/>
      <c r="GM339" t="s">
        <v>45</v>
      </c>
      <c r="GN339" s="10"/>
      <c r="GO339" s="10"/>
      <c r="GP339" s="10"/>
      <c r="GQ339" s="10"/>
      <c r="GR339" s="10"/>
      <c r="GS339" s="10"/>
      <c r="GT339" s="10"/>
      <c r="GU339" s="10"/>
      <c r="GV339" s="10"/>
      <c r="GW339" s="10"/>
      <c r="GX339" s="10"/>
      <c r="GY339" s="10"/>
      <c r="GZ339" s="10"/>
      <c r="HA339" s="10"/>
      <c r="HB339" s="10"/>
      <c r="HC339" s="10"/>
      <c r="HD339" s="10"/>
      <c r="HE339" s="10"/>
      <c r="HF339" s="10"/>
      <c r="HG339" s="10"/>
      <c r="HH339" s="10"/>
      <c r="HI339" s="10"/>
      <c r="HJ339" s="11"/>
      <c r="HL339" s="13"/>
      <c r="JE339" s="5"/>
    </row>
    <row r="340" spans="31:265" ht="18" customHeight="1" x14ac:dyDescent="0.2">
      <c r="AE340" s="42"/>
      <c r="AF340" s="43"/>
      <c r="AG340" s="12"/>
      <c r="BE340" s="24"/>
      <c r="BZ340" s="13"/>
      <c r="CA340" s="125"/>
      <c r="CB340" s="125"/>
      <c r="EP340" s="4"/>
      <c r="FC340" s="12"/>
      <c r="FE340" s="14"/>
      <c r="FF340" s="15"/>
      <c r="FG340" s="15"/>
      <c r="FH340" s="15"/>
      <c r="FI340" s="15"/>
      <c r="FJ340" s="15"/>
      <c r="FK340" s="15"/>
      <c r="FL340" s="15"/>
      <c r="FM340" s="15"/>
      <c r="FN340" s="15"/>
      <c r="FO340" s="15"/>
      <c r="FP340" s="16"/>
      <c r="GB340" s="13"/>
      <c r="GC340" s="127"/>
      <c r="GD340" s="12"/>
      <c r="HJ340" s="13"/>
      <c r="HL340" s="13"/>
      <c r="JE340" s="5"/>
    </row>
    <row r="341" spans="31:265" ht="18" customHeight="1" x14ac:dyDescent="0.2">
      <c r="AE341" s="42"/>
      <c r="AF341" s="43"/>
      <c r="AG341" s="12"/>
      <c r="BE341" s="24"/>
      <c r="BZ341" s="13"/>
      <c r="CA341" s="108"/>
      <c r="CB341" s="108"/>
      <c r="EP341" s="4"/>
      <c r="FC341" s="12"/>
      <c r="FE341" s="12"/>
      <c r="GB341" s="13"/>
      <c r="GC341" s="127"/>
      <c r="GD341" s="12"/>
      <c r="HJ341" s="13"/>
      <c r="HL341" s="13"/>
      <c r="JE341" s="5"/>
    </row>
    <row r="342" spans="31:265" ht="18" customHeight="1" x14ac:dyDescent="0.2">
      <c r="AE342" s="42"/>
      <c r="AF342" s="43"/>
      <c r="AG342" s="12"/>
      <c r="BE342" s="24"/>
      <c r="BZ342" s="13"/>
      <c r="CA342" s="108"/>
      <c r="CB342" s="108"/>
      <c r="EP342" s="4"/>
      <c r="FC342" s="12"/>
      <c r="FE342" s="12"/>
      <c r="GB342" s="13"/>
      <c r="GC342" s="127"/>
      <c r="GD342" s="12"/>
      <c r="HJ342" s="13"/>
      <c r="HL342" s="13"/>
      <c r="JE342" s="5"/>
    </row>
    <row r="343" spans="31:265" ht="18" customHeight="1" x14ac:dyDescent="0.2">
      <c r="AE343" s="42"/>
      <c r="AF343" s="43"/>
      <c r="AG343" s="14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8"/>
      <c r="BZ343" s="13"/>
      <c r="CA343" s="108"/>
      <c r="CB343" s="108"/>
      <c r="EP343" s="4"/>
      <c r="FC343" s="12"/>
      <c r="FE343" s="12"/>
      <c r="GB343" s="13"/>
      <c r="GC343" s="127"/>
      <c r="GD343" s="12"/>
      <c r="HJ343" s="13"/>
      <c r="HL343" s="13"/>
      <c r="JE343" s="5"/>
    </row>
    <row r="344" spans="31:265" ht="18" customHeight="1" x14ac:dyDescent="0.2">
      <c r="AE344" s="42"/>
      <c r="AF344" s="43"/>
      <c r="AG344" s="20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2"/>
      <c r="BE344" s="18"/>
      <c r="BZ344" s="13"/>
      <c r="CA344" s="108"/>
      <c r="CB344" s="108"/>
      <c r="EP344" s="4"/>
      <c r="FC344" s="12"/>
      <c r="FE344" s="12"/>
      <c r="GB344" s="13"/>
      <c r="GC344" s="127"/>
      <c r="GD344" s="12"/>
      <c r="HG344" s="9"/>
      <c r="HH344" s="10"/>
      <c r="HI344" s="10"/>
      <c r="HJ344" s="11"/>
      <c r="HL344" s="13"/>
      <c r="JE344" s="5"/>
    </row>
    <row r="345" spans="31:265" ht="18" customHeight="1" x14ac:dyDescent="0.2">
      <c r="AE345" s="42"/>
      <c r="AF345" s="43"/>
      <c r="AG345" s="9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8"/>
      <c r="BZ345" s="13"/>
      <c r="CA345" s="126"/>
      <c r="CB345" s="126"/>
      <c r="EP345" s="4"/>
      <c r="FC345" s="12"/>
      <c r="FE345" s="12"/>
      <c r="GB345" s="13"/>
      <c r="GC345" s="127"/>
      <c r="GD345" s="12"/>
      <c r="HG345" s="12"/>
      <c r="HJ345" s="13"/>
      <c r="HL345" s="13"/>
      <c r="JE345" s="5"/>
    </row>
    <row r="346" spans="31:265" ht="18" customHeight="1" x14ac:dyDescent="0.2">
      <c r="AE346" s="42"/>
      <c r="AF346" s="43"/>
      <c r="AG346" s="12"/>
      <c r="BE346" s="24"/>
      <c r="BZ346" s="13"/>
      <c r="CA346" s="43"/>
      <c r="CB346" s="45"/>
      <c r="EP346" s="4"/>
      <c r="FC346" s="12"/>
      <c r="FE346" s="14"/>
      <c r="FF346" s="15"/>
      <c r="FG346" s="15"/>
      <c r="FH346" s="15"/>
      <c r="FI346" s="15"/>
      <c r="FJ346" s="15"/>
      <c r="FK346" s="15"/>
      <c r="FL346" s="15"/>
      <c r="FM346" s="15"/>
      <c r="FN346" s="15"/>
      <c r="FO346" s="15"/>
      <c r="FP346" s="15"/>
      <c r="FQ346" s="15"/>
      <c r="FR346" s="15"/>
      <c r="FS346" s="15"/>
      <c r="FT346" s="15"/>
      <c r="FU346" s="15"/>
      <c r="FV346" s="15"/>
      <c r="FW346" s="15"/>
      <c r="FX346" s="15"/>
      <c r="FY346" s="15"/>
      <c r="FZ346" s="15"/>
      <c r="GA346" s="15"/>
      <c r="GB346" s="16"/>
      <c r="GD346" s="12"/>
      <c r="HA346" s="9"/>
      <c r="HB346" s="10"/>
      <c r="HC346" s="10"/>
      <c r="HD346" s="11"/>
      <c r="HG346" s="12"/>
      <c r="HJ346" s="13"/>
      <c r="HL346" s="13"/>
      <c r="JE346" s="5"/>
    </row>
    <row r="347" spans="31:265" ht="18" customHeight="1" x14ac:dyDescent="0.2">
      <c r="AE347" s="42"/>
      <c r="AF347" s="43"/>
      <c r="AG347" s="12"/>
      <c r="BE347" s="24"/>
      <c r="BW347" s="9"/>
      <c r="BX347" s="10"/>
      <c r="BY347" s="10"/>
      <c r="BZ347" s="11"/>
      <c r="CA347" s="43"/>
      <c r="CB347" s="45"/>
      <c r="EP347" s="4"/>
      <c r="FC347" s="12"/>
      <c r="FF347" s="20"/>
      <c r="FG347" s="21"/>
      <c r="FH347" s="21"/>
      <c r="FI347" s="22"/>
      <c r="GD347" s="12"/>
      <c r="HA347" s="12"/>
      <c r="HD347" s="13"/>
      <c r="HG347" s="12"/>
      <c r="HJ347" s="13"/>
      <c r="HL347" s="13"/>
      <c r="JE347" s="5"/>
    </row>
    <row r="348" spans="31:265" ht="18" customHeight="1" x14ac:dyDescent="0.2">
      <c r="AE348" s="42"/>
      <c r="AF348" s="43"/>
      <c r="AG348" s="12"/>
      <c r="BE348" s="24"/>
      <c r="BW348" s="12"/>
      <c r="BZ348" s="13"/>
      <c r="CA348" s="43"/>
      <c r="CB348" s="45"/>
      <c r="EP348" s="4"/>
      <c r="FC348" s="14"/>
      <c r="FD348" s="15"/>
      <c r="FE348" s="15"/>
      <c r="FF348" s="20"/>
      <c r="FG348" s="21"/>
      <c r="FH348" s="21"/>
      <c r="FI348" s="22"/>
      <c r="FJ348" s="15"/>
      <c r="FK348" s="15"/>
      <c r="FN348" s="9"/>
      <c r="FO348" s="10"/>
      <c r="FP348" s="10"/>
      <c r="FQ348" s="10"/>
      <c r="FR348" s="10"/>
      <c r="FS348" s="10"/>
      <c r="FT348" s="10"/>
      <c r="FU348" s="10"/>
      <c r="FV348" s="10"/>
      <c r="FW348" s="10"/>
      <c r="FX348" s="10"/>
      <c r="FY348" s="11"/>
      <c r="FZ348" s="10"/>
      <c r="GA348" s="10"/>
      <c r="GB348" s="11"/>
      <c r="GD348" s="14"/>
      <c r="GE348" s="15"/>
      <c r="GF348" s="15"/>
      <c r="GG348" s="15"/>
      <c r="GH348" s="15"/>
      <c r="GI348" s="15"/>
      <c r="GJ348" s="15"/>
      <c r="GK348" s="15"/>
      <c r="GL348" s="15"/>
      <c r="HA348" s="12"/>
      <c r="HD348" s="13"/>
      <c r="HG348" s="12"/>
      <c r="HJ348" s="13"/>
      <c r="HL348" s="13"/>
      <c r="JE348" s="5"/>
    </row>
    <row r="349" spans="31:265" ht="18" customHeight="1" x14ac:dyDescent="0.2">
      <c r="AE349" s="42"/>
      <c r="AF349" s="43"/>
      <c r="AG349" s="12"/>
      <c r="BE349" s="24"/>
      <c r="BQ349" s="9"/>
      <c r="BR349" s="10"/>
      <c r="BS349" s="10"/>
      <c r="BT349" s="11"/>
      <c r="BW349" s="12"/>
      <c r="BZ349" s="13"/>
      <c r="CA349" s="43"/>
      <c r="CB349" s="45"/>
      <c r="EP349" s="4"/>
      <c r="FK349" s="11"/>
      <c r="FN349" s="12"/>
      <c r="FY349" s="13"/>
      <c r="GB349" s="13"/>
      <c r="GE349" s="127"/>
      <c r="GF349" s="127"/>
      <c r="GG349" s="127"/>
      <c r="GH349" s="127"/>
      <c r="GI349" s="127"/>
      <c r="GJ349" s="127"/>
      <c r="GM349" s="12"/>
      <c r="HA349" s="14"/>
      <c r="HB349" s="15"/>
      <c r="HC349" s="15"/>
      <c r="HD349" s="16"/>
      <c r="HG349" s="12"/>
      <c r="HJ349" s="13"/>
      <c r="HL349" s="13"/>
      <c r="JE349" s="5"/>
    </row>
    <row r="350" spans="31:265" ht="18" customHeight="1" x14ac:dyDescent="0.2">
      <c r="AE350" s="42"/>
      <c r="AF350" s="43"/>
      <c r="AG350" s="12"/>
      <c r="BE350" s="24"/>
      <c r="BQ350" s="12"/>
      <c r="BT350" s="13"/>
      <c r="BW350" s="12"/>
      <c r="BZ350" s="13"/>
      <c r="CA350" s="43"/>
      <c r="CB350" s="45"/>
      <c r="EP350" s="4"/>
      <c r="FK350" s="13"/>
      <c r="FN350" s="12"/>
      <c r="FY350" s="13"/>
      <c r="GC350" s="10"/>
      <c r="GD350" s="10"/>
      <c r="GE350" s="10"/>
      <c r="GF350" s="10"/>
      <c r="GG350" s="10"/>
      <c r="GH350" s="10"/>
      <c r="GI350" s="10"/>
      <c r="GJ350" s="10"/>
      <c r="GK350" s="11"/>
      <c r="GM350" s="12"/>
      <c r="HG350" s="12"/>
      <c r="HJ350" s="13"/>
      <c r="HL350" s="13"/>
      <c r="JE350" s="5"/>
    </row>
    <row r="351" spans="31:265" ht="18" customHeight="1" x14ac:dyDescent="0.2">
      <c r="AE351" s="42"/>
      <c r="AF351" s="43"/>
      <c r="AG351" s="12"/>
      <c r="BE351" s="24"/>
      <c r="BQ351" s="12"/>
      <c r="BT351" s="13"/>
      <c r="BW351" s="12"/>
      <c r="BZ351" s="13"/>
      <c r="CA351" s="43"/>
      <c r="CB351" s="45"/>
      <c r="EP351" s="4"/>
      <c r="FK351" s="13"/>
      <c r="FN351" s="14"/>
      <c r="FO351" s="15"/>
      <c r="FP351" s="15"/>
      <c r="FQ351" s="15"/>
      <c r="FR351" s="15"/>
      <c r="FS351" s="15"/>
      <c r="FT351" s="15"/>
      <c r="FU351" s="15"/>
      <c r="FV351" s="15"/>
      <c r="FW351" s="15"/>
      <c r="FX351" s="15"/>
      <c r="FY351" s="16"/>
      <c r="GK351" s="13"/>
      <c r="GM351" s="12"/>
      <c r="HG351" s="14"/>
      <c r="HH351" s="15"/>
      <c r="HI351" s="15"/>
      <c r="HJ351" s="16"/>
      <c r="HL351" s="13"/>
      <c r="JE351" s="5"/>
    </row>
    <row r="352" spans="31:265" ht="18" customHeight="1" x14ac:dyDescent="0.2">
      <c r="AE352" s="42"/>
      <c r="AF352" s="43"/>
      <c r="AG352" s="12"/>
      <c r="BE352" s="18"/>
      <c r="BQ352" s="14"/>
      <c r="BR352" s="15"/>
      <c r="BS352" s="15"/>
      <c r="BT352" s="16"/>
      <c r="BW352" s="12"/>
      <c r="BZ352" s="13"/>
      <c r="CA352" s="43"/>
      <c r="CB352" s="45"/>
      <c r="EP352" s="4"/>
      <c r="FK352" s="13"/>
      <c r="FN352" s="12"/>
      <c r="GK352" s="13"/>
      <c r="GM352" s="14"/>
      <c r="GN352" s="15"/>
      <c r="HJ352" s="13"/>
      <c r="HL352" s="13"/>
      <c r="JE352" s="5"/>
    </row>
    <row r="353" spans="18:265" ht="18" customHeight="1" x14ac:dyDescent="0.2">
      <c r="AE353" s="42"/>
      <c r="AF353" s="43"/>
      <c r="AG353" s="12"/>
      <c r="BE353" s="18"/>
      <c r="BW353" s="12"/>
      <c r="BZ353" s="13"/>
      <c r="CA353" s="43"/>
      <c r="CB353" s="45"/>
      <c r="EP353" s="4"/>
      <c r="FK353" s="13"/>
      <c r="FL353" s="12"/>
      <c r="FN353" s="12"/>
      <c r="GK353" s="13"/>
      <c r="GM353" s="9"/>
      <c r="GN353" s="10"/>
      <c r="GO353" s="11"/>
      <c r="HJ353" s="13"/>
      <c r="HL353" s="13"/>
      <c r="JE353" s="5"/>
    </row>
    <row r="354" spans="18:265" ht="18" customHeight="1" x14ac:dyDescent="0.2">
      <c r="AE354" s="42"/>
      <c r="AF354" s="43"/>
      <c r="AG354" s="12"/>
      <c r="BB354" s="9"/>
      <c r="BC354" s="10"/>
      <c r="BD354" s="11"/>
      <c r="BE354" s="18"/>
      <c r="BF354" s="9"/>
      <c r="BG354" s="10"/>
      <c r="BH354" s="11"/>
      <c r="BW354" s="14"/>
      <c r="BX354" s="15"/>
      <c r="BY354" s="15"/>
      <c r="BZ354" s="16"/>
      <c r="CA354" s="43"/>
      <c r="CB354" s="45"/>
      <c r="EP354" s="4"/>
      <c r="FK354" s="13"/>
      <c r="FL354" s="17"/>
      <c r="FM354" s="17"/>
      <c r="FN354" s="12"/>
      <c r="GK354" s="13"/>
      <c r="GM354" s="12"/>
      <c r="GO354" s="13"/>
      <c r="HJ354" s="13"/>
      <c r="HL354" s="13"/>
      <c r="JE354" s="5"/>
    </row>
    <row r="355" spans="18:265" ht="18" customHeight="1" x14ac:dyDescent="0.2">
      <c r="AE355" s="42"/>
      <c r="AF355" s="43"/>
      <c r="AG355" s="12"/>
      <c r="BB355" s="12"/>
      <c r="BD355" s="13"/>
      <c r="BE355" s="18"/>
      <c r="BF355" s="12"/>
      <c r="BH355" s="13"/>
      <c r="BX355" s="9"/>
      <c r="BY355" s="10"/>
      <c r="BZ355" s="11"/>
      <c r="CA355" s="43"/>
      <c r="CB355" s="45"/>
      <c r="EP355" s="4"/>
      <c r="FK355" s="13"/>
      <c r="FL355" s="18"/>
      <c r="FM355" s="18"/>
      <c r="FN355" s="12"/>
      <c r="GK355" s="13"/>
      <c r="GM355" s="14"/>
      <c r="GN355" s="15"/>
      <c r="GO355" s="16"/>
      <c r="HJ355" s="13"/>
      <c r="HL355" s="13"/>
      <c r="HM355" s="12"/>
      <c r="JE355" s="5"/>
    </row>
    <row r="356" spans="18:265" ht="18" customHeight="1" x14ac:dyDescent="0.2">
      <c r="AE356" s="42"/>
      <c r="AF356" s="43"/>
      <c r="AG356" s="12"/>
      <c r="BB356" s="12"/>
      <c r="BD356" s="13"/>
      <c r="BE356" s="18"/>
      <c r="BF356" s="14"/>
      <c r="BG356" s="15"/>
      <c r="BH356" s="16"/>
      <c r="BX356" s="12"/>
      <c r="BZ356" s="13"/>
      <c r="CA356" s="43"/>
      <c r="CB356" s="45"/>
      <c r="EP356" s="4"/>
      <c r="FK356" s="13"/>
      <c r="FL356" s="18"/>
      <c r="FM356" s="18"/>
      <c r="FN356" s="12"/>
      <c r="GK356" s="13"/>
      <c r="GM356" s="9"/>
      <c r="GN356" s="10"/>
      <c r="GO356" s="10"/>
      <c r="GP356" s="10"/>
      <c r="GQ356" s="10"/>
      <c r="GR356" s="11"/>
      <c r="HJ356" s="13"/>
      <c r="HL356" s="13"/>
      <c r="JD356" s="9"/>
      <c r="JE356" s="11"/>
    </row>
    <row r="357" spans="18:265" ht="18" customHeight="1" x14ac:dyDescent="0.2">
      <c r="AE357" s="42"/>
      <c r="AF357" s="43"/>
      <c r="AG357" s="12"/>
      <c r="BB357" s="12"/>
      <c r="BD357" s="13"/>
      <c r="BE357" s="18"/>
      <c r="BF357" s="9"/>
      <c r="BG357" s="10"/>
      <c r="BH357" s="10"/>
      <c r="BI357" s="10"/>
      <c r="BJ357" s="10"/>
      <c r="BK357" s="11"/>
      <c r="BX357" s="12"/>
      <c r="BZ357" s="13"/>
      <c r="CA357" s="43"/>
      <c r="CB357" s="45"/>
      <c r="EP357" s="4"/>
      <c r="FK357" s="13"/>
      <c r="FL357" s="18"/>
      <c r="FM357" s="18"/>
      <c r="FN357" s="12"/>
      <c r="GK357" s="13"/>
      <c r="GM357" s="9"/>
      <c r="GN357" s="11"/>
      <c r="GO357" s="10"/>
      <c r="GP357" s="10"/>
      <c r="GQ357" s="10"/>
      <c r="GR357" s="11"/>
      <c r="HJ357" s="13"/>
      <c r="HL357" s="13"/>
      <c r="JD357" s="12"/>
      <c r="JE357" s="13"/>
    </row>
    <row r="358" spans="18:265" ht="18" customHeight="1" x14ac:dyDescent="0.2">
      <c r="AE358" s="42"/>
      <c r="AF358" s="43"/>
      <c r="AG358" s="12"/>
      <c r="BB358" s="12"/>
      <c r="BD358" s="13"/>
      <c r="BE358" s="18"/>
      <c r="BF358" s="9"/>
      <c r="BG358" s="11"/>
      <c r="BH358" s="10"/>
      <c r="BI358" s="10"/>
      <c r="BJ358" s="10"/>
      <c r="BK358" s="11"/>
      <c r="BX358" s="14"/>
      <c r="BY358" s="15"/>
      <c r="BZ358" s="16"/>
      <c r="CA358" s="43"/>
      <c r="CB358" s="45"/>
      <c r="EP358" s="4"/>
      <c r="FK358" s="13"/>
      <c r="FL358" s="18"/>
      <c r="FM358" s="18"/>
      <c r="FN358" s="12"/>
      <c r="GK358" s="13"/>
      <c r="GM358" s="12"/>
      <c r="GN358" s="13"/>
      <c r="GR358" s="13"/>
      <c r="HH358" s="9"/>
      <c r="HI358" s="10"/>
      <c r="HJ358" s="11"/>
      <c r="HL358" s="13"/>
      <c r="HP358" s="9"/>
      <c r="HQ358" s="10"/>
      <c r="HR358" s="10"/>
      <c r="HS358" s="10"/>
      <c r="HT358" s="10"/>
      <c r="HU358" s="11"/>
      <c r="HV358" s="10"/>
      <c r="HW358" s="10"/>
      <c r="HX358" s="10"/>
      <c r="HY358" s="10"/>
      <c r="HZ358" s="10"/>
      <c r="IA358" s="10"/>
      <c r="IB358" s="10"/>
      <c r="IC358" s="10"/>
      <c r="ID358" s="10"/>
      <c r="IE358" s="10"/>
      <c r="IF358" s="10"/>
      <c r="IG358" s="10"/>
      <c r="IH358" s="10"/>
      <c r="II358" s="10"/>
      <c r="IJ358" s="10"/>
      <c r="IK358" s="10"/>
      <c r="IL358" s="10"/>
      <c r="IM358" s="10"/>
      <c r="IN358" s="11"/>
      <c r="JD358" s="12"/>
      <c r="JE358" s="13"/>
    </row>
    <row r="359" spans="18:265" ht="18" customHeight="1" x14ac:dyDescent="0.2">
      <c r="AE359" s="42"/>
      <c r="AF359" s="43"/>
      <c r="AG359" s="12"/>
      <c r="BB359" s="12"/>
      <c r="BD359" s="13"/>
      <c r="BE359" s="12"/>
      <c r="BF359" s="12"/>
      <c r="BG359" s="13"/>
      <c r="BK359" s="13"/>
      <c r="BX359" s="9"/>
      <c r="BY359" s="10"/>
      <c r="BZ359" s="11"/>
      <c r="CA359" s="43"/>
      <c r="CB359" s="45"/>
      <c r="EP359" s="4"/>
      <c r="FK359" s="13"/>
      <c r="FL359" s="19"/>
      <c r="FM359" s="19"/>
      <c r="FN359" s="12"/>
      <c r="GK359" s="13"/>
      <c r="GM359" s="12"/>
      <c r="GN359" s="13"/>
      <c r="GR359" s="13"/>
      <c r="HH359" s="12"/>
      <c r="HJ359" s="17"/>
      <c r="HL359" s="13"/>
      <c r="HP359" s="12"/>
      <c r="HU359" s="13"/>
      <c r="IN359" s="13"/>
      <c r="JD359" s="12"/>
      <c r="JE359" s="13"/>
    </row>
    <row r="360" spans="18:265" ht="18" customHeight="1" x14ac:dyDescent="0.2">
      <c r="AE360" s="42"/>
      <c r="AF360" s="43"/>
      <c r="AG360" s="12"/>
      <c r="BB360" s="12"/>
      <c r="BD360" s="13"/>
      <c r="BE360" s="12"/>
      <c r="BF360" s="12"/>
      <c r="BG360" s="13"/>
      <c r="BK360" s="13"/>
      <c r="BX360" s="12"/>
      <c r="BZ360" s="17"/>
      <c r="CA360" s="43"/>
      <c r="CB360" s="45"/>
      <c r="EP360" s="4"/>
      <c r="FK360" s="13"/>
      <c r="FL360" s="12"/>
      <c r="FN360" s="12"/>
      <c r="GK360" s="13"/>
      <c r="GM360" s="12"/>
      <c r="GN360" s="13"/>
      <c r="GR360" s="13"/>
      <c r="HH360" s="12"/>
      <c r="HJ360" s="18"/>
      <c r="HL360" s="13"/>
      <c r="HP360" s="12"/>
      <c r="HU360" s="13"/>
      <c r="IN360" s="13"/>
      <c r="JD360" s="12"/>
      <c r="JE360" s="13"/>
    </row>
    <row r="361" spans="18:265" ht="18" customHeight="1" x14ac:dyDescent="0.2">
      <c r="AE361" s="42"/>
      <c r="AF361" s="43"/>
      <c r="AG361" s="12"/>
      <c r="BB361" s="12"/>
      <c r="BD361" s="13"/>
      <c r="BE361" s="12"/>
      <c r="BF361" s="12"/>
      <c r="BG361" s="13"/>
      <c r="BK361" s="13"/>
      <c r="BX361" s="12"/>
      <c r="BZ361" s="18"/>
      <c r="CA361" s="43"/>
      <c r="CB361" s="45"/>
      <c r="EP361" s="4"/>
      <c r="FK361" s="13"/>
      <c r="FN361" s="12"/>
      <c r="GI361" s="9"/>
      <c r="GJ361" s="10"/>
      <c r="GK361" s="11"/>
      <c r="GM361" s="12"/>
      <c r="GN361" s="13"/>
      <c r="GO361" s="15"/>
      <c r="GP361" s="15"/>
      <c r="GQ361" s="15"/>
      <c r="GR361" s="16"/>
      <c r="HH361" s="12"/>
      <c r="HJ361" s="18"/>
      <c r="HL361" s="13"/>
      <c r="HP361" s="12"/>
      <c r="HU361" s="13"/>
      <c r="IN361" s="13"/>
      <c r="JD361" s="12"/>
      <c r="JE361" s="13"/>
    </row>
    <row r="362" spans="18:265" ht="18" customHeight="1" x14ac:dyDescent="0.2">
      <c r="AE362" s="42"/>
      <c r="AF362" s="43"/>
      <c r="AG362" s="12"/>
      <c r="BB362" s="12"/>
      <c r="BD362" s="13"/>
      <c r="BE362" s="12"/>
      <c r="BF362" s="12"/>
      <c r="BG362" s="13"/>
      <c r="BH362" s="15"/>
      <c r="BI362" s="15"/>
      <c r="BJ362" s="15"/>
      <c r="BK362" s="16"/>
      <c r="BX362" s="12"/>
      <c r="BZ362" s="18"/>
      <c r="CA362" s="43"/>
      <c r="CB362" s="45"/>
      <c r="EP362" s="4"/>
      <c r="FK362" s="13"/>
      <c r="FN362" s="12"/>
      <c r="GI362" s="12"/>
      <c r="GK362" s="13"/>
      <c r="GM362" s="12"/>
      <c r="GN362" s="13"/>
      <c r="GO362" s="10"/>
      <c r="GP362" s="10"/>
      <c r="GQ362" s="10"/>
      <c r="GR362" s="11"/>
      <c r="HH362" s="12"/>
      <c r="HJ362" s="18"/>
      <c r="HL362" s="13"/>
      <c r="HP362" s="12"/>
      <c r="HU362" s="13"/>
      <c r="IN362" s="13"/>
      <c r="JD362" s="12"/>
      <c r="JE362" s="13"/>
    </row>
    <row r="363" spans="18:265" ht="18" customHeight="1" x14ac:dyDescent="0.2">
      <c r="AE363" s="42"/>
      <c r="AF363" s="43"/>
      <c r="AG363" s="12"/>
      <c r="BB363" s="14"/>
      <c r="BC363" s="15"/>
      <c r="BD363" s="16"/>
      <c r="BE363" s="12"/>
      <c r="BF363" s="12"/>
      <c r="BG363" s="13"/>
      <c r="BH363" s="10"/>
      <c r="BI363" s="10"/>
      <c r="BJ363" s="10"/>
      <c r="BK363" s="11"/>
      <c r="BX363" s="12"/>
      <c r="BZ363" s="18"/>
      <c r="CA363" s="43"/>
      <c r="CB363" s="45"/>
      <c r="EP363" s="4"/>
      <c r="FK363" s="13"/>
      <c r="FN363" s="12"/>
      <c r="GI363" s="12"/>
      <c r="GK363" s="13"/>
      <c r="GM363" s="12"/>
      <c r="GN363" s="13"/>
      <c r="GR363" s="13"/>
      <c r="HH363" s="12"/>
      <c r="HJ363" s="18"/>
      <c r="HL363" s="13"/>
      <c r="HP363" s="12"/>
      <c r="HU363" s="13"/>
      <c r="IN363" s="13"/>
      <c r="JD363" s="12"/>
      <c r="JE363" s="13"/>
    </row>
    <row r="364" spans="18:265" ht="18" customHeight="1" x14ac:dyDescent="0.2">
      <c r="AE364" s="42"/>
      <c r="AF364" s="43"/>
      <c r="AG364" s="14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15"/>
      <c r="AZ364" s="15"/>
      <c r="BA364" s="15"/>
      <c r="BB364" s="15"/>
      <c r="BC364" s="15"/>
      <c r="BD364" s="15"/>
      <c r="BE364" s="12"/>
      <c r="BF364" s="12"/>
      <c r="BG364" s="13"/>
      <c r="BK364" s="13"/>
      <c r="BX364" s="12"/>
      <c r="BZ364" s="18"/>
      <c r="CA364" s="43"/>
      <c r="CB364" s="45"/>
      <c r="EP364" s="4"/>
      <c r="FK364" s="13"/>
      <c r="FN364" s="12"/>
      <c r="GI364" s="12"/>
      <c r="GK364" s="13"/>
      <c r="GM364" s="12"/>
      <c r="GN364" s="13"/>
      <c r="GR364" s="13"/>
      <c r="HH364" s="12"/>
      <c r="HJ364" s="19"/>
      <c r="HL364" s="13"/>
      <c r="HP364" s="12"/>
      <c r="HU364" s="13"/>
      <c r="IN364" s="13"/>
      <c r="JD364" s="12"/>
      <c r="JE364" s="13"/>
    </row>
    <row r="365" spans="18:265" ht="18" customHeight="1" x14ac:dyDescent="0.2">
      <c r="R365" s="9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1"/>
      <c r="AE365" s="42"/>
      <c r="AF365" s="43"/>
      <c r="AG365" s="12"/>
      <c r="AR365" s="21"/>
      <c r="AT365" s="21"/>
      <c r="BD365" s="21"/>
      <c r="BE365" s="12"/>
      <c r="BF365" s="12"/>
      <c r="BG365" s="13"/>
      <c r="BK365" s="13"/>
      <c r="BX365" s="12"/>
      <c r="BZ365" s="19"/>
      <c r="CA365" s="43"/>
      <c r="CB365" s="45"/>
      <c r="CC365" s="9"/>
      <c r="CD365" s="10"/>
      <c r="CE365" s="10"/>
      <c r="CF365" s="10"/>
      <c r="CG365" s="10"/>
      <c r="CH365" s="10"/>
      <c r="CI365" s="10"/>
      <c r="CJ365" s="10"/>
      <c r="CK365" s="10"/>
      <c r="CL365" s="10"/>
      <c r="CM365" s="10"/>
      <c r="CN365" s="10"/>
      <c r="CO365" s="11"/>
      <c r="EP365" s="4"/>
      <c r="FK365" s="13"/>
      <c r="FN365" s="12"/>
      <c r="GI365" s="12"/>
      <c r="GK365" s="13"/>
      <c r="GM365" s="12"/>
      <c r="GN365" s="13"/>
      <c r="GR365" s="13"/>
      <c r="HH365" s="14"/>
      <c r="HI365" s="15"/>
      <c r="HJ365" s="16"/>
      <c r="HL365" s="13"/>
      <c r="HP365" s="12"/>
      <c r="HU365" s="13"/>
      <c r="IN365" s="13"/>
      <c r="JD365" s="12"/>
      <c r="JE365" s="13"/>
    </row>
    <row r="366" spans="18:265" ht="18" customHeight="1" x14ac:dyDescent="0.2">
      <c r="R366" s="12"/>
      <c r="S366" s="9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1"/>
      <c r="AE366" s="42"/>
      <c r="AF366" s="43"/>
      <c r="AG366" s="9"/>
      <c r="AH366" s="10"/>
      <c r="AI366" s="10"/>
      <c r="AJ366" s="11"/>
      <c r="AK366" s="10"/>
      <c r="AL366" s="10"/>
      <c r="AM366" s="10"/>
      <c r="AN366" s="10"/>
      <c r="AO366" s="9"/>
      <c r="AP366" s="10"/>
      <c r="AQ366" s="10"/>
      <c r="AR366" s="11"/>
      <c r="AS366" s="85"/>
      <c r="AT366" s="74"/>
      <c r="AU366" s="75"/>
      <c r="AV366" s="85"/>
      <c r="AW366" s="9"/>
      <c r="AX366" s="10"/>
      <c r="AY366" s="10"/>
      <c r="AZ366" s="11"/>
      <c r="BA366" s="141"/>
      <c r="BB366" s="141"/>
      <c r="BC366" s="141"/>
      <c r="BD366" s="141"/>
      <c r="BE366" s="12"/>
      <c r="BF366" s="12"/>
      <c r="BG366" s="13"/>
      <c r="BK366" s="13"/>
      <c r="BX366" s="14"/>
      <c r="BY366" s="15"/>
      <c r="BZ366" s="16"/>
      <c r="CA366" s="43"/>
      <c r="CB366" s="45"/>
      <c r="CC366" s="9"/>
      <c r="CD366" s="10"/>
      <c r="CE366" s="10"/>
      <c r="CF366" s="10"/>
      <c r="CG366" s="10"/>
      <c r="CH366" s="10"/>
      <c r="CI366" s="10"/>
      <c r="CJ366" s="10"/>
      <c r="CK366" s="10"/>
      <c r="CL366" s="10"/>
      <c r="CM366" s="10"/>
      <c r="CN366" s="11"/>
      <c r="CO366" s="13"/>
      <c r="EP366" s="4"/>
      <c r="FK366" s="13"/>
      <c r="FN366" s="12"/>
      <c r="GI366" s="12"/>
      <c r="GK366" s="13"/>
      <c r="GM366" s="14"/>
      <c r="GN366" s="16"/>
      <c r="GO366" s="15"/>
      <c r="GP366" s="15"/>
      <c r="GQ366" s="15"/>
      <c r="GR366" s="16"/>
      <c r="HJ366" s="13"/>
      <c r="HL366" s="13"/>
      <c r="HP366" s="12"/>
      <c r="HU366" s="13"/>
      <c r="IN366" s="13"/>
      <c r="JD366" s="12"/>
      <c r="JE366" s="13"/>
    </row>
    <row r="367" spans="18:265" ht="18" customHeight="1" x14ac:dyDescent="0.25">
      <c r="R367" s="12"/>
      <c r="S367" s="12"/>
      <c r="AD367" s="13"/>
      <c r="AE367" s="42"/>
      <c r="AF367" s="43"/>
      <c r="AG367" s="12"/>
      <c r="AJ367" s="13"/>
      <c r="AK367" s="128"/>
      <c r="AL367" s="99"/>
      <c r="AO367" s="12"/>
      <c r="AP367" s="129"/>
      <c r="AR367" s="13"/>
      <c r="AS367" s="87"/>
      <c r="AT367" s="138"/>
      <c r="AU367" s="88"/>
      <c r="AV367" s="88"/>
      <c r="AX367" s="32"/>
      <c r="AY367" s="32"/>
      <c r="AZ367" s="13"/>
      <c r="BA367" s="49"/>
      <c r="BB367" s="142"/>
      <c r="BC367" s="49"/>
      <c r="BD367" s="49"/>
      <c r="BE367" s="18"/>
      <c r="BF367" s="14"/>
      <c r="BG367" s="16"/>
      <c r="BH367" s="15"/>
      <c r="BI367" s="15"/>
      <c r="BJ367" s="15"/>
      <c r="BK367" s="16"/>
      <c r="BZ367" s="13"/>
      <c r="CA367" s="43"/>
      <c r="CB367" s="45"/>
      <c r="CC367" s="12"/>
      <c r="CN367" s="13"/>
      <c r="CO367" s="13"/>
      <c r="EP367" s="4"/>
      <c r="FK367" s="13"/>
      <c r="FN367" s="12"/>
      <c r="GI367" s="12"/>
      <c r="GK367" s="13"/>
      <c r="GM367" s="14"/>
      <c r="GN367" s="15"/>
      <c r="GO367" s="15"/>
      <c r="GP367" s="15"/>
      <c r="GQ367" s="15"/>
      <c r="GR367" s="16"/>
      <c r="HJ367" s="13"/>
      <c r="HL367" s="13"/>
      <c r="HP367" s="12"/>
      <c r="HU367" s="13"/>
      <c r="IN367" s="13"/>
      <c r="JD367" s="12"/>
      <c r="JE367" s="13"/>
    </row>
    <row r="368" spans="18:265" ht="18" customHeight="1" x14ac:dyDescent="0.2">
      <c r="R368" s="12"/>
      <c r="S368" s="12"/>
      <c r="AD368" s="13"/>
      <c r="AE368" s="42"/>
      <c r="AF368" s="43"/>
      <c r="AG368" s="12"/>
      <c r="AJ368" s="13"/>
      <c r="AO368" s="20"/>
      <c r="AP368" s="21"/>
      <c r="AQ368" s="21"/>
      <c r="AR368" s="22"/>
      <c r="AS368" s="87"/>
      <c r="AT368" s="86"/>
      <c r="AU368" s="88"/>
      <c r="AV368" s="88"/>
      <c r="AX368" s="32"/>
      <c r="AY368" s="32"/>
      <c r="AZ368" s="13"/>
      <c r="BA368" s="49"/>
      <c r="BB368" s="49"/>
      <c r="BC368" s="49"/>
      <c r="BD368" s="49"/>
      <c r="BE368" s="18"/>
      <c r="BF368" s="14"/>
      <c r="BG368" s="15"/>
      <c r="BH368" s="15"/>
      <c r="BI368" s="15"/>
      <c r="BJ368" s="15"/>
      <c r="BK368" s="16"/>
      <c r="BZ368" s="13"/>
      <c r="CA368" s="43"/>
      <c r="CB368" s="45"/>
      <c r="CC368" s="12"/>
      <c r="CN368" s="13"/>
      <c r="CO368" s="13"/>
      <c r="EP368" s="4"/>
      <c r="FK368" s="13"/>
      <c r="FN368" s="12"/>
      <c r="GI368" s="12"/>
      <c r="GK368" s="13"/>
      <c r="GM368" s="9"/>
      <c r="GN368" s="10"/>
      <c r="GO368" s="11"/>
      <c r="HJ368" s="13"/>
      <c r="HL368" s="13"/>
      <c r="HP368" s="14"/>
      <c r="HQ368" s="15"/>
      <c r="HR368" s="15"/>
      <c r="HS368" s="15"/>
      <c r="HT368" s="15"/>
      <c r="HU368" s="16"/>
      <c r="HV368" s="15"/>
      <c r="HW368" s="15"/>
      <c r="HX368" s="15"/>
      <c r="HY368" s="15"/>
      <c r="HZ368" s="15"/>
      <c r="IA368" s="15"/>
      <c r="IB368" s="15"/>
      <c r="IC368" s="15"/>
      <c r="ID368" s="15"/>
      <c r="IE368" s="15"/>
      <c r="IF368" s="15"/>
      <c r="IG368" s="15"/>
      <c r="IH368" s="15"/>
      <c r="II368" s="15"/>
      <c r="IJ368" s="15"/>
      <c r="IK368" s="15"/>
      <c r="IL368" s="15"/>
      <c r="IM368" s="15"/>
      <c r="IN368" s="16"/>
      <c r="JD368" s="12"/>
      <c r="JE368" s="13"/>
    </row>
    <row r="369" spans="18:265" ht="18" customHeight="1" x14ac:dyDescent="0.2">
      <c r="R369" s="12"/>
      <c r="S369" s="12"/>
      <c r="AD369" s="13"/>
      <c r="AE369" s="42"/>
      <c r="AF369" s="43"/>
      <c r="AG369" s="14"/>
      <c r="AH369" s="15"/>
      <c r="AI369" s="15"/>
      <c r="AJ369" s="16"/>
      <c r="AO369" s="14"/>
      <c r="AP369" s="15"/>
      <c r="AQ369" s="15"/>
      <c r="AR369" s="16"/>
      <c r="AS369" s="87"/>
      <c r="AT369" s="76"/>
      <c r="AU369" s="77"/>
      <c r="AV369" s="87"/>
      <c r="AW369" s="14"/>
      <c r="AX369" s="15"/>
      <c r="AY369" s="15"/>
      <c r="AZ369" s="16"/>
      <c r="BA369" s="49"/>
      <c r="BB369" s="49"/>
      <c r="BC369" s="49"/>
      <c r="BD369" s="49"/>
      <c r="BE369" s="18"/>
      <c r="BF369" s="9"/>
      <c r="BG369" s="10"/>
      <c r="BH369" s="11"/>
      <c r="BZ369" s="13"/>
      <c r="CA369" s="43"/>
      <c r="CB369" s="45"/>
      <c r="CC369" s="12"/>
      <c r="CN369" s="13"/>
      <c r="CO369" s="13"/>
      <c r="EP369" s="4"/>
      <c r="FK369" s="13"/>
      <c r="FN369" s="12"/>
      <c r="GI369" s="12"/>
      <c r="GK369" s="13"/>
      <c r="GM369" s="12"/>
      <c r="GO369" s="13"/>
      <c r="HJ369" s="13"/>
      <c r="HL369" s="13"/>
      <c r="JD369" s="12"/>
      <c r="JE369" s="13"/>
    </row>
    <row r="370" spans="18:265" ht="18" customHeight="1" x14ac:dyDescent="0.2">
      <c r="R370" s="12"/>
      <c r="S370" s="12"/>
      <c r="AD370" s="13"/>
      <c r="AE370" s="42"/>
      <c r="AF370" s="43"/>
      <c r="AG370" s="9"/>
      <c r="AH370" s="10"/>
      <c r="AI370" s="10"/>
      <c r="AJ370" s="11"/>
      <c r="AK370" s="139"/>
      <c r="AL370" s="10"/>
      <c r="AM370" s="10"/>
      <c r="AN370" s="10"/>
      <c r="AO370" s="10"/>
      <c r="AP370" s="10"/>
      <c r="AQ370" s="10"/>
      <c r="AR370" s="10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18"/>
      <c r="BF370" s="12"/>
      <c r="BH370" s="13"/>
      <c r="BZ370" s="13"/>
      <c r="CA370" s="43"/>
      <c r="CB370" s="45"/>
      <c r="CC370" s="12"/>
      <c r="CN370" s="13"/>
      <c r="CO370" s="13"/>
      <c r="EP370" s="4"/>
      <c r="FK370" s="13"/>
      <c r="FN370" s="12"/>
      <c r="GI370" s="14"/>
      <c r="GJ370" s="15"/>
      <c r="GK370" s="16"/>
      <c r="GM370" s="14"/>
      <c r="GN370" s="15"/>
      <c r="GO370" s="16"/>
      <c r="HJ370" s="13"/>
      <c r="HL370" s="13"/>
      <c r="JD370" s="12"/>
      <c r="JE370" s="13"/>
    </row>
    <row r="371" spans="18:265" ht="18" customHeight="1" x14ac:dyDescent="0.2">
      <c r="R371" s="12"/>
      <c r="S371" s="12"/>
      <c r="AD371" s="13"/>
      <c r="AE371" s="42"/>
      <c r="AF371" s="43"/>
      <c r="AG371" s="12"/>
      <c r="AJ371" s="13"/>
      <c r="AK371" s="140"/>
      <c r="AL371" s="129"/>
      <c r="AP371" s="129"/>
      <c r="AT371" s="129"/>
      <c r="AX371" s="129"/>
      <c r="BE371" s="18"/>
      <c r="BF371" s="14"/>
      <c r="BG371" s="15"/>
      <c r="BH371" s="16"/>
      <c r="BZ371" s="13"/>
      <c r="CA371" s="125"/>
      <c r="CB371" s="125"/>
      <c r="CC371" s="12"/>
      <c r="CN371" s="13"/>
      <c r="CO371" s="13"/>
      <c r="EP371" s="4"/>
      <c r="FK371" s="13"/>
      <c r="FN371" s="14"/>
      <c r="FO371" s="15"/>
      <c r="FP371" s="15"/>
      <c r="FQ371" s="15"/>
      <c r="FR371" s="15"/>
      <c r="FS371" s="15"/>
      <c r="FT371" s="15"/>
      <c r="FU371" s="15"/>
      <c r="FV371" s="15"/>
      <c r="FW371" s="15"/>
      <c r="FX371" s="15"/>
      <c r="FY371" s="15"/>
      <c r="FZ371" s="15"/>
      <c r="GA371" s="15"/>
      <c r="GB371" s="15"/>
      <c r="GC371" s="15"/>
      <c r="GD371" s="15"/>
      <c r="GE371" s="15"/>
      <c r="GF371" s="15"/>
      <c r="GG371" s="15"/>
      <c r="GH371" s="15"/>
      <c r="GI371" s="15"/>
      <c r="GJ371" s="15"/>
      <c r="GK371" s="16"/>
      <c r="GM371" s="12"/>
      <c r="HJ371" s="13"/>
      <c r="HL371" s="13"/>
      <c r="JD371" s="14"/>
      <c r="JE371" s="16"/>
    </row>
    <row r="372" spans="18:265" ht="18" customHeight="1" x14ac:dyDescent="0.2">
      <c r="R372" s="12"/>
      <c r="S372" s="12"/>
      <c r="AD372" s="13"/>
      <c r="AE372" s="42"/>
      <c r="AF372" s="43"/>
      <c r="AG372" s="12"/>
      <c r="AH372" s="137"/>
      <c r="AI372" s="97"/>
      <c r="AJ372" s="13"/>
      <c r="AK372" s="140"/>
      <c r="AL372" s="129"/>
      <c r="AP372" s="129"/>
      <c r="AT372" s="129"/>
      <c r="AX372" s="129"/>
      <c r="BE372" s="18"/>
      <c r="BZ372" s="13"/>
      <c r="CA372" s="108"/>
      <c r="CB372" s="108"/>
      <c r="CC372" s="12"/>
      <c r="CN372" s="13"/>
      <c r="CO372" s="13"/>
      <c r="EP372" s="4"/>
      <c r="FK372" s="13"/>
      <c r="GM372" s="12"/>
      <c r="HJ372" s="13"/>
      <c r="HL372" s="13"/>
      <c r="JE372" s="5"/>
    </row>
    <row r="373" spans="18:265" ht="18" customHeight="1" x14ac:dyDescent="0.2">
      <c r="R373" s="12"/>
      <c r="S373" s="12"/>
      <c r="AD373" s="13"/>
      <c r="AE373" s="42"/>
      <c r="AF373" s="43"/>
      <c r="AG373" s="12"/>
      <c r="AH373" s="97"/>
      <c r="AI373" s="97"/>
      <c r="AJ373" s="13"/>
      <c r="AK373" s="140"/>
      <c r="BE373" s="18"/>
      <c r="BZ373" s="13"/>
      <c r="CA373" s="108"/>
      <c r="CB373" s="108"/>
      <c r="CC373" s="12"/>
      <c r="CN373" s="13"/>
      <c r="CO373" s="13"/>
      <c r="EP373" s="4"/>
      <c r="FK373" s="13"/>
      <c r="FN373" s="9"/>
      <c r="FO373" s="10"/>
      <c r="FP373" s="10"/>
      <c r="FQ373" s="10"/>
      <c r="FR373" s="10"/>
      <c r="FS373" s="10"/>
      <c r="FT373" s="10"/>
      <c r="FU373" s="10"/>
      <c r="FV373" s="10"/>
      <c r="FW373" s="10"/>
      <c r="FX373" s="10"/>
      <c r="FY373" s="10"/>
      <c r="FZ373" s="10"/>
      <c r="GA373" s="10"/>
      <c r="GB373" s="10"/>
      <c r="GC373" s="10"/>
      <c r="GD373" s="10"/>
      <c r="GE373" s="10"/>
      <c r="GF373" s="10"/>
      <c r="GG373" s="10"/>
      <c r="GH373" s="10"/>
      <c r="GI373" s="10"/>
      <c r="GJ373" s="10"/>
      <c r="GK373" s="11"/>
      <c r="GM373" s="12"/>
      <c r="HJ373" s="13"/>
      <c r="HL373" s="13"/>
      <c r="HM373" s="14"/>
      <c r="HN373" s="15"/>
      <c r="HO373" s="15"/>
      <c r="HP373" s="15"/>
      <c r="HQ373" s="15"/>
      <c r="HR373" s="15"/>
      <c r="HS373" s="15"/>
      <c r="HT373" s="15"/>
      <c r="HU373" s="15"/>
      <c r="HV373" s="15"/>
      <c r="HW373" s="15"/>
      <c r="HX373" s="15"/>
      <c r="HY373" s="15"/>
      <c r="HZ373" s="15"/>
      <c r="IA373" s="15"/>
      <c r="IB373" s="15"/>
      <c r="IC373" s="15"/>
      <c r="JE373" s="5"/>
    </row>
    <row r="374" spans="18:265" ht="18" customHeight="1" x14ac:dyDescent="0.2">
      <c r="R374" s="12"/>
      <c r="S374" s="12"/>
      <c r="AD374" s="13"/>
      <c r="AE374" s="42"/>
      <c r="AF374" s="43"/>
      <c r="AG374" s="12"/>
      <c r="AH374" s="137"/>
      <c r="AI374" s="97"/>
      <c r="AJ374" s="13"/>
      <c r="AK374" s="140"/>
      <c r="BE374" s="24"/>
      <c r="BZ374" s="13"/>
      <c r="CA374" s="108"/>
      <c r="CB374" s="108"/>
      <c r="CC374" s="12"/>
      <c r="CN374" s="13"/>
      <c r="CO374" s="13"/>
      <c r="EP374" s="4"/>
      <c r="FL374" s="12"/>
      <c r="FN374" s="12"/>
      <c r="GK374" s="13"/>
      <c r="GM374" s="12"/>
      <c r="HJ374" s="13"/>
      <c r="HL374" s="13"/>
      <c r="IC374" s="13"/>
      <c r="JE374" s="5"/>
    </row>
    <row r="375" spans="18:265" ht="18" customHeight="1" x14ac:dyDescent="0.2">
      <c r="R375" s="12"/>
      <c r="S375" s="12"/>
      <c r="AD375" s="13"/>
      <c r="AE375" s="42"/>
      <c r="AF375" s="43"/>
      <c r="AG375" s="12"/>
      <c r="AH375" s="97"/>
      <c r="AI375" s="97"/>
      <c r="AJ375" s="13"/>
      <c r="AK375" s="140"/>
      <c r="BE375" s="24"/>
      <c r="BZ375" s="13"/>
      <c r="CA375" s="108"/>
      <c r="CB375" s="108"/>
      <c r="CC375" s="12"/>
      <c r="CN375" s="13"/>
      <c r="CO375" s="13"/>
      <c r="EP375" s="4"/>
      <c r="FL375" s="12"/>
      <c r="FN375" s="12"/>
      <c r="GK375" s="13"/>
      <c r="GM375" s="12"/>
      <c r="HJ375" s="13"/>
      <c r="HL375" s="13"/>
      <c r="HM375" s="9"/>
      <c r="HN375" s="10"/>
      <c r="HO375" s="10"/>
      <c r="HP375" s="10"/>
      <c r="HQ375" s="10"/>
      <c r="HR375" s="10"/>
      <c r="HS375" s="10"/>
      <c r="HT375" s="10"/>
      <c r="HU375" s="10"/>
      <c r="HV375" s="10"/>
      <c r="HW375" s="10"/>
      <c r="HX375" s="10"/>
      <c r="HY375" s="10"/>
      <c r="HZ375" s="10"/>
      <c r="IA375" s="10"/>
      <c r="IB375" s="11"/>
      <c r="IC375" s="13"/>
      <c r="JE375" s="5"/>
    </row>
    <row r="376" spans="18:265" ht="18" customHeight="1" x14ac:dyDescent="0.2">
      <c r="R376" s="12"/>
      <c r="S376" s="12"/>
      <c r="AD376" s="13"/>
      <c r="AE376" s="42"/>
      <c r="AF376" s="43"/>
      <c r="AG376" s="12"/>
      <c r="AH376" s="128"/>
      <c r="AJ376" s="13"/>
      <c r="AK376" s="140"/>
      <c r="BE376" s="24"/>
      <c r="BZ376" s="13"/>
      <c r="CA376" s="126"/>
      <c r="CB376" s="126"/>
      <c r="CC376" s="12"/>
      <c r="CN376" s="13"/>
      <c r="CO376" s="13"/>
      <c r="EP376" s="4"/>
      <c r="FL376" s="12"/>
      <c r="FN376" s="12"/>
      <c r="GK376" s="13"/>
      <c r="GM376" s="12"/>
      <c r="HJ376" s="13"/>
      <c r="HL376" s="13"/>
      <c r="HM376" s="12"/>
      <c r="IB376" s="13"/>
      <c r="IC376" s="13"/>
      <c r="JE376" s="5"/>
    </row>
    <row r="377" spans="18:265" ht="18" customHeight="1" x14ac:dyDescent="0.2">
      <c r="R377" s="12"/>
      <c r="S377" s="12"/>
      <c r="AD377" s="13"/>
      <c r="AE377" s="42"/>
      <c r="AF377" s="43"/>
      <c r="AG377" s="14"/>
      <c r="AH377" s="15"/>
      <c r="AI377" s="15"/>
      <c r="AJ377" s="16"/>
      <c r="AK377" s="140"/>
      <c r="BE377" s="24"/>
      <c r="BZ377" s="13"/>
      <c r="CA377" s="43"/>
      <c r="CB377" s="45"/>
      <c r="CC377" s="12"/>
      <c r="CN377" s="13"/>
      <c r="CO377" s="13"/>
      <c r="EP377" s="4"/>
      <c r="FL377" s="12"/>
      <c r="FN377" s="12"/>
      <c r="FR377" s="9"/>
      <c r="FS377" s="10"/>
      <c r="FT377" s="10"/>
      <c r="FU377" s="10"/>
      <c r="FV377" s="10"/>
      <c r="FW377" s="10"/>
      <c r="FX377" s="10"/>
      <c r="FY377" s="10"/>
      <c r="FZ377" s="10"/>
      <c r="GA377" s="10"/>
      <c r="GB377" s="10"/>
      <c r="GC377" s="10"/>
      <c r="GD377" s="10"/>
      <c r="GE377" s="10"/>
      <c r="GF377" s="10"/>
      <c r="GG377" s="10"/>
      <c r="GH377" s="10"/>
      <c r="GI377" s="10"/>
      <c r="GJ377" s="10"/>
      <c r="GK377" s="10"/>
      <c r="GL377" s="10"/>
      <c r="HJ377" s="13"/>
      <c r="HL377" s="13"/>
      <c r="HM377" s="12"/>
      <c r="IB377" s="13"/>
      <c r="IC377" s="13"/>
      <c r="JE377" s="5"/>
    </row>
    <row r="378" spans="18:265" ht="18" customHeight="1" x14ac:dyDescent="0.2">
      <c r="R378" s="12"/>
      <c r="S378" s="12"/>
      <c r="AD378" s="13"/>
      <c r="AE378" s="42"/>
      <c r="AF378" s="43"/>
      <c r="AG378" s="9"/>
      <c r="AH378" s="10"/>
      <c r="AI378" s="10"/>
      <c r="AJ378" s="11"/>
      <c r="AK378" s="10"/>
      <c r="AL378" s="10"/>
      <c r="AM378" s="10"/>
      <c r="AN378" s="10"/>
      <c r="AO378" s="9"/>
      <c r="AP378" s="10"/>
      <c r="AQ378" s="10"/>
      <c r="AR378" s="10"/>
      <c r="AS378" s="133"/>
      <c r="AT378" s="134"/>
      <c r="AU378" s="134"/>
      <c r="AV378" s="135"/>
      <c r="BE378" s="24"/>
      <c r="BZ378" s="13"/>
      <c r="CA378" s="43"/>
      <c r="CB378" s="45"/>
      <c r="CC378" s="12"/>
      <c r="CN378" s="13"/>
      <c r="CO378" s="13"/>
      <c r="EP378" s="4"/>
      <c r="FL378" s="17"/>
      <c r="FM378" s="17"/>
      <c r="FN378" s="12"/>
      <c r="FR378" s="12"/>
      <c r="HJ378" s="13"/>
      <c r="HK378" s="17"/>
      <c r="HL378" s="17"/>
      <c r="HM378" s="12"/>
      <c r="IB378" s="13"/>
      <c r="IC378" s="13"/>
      <c r="JE378" s="5"/>
    </row>
    <row r="379" spans="18:265" ht="18" customHeight="1" x14ac:dyDescent="0.25">
      <c r="R379" s="12"/>
      <c r="S379" s="12"/>
      <c r="AD379" s="13"/>
      <c r="AE379" s="42"/>
      <c r="AF379" s="43"/>
      <c r="AG379" s="12"/>
      <c r="AJ379" s="13"/>
      <c r="AK379" s="128"/>
      <c r="AL379" s="99"/>
      <c r="AO379" s="12"/>
      <c r="AP379" s="129"/>
      <c r="AS379" s="86"/>
      <c r="AT379" s="136"/>
      <c r="AU379" s="87"/>
      <c r="AV379" s="88"/>
      <c r="AW379" s="9"/>
      <c r="AX379" s="10"/>
      <c r="AY379" s="11"/>
      <c r="BE379" s="24"/>
      <c r="BZ379" s="13"/>
      <c r="CA379" s="43"/>
      <c r="CB379" s="45"/>
      <c r="CC379" s="12"/>
      <c r="CN379" s="13"/>
      <c r="CO379" s="13"/>
      <c r="EP379" s="4"/>
      <c r="FL379" s="18"/>
      <c r="FM379" s="18"/>
      <c r="FN379" s="12"/>
      <c r="FO379" s="9"/>
      <c r="FP379" s="11"/>
      <c r="FR379" s="12"/>
      <c r="HJ379" s="13"/>
      <c r="HK379" s="18"/>
      <c r="HL379" s="18"/>
      <c r="HM379" s="12"/>
      <c r="HQ379" s="9"/>
      <c r="HR379" s="10"/>
      <c r="HS379" s="10"/>
      <c r="HT379" s="10"/>
      <c r="HU379" s="10"/>
      <c r="HV379" s="10"/>
      <c r="HW379" s="10"/>
      <c r="HX379" s="11"/>
      <c r="IB379" s="13"/>
      <c r="IC379" s="13"/>
      <c r="ID379" s="9"/>
      <c r="IE379" s="10"/>
      <c r="IF379" s="10"/>
      <c r="IG379" s="10"/>
      <c r="IH379" s="10"/>
      <c r="II379" s="10"/>
      <c r="IJ379" s="10"/>
      <c r="IK379" s="10"/>
      <c r="IL379" s="10"/>
      <c r="IM379" s="10"/>
      <c r="IN379" s="10"/>
      <c r="IO379" s="10"/>
      <c r="IP379" s="10"/>
      <c r="IQ379" s="10"/>
      <c r="IR379" s="10"/>
      <c r="IS379" s="10"/>
      <c r="IT379" s="10"/>
      <c r="IU379" s="10"/>
      <c r="IV379" s="10"/>
      <c r="IW379" s="10"/>
      <c r="IX379" s="10"/>
      <c r="IY379" s="10"/>
      <c r="IZ379" s="10"/>
      <c r="JA379" s="10"/>
      <c r="JB379" s="10"/>
      <c r="JC379" s="10"/>
      <c r="JD379" s="9"/>
      <c r="JE379" s="11"/>
    </row>
    <row r="380" spans="18:265" ht="18" customHeight="1" x14ac:dyDescent="0.2">
      <c r="R380" s="12"/>
      <c r="S380" s="12"/>
      <c r="AD380" s="13"/>
      <c r="AE380" s="42"/>
      <c r="AF380" s="43"/>
      <c r="AG380" s="12"/>
      <c r="AJ380" s="13"/>
      <c r="AO380" s="12"/>
      <c r="AS380" s="86"/>
      <c r="AT380" s="87"/>
      <c r="AU380" s="87"/>
      <c r="AV380" s="88"/>
      <c r="AW380" s="12"/>
      <c r="AX380" s="131"/>
      <c r="AY380" s="13"/>
      <c r="BE380" s="24"/>
      <c r="BZ380" s="13"/>
      <c r="CA380" s="43"/>
      <c r="CB380" s="45"/>
      <c r="CC380" s="12"/>
      <c r="CN380" s="13"/>
      <c r="CO380" s="13"/>
      <c r="EP380" s="4"/>
      <c r="FL380" s="18"/>
      <c r="FM380" s="18"/>
      <c r="FN380" s="12"/>
      <c r="FO380" s="12"/>
      <c r="FP380" s="13"/>
      <c r="FR380" s="12"/>
      <c r="HJ380" s="13"/>
      <c r="HK380" s="18"/>
      <c r="HL380" s="18"/>
      <c r="HM380" s="12"/>
      <c r="HQ380" s="12"/>
      <c r="HX380" s="13"/>
      <c r="IB380" s="13"/>
      <c r="IC380" s="13"/>
      <c r="ID380" s="12"/>
      <c r="JD380" s="12"/>
      <c r="JE380" s="13"/>
    </row>
    <row r="381" spans="18:265" ht="18" customHeight="1" x14ac:dyDescent="0.2">
      <c r="R381" s="12"/>
      <c r="S381" s="12"/>
      <c r="AD381" s="13"/>
      <c r="AE381" s="42"/>
      <c r="AF381" s="43"/>
      <c r="AG381" s="14"/>
      <c r="AH381" s="15"/>
      <c r="AI381" s="15"/>
      <c r="AJ381" s="16"/>
      <c r="AO381" s="14"/>
      <c r="AP381" s="15"/>
      <c r="AQ381" s="15"/>
      <c r="AS381" s="76"/>
      <c r="AT381" s="89"/>
      <c r="AU381" s="89"/>
      <c r="AV381" s="77"/>
      <c r="AW381" s="14"/>
      <c r="AX381" s="15"/>
      <c r="AY381" s="16"/>
      <c r="AZ381" s="15"/>
      <c r="BA381" s="15"/>
      <c r="BB381" s="15"/>
      <c r="BC381" s="15"/>
      <c r="BD381" s="15"/>
      <c r="BE381" s="25"/>
      <c r="BF381" s="15"/>
      <c r="BG381" s="15"/>
      <c r="BH381" s="15"/>
      <c r="BI381" s="15"/>
      <c r="BP381" s="15"/>
      <c r="BQ381" s="15"/>
      <c r="BR381" s="15"/>
      <c r="BS381" s="15"/>
      <c r="BT381" s="15"/>
      <c r="BU381" s="15"/>
      <c r="BV381" s="15"/>
      <c r="BW381" s="15"/>
      <c r="BX381" s="15"/>
      <c r="BY381" s="15"/>
      <c r="BZ381" s="16"/>
      <c r="CA381" s="43"/>
      <c r="CB381" s="45"/>
      <c r="CC381" s="12"/>
      <c r="CN381" s="13"/>
      <c r="CO381" s="13"/>
      <c r="EP381" s="4"/>
      <c r="FL381" s="18"/>
      <c r="FM381" s="18"/>
      <c r="FN381" s="12"/>
      <c r="FO381" s="12"/>
      <c r="FP381" s="13"/>
      <c r="FR381" s="12"/>
      <c r="HJ381" s="13"/>
      <c r="HK381" s="18"/>
      <c r="HL381" s="18"/>
      <c r="HM381" s="12"/>
      <c r="HQ381" s="12"/>
      <c r="HX381" s="13"/>
      <c r="IB381" s="13"/>
      <c r="IC381" s="13"/>
      <c r="ID381" s="12"/>
      <c r="JD381" s="12"/>
      <c r="JE381" s="13"/>
    </row>
    <row r="382" spans="18:265" ht="18" customHeight="1" x14ac:dyDescent="0.2">
      <c r="R382" s="12"/>
      <c r="S382" s="12"/>
      <c r="AD382" s="13"/>
      <c r="AE382" s="42"/>
      <c r="AF382" s="43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3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3"/>
      <c r="BR382" s="43"/>
      <c r="BS382" s="43"/>
      <c r="BT382" s="70"/>
      <c r="BU382" s="92"/>
      <c r="BV382" s="92"/>
      <c r="BW382" s="92"/>
      <c r="BX382" s="92"/>
      <c r="BY382" s="71"/>
      <c r="BZ382" s="43"/>
      <c r="CA382" s="43"/>
      <c r="CB382" s="45"/>
      <c r="CC382" s="12"/>
      <c r="CN382" s="13"/>
      <c r="CO382" s="13"/>
      <c r="EP382" s="4"/>
      <c r="FL382" s="18"/>
      <c r="FM382" s="18"/>
      <c r="FN382" s="12"/>
      <c r="FO382" s="14"/>
      <c r="FP382" s="16"/>
      <c r="FR382" s="12"/>
      <c r="HJ382" s="13"/>
      <c r="HK382" s="18"/>
      <c r="HL382" s="18"/>
      <c r="HM382" s="12"/>
      <c r="HQ382" s="12"/>
      <c r="HX382" s="13"/>
      <c r="IB382" s="13"/>
      <c r="IC382" s="13"/>
      <c r="ID382" s="12"/>
      <c r="JD382" s="12"/>
      <c r="JE382" s="13"/>
    </row>
    <row r="383" spans="18:265" ht="18" customHeight="1" x14ac:dyDescent="0.2">
      <c r="R383" s="12"/>
      <c r="S383" s="12"/>
      <c r="AD383" s="13"/>
      <c r="AE383" s="42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107"/>
      <c r="BU383" s="127"/>
      <c r="BV383" s="127"/>
      <c r="BW383" s="127"/>
      <c r="BX383" s="127"/>
      <c r="BY383" s="90"/>
      <c r="BZ383" s="43"/>
      <c r="CA383" s="43"/>
      <c r="CB383" s="45"/>
      <c r="CC383" s="12"/>
      <c r="CN383" s="13"/>
      <c r="CO383" s="13"/>
      <c r="EP383" s="4"/>
      <c r="FL383" s="19"/>
      <c r="FM383" s="19"/>
      <c r="FN383" s="12"/>
      <c r="FR383" s="12"/>
      <c r="HJ383" s="13"/>
      <c r="HK383" s="19"/>
      <c r="HL383" s="19"/>
      <c r="HM383" s="12"/>
      <c r="HQ383" s="12"/>
      <c r="HX383" s="13"/>
      <c r="IB383" s="13"/>
      <c r="IC383" s="13"/>
      <c r="ID383" s="12"/>
      <c r="JD383" s="12"/>
      <c r="JE383" s="13"/>
    </row>
    <row r="384" spans="18:265" ht="18" customHeight="1" x14ac:dyDescent="0.2">
      <c r="R384" s="12"/>
      <c r="S384" s="12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  <c r="BB384" s="10"/>
      <c r="BC384" s="10"/>
      <c r="BD384" s="10"/>
      <c r="BE384" s="10"/>
      <c r="BF384" s="10"/>
      <c r="BG384" s="10"/>
      <c r="BH384" s="10"/>
      <c r="BI384" s="10"/>
      <c r="BJ384" s="10"/>
      <c r="BK384" s="10"/>
      <c r="BL384" s="10"/>
      <c r="BM384" s="10"/>
      <c r="BN384" s="10"/>
      <c r="BO384" s="10"/>
      <c r="BP384" s="10"/>
      <c r="BQ384" s="10"/>
      <c r="BR384" s="10"/>
      <c r="BS384" s="10"/>
      <c r="BT384" s="10"/>
      <c r="BU384" s="10"/>
      <c r="BV384" s="10"/>
      <c r="BW384" s="10"/>
      <c r="BX384" s="10"/>
      <c r="BY384" s="10"/>
      <c r="BZ384" s="10"/>
      <c r="CA384" s="10"/>
      <c r="CB384" s="10"/>
      <c r="CN384" s="13"/>
      <c r="CO384" s="13"/>
      <c r="EP384" s="4"/>
      <c r="FL384" s="12"/>
      <c r="FN384" s="12"/>
      <c r="FR384" s="14"/>
      <c r="FS384" s="15"/>
      <c r="FT384" s="15"/>
      <c r="FU384" s="15"/>
      <c r="FV384" s="15"/>
      <c r="FW384" s="15"/>
      <c r="FX384" s="15"/>
      <c r="FY384" s="15"/>
      <c r="FZ384" s="15"/>
      <c r="GA384" s="15"/>
      <c r="GB384" s="15"/>
      <c r="GC384" s="15"/>
      <c r="GD384" s="15"/>
      <c r="GE384" s="15"/>
      <c r="GF384" s="15"/>
      <c r="GG384" s="15"/>
      <c r="GH384" s="15"/>
      <c r="GI384" s="15"/>
      <c r="GJ384" s="15"/>
      <c r="GK384" s="15"/>
      <c r="GL384" s="15"/>
      <c r="HJ384" s="13"/>
      <c r="HL384" s="13"/>
      <c r="HM384" s="12"/>
      <c r="HQ384" s="12"/>
      <c r="HX384" s="13"/>
      <c r="IB384" s="13"/>
      <c r="IC384" s="13"/>
      <c r="ID384" s="12"/>
      <c r="JD384" s="12"/>
      <c r="JE384" s="13"/>
    </row>
    <row r="385" spans="18:265" ht="18" customHeight="1" x14ac:dyDescent="0.2">
      <c r="R385" s="12"/>
      <c r="S385" s="12"/>
      <c r="CN385" s="13"/>
      <c r="CO385" s="13"/>
      <c r="EP385" s="4"/>
      <c r="FL385" s="12"/>
      <c r="FN385" s="12"/>
      <c r="GK385" s="13"/>
      <c r="GM385" s="12"/>
      <c r="HJ385" s="13"/>
      <c r="HL385" s="13"/>
      <c r="HM385" s="12"/>
      <c r="HQ385" s="12"/>
      <c r="HX385" s="13"/>
      <c r="IB385" s="13"/>
      <c r="IC385" s="13"/>
      <c r="ID385" s="12"/>
      <c r="JD385" s="12"/>
      <c r="JE385" s="13"/>
    </row>
    <row r="386" spans="18:265" ht="18" customHeight="1" x14ac:dyDescent="0.2">
      <c r="R386" s="12"/>
      <c r="S386" s="12"/>
      <c r="CN386" s="13"/>
      <c r="CO386" s="13"/>
      <c r="EP386" s="4"/>
      <c r="FL386" s="12"/>
      <c r="FN386" s="12"/>
      <c r="GK386" s="13"/>
      <c r="GM386" s="12"/>
      <c r="HJ386" s="13"/>
      <c r="HL386" s="13"/>
      <c r="HM386" s="12"/>
      <c r="HQ386" s="14"/>
      <c r="HR386" s="15"/>
      <c r="HS386" s="15"/>
      <c r="HT386" s="15"/>
      <c r="HU386" s="15"/>
      <c r="HV386" s="15"/>
      <c r="HW386" s="15"/>
      <c r="HX386" s="16"/>
      <c r="IB386" s="13"/>
      <c r="IC386" s="13"/>
      <c r="ID386" s="14"/>
      <c r="IE386" s="15"/>
      <c r="IF386" s="15"/>
      <c r="IG386" s="15"/>
      <c r="IH386" s="15"/>
      <c r="II386" s="15"/>
      <c r="IJ386" s="15"/>
      <c r="IK386" s="15"/>
      <c r="IL386" s="15"/>
      <c r="IM386" s="15"/>
      <c r="IN386" s="15"/>
      <c r="IO386" s="15"/>
      <c r="IP386" s="15"/>
      <c r="IQ386" s="15"/>
      <c r="IR386" s="15"/>
      <c r="IS386" s="15"/>
      <c r="IT386" s="15"/>
      <c r="IU386" s="15"/>
      <c r="IV386" s="15"/>
      <c r="IW386" s="15"/>
      <c r="IX386" s="15"/>
      <c r="IY386" s="15"/>
      <c r="IZ386" s="15"/>
      <c r="JA386" s="15"/>
      <c r="JB386" s="15"/>
      <c r="JC386" s="15"/>
      <c r="JD386" s="14"/>
      <c r="JE386" s="16"/>
    </row>
    <row r="387" spans="18:265" ht="18" customHeight="1" x14ac:dyDescent="0.2">
      <c r="R387" s="12"/>
      <c r="S387" s="12"/>
      <c r="CN387" s="13"/>
      <c r="CO387" s="13"/>
      <c r="EP387" s="4"/>
      <c r="FL387" s="12"/>
      <c r="FN387" s="12"/>
      <c r="GK387" s="13"/>
      <c r="GM387" s="12"/>
      <c r="HJ387" s="13"/>
      <c r="HL387" s="13"/>
      <c r="HM387" s="12"/>
      <c r="IB387" s="13"/>
      <c r="IC387" s="13"/>
      <c r="JE387" s="5"/>
    </row>
    <row r="388" spans="18:265" ht="18" customHeight="1" x14ac:dyDescent="0.2">
      <c r="R388" s="12"/>
      <c r="S388" s="12"/>
      <c r="CN388" s="13"/>
      <c r="CO388" s="13"/>
      <c r="EP388" s="4"/>
      <c r="FL388" s="12"/>
      <c r="FN388" s="14"/>
      <c r="FO388" s="15"/>
      <c r="FP388" s="15"/>
      <c r="FQ388" s="15"/>
      <c r="FR388" s="15"/>
      <c r="FS388" s="15"/>
      <c r="FT388" s="15"/>
      <c r="FU388" s="15"/>
      <c r="FV388" s="15"/>
      <c r="FW388" s="15"/>
      <c r="FX388" s="15"/>
      <c r="FY388" s="15"/>
      <c r="FZ388" s="15"/>
      <c r="GA388" s="15"/>
      <c r="GB388" s="15"/>
      <c r="GC388" s="15"/>
      <c r="GD388" s="15"/>
      <c r="GE388" s="15"/>
      <c r="GF388" s="15"/>
      <c r="GG388" s="15"/>
      <c r="GH388" s="15"/>
      <c r="GI388" s="15"/>
      <c r="GJ388" s="15"/>
      <c r="GK388" s="16"/>
      <c r="GM388" s="14"/>
      <c r="GN388" s="15"/>
      <c r="GO388" s="15"/>
      <c r="GP388" s="15"/>
      <c r="GQ388" s="15"/>
      <c r="GR388" s="15"/>
      <c r="GS388" s="15"/>
      <c r="GT388" s="15"/>
      <c r="GU388" s="15"/>
      <c r="GV388" s="15"/>
      <c r="GW388" s="15"/>
      <c r="GX388" s="15"/>
      <c r="GY388" s="15"/>
      <c r="GZ388" s="15"/>
      <c r="HA388" s="15"/>
      <c r="HB388" s="15"/>
      <c r="HC388" s="15"/>
      <c r="HD388" s="15"/>
      <c r="HE388" s="15"/>
      <c r="HF388" s="15"/>
      <c r="HG388" s="15"/>
      <c r="HH388" s="15"/>
      <c r="HI388" s="15"/>
      <c r="HJ388" s="16"/>
      <c r="HL388" s="13"/>
      <c r="HM388" s="12"/>
      <c r="IB388" s="13"/>
      <c r="IC388" s="13"/>
      <c r="JE388" s="5"/>
    </row>
    <row r="389" spans="18:265" ht="18" customHeight="1" x14ac:dyDescent="0.2">
      <c r="R389" s="12"/>
      <c r="S389" s="12"/>
      <c r="CN389" s="13"/>
      <c r="CO389" s="13"/>
      <c r="EP389" s="4"/>
      <c r="FL389" s="12"/>
      <c r="GR389" s="20"/>
      <c r="GS389" s="21"/>
      <c r="GT389" s="21"/>
      <c r="GU389" s="21"/>
      <c r="GV389" s="21"/>
      <c r="GW389" s="22"/>
      <c r="HD389" s="127"/>
      <c r="HE389" s="127"/>
      <c r="HF389" s="127"/>
      <c r="HG389" s="127"/>
      <c r="HH389" s="127"/>
      <c r="HI389" s="127"/>
      <c r="HL389" s="13"/>
      <c r="HM389" s="12"/>
      <c r="IB389" s="13"/>
      <c r="IC389" s="13"/>
      <c r="JE389" s="5"/>
    </row>
    <row r="390" spans="18:265" ht="18" customHeight="1" x14ac:dyDescent="0.2">
      <c r="R390" s="12"/>
      <c r="S390" s="12"/>
      <c r="CN390" s="13"/>
      <c r="CO390" s="13"/>
      <c r="EP390" s="4"/>
      <c r="FL390" s="14"/>
      <c r="FM390" s="15"/>
      <c r="FN390" s="15"/>
      <c r="FO390" s="15"/>
      <c r="FP390" s="15"/>
      <c r="FQ390" s="15"/>
      <c r="FR390" s="15"/>
      <c r="FS390" s="15"/>
      <c r="FT390" s="15"/>
      <c r="FU390" s="15"/>
      <c r="FW390" s="15"/>
      <c r="FX390" s="15"/>
      <c r="FZ390" s="15"/>
      <c r="GB390" s="15"/>
      <c r="GC390" s="15"/>
      <c r="GJ390" s="15"/>
      <c r="GK390" s="15"/>
      <c r="GL390" s="15"/>
      <c r="GM390" s="15"/>
      <c r="GN390" s="15"/>
      <c r="GO390" s="15"/>
      <c r="GP390" s="15"/>
      <c r="GQ390" s="15"/>
      <c r="GR390" s="20"/>
      <c r="GS390" s="21"/>
      <c r="GT390" s="21"/>
      <c r="GU390" s="21"/>
      <c r="GV390" s="21"/>
      <c r="GW390" s="22"/>
      <c r="GX390" s="15"/>
      <c r="GY390" s="15"/>
      <c r="GZ390" s="15"/>
      <c r="HA390" s="15"/>
      <c r="HB390" s="15"/>
      <c r="HC390" s="15"/>
      <c r="HD390" s="100"/>
      <c r="HE390" s="100"/>
      <c r="HF390" s="100"/>
      <c r="HG390" s="100"/>
      <c r="HH390" s="100"/>
      <c r="HI390" s="100"/>
      <c r="HJ390" s="15"/>
      <c r="HK390" s="15"/>
      <c r="HL390" s="16"/>
      <c r="HM390" s="14"/>
      <c r="HN390" s="15"/>
      <c r="HO390" s="15"/>
      <c r="HP390" s="15"/>
      <c r="HQ390" s="15"/>
      <c r="HR390" s="15"/>
      <c r="HS390" s="15"/>
      <c r="HT390" s="15"/>
      <c r="HU390" s="15"/>
      <c r="HV390" s="15"/>
      <c r="HW390" s="15"/>
      <c r="HX390" s="15"/>
      <c r="HY390" s="15"/>
      <c r="HZ390" s="15"/>
      <c r="IA390" s="15"/>
      <c r="IB390" s="16"/>
      <c r="IC390" s="13"/>
      <c r="JE390" s="5"/>
    </row>
    <row r="391" spans="18:265" ht="18" customHeight="1" x14ac:dyDescent="0.2">
      <c r="R391" s="12"/>
      <c r="S391" s="12"/>
      <c r="CN391" s="13"/>
      <c r="CO391" s="13"/>
      <c r="EP391" s="4"/>
      <c r="FV391" s="10"/>
      <c r="FY391" s="10"/>
      <c r="GA391" s="10"/>
      <c r="GD391" s="10"/>
      <c r="GE391" s="10"/>
      <c r="GF391" s="9"/>
      <c r="GG391" s="9"/>
      <c r="GH391" s="10"/>
      <c r="GI391" s="10"/>
      <c r="GJ391" s="10"/>
      <c r="GK391" s="10"/>
      <c r="GL391" s="10"/>
      <c r="GW391" s="9"/>
      <c r="GX391" s="10"/>
      <c r="GY391" s="10"/>
      <c r="GZ391" s="10"/>
      <c r="HA391" s="10"/>
      <c r="HB391" s="10"/>
      <c r="HC391" s="10"/>
      <c r="HD391" s="10"/>
      <c r="HE391" s="10"/>
      <c r="HF391" s="10"/>
      <c r="HG391" s="10"/>
      <c r="HH391" s="10"/>
      <c r="HI391" s="10"/>
      <c r="HJ391" s="10"/>
      <c r="HK391" s="10"/>
      <c r="HL391" s="11"/>
      <c r="HM391" s="9"/>
      <c r="HN391" s="10"/>
      <c r="HO391" s="10"/>
      <c r="HP391" s="10"/>
      <c r="HQ391" s="10"/>
      <c r="HR391" s="10"/>
      <c r="HS391" s="10"/>
      <c r="HT391" s="10"/>
      <c r="HU391" s="10"/>
      <c r="HV391" s="10"/>
      <c r="HW391" s="10"/>
      <c r="HX391" s="10"/>
      <c r="HY391" s="10"/>
      <c r="HZ391" s="10"/>
      <c r="IA391" s="10"/>
      <c r="IB391" s="11"/>
      <c r="IC391" s="13"/>
      <c r="JE391" s="5"/>
    </row>
    <row r="392" spans="18:265" ht="18" customHeight="1" x14ac:dyDescent="0.2">
      <c r="R392" s="12"/>
      <c r="S392" s="12"/>
      <c r="CN392" s="13"/>
      <c r="CO392" s="13"/>
      <c r="EP392" s="4"/>
      <c r="GF392" s="12"/>
      <c r="GG392" s="12"/>
      <c r="GW392" s="12"/>
      <c r="HL392" s="13"/>
      <c r="HM392" s="12"/>
      <c r="IB392" s="13"/>
      <c r="IC392" s="13"/>
      <c r="JE392" s="5"/>
    </row>
    <row r="393" spans="18:265" ht="18" customHeight="1" x14ac:dyDescent="0.2">
      <c r="R393" s="12"/>
      <c r="S393" s="12"/>
      <c r="CN393" s="13"/>
      <c r="CO393" s="13"/>
      <c r="EP393" s="4"/>
      <c r="GF393" s="12"/>
      <c r="GG393" s="12"/>
      <c r="GW393" s="12"/>
      <c r="HL393" s="13"/>
      <c r="HM393" s="12"/>
      <c r="IB393" s="13"/>
      <c r="IC393" s="13"/>
      <c r="JE393" s="5"/>
    </row>
    <row r="394" spans="18:265" ht="18" customHeight="1" x14ac:dyDescent="0.2">
      <c r="R394" s="12"/>
      <c r="S394" s="12"/>
      <c r="CN394" s="13"/>
      <c r="CO394" s="13"/>
      <c r="EP394" s="4"/>
      <c r="GF394" s="12"/>
      <c r="GG394" s="12"/>
      <c r="GW394" s="12"/>
      <c r="HL394" s="13"/>
      <c r="HM394" s="12"/>
      <c r="IB394" s="13"/>
      <c r="IC394" s="13"/>
      <c r="JE394" s="5"/>
    </row>
    <row r="395" spans="18:265" ht="18" customHeight="1" x14ac:dyDescent="0.2">
      <c r="R395" s="12"/>
      <c r="S395" s="12"/>
      <c r="CN395" s="13"/>
      <c r="CO395" s="13"/>
      <c r="EP395" s="4"/>
      <c r="GF395" s="12"/>
      <c r="GG395" s="12"/>
      <c r="GK395" s="9"/>
      <c r="GL395" s="10"/>
      <c r="GM395" s="10"/>
      <c r="GN395" s="10"/>
      <c r="GO395" s="10"/>
      <c r="GP395" s="10"/>
      <c r="GQ395" s="10"/>
      <c r="GR395" s="11"/>
      <c r="GW395" s="12"/>
      <c r="HA395" s="9"/>
      <c r="HB395" s="10"/>
      <c r="HC395" s="10"/>
      <c r="HD395" s="10"/>
      <c r="HE395" s="10"/>
      <c r="HF395" s="10"/>
      <c r="HG395" s="10"/>
      <c r="HH395" s="11"/>
      <c r="HL395" s="13"/>
      <c r="HM395" s="12"/>
      <c r="HQ395" s="9"/>
      <c r="HR395" s="10"/>
      <c r="HS395" s="10"/>
      <c r="HT395" s="10"/>
      <c r="HU395" s="10"/>
      <c r="HV395" s="10"/>
      <c r="HW395" s="10"/>
      <c r="HX395" s="11"/>
      <c r="IB395" s="13"/>
      <c r="IC395" s="13"/>
      <c r="JE395" s="5"/>
    </row>
    <row r="396" spans="18:265" ht="18" customHeight="1" x14ac:dyDescent="0.2">
      <c r="R396" s="12"/>
      <c r="S396" s="12"/>
      <c r="CN396" s="13"/>
      <c r="CO396" s="13"/>
      <c r="EP396" s="4"/>
      <c r="GF396" s="12"/>
      <c r="GG396" s="12"/>
      <c r="GK396" s="12"/>
      <c r="GR396" s="13"/>
      <c r="GW396" s="12"/>
      <c r="HA396" s="12"/>
      <c r="HH396" s="13"/>
      <c r="HL396" s="13"/>
      <c r="HM396" s="12"/>
      <c r="HQ396" s="12"/>
      <c r="HX396" s="13"/>
      <c r="IB396" s="13"/>
      <c r="IC396" s="13"/>
      <c r="JE396" s="5"/>
    </row>
    <row r="397" spans="18:265" ht="18" customHeight="1" x14ac:dyDescent="0.2">
      <c r="R397" s="12"/>
      <c r="S397" s="12"/>
      <c r="CN397" s="13"/>
      <c r="CO397" s="13"/>
      <c r="EP397" s="4"/>
      <c r="GF397" s="12"/>
      <c r="GG397" s="12"/>
      <c r="GK397" s="12"/>
      <c r="GR397" s="13"/>
      <c r="GW397" s="12"/>
      <c r="HA397" s="12"/>
      <c r="HH397" s="13"/>
      <c r="HL397" s="13"/>
      <c r="HM397" s="12"/>
      <c r="HQ397" s="12"/>
      <c r="HX397" s="13"/>
      <c r="IB397" s="13"/>
      <c r="IC397" s="13"/>
      <c r="JE397" s="5"/>
    </row>
    <row r="398" spans="18:265" ht="18" customHeight="1" x14ac:dyDescent="0.2">
      <c r="R398" s="12"/>
      <c r="S398" s="12"/>
      <c r="CN398" s="13"/>
      <c r="CO398" s="13"/>
      <c r="EP398" s="4"/>
      <c r="GF398" s="12"/>
      <c r="GG398" s="12"/>
      <c r="GK398" s="12"/>
      <c r="GR398" s="13"/>
      <c r="GW398" s="12"/>
      <c r="HA398" s="12"/>
      <c r="HH398" s="13"/>
      <c r="HL398" s="13"/>
      <c r="HM398" s="12"/>
      <c r="HQ398" s="12"/>
      <c r="HX398" s="13"/>
      <c r="IB398" s="13"/>
      <c r="IC398" s="13"/>
      <c r="JE398" s="5"/>
    </row>
    <row r="399" spans="18:265" ht="18" customHeight="1" x14ac:dyDescent="0.2">
      <c r="R399" s="12"/>
      <c r="S399" s="14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15"/>
      <c r="AZ399" s="15"/>
      <c r="BA399" s="15"/>
      <c r="BB399" s="15"/>
      <c r="BC399" s="15"/>
      <c r="BD399" s="15"/>
      <c r="BE399" s="15"/>
      <c r="BF399" s="15"/>
      <c r="BG399" s="15"/>
      <c r="BH399" s="15"/>
      <c r="BI399" s="15"/>
      <c r="BJ399" s="15"/>
      <c r="BK399" s="15"/>
      <c r="BL399" s="15"/>
      <c r="BM399" s="15"/>
      <c r="BN399" s="15"/>
      <c r="BO399" s="15"/>
      <c r="BP399" s="15"/>
      <c r="BQ399" s="15"/>
      <c r="BR399" s="15"/>
      <c r="BS399" s="15"/>
      <c r="BT399" s="15"/>
      <c r="BU399" s="15"/>
      <c r="BV399" s="15"/>
      <c r="BW399" s="15"/>
      <c r="BX399" s="15"/>
      <c r="BY399" s="15"/>
      <c r="BZ399" s="15"/>
      <c r="CA399" s="15"/>
      <c r="CB399" s="15"/>
      <c r="CC399" s="15"/>
      <c r="CD399" s="15"/>
      <c r="CE399" s="15"/>
      <c r="CF399" s="15"/>
      <c r="CG399" s="15"/>
      <c r="CH399" s="15"/>
      <c r="CI399" s="15"/>
      <c r="CJ399" s="15"/>
      <c r="CK399" s="15"/>
      <c r="CL399" s="15"/>
      <c r="CM399" s="15"/>
      <c r="CN399" s="16"/>
      <c r="CO399" s="13"/>
      <c r="EP399" s="4"/>
      <c r="GF399" s="12"/>
      <c r="GG399" s="12"/>
      <c r="GK399" s="12"/>
      <c r="GR399" s="13"/>
      <c r="GW399" s="12"/>
      <c r="HA399" s="12"/>
      <c r="HH399" s="13"/>
      <c r="HL399" s="13"/>
      <c r="HM399" s="12"/>
      <c r="HQ399" s="12"/>
      <c r="HX399" s="13"/>
      <c r="IB399" s="13"/>
      <c r="IC399" s="13"/>
      <c r="JE399" s="5"/>
    </row>
    <row r="400" spans="18:265" ht="18" customHeight="1" x14ac:dyDescent="0.2">
      <c r="R400" s="14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15"/>
      <c r="AZ400" s="15"/>
      <c r="BA400" s="15"/>
      <c r="BB400" s="15"/>
      <c r="BC400" s="15"/>
      <c r="BD400" s="15"/>
      <c r="BE400" s="15"/>
      <c r="BF400" s="15"/>
      <c r="BG400" s="15"/>
      <c r="BH400" s="15"/>
      <c r="BI400" s="15"/>
      <c r="BJ400" s="15"/>
      <c r="BK400" s="15"/>
      <c r="BL400" s="15"/>
      <c r="BM400" s="15"/>
      <c r="BN400" s="15"/>
      <c r="BO400" s="15"/>
      <c r="BP400" s="15"/>
      <c r="BQ400" s="15"/>
      <c r="BR400" s="15"/>
      <c r="BS400" s="15"/>
      <c r="BT400" s="15"/>
      <c r="BU400" s="15"/>
      <c r="BV400" s="15"/>
      <c r="BW400" s="15"/>
      <c r="BX400" s="15"/>
      <c r="BY400" s="15"/>
      <c r="BZ400" s="15"/>
      <c r="CA400" s="15"/>
      <c r="CB400" s="15"/>
      <c r="CC400" s="15"/>
      <c r="CD400" s="15"/>
      <c r="CE400" s="15"/>
      <c r="CF400" s="15"/>
      <c r="CG400" s="15"/>
      <c r="CH400" s="15"/>
      <c r="CI400" s="15"/>
      <c r="CJ400" s="15"/>
      <c r="CK400" s="15"/>
      <c r="CL400" s="15"/>
      <c r="CM400" s="15"/>
      <c r="CN400" s="15"/>
      <c r="CO400" s="16"/>
      <c r="EP400" s="4"/>
      <c r="GF400" s="12"/>
      <c r="GG400" s="12"/>
      <c r="GK400" s="12"/>
      <c r="GR400" s="13"/>
      <c r="GW400" s="12"/>
      <c r="HA400" s="12"/>
      <c r="HH400" s="13"/>
      <c r="HL400" s="13"/>
      <c r="HM400" s="12"/>
      <c r="HQ400" s="12"/>
      <c r="HX400" s="13"/>
      <c r="IB400" s="13"/>
      <c r="IC400" s="13"/>
      <c r="JE400" s="5"/>
    </row>
    <row r="401" spans="146:265" ht="18" customHeight="1" x14ac:dyDescent="0.2">
      <c r="EP401" s="4"/>
      <c r="GF401" s="12"/>
      <c r="GG401" s="12"/>
      <c r="GK401" s="12"/>
      <c r="GR401" s="13"/>
      <c r="GW401" s="12"/>
      <c r="HA401" s="12"/>
      <c r="HH401" s="13"/>
      <c r="HL401" s="13"/>
      <c r="HM401" s="12"/>
      <c r="HQ401" s="12"/>
      <c r="HX401" s="13"/>
      <c r="IB401" s="13"/>
      <c r="IC401" s="13"/>
      <c r="JE401" s="5"/>
    </row>
    <row r="402" spans="146:265" ht="18" customHeight="1" x14ac:dyDescent="0.2">
      <c r="EP402" s="4"/>
      <c r="GF402" s="12"/>
      <c r="GG402" s="12"/>
      <c r="GK402" s="14"/>
      <c r="GL402" s="15"/>
      <c r="GM402" s="15"/>
      <c r="GN402" s="15"/>
      <c r="GO402" s="15"/>
      <c r="GP402" s="15"/>
      <c r="GQ402" s="15"/>
      <c r="GR402" s="16"/>
      <c r="GW402" s="12"/>
      <c r="HA402" s="14"/>
      <c r="HB402" s="15"/>
      <c r="HC402" s="15"/>
      <c r="HD402" s="15"/>
      <c r="HE402" s="15"/>
      <c r="HF402" s="15"/>
      <c r="HG402" s="15"/>
      <c r="HH402" s="16"/>
      <c r="HL402" s="13"/>
      <c r="HM402" s="12"/>
      <c r="HQ402" s="14"/>
      <c r="HR402" s="15"/>
      <c r="HS402" s="15"/>
      <c r="HT402" s="15"/>
      <c r="HU402" s="15"/>
      <c r="HV402" s="15"/>
      <c r="HW402" s="15"/>
      <c r="HX402" s="16"/>
      <c r="IB402" s="13"/>
      <c r="IC402" s="13"/>
      <c r="JE402" s="5"/>
    </row>
    <row r="403" spans="146:265" ht="18" customHeight="1" x14ac:dyDescent="0.2">
      <c r="EP403" s="4"/>
      <c r="GF403" s="12"/>
      <c r="GG403" s="12"/>
      <c r="GW403" s="12"/>
      <c r="HL403" s="13"/>
      <c r="HM403" s="12"/>
      <c r="IB403" s="13"/>
      <c r="IC403" s="13"/>
      <c r="JE403" s="5"/>
    </row>
    <row r="404" spans="146:265" ht="18" customHeight="1" x14ac:dyDescent="0.2">
      <c r="EP404" s="4"/>
      <c r="GF404" s="12"/>
      <c r="GG404" s="12"/>
      <c r="GW404" s="12"/>
      <c r="HL404" s="13"/>
      <c r="HM404" s="12"/>
      <c r="IB404" s="13"/>
      <c r="IC404" s="13"/>
      <c r="JE404" s="5"/>
    </row>
    <row r="405" spans="146:265" ht="18" customHeight="1" x14ac:dyDescent="0.2">
      <c r="EP405" s="4"/>
      <c r="GF405" s="12"/>
      <c r="GG405" s="12"/>
      <c r="GW405" s="12"/>
      <c r="HL405" s="13"/>
      <c r="HM405" s="12"/>
      <c r="IB405" s="13"/>
      <c r="IC405" s="13"/>
      <c r="JE405" s="5"/>
    </row>
    <row r="406" spans="146:265" ht="18" customHeight="1" x14ac:dyDescent="0.2">
      <c r="EP406" s="4"/>
      <c r="GF406" s="12"/>
      <c r="GG406" s="14"/>
      <c r="GH406" s="15"/>
      <c r="GI406" s="15"/>
      <c r="GJ406" s="15"/>
      <c r="GK406" s="15"/>
      <c r="GL406" s="15"/>
      <c r="GM406" s="15"/>
      <c r="GN406" s="15"/>
      <c r="GO406" s="15"/>
      <c r="GP406" s="15"/>
      <c r="GQ406" s="15"/>
      <c r="GR406" s="15"/>
      <c r="GS406" s="15"/>
      <c r="GT406" s="15"/>
      <c r="GU406" s="15"/>
      <c r="GV406" s="15"/>
      <c r="GW406" s="14"/>
      <c r="GX406" s="15"/>
      <c r="GY406" s="15"/>
      <c r="GZ406" s="15"/>
      <c r="HA406" s="15"/>
      <c r="HB406" s="15"/>
      <c r="HC406" s="15"/>
      <c r="HD406" s="15"/>
      <c r="HE406" s="15"/>
      <c r="HF406" s="15"/>
      <c r="HG406" s="15"/>
      <c r="HH406" s="15"/>
      <c r="HI406" s="15"/>
      <c r="HJ406" s="15"/>
      <c r="HK406" s="15"/>
      <c r="HL406" s="16"/>
      <c r="HM406" s="14"/>
      <c r="HN406" s="15"/>
      <c r="HO406" s="15"/>
      <c r="HP406" s="15"/>
      <c r="HQ406" s="15"/>
      <c r="HR406" s="15"/>
      <c r="HS406" s="15"/>
      <c r="HT406" s="15"/>
      <c r="HU406" s="15"/>
      <c r="HV406" s="15"/>
      <c r="HW406" s="15"/>
      <c r="HX406" s="15"/>
      <c r="HY406" s="15"/>
      <c r="HZ406" s="15"/>
      <c r="IA406" s="15"/>
      <c r="IB406" s="16"/>
      <c r="IC406" s="13"/>
      <c r="JE406" s="5"/>
    </row>
    <row r="407" spans="146:265" ht="18" customHeight="1" x14ac:dyDescent="0.2">
      <c r="EP407" s="4"/>
      <c r="GF407" s="14"/>
      <c r="GG407" s="15"/>
      <c r="GH407" s="15"/>
      <c r="GI407" s="15"/>
      <c r="GJ407" s="15"/>
      <c r="GK407" s="15"/>
      <c r="GL407" s="15"/>
      <c r="GM407" s="15"/>
      <c r="GN407" s="15"/>
      <c r="GO407" s="15"/>
      <c r="GP407" s="15"/>
      <c r="GQ407" s="15"/>
      <c r="GR407" s="15"/>
      <c r="GS407" s="15"/>
      <c r="GT407" s="15"/>
      <c r="GU407" s="15"/>
      <c r="GV407" s="15"/>
      <c r="GW407" s="15"/>
      <c r="GX407" s="15"/>
      <c r="GY407" s="15"/>
      <c r="GZ407" s="15"/>
      <c r="HA407" s="15"/>
      <c r="HB407" s="15"/>
      <c r="HC407" s="15"/>
      <c r="HD407" s="15"/>
      <c r="HE407" s="15"/>
      <c r="HF407" s="15"/>
      <c r="HG407" s="15"/>
      <c r="HH407" s="15"/>
      <c r="HI407" s="15"/>
      <c r="HJ407" s="15"/>
      <c r="HK407" s="15"/>
      <c r="HL407" s="15"/>
      <c r="HM407" s="15"/>
      <c r="HN407" s="15"/>
      <c r="HO407" s="15"/>
      <c r="HP407" s="15"/>
      <c r="HQ407" s="15"/>
      <c r="HR407" s="15"/>
      <c r="HS407" s="15"/>
      <c r="HT407" s="15"/>
      <c r="HU407" s="15"/>
      <c r="HV407" s="15"/>
      <c r="HW407" s="15"/>
      <c r="HX407" s="15"/>
      <c r="HY407" s="15"/>
      <c r="HZ407" s="15"/>
      <c r="IA407" s="15"/>
      <c r="IB407" s="15"/>
      <c r="IC407" s="16"/>
      <c r="JE407" s="5"/>
    </row>
    <row r="408" spans="146:265" ht="18" customHeight="1" x14ac:dyDescent="0.2">
      <c r="EP408" s="4"/>
      <c r="JE408" s="5"/>
    </row>
    <row r="409" spans="146:265" ht="18" customHeight="1" x14ac:dyDescent="0.2">
      <c r="EP409" s="4"/>
      <c r="JE409" s="5"/>
    </row>
    <row r="410" spans="146:265" ht="18" customHeight="1" x14ac:dyDescent="0.2">
      <c r="EP410" s="4"/>
      <c r="JE410" s="5"/>
    </row>
    <row r="411" spans="146:265" ht="18" customHeight="1" x14ac:dyDescent="0.2">
      <c r="EP411" s="4"/>
      <c r="JE411" s="5"/>
    </row>
    <row r="412" spans="146:265" ht="18" customHeight="1" x14ac:dyDescent="0.2">
      <c r="EP412" s="4"/>
      <c r="JE412" s="5"/>
    </row>
    <row r="413" spans="146:265" ht="18" customHeight="1" x14ac:dyDescent="0.2">
      <c r="EP413" s="4"/>
      <c r="JE413" s="5"/>
    </row>
    <row r="414" spans="146:265" ht="18" customHeight="1" x14ac:dyDescent="0.2">
      <c r="EP414" s="4"/>
      <c r="JE414" s="5"/>
    </row>
    <row r="415" spans="146:265" ht="18" customHeight="1" x14ac:dyDescent="0.2">
      <c r="EP415" s="4"/>
      <c r="JE415" s="5"/>
    </row>
    <row r="416" spans="146:265" ht="18" customHeight="1" x14ac:dyDescent="0.2">
      <c r="EP416" s="4"/>
      <c r="JE416" s="5"/>
    </row>
    <row r="417" spans="8:394" ht="18" customHeight="1" x14ac:dyDescent="0.2">
      <c r="EP417" s="4"/>
      <c r="JE417" s="5"/>
    </row>
    <row r="418" spans="8:394" ht="18" customHeight="1" x14ac:dyDescent="0.2">
      <c r="EP418" s="4"/>
      <c r="JE418" s="5"/>
    </row>
    <row r="419" spans="8:394" ht="18" customHeight="1" x14ac:dyDescent="0.2">
      <c r="EP419" s="4"/>
      <c r="JE419" s="5"/>
    </row>
    <row r="420" spans="8:394" ht="18" customHeight="1" thickBot="1" x14ac:dyDescent="0.25">
      <c r="EP420" s="6"/>
      <c r="EQ420" s="7"/>
      <c r="ER420" s="7"/>
      <c r="ES420" s="7"/>
      <c r="ET420" s="7"/>
      <c r="EU420" s="7"/>
      <c r="EV420" s="7"/>
      <c r="EW420" s="7"/>
      <c r="EX420" s="7"/>
      <c r="EY420" s="7"/>
      <c r="EZ420" s="7"/>
      <c r="FA420" s="7"/>
      <c r="FB420" s="7"/>
      <c r="FC420" s="7"/>
      <c r="FD420" s="7"/>
      <c r="FE420" s="7"/>
      <c r="FF420" s="7"/>
      <c r="FG420" s="7"/>
      <c r="FH420" s="7"/>
      <c r="FI420" s="7"/>
      <c r="FJ420" s="7"/>
      <c r="FK420" s="7"/>
      <c r="FL420" s="7"/>
      <c r="FM420" s="7"/>
      <c r="FN420" s="7"/>
      <c r="FO420" s="7"/>
      <c r="FP420" s="7"/>
      <c r="FQ420" s="7"/>
      <c r="FR420" s="7"/>
      <c r="FS420" s="7"/>
      <c r="FT420" s="7"/>
      <c r="FU420" s="7"/>
      <c r="FV420" s="7"/>
      <c r="FW420" s="7"/>
      <c r="FX420" s="7"/>
      <c r="FY420" s="7"/>
      <c r="FZ420" s="7"/>
      <c r="GA420" s="7"/>
      <c r="GB420" s="7"/>
      <c r="GC420" s="7"/>
      <c r="GD420" s="7"/>
      <c r="GE420" s="7"/>
      <c r="GF420" s="7"/>
      <c r="GG420" s="7"/>
      <c r="GH420" s="7"/>
      <c r="GI420" s="7"/>
      <c r="GJ420" s="7"/>
      <c r="GK420" s="7"/>
      <c r="GL420" s="7"/>
      <c r="GM420" s="7"/>
      <c r="GN420" s="7"/>
      <c r="GO420" s="7"/>
      <c r="GP420" s="7"/>
      <c r="GQ420" s="7"/>
      <c r="GR420" s="7"/>
      <c r="GS420" s="7"/>
      <c r="GT420" s="7"/>
      <c r="GU420" s="7"/>
      <c r="GV420" s="7"/>
      <c r="GW420" s="7"/>
      <c r="GX420" s="7"/>
      <c r="GY420" s="7"/>
      <c r="GZ420" s="7"/>
      <c r="HA420" s="7"/>
      <c r="HB420" s="7"/>
      <c r="HC420" s="7"/>
      <c r="HD420" s="7"/>
      <c r="HE420" s="7"/>
      <c r="HF420" s="7"/>
      <c r="HG420" s="7"/>
      <c r="HH420" s="7"/>
      <c r="HI420" s="7"/>
      <c r="HJ420" s="7"/>
      <c r="HK420" s="7"/>
      <c r="HL420" s="7"/>
      <c r="HM420" s="7"/>
      <c r="HN420" s="7"/>
      <c r="HO420" s="7"/>
      <c r="HP420" s="7"/>
      <c r="HQ420" s="7"/>
      <c r="HR420" s="7"/>
      <c r="HS420" s="7"/>
      <c r="HT420" s="7"/>
      <c r="HU420" s="7"/>
      <c r="HV420" s="7"/>
      <c r="HW420" s="7"/>
      <c r="HX420" s="7"/>
      <c r="HY420" s="7"/>
      <c r="HZ420" s="7"/>
      <c r="IA420" s="7"/>
      <c r="IB420" s="7"/>
      <c r="IC420" s="7"/>
      <c r="ID420" s="7"/>
      <c r="IE420" s="7"/>
      <c r="IF420" s="7"/>
      <c r="IG420" s="7"/>
      <c r="IH420" s="7"/>
      <c r="II420" s="7"/>
      <c r="IJ420" s="7"/>
      <c r="IK420" s="7"/>
      <c r="IL420" s="7"/>
      <c r="IM420" s="7"/>
      <c r="IN420" s="7"/>
      <c r="IO420" s="7"/>
      <c r="IP420" s="7"/>
      <c r="IQ420" s="7"/>
      <c r="IR420" s="7"/>
      <c r="IS420" s="7"/>
      <c r="IT420" s="7"/>
      <c r="IU420" s="7"/>
      <c r="IV420" s="7"/>
      <c r="IW420" s="7"/>
      <c r="IX420" s="7"/>
      <c r="IY420" s="7"/>
      <c r="IZ420" s="7"/>
      <c r="JA420" s="7"/>
      <c r="JB420" s="7"/>
      <c r="JC420" s="7"/>
      <c r="JD420" s="7"/>
      <c r="JE420" s="8"/>
    </row>
    <row r="429" spans="8:394" ht="18" customHeight="1" thickBot="1" x14ac:dyDescent="0.25"/>
    <row r="430" spans="8:394" ht="18" customHeight="1" thickBot="1" x14ac:dyDescent="0.25">
      <c r="H430" s="1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3"/>
    </row>
    <row r="431" spans="8:394" ht="18" customHeight="1" x14ac:dyDescent="0.2">
      <c r="H431" s="4"/>
      <c r="DW431" s="5"/>
      <c r="EQ431" s="1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2"/>
      <c r="IJ431" s="2"/>
      <c r="IK431" s="2"/>
      <c r="IL431" s="2"/>
      <c r="IM431" s="2"/>
      <c r="IN431" s="2"/>
      <c r="IO431" s="2"/>
      <c r="IP431" s="2"/>
      <c r="IQ431" s="2"/>
      <c r="IR431" s="2"/>
      <c r="IS431" s="2"/>
      <c r="IT431" s="2"/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3"/>
      <c r="JO431" s="1"/>
      <c r="JP431" s="2"/>
      <c r="JQ431" s="2"/>
      <c r="JR431" s="2"/>
      <c r="JS431" s="2"/>
      <c r="JT431" s="2"/>
      <c r="JU431" s="2"/>
      <c r="JV431" s="2"/>
      <c r="JW431" s="2"/>
      <c r="JX431" s="2"/>
      <c r="JY431" s="2"/>
      <c r="JZ431" s="2"/>
      <c r="KA431" s="2"/>
      <c r="KB431" s="2"/>
      <c r="KC431" s="2"/>
      <c r="KD431" s="2"/>
      <c r="KE431" s="2"/>
      <c r="KF431" s="2"/>
      <c r="KG431" s="2"/>
      <c r="KH431" s="2"/>
      <c r="KI431" s="2"/>
      <c r="KJ431" s="2"/>
      <c r="KK431" s="2"/>
      <c r="KL431" s="2"/>
      <c r="KM431" s="2"/>
      <c r="KN431" s="2"/>
      <c r="KO431" s="2"/>
      <c r="KP431" s="2"/>
      <c r="KQ431" s="2"/>
      <c r="KR431" s="2"/>
      <c r="KS431" s="2"/>
      <c r="KT431" s="2"/>
      <c r="KU431" s="2"/>
      <c r="KV431" s="2"/>
      <c r="KW431" s="2"/>
      <c r="KX431" s="2"/>
      <c r="KY431" s="2"/>
      <c r="KZ431" s="2"/>
      <c r="LA431" s="2"/>
      <c r="LB431" s="2"/>
      <c r="LC431" s="2"/>
      <c r="LD431" s="2"/>
      <c r="LE431" s="2"/>
      <c r="LF431" s="2"/>
      <c r="LG431" s="2"/>
      <c r="LH431" s="2"/>
      <c r="LI431" s="2"/>
      <c r="LJ431" s="2"/>
      <c r="LK431" s="2"/>
      <c r="LL431" s="2"/>
      <c r="LM431" s="2"/>
      <c r="LN431" s="2"/>
      <c r="LO431" s="2"/>
      <c r="LP431" s="2"/>
      <c r="LQ431" s="2"/>
      <c r="LR431" s="2"/>
      <c r="LS431" s="2"/>
      <c r="LT431" s="2"/>
      <c r="LU431" s="2"/>
      <c r="LV431" s="2"/>
      <c r="LW431" s="2"/>
      <c r="LX431" s="2"/>
      <c r="LY431" s="2"/>
      <c r="LZ431" s="2"/>
      <c r="MA431" s="2"/>
      <c r="MB431" s="2"/>
      <c r="MC431" s="2"/>
      <c r="MD431" s="2"/>
      <c r="ME431" s="2"/>
      <c r="MF431" s="2"/>
      <c r="MG431" s="2"/>
      <c r="MH431" s="2"/>
      <c r="MI431" s="2"/>
      <c r="MJ431" s="2"/>
      <c r="MK431" s="2"/>
      <c r="ML431" s="2"/>
      <c r="MM431" s="2"/>
      <c r="MN431" s="2"/>
      <c r="MO431" s="2"/>
      <c r="MP431" s="2"/>
      <c r="MQ431" s="2"/>
      <c r="MR431" s="2"/>
      <c r="MS431" s="2"/>
      <c r="MT431" s="2"/>
      <c r="MU431" s="2"/>
      <c r="MV431" s="2"/>
      <c r="MW431" s="2"/>
      <c r="MX431" s="2"/>
      <c r="MY431" s="2"/>
      <c r="MZ431" s="2"/>
      <c r="NA431" s="2"/>
      <c r="NB431" s="2"/>
      <c r="NC431" s="2"/>
      <c r="ND431" s="2"/>
      <c r="NE431" s="2"/>
      <c r="NF431" s="2"/>
      <c r="NG431" s="2"/>
      <c r="NH431" s="2"/>
      <c r="NI431" s="2"/>
      <c r="NJ431" s="2"/>
      <c r="NK431" s="2"/>
      <c r="NL431" s="2"/>
      <c r="NM431" s="2"/>
      <c r="NN431" s="2"/>
      <c r="NO431" s="2"/>
      <c r="NP431" s="2"/>
      <c r="NQ431" s="2"/>
      <c r="NR431" s="2"/>
      <c r="NS431" s="2"/>
      <c r="NT431" s="2"/>
      <c r="NU431" s="2"/>
      <c r="NV431" s="2"/>
      <c r="NW431" s="2"/>
      <c r="NX431" s="2"/>
      <c r="NY431" s="2"/>
      <c r="NZ431" s="2"/>
      <c r="OA431" s="2"/>
      <c r="OB431" s="2"/>
      <c r="OC431" s="2"/>
      <c r="OD431" s="3"/>
    </row>
    <row r="432" spans="8:394" ht="18" customHeight="1" x14ac:dyDescent="0.2">
      <c r="H432" s="4"/>
      <c r="DW432" s="5"/>
      <c r="EQ432" s="4"/>
      <c r="JF432" s="5"/>
      <c r="JO432" s="4"/>
      <c r="OD432" s="5"/>
    </row>
    <row r="433" spans="8:394" ht="18" customHeight="1" x14ac:dyDescent="0.2">
      <c r="H433" s="4"/>
      <c r="DW433" s="5"/>
      <c r="EQ433" s="4"/>
      <c r="JF433" s="5"/>
      <c r="JO433" s="4"/>
      <c r="OD433" s="5"/>
    </row>
    <row r="434" spans="8:394" ht="18" customHeight="1" x14ac:dyDescent="0.2">
      <c r="H434" s="4"/>
      <c r="DW434" s="5"/>
      <c r="EQ434" s="4"/>
      <c r="JF434" s="5"/>
      <c r="JO434" s="4"/>
      <c r="OD434" s="5"/>
    </row>
    <row r="435" spans="8:394" ht="18" customHeight="1" x14ac:dyDescent="0.2">
      <c r="H435" s="4"/>
      <c r="DW435" s="5"/>
      <c r="EQ435" s="4"/>
      <c r="JF435" s="5"/>
      <c r="JO435" s="4"/>
      <c r="OD435" s="5"/>
    </row>
    <row r="436" spans="8:394" ht="18" customHeight="1" x14ac:dyDescent="0.2">
      <c r="H436" s="4"/>
      <c r="DW436" s="5"/>
      <c r="EQ436" s="4"/>
      <c r="JF436" s="5"/>
      <c r="JO436" s="4"/>
      <c r="OD436" s="5"/>
    </row>
    <row r="437" spans="8:394" ht="18" customHeight="1" x14ac:dyDescent="0.2">
      <c r="H437" s="4"/>
      <c r="DW437" s="5"/>
      <c r="EQ437" s="4"/>
      <c r="JF437" s="5"/>
      <c r="JO437" s="4"/>
      <c r="OD437" s="5"/>
    </row>
    <row r="438" spans="8:394" ht="18" customHeight="1" x14ac:dyDescent="0.2">
      <c r="H438" s="4"/>
      <c r="DW438" s="5"/>
      <c r="EQ438" s="4"/>
      <c r="JF438" s="5"/>
      <c r="JO438" s="4"/>
      <c r="OD438" s="5"/>
    </row>
    <row r="439" spans="8:394" ht="18" customHeight="1" x14ac:dyDescent="0.2">
      <c r="H439" s="4"/>
      <c r="DW439" s="5"/>
      <c r="EQ439" s="4"/>
      <c r="JF439" s="5"/>
      <c r="JO439" s="4"/>
      <c r="OD439" s="5"/>
    </row>
    <row r="440" spans="8:394" ht="18" customHeight="1" x14ac:dyDescent="0.2">
      <c r="H440" s="4"/>
      <c r="DW440" s="5"/>
      <c r="EQ440" s="4"/>
      <c r="JF440" s="5"/>
      <c r="JO440" s="4"/>
      <c r="OD440" s="5"/>
    </row>
    <row r="441" spans="8:394" ht="18" customHeight="1" x14ac:dyDescent="0.2">
      <c r="H441" s="4"/>
      <c r="DW441" s="5"/>
      <c r="EQ441" s="4"/>
      <c r="JF441" s="5"/>
      <c r="JO441" s="4"/>
      <c r="OD441" s="5"/>
    </row>
    <row r="442" spans="8:394" ht="18" customHeight="1" x14ac:dyDescent="0.2">
      <c r="H442" s="4"/>
      <c r="DW442" s="5"/>
      <c r="EQ442" s="4"/>
      <c r="JF442" s="5"/>
      <c r="JO442" s="4"/>
      <c r="OD442" s="5"/>
    </row>
    <row r="443" spans="8:394" ht="18" customHeight="1" x14ac:dyDescent="0.2">
      <c r="H443" s="4"/>
      <c r="DW443" s="5"/>
      <c r="EQ443" s="4"/>
      <c r="JF443" s="5"/>
      <c r="JO443" s="4"/>
      <c r="OD443" s="5"/>
    </row>
    <row r="444" spans="8:394" ht="18" customHeight="1" x14ac:dyDescent="0.2">
      <c r="H444" s="4"/>
      <c r="DW444" s="5"/>
      <c r="EQ444" s="4"/>
      <c r="JF444" s="5"/>
      <c r="JO444" s="4"/>
      <c r="OD444" s="5"/>
    </row>
    <row r="445" spans="8:394" ht="18" customHeight="1" x14ac:dyDescent="0.2">
      <c r="H445" s="4"/>
      <c r="DW445" s="5"/>
      <c r="EQ445" s="4"/>
      <c r="JF445" s="5"/>
      <c r="JO445" s="4"/>
      <c r="OD445" s="5"/>
    </row>
    <row r="446" spans="8:394" ht="18" customHeight="1" x14ac:dyDescent="0.2">
      <c r="H446" s="4"/>
      <c r="DW446" s="5"/>
      <c r="EQ446" s="4"/>
      <c r="JF446" s="5"/>
      <c r="JO446" s="4"/>
      <c r="OD446" s="5"/>
    </row>
    <row r="447" spans="8:394" ht="18" customHeight="1" x14ac:dyDescent="0.2">
      <c r="H447" s="4"/>
      <c r="DW447" s="5"/>
      <c r="EQ447" s="4"/>
      <c r="JF447" s="5"/>
      <c r="JO447" s="4"/>
      <c r="OD447" s="5"/>
    </row>
    <row r="448" spans="8:394" ht="18" customHeight="1" x14ac:dyDescent="0.2">
      <c r="H448" s="4"/>
      <c r="DW448" s="5"/>
      <c r="EQ448" s="4"/>
      <c r="JF448" s="5"/>
      <c r="JO448" s="4"/>
      <c r="OD448" s="5"/>
    </row>
    <row r="449" spans="8:394" ht="18" customHeight="1" x14ac:dyDescent="0.2">
      <c r="H449" s="4"/>
      <c r="DW449" s="5"/>
      <c r="EQ449" s="4"/>
      <c r="JF449" s="5"/>
      <c r="JO449" s="4"/>
      <c r="OD449" s="5"/>
    </row>
    <row r="450" spans="8:394" ht="18" customHeight="1" x14ac:dyDescent="0.2">
      <c r="H450" s="4"/>
      <c r="DW450" s="5"/>
      <c r="EQ450" s="4"/>
      <c r="JF450" s="5"/>
      <c r="JO450" s="4"/>
      <c r="OD450" s="5"/>
    </row>
    <row r="451" spans="8:394" ht="18" customHeight="1" x14ac:dyDescent="0.2">
      <c r="H451" s="4"/>
      <c r="DW451" s="5"/>
      <c r="EQ451" s="4"/>
      <c r="JF451" s="5"/>
      <c r="JO451" s="4"/>
      <c r="OD451" s="5"/>
    </row>
    <row r="452" spans="8:394" ht="18" customHeight="1" x14ac:dyDescent="0.2">
      <c r="H452" s="4"/>
      <c r="DW452" s="5"/>
      <c r="EQ452" s="4"/>
      <c r="JF452" s="5"/>
      <c r="JO452" s="4"/>
      <c r="OD452" s="5"/>
    </row>
    <row r="453" spans="8:394" ht="18" customHeight="1" x14ac:dyDescent="0.2">
      <c r="H453" s="4"/>
      <c r="AD453" s="9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  <c r="BB453" s="10"/>
      <c r="BC453" s="10"/>
      <c r="BD453" s="10"/>
      <c r="BE453" s="10"/>
      <c r="BF453" s="10"/>
      <c r="BG453" s="10"/>
      <c r="BH453" s="10"/>
      <c r="BI453" s="10"/>
      <c r="BJ453" s="10"/>
      <c r="BK453" s="10"/>
      <c r="BL453" s="10"/>
      <c r="BM453" s="10"/>
      <c r="BN453" s="10"/>
      <c r="BO453" s="10"/>
      <c r="BP453" s="10"/>
      <c r="BQ453" s="10"/>
      <c r="BR453" s="11"/>
      <c r="DW453" s="5"/>
      <c r="EQ453" s="4"/>
      <c r="JF453" s="5"/>
      <c r="JO453" s="4"/>
      <c r="OD453" s="5"/>
    </row>
    <row r="454" spans="8:394" ht="18" customHeight="1" x14ac:dyDescent="0.2">
      <c r="H454" s="4"/>
      <c r="AD454" s="12"/>
      <c r="BR454" s="13"/>
      <c r="DW454" s="5"/>
      <c r="EQ454" s="4"/>
      <c r="JF454" s="5"/>
      <c r="JO454" s="4"/>
      <c r="OD454" s="5"/>
    </row>
    <row r="455" spans="8:394" ht="18" customHeight="1" x14ac:dyDescent="0.2">
      <c r="H455" s="4"/>
      <c r="AD455" s="12"/>
      <c r="AF455" s="9"/>
      <c r="AG455" s="10"/>
      <c r="AH455" s="10"/>
      <c r="AI455" s="10"/>
      <c r="AJ455" s="11"/>
      <c r="AK455" s="9"/>
      <c r="AL455" s="10"/>
      <c r="AM455" s="10"/>
      <c r="AN455" s="10"/>
      <c r="AO455" s="11"/>
      <c r="AP455" s="9"/>
      <c r="AQ455" s="10"/>
      <c r="AR455" s="10"/>
      <c r="AS455" s="10"/>
      <c r="AT455" s="10"/>
      <c r="AU455" s="10"/>
      <c r="AV455" s="10"/>
      <c r="AW455" s="11"/>
      <c r="AX455" s="17"/>
      <c r="AY455" s="9"/>
      <c r="AZ455" s="10"/>
      <c r="BA455" s="10"/>
      <c r="BB455" s="10"/>
      <c r="BC455" s="10"/>
      <c r="BD455" s="10"/>
      <c r="BE455" s="10"/>
      <c r="BF455" s="11"/>
      <c r="BG455" s="9"/>
      <c r="BH455" s="10"/>
      <c r="BI455" s="10"/>
      <c r="BJ455" s="10"/>
      <c r="BK455" s="11"/>
      <c r="BL455" s="10"/>
      <c r="BM455" s="10"/>
      <c r="BN455" s="10"/>
      <c r="BO455" s="10"/>
      <c r="BP455" s="11"/>
      <c r="BR455" s="13"/>
      <c r="DW455" s="5"/>
      <c r="EQ455" s="4"/>
      <c r="JF455" s="5"/>
      <c r="JO455" s="4"/>
      <c r="OD455" s="5"/>
    </row>
    <row r="456" spans="8:394" ht="18" customHeight="1" x14ac:dyDescent="0.2">
      <c r="H456" s="4"/>
      <c r="AD456" s="12"/>
      <c r="AF456" s="12"/>
      <c r="AJ456" s="13"/>
      <c r="AK456" s="12"/>
      <c r="AO456" s="13"/>
      <c r="AP456" s="12"/>
      <c r="AW456" s="13"/>
      <c r="AX456" s="18"/>
      <c r="AY456" s="12"/>
      <c r="BF456" s="13"/>
      <c r="BG456" s="12"/>
      <c r="BK456" s="13"/>
      <c r="BP456" s="13"/>
      <c r="BR456" s="13"/>
      <c r="DW456" s="5"/>
      <c r="EQ456" s="4"/>
      <c r="JF456" s="5"/>
      <c r="JO456" s="4"/>
      <c r="OD456" s="5"/>
    </row>
    <row r="457" spans="8:394" ht="18" customHeight="1" x14ac:dyDescent="0.2">
      <c r="H457" s="4"/>
      <c r="AD457" s="12"/>
      <c r="AF457" s="12"/>
      <c r="AJ457" s="13"/>
      <c r="AK457" s="12"/>
      <c r="AO457" s="13"/>
      <c r="AP457" s="12"/>
      <c r="AW457" s="13"/>
      <c r="AX457" s="18"/>
      <c r="AY457" s="12"/>
      <c r="BF457" s="13"/>
      <c r="BG457" s="12"/>
      <c r="BK457" s="13"/>
      <c r="BP457" s="13"/>
      <c r="BR457" s="13"/>
      <c r="DW457" s="5"/>
      <c r="EQ457" s="4"/>
      <c r="JF457" s="5"/>
      <c r="JO457" s="4"/>
      <c r="OD457" s="5"/>
    </row>
    <row r="458" spans="8:394" ht="18" customHeight="1" x14ac:dyDescent="0.2">
      <c r="H458" s="4"/>
      <c r="AD458" s="12"/>
      <c r="AF458" s="12"/>
      <c r="AJ458" s="13"/>
      <c r="AK458" s="12"/>
      <c r="AO458" s="13"/>
      <c r="AP458" s="12"/>
      <c r="AW458" s="13"/>
      <c r="AX458" s="18"/>
      <c r="AY458" s="12"/>
      <c r="BF458" s="13"/>
      <c r="BG458" s="12"/>
      <c r="BK458" s="13"/>
      <c r="BP458" s="13"/>
      <c r="BR458" s="13"/>
      <c r="DW458" s="5"/>
      <c r="EQ458" s="4"/>
      <c r="JF458" s="5"/>
      <c r="JO458" s="4"/>
      <c r="JZ458" s="9"/>
      <c r="KA458" s="10"/>
      <c r="KB458" s="10"/>
      <c r="KC458" s="10"/>
      <c r="KD458" s="10"/>
      <c r="KE458" s="10"/>
      <c r="KF458" s="10"/>
      <c r="KG458" s="10"/>
      <c r="KH458" s="10"/>
      <c r="KI458" s="10"/>
      <c r="KJ458" s="10"/>
      <c r="KK458" s="10"/>
      <c r="KL458" s="10"/>
      <c r="KM458" s="10"/>
      <c r="KN458" s="10"/>
      <c r="KO458" s="10"/>
      <c r="KP458" s="10"/>
      <c r="KQ458" s="10"/>
      <c r="KR458" s="10"/>
      <c r="KS458" s="10"/>
      <c r="KT458" s="10"/>
      <c r="KU458" s="10"/>
      <c r="KV458" s="10"/>
      <c r="KW458" s="10"/>
      <c r="KX458" s="10"/>
      <c r="KY458" s="10"/>
      <c r="KZ458" s="10"/>
      <c r="LA458" s="10"/>
      <c r="LB458" s="10"/>
      <c r="LC458" s="10"/>
      <c r="LD458" s="10"/>
      <c r="LE458" s="10"/>
      <c r="LF458" s="10"/>
      <c r="LG458" s="10"/>
      <c r="LH458" s="10"/>
      <c r="LI458" s="10"/>
      <c r="LJ458" s="10"/>
      <c r="LK458" s="10"/>
      <c r="LL458" s="10"/>
      <c r="LM458" s="10"/>
      <c r="LN458" s="10"/>
      <c r="LO458" s="10"/>
      <c r="LP458" s="10"/>
      <c r="LQ458" s="10"/>
      <c r="LR458" s="10"/>
      <c r="LS458" s="10"/>
      <c r="LT458" s="10"/>
      <c r="LU458" s="10"/>
      <c r="LV458" s="11"/>
      <c r="OD458" s="5"/>
    </row>
    <row r="459" spans="8:394" ht="18" customHeight="1" x14ac:dyDescent="0.2">
      <c r="H459" s="4"/>
      <c r="AD459" s="12"/>
      <c r="AF459" s="14"/>
      <c r="AG459" s="15"/>
      <c r="AH459" s="15"/>
      <c r="AI459" s="15"/>
      <c r="AJ459" s="16"/>
      <c r="AK459" s="14"/>
      <c r="AL459" s="15"/>
      <c r="AM459" s="15"/>
      <c r="AN459" s="15"/>
      <c r="AO459" s="16"/>
      <c r="AP459" s="12"/>
      <c r="AW459" s="13"/>
      <c r="AX459" s="18"/>
      <c r="AY459" s="12"/>
      <c r="BF459" s="13"/>
      <c r="BG459" s="14"/>
      <c r="BH459" s="15"/>
      <c r="BI459" s="15"/>
      <c r="BJ459" s="15"/>
      <c r="BK459" s="16"/>
      <c r="BL459" s="15"/>
      <c r="BM459" s="15"/>
      <c r="BN459" s="15"/>
      <c r="BO459" s="15"/>
      <c r="BP459" s="16"/>
      <c r="BR459" s="13"/>
      <c r="DW459" s="5"/>
      <c r="EQ459" s="4"/>
      <c r="FB459" s="40"/>
      <c r="FC459" s="41"/>
      <c r="FD459" s="41"/>
      <c r="FE459" s="41"/>
      <c r="FF459" s="41"/>
      <c r="FG459" s="41"/>
      <c r="FH459" s="41"/>
      <c r="FI459" s="41"/>
      <c r="FJ459" s="41"/>
      <c r="FK459" s="41"/>
      <c r="FL459" s="41"/>
      <c r="FM459" s="41"/>
      <c r="FN459" s="41"/>
      <c r="FO459" s="41"/>
      <c r="FP459" s="41"/>
      <c r="FQ459" s="41"/>
      <c r="FR459" s="41"/>
      <c r="FS459" s="41"/>
      <c r="FT459" s="41"/>
      <c r="FU459" s="41"/>
      <c r="FV459" s="41"/>
      <c r="FW459" s="41"/>
      <c r="FX459" s="41"/>
      <c r="FY459" s="41"/>
      <c r="FZ459" s="41"/>
      <c r="GA459" s="41"/>
      <c r="GB459" s="41"/>
      <c r="GC459" s="41"/>
      <c r="GD459" s="41"/>
      <c r="GE459" s="41"/>
      <c r="GF459" s="41"/>
      <c r="GG459" s="41"/>
      <c r="GH459" s="41"/>
      <c r="GI459" s="41"/>
      <c r="GJ459" s="41"/>
      <c r="GK459" s="41"/>
      <c r="GL459" s="41"/>
      <c r="GM459" s="41"/>
      <c r="GN459" s="41"/>
      <c r="GO459" s="41"/>
      <c r="GP459" s="41"/>
      <c r="GQ459" s="41"/>
      <c r="GR459" s="41"/>
      <c r="GS459" s="41"/>
      <c r="GT459" s="41"/>
      <c r="GU459" s="41"/>
      <c r="GV459" s="41"/>
      <c r="GW459" s="41"/>
      <c r="GX459" s="44"/>
      <c r="JF459" s="5"/>
      <c r="JO459" s="4"/>
      <c r="JZ459" s="12"/>
      <c r="LV459" s="13"/>
      <c r="OD459" s="5"/>
    </row>
    <row r="460" spans="8:394" ht="18" customHeight="1" x14ac:dyDescent="0.2">
      <c r="H460" s="4"/>
      <c r="AD460" s="12"/>
      <c r="AF460" s="12"/>
      <c r="AP460" s="12"/>
      <c r="AW460" s="13"/>
      <c r="AX460" s="18"/>
      <c r="AY460" s="12"/>
      <c r="BF460" s="13"/>
      <c r="BP460" s="13"/>
      <c r="BR460" s="13"/>
      <c r="DW460" s="5"/>
      <c r="EQ460" s="4"/>
      <c r="FB460" s="42"/>
      <c r="FC460" s="43"/>
      <c r="FD460" s="43"/>
      <c r="FE460" s="43"/>
      <c r="FF460" s="43"/>
      <c r="FG460" s="43"/>
      <c r="FH460" s="43"/>
      <c r="FI460" s="43"/>
      <c r="FJ460" s="43"/>
      <c r="FK460" s="43"/>
      <c r="FL460" s="43"/>
      <c r="FM460" s="43"/>
      <c r="FN460" s="43"/>
      <c r="FO460" s="43"/>
      <c r="FP460" s="43"/>
      <c r="FQ460" s="43"/>
      <c r="FR460" s="43"/>
      <c r="FS460" s="43"/>
      <c r="FT460" s="43"/>
      <c r="FU460" s="43"/>
      <c r="FV460" s="43"/>
      <c r="FW460" s="43"/>
      <c r="FX460" s="43"/>
      <c r="FY460" s="43"/>
      <c r="FZ460" s="43"/>
      <c r="GA460" s="43"/>
      <c r="GB460" s="43"/>
      <c r="GC460" s="43"/>
      <c r="GD460" s="43"/>
      <c r="GE460" s="43"/>
      <c r="GF460" s="43"/>
      <c r="GG460" s="43"/>
      <c r="GH460" s="43"/>
      <c r="GI460" s="43"/>
      <c r="GJ460" s="43"/>
      <c r="GK460" s="43"/>
      <c r="GL460" s="43"/>
      <c r="GM460" s="43"/>
      <c r="GN460" s="43"/>
      <c r="GO460" s="43"/>
      <c r="GP460" s="43"/>
      <c r="GQ460" s="43"/>
      <c r="GR460" s="43"/>
      <c r="GS460" s="43"/>
      <c r="GT460" s="43"/>
      <c r="GU460" s="43"/>
      <c r="GV460" s="43"/>
      <c r="GW460" s="43"/>
      <c r="GX460" s="45"/>
      <c r="JF460" s="5"/>
      <c r="JO460" s="4"/>
      <c r="JZ460" s="12"/>
      <c r="KB460" s="9"/>
      <c r="KC460" s="10"/>
      <c r="KD460" s="10"/>
      <c r="KE460" s="10"/>
      <c r="KF460" s="10"/>
      <c r="KG460" s="10"/>
      <c r="KH460" s="10"/>
      <c r="KI460" s="10"/>
      <c r="KJ460" s="10"/>
      <c r="KK460" s="10"/>
      <c r="KL460" s="10"/>
      <c r="KM460" s="10"/>
      <c r="KN460" s="10"/>
      <c r="KO460" s="10"/>
      <c r="KP460" s="10"/>
      <c r="KQ460" s="10"/>
      <c r="KR460" s="10"/>
      <c r="KS460" s="10"/>
      <c r="KT460" s="10"/>
      <c r="KU460" s="10"/>
      <c r="KV460" s="10"/>
      <c r="KW460" s="10"/>
      <c r="KX460" s="10"/>
      <c r="KY460" s="10"/>
      <c r="KZ460" s="10"/>
      <c r="LA460" s="11"/>
      <c r="LB460" s="10"/>
      <c r="LC460" s="9"/>
      <c r="LD460" s="10"/>
      <c r="LE460" s="10"/>
      <c r="LF460" s="10"/>
      <c r="LG460" s="11"/>
      <c r="LH460" s="10"/>
      <c r="LI460" s="10"/>
      <c r="LJ460" s="10"/>
      <c r="LK460" s="10"/>
      <c r="LL460" s="11"/>
      <c r="LM460" s="9"/>
      <c r="LN460" s="10"/>
      <c r="LO460" s="10"/>
      <c r="LP460" s="10"/>
      <c r="LQ460" s="10"/>
      <c r="LR460" s="10"/>
      <c r="LS460" s="10"/>
      <c r="LT460" s="11"/>
      <c r="LV460" s="13"/>
      <c r="OD460" s="5"/>
    </row>
    <row r="461" spans="8:394" ht="18" customHeight="1" x14ac:dyDescent="0.2">
      <c r="H461" s="4"/>
      <c r="AD461" s="12"/>
      <c r="AF461" s="12"/>
      <c r="AP461" s="12"/>
      <c r="AW461" s="13"/>
      <c r="AX461" s="18"/>
      <c r="AY461" s="12"/>
      <c r="BF461" s="13"/>
      <c r="BP461" s="13"/>
      <c r="BR461" s="13"/>
      <c r="DW461" s="5"/>
      <c r="EQ461" s="4"/>
      <c r="FB461" s="42"/>
      <c r="FC461" s="43"/>
      <c r="FD461" s="9"/>
      <c r="FE461" s="10"/>
      <c r="FF461" s="10"/>
      <c r="FG461" s="10"/>
      <c r="FH461" s="10"/>
      <c r="FI461" s="10"/>
      <c r="FJ461" s="10"/>
      <c r="FK461" s="10"/>
      <c r="FL461" s="10"/>
      <c r="FM461" s="10"/>
      <c r="FN461" s="10"/>
      <c r="FO461" s="10"/>
      <c r="FP461" s="10"/>
      <c r="FQ461" s="10"/>
      <c r="FR461" s="10"/>
      <c r="FS461" s="10"/>
      <c r="FT461" s="10"/>
      <c r="FU461" s="10"/>
      <c r="FV461" s="10"/>
      <c r="FW461" s="10"/>
      <c r="FX461" s="10"/>
      <c r="FY461" s="10"/>
      <c r="FZ461" s="10"/>
      <c r="GA461" s="10"/>
      <c r="GB461" s="10"/>
      <c r="GC461" s="11"/>
      <c r="GD461" s="10"/>
      <c r="GE461" s="9"/>
      <c r="GF461" s="10"/>
      <c r="GG461" s="10"/>
      <c r="GH461" s="10"/>
      <c r="GI461" s="11"/>
      <c r="GJ461" s="10"/>
      <c r="GK461" s="10"/>
      <c r="GL461" s="10"/>
      <c r="GM461" s="10"/>
      <c r="GN461" s="11"/>
      <c r="GO461" s="9"/>
      <c r="GP461" s="10"/>
      <c r="GQ461" s="10"/>
      <c r="GR461" s="10"/>
      <c r="GS461" s="10"/>
      <c r="GT461" s="10"/>
      <c r="GU461" s="10"/>
      <c r="GV461" s="11"/>
      <c r="GW461" s="43"/>
      <c r="GX461" s="45"/>
      <c r="JF461" s="5"/>
      <c r="JO461" s="4"/>
      <c r="JZ461" s="12"/>
      <c r="KB461" s="12"/>
      <c r="LA461" s="13"/>
      <c r="LC461" s="12"/>
      <c r="LG461" s="13"/>
      <c r="LL461" s="13"/>
      <c r="LM461" s="12"/>
      <c r="LT461" s="13"/>
      <c r="LV461" s="13"/>
      <c r="OD461" s="5"/>
    </row>
    <row r="462" spans="8:394" ht="18" customHeight="1" x14ac:dyDescent="0.2">
      <c r="H462" s="4"/>
      <c r="AD462" s="12"/>
      <c r="AF462" s="12"/>
      <c r="AP462" s="12"/>
      <c r="AW462" s="13"/>
      <c r="AX462" s="18"/>
      <c r="AY462" s="12"/>
      <c r="BF462" s="13"/>
      <c r="BP462" s="13"/>
      <c r="BR462" s="13"/>
      <c r="DW462" s="5"/>
      <c r="EQ462" s="4"/>
      <c r="FB462" s="42"/>
      <c r="FC462" s="43"/>
      <c r="FD462" s="12"/>
      <c r="GC462" s="13"/>
      <c r="GE462" s="12"/>
      <c r="GI462" s="13"/>
      <c r="GN462" s="13"/>
      <c r="GO462" s="12"/>
      <c r="GV462" s="13"/>
      <c r="GW462" s="43"/>
      <c r="GX462" s="45"/>
      <c r="JF462" s="5"/>
      <c r="JO462" s="4"/>
      <c r="JZ462" s="12"/>
      <c r="KB462" s="12"/>
      <c r="LA462" s="13"/>
      <c r="LC462" s="12"/>
      <c r="LG462" s="13"/>
      <c r="LL462" s="13"/>
      <c r="LM462" s="12"/>
      <c r="LT462" s="13"/>
      <c r="LV462" s="13"/>
      <c r="OD462" s="5"/>
    </row>
    <row r="463" spans="8:394" ht="18" customHeight="1" x14ac:dyDescent="0.2">
      <c r="H463" s="4"/>
      <c r="AD463" s="12"/>
      <c r="AF463" s="12"/>
      <c r="AP463" s="12"/>
      <c r="AW463" s="13"/>
      <c r="AX463" s="18"/>
      <c r="AY463" s="12"/>
      <c r="BF463" s="13"/>
      <c r="BP463" s="13"/>
      <c r="BR463" s="13"/>
      <c r="DW463" s="5"/>
      <c r="EQ463" s="4"/>
      <c r="FB463" s="42"/>
      <c r="FC463" s="43"/>
      <c r="FD463" s="12"/>
      <c r="GC463" s="13"/>
      <c r="GE463" s="12"/>
      <c r="GI463" s="13"/>
      <c r="GN463" s="13"/>
      <c r="GO463" s="12"/>
      <c r="GV463" s="13"/>
      <c r="GW463" s="43"/>
      <c r="GX463" s="45"/>
      <c r="JF463" s="5"/>
      <c r="JO463" s="4"/>
      <c r="JZ463" s="12"/>
      <c r="KB463" s="12"/>
      <c r="LA463" s="13"/>
      <c r="LC463" s="12"/>
      <c r="LG463" s="13"/>
      <c r="LL463" s="13"/>
      <c r="LM463" s="12"/>
      <c r="LT463" s="13"/>
      <c r="LV463" s="13"/>
      <c r="OD463" s="5"/>
    </row>
    <row r="464" spans="8:394" ht="18" customHeight="1" x14ac:dyDescent="0.2">
      <c r="H464" s="4"/>
      <c r="AD464" s="12"/>
      <c r="AF464" s="14"/>
      <c r="AG464" s="15"/>
      <c r="AH464" s="15"/>
      <c r="AI464" s="15"/>
      <c r="AJ464" s="15"/>
      <c r="AK464" s="15"/>
      <c r="AL464" s="15"/>
      <c r="AM464" s="15"/>
      <c r="AN464" s="15"/>
      <c r="AO464" s="15"/>
      <c r="AP464" s="14"/>
      <c r="AQ464" s="15"/>
      <c r="AR464" s="15"/>
      <c r="AS464" s="15"/>
      <c r="AT464" s="15"/>
      <c r="AU464" s="15"/>
      <c r="AV464" s="15"/>
      <c r="AW464" s="16"/>
      <c r="AX464" s="19"/>
      <c r="AY464" s="14"/>
      <c r="AZ464" s="15"/>
      <c r="BA464" s="15"/>
      <c r="BB464" s="15"/>
      <c r="BC464" s="15"/>
      <c r="BD464" s="15"/>
      <c r="BE464" s="15"/>
      <c r="BF464" s="16"/>
      <c r="BG464" s="15"/>
      <c r="BH464" s="15"/>
      <c r="BI464" s="15"/>
      <c r="BJ464" s="15"/>
      <c r="BK464" s="15"/>
      <c r="BL464" s="15"/>
      <c r="BM464" s="15"/>
      <c r="BN464" s="15"/>
      <c r="BO464" s="15"/>
      <c r="BP464" s="16"/>
      <c r="BS464" s="10"/>
      <c r="BT464" s="10"/>
      <c r="BU464" s="10"/>
      <c r="BV464" s="10"/>
      <c r="BW464" s="10"/>
      <c r="BX464" s="10"/>
      <c r="BY464" s="10"/>
      <c r="BZ464" s="10"/>
      <c r="CA464" s="10"/>
      <c r="CB464" s="10"/>
      <c r="CC464" s="10"/>
      <c r="CD464" s="11"/>
      <c r="DW464" s="5"/>
      <c r="EQ464" s="4"/>
      <c r="FB464" s="42"/>
      <c r="FC464" s="43"/>
      <c r="FD464" s="12"/>
      <c r="GC464" s="13"/>
      <c r="GE464" s="12"/>
      <c r="GI464" s="13"/>
      <c r="GN464" s="13"/>
      <c r="GO464" s="12"/>
      <c r="GV464" s="13"/>
      <c r="GW464" s="43"/>
      <c r="GX464" s="45"/>
      <c r="JF464" s="5"/>
      <c r="JO464" s="4"/>
      <c r="JZ464" s="12"/>
      <c r="KB464" s="12"/>
      <c r="LA464" s="13"/>
      <c r="LC464" s="14"/>
      <c r="LD464" s="15"/>
      <c r="LE464" s="15"/>
      <c r="LF464" s="15"/>
      <c r="LG464" s="16"/>
      <c r="LH464" s="15"/>
      <c r="LI464" s="15"/>
      <c r="LJ464" s="15"/>
      <c r="LK464" s="15"/>
      <c r="LL464" s="16"/>
      <c r="LM464" s="12"/>
      <c r="LT464" s="13"/>
      <c r="LV464" s="13"/>
      <c r="OD464" s="5"/>
    </row>
    <row r="465" spans="8:394" ht="18" customHeight="1" x14ac:dyDescent="0.2">
      <c r="H465" s="4"/>
      <c r="AD465" s="12"/>
      <c r="AF465" s="15"/>
      <c r="AG465" s="100"/>
      <c r="AH465" s="100"/>
      <c r="AI465" s="100"/>
      <c r="AJ465" s="100"/>
      <c r="AK465" s="100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15"/>
      <c r="AZ465" s="15"/>
      <c r="BA465" s="15"/>
      <c r="BB465" s="15"/>
      <c r="BC465" s="15"/>
      <c r="BD465" s="15"/>
      <c r="BE465" s="15"/>
      <c r="BF465" s="15"/>
      <c r="BG465" s="15"/>
      <c r="BH465" s="100"/>
      <c r="BI465" s="100"/>
      <c r="BJ465" s="100"/>
      <c r="BK465" s="100"/>
      <c r="BL465" s="100"/>
      <c r="BM465" s="15"/>
      <c r="BN465" s="15"/>
      <c r="BO465" s="15"/>
      <c r="BP465" s="15"/>
      <c r="BQ465" s="15"/>
      <c r="BR465" s="15"/>
      <c r="CD465" s="13"/>
      <c r="DW465" s="5"/>
      <c r="EQ465" s="4"/>
      <c r="FB465" s="42"/>
      <c r="FC465" s="43"/>
      <c r="FD465" s="12"/>
      <c r="GC465" s="13"/>
      <c r="GE465" s="14"/>
      <c r="GF465" s="15"/>
      <c r="GG465" s="15"/>
      <c r="GH465" s="15"/>
      <c r="GI465" s="16"/>
      <c r="GJ465" s="15"/>
      <c r="GK465" s="15"/>
      <c r="GL465" s="15"/>
      <c r="GM465" s="15"/>
      <c r="GN465" s="16"/>
      <c r="GO465" s="12"/>
      <c r="GV465" s="13"/>
      <c r="GW465" s="43"/>
      <c r="GX465" s="45"/>
      <c r="JF465" s="5"/>
      <c r="JO465" s="4"/>
      <c r="JZ465" s="12"/>
      <c r="KB465" s="12"/>
      <c r="LA465" s="13"/>
      <c r="LC465" s="12"/>
      <c r="LM465" s="12"/>
      <c r="LT465" s="13"/>
      <c r="LV465" s="13"/>
      <c r="OD465" s="5"/>
    </row>
    <row r="466" spans="8:394" ht="18" customHeight="1" x14ac:dyDescent="0.2">
      <c r="H466" s="4"/>
      <c r="AD466" s="12"/>
      <c r="AF466" s="12"/>
      <c r="BD466" s="18"/>
      <c r="BE466" t="s">
        <v>45</v>
      </c>
      <c r="BS466" s="10"/>
      <c r="BT466" s="10"/>
      <c r="BU466" s="10"/>
      <c r="BV466" s="10"/>
      <c r="BW466" s="10"/>
      <c r="BX466" s="10"/>
      <c r="BY466" s="10"/>
      <c r="BZ466" s="10"/>
      <c r="CA466" s="10"/>
      <c r="CB466" s="11"/>
      <c r="CD466" s="13"/>
      <c r="DW466" s="5"/>
      <c r="EQ466" s="4"/>
      <c r="FB466" s="42"/>
      <c r="FC466" s="43"/>
      <c r="FD466" s="12"/>
      <c r="GC466" s="13"/>
      <c r="GE466" s="12"/>
      <c r="GO466" s="12"/>
      <c r="GV466" s="13"/>
      <c r="GW466" s="43"/>
      <c r="GX466" s="45"/>
      <c r="JF466" s="5"/>
      <c r="JO466" s="4"/>
      <c r="JZ466" s="12"/>
      <c r="KB466" s="12"/>
      <c r="LA466" s="13"/>
      <c r="LC466" s="12"/>
      <c r="LM466" s="12"/>
      <c r="LT466" s="13"/>
      <c r="LV466" s="13"/>
      <c r="OD466" s="5"/>
    </row>
    <row r="467" spans="8:394" ht="18" customHeight="1" x14ac:dyDescent="0.2">
      <c r="H467" s="4"/>
      <c r="AD467" s="12"/>
      <c r="AF467" s="12"/>
      <c r="BD467" s="24"/>
      <c r="CB467" s="13"/>
      <c r="CD467" s="13"/>
      <c r="DW467" s="5"/>
      <c r="EQ467" s="4"/>
      <c r="FB467" s="42"/>
      <c r="FC467" s="43"/>
      <c r="FD467" s="12"/>
      <c r="GC467" s="13"/>
      <c r="GE467" s="12"/>
      <c r="GO467" s="12"/>
      <c r="GV467" s="13"/>
      <c r="GW467" s="43"/>
      <c r="GX467" s="45"/>
      <c r="JF467" s="5"/>
      <c r="JO467" s="4"/>
      <c r="JZ467" s="12"/>
      <c r="KB467" s="12"/>
      <c r="LA467" s="13"/>
      <c r="LC467" s="12"/>
      <c r="LM467" s="12"/>
      <c r="LT467" s="13"/>
      <c r="LV467" s="13"/>
      <c r="OD467" s="5"/>
    </row>
    <row r="468" spans="8:394" ht="18" customHeight="1" x14ac:dyDescent="0.2">
      <c r="H468" s="4"/>
      <c r="AD468" s="12"/>
      <c r="AF468" s="12"/>
      <c r="BD468" s="24"/>
      <c r="CB468" s="13"/>
      <c r="CD468" s="13"/>
      <c r="DW468" s="5"/>
      <c r="EQ468" s="4"/>
      <c r="FB468" s="42"/>
      <c r="FC468" s="43"/>
      <c r="FD468" s="12"/>
      <c r="GC468" s="13"/>
      <c r="GE468" s="12"/>
      <c r="GO468" s="12"/>
      <c r="GV468" s="13"/>
      <c r="GW468" s="43"/>
      <c r="GX468" s="45"/>
      <c r="JF468" s="5"/>
      <c r="JO468" s="4"/>
      <c r="JZ468" s="12"/>
      <c r="KB468" s="12"/>
      <c r="LA468" s="13"/>
      <c r="LC468" s="12"/>
      <c r="LM468" s="12"/>
      <c r="LT468" s="13"/>
      <c r="LV468" s="13"/>
      <c r="LX468" s="15"/>
      <c r="LY468" s="15"/>
      <c r="LZ468" s="15"/>
      <c r="MA468" s="15"/>
      <c r="MB468" s="15"/>
      <c r="MC468" s="15"/>
      <c r="MD468" s="15"/>
      <c r="ME468" s="15"/>
      <c r="MF468" s="15"/>
      <c r="MG468" s="15"/>
      <c r="MH468" s="15"/>
      <c r="MI468" s="15"/>
      <c r="MJ468" s="15"/>
      <c r="MK468" s="15"/>
      <c r="OD468" s="5"/>
    </row>
    <row r="469" spans="8:394" ht="18" customHeight="1" x14ac:dyDescent="0.2">
      <c r="H469" s="4"/>
      <c r="AD469" s="12"/>
      <c r="AF469" s="12"/>
      <c r="BD469" s="24"/>
      <c r="CB469" s="13"/>
      <c r="CD469" s="13"/>
      <c r="DW469" s="5"/>
      <c r="EQ469" s="4"/>
      <c r="FB469" s="42"/>
      <c r="FC469" s="43"/>
      <c r="FD469" s="12"/>
      <c r="GC469" s="13"/>
      <c r="GE469" s="12"/>
      <c r="GO469" s="12"/>
      <c r="GV469" s="13"/>
      <c r="GW469" s="43"/>
      <c r="GX469" s="45"/>
      <c r="GZ469" s="15"/>
      <c r="HA469" s="15"/>
      <c r="HB469" s="15"/>
      <c r="HC469" s="15"/>
      <c r="HD469" s="15"/>
      <c r="HE469" s="15"/>
      <c r="HF469" s="15"/>
      <c r="HG469" s="15"/>
      <c r="HH469" s="15"/>
      <c r="HI469" s="15"/>
      <c r="HJ469" s="15"/>
      <c r="HK469" s="15"/>
      <c r="JF469" s="5"/>
      <c r="JO469" s="4"/>
      <c r="JZ469" s="12"/>
      <c r="KB469" s="12"/>
      <c r="LA469" s="13"/>
      <c r="LC469" s="14"/>
      <c r="LD469" s="15"/>
      <c r="LE469" s="15"/>
      <c r="LF469" s="15"/>
      <c r="LG469" s="15"/>
      <c r="LH469" s="15"/>
      <c r="LI469" s="15"/>
      <c r="LJ469" s="15"/>
      <c r="LK469" s="15"/>
      <c r="LL469" s="15"/>
      <c r="LM469" s="14"/>
      <c r="LN469" s="15"/>
      <c r="LO469" s="15"/>
      <c r="LP469" s="15"/>
      <c r="LQ469" s="15"/>
      <c r="LR469" s="15"/>
      <c r="LS469" s="15"/>
      <c r="LT469" s="16"/>
      <c r="LW469" s="10"/>
      <c r="MB469" s="20"/>
      <c r="MC469" s="21"/>
      <c r="MD469" s="21"/>
      <c r="ME469" s="21"/>
      <c r="MF469" s="21"/>
      <c r="MG469" s="22"/>
      <c r="MK469" s="11"/>
      <c r="OD469" s="5"/>
    </row>
    <row r="470" spans="8:394" ht="18" customHeight="1" x14ac:dyDescent="0.2">
      <c r="H470" s="4"/>
      <c r="AD470" s="12"/>
      <c r="AF470" s="12"/>
      <c r="BD470" s="24"/>
      <c r="CB470" s="13"/>
      <c r="CD470" s="13"/>
      <c r="DW470" s="5"/>
      <c r="EQ470" s="4"/>
      <c r="FB470" s="42"/>
      <c r="FC470" s="43"/>
      <c r="FD470" s="12"/>
      <c r="GC470" s="13"/>
      <c r="GE470" s="14"/>
      <c r="GF470" s="15"/>
      <c r="GG470" s="15"/>
      <c r="GH470" s="15"/>
      <c r="GI470" s="15"/>
      <c r="GJ470" s="15"/>
      <c r="GK470" s="15"/>
      <c r="GL470" s="15"/>
      <c r="GM470" s="15"/>
      <c r="GN470" s="15"/>
      <c r="GO470" s="14"/>
      <c r="GP470" s="15"/>
      <c r="GQ470" s="15"/>
      <c r="GR470" s="15"/>
      <c r="GS470" s="15"/>
      <c r="GT470" s="15"/>
      <c r="GU470" s="15"/>
      <c r="GV470" s="16"/>
      <c r="GW470" s="43"/>
      <c r="GX470" s="43"/>
      <c r="GY470" s="41"/>
      <c r="GZ470" s="43"/>
      <c r="HA470" s="43"/>
      <c r="HB470" s="123"/>
      <c r="HC470" s="109"/>
      <c r="HD470" s="109"/>
      <c r="HE470" s="109"/>
      <c r="HF470" s="109"/>
      <c r="HG470" s="124"/>
      <c r="HH470" s="43"/>
      <c r="HI470" s="43"/>
      <c r="HJ470" s="43"/>
      <c r="HK470" s="44"/>
      <c r="JF470" s="5"/>
      <c r="JO470" s="4"/>
      <c r="JZ470" s="12"/>
      <c r="KB470" s="12"/>
      <c r="LA470" s="13"/>
      <c r="LC470" s="15"/>
      <c r="LD470" s="15"/>
      <c r="LE470" s="100"/>
      <c r="LF470" s="100"/>
      <c r="LG470" s="100"/>
      <c r="LH470" s="100"/>
      <c r="LI470" s="100"/>
      <c r="LJ470" s="15"/>
      <c r="LK470" s="15"/>
      <c r="LL470" s="15"/>
      <c r="LM470" s="15"/>
      <c r="LN470" s="15"/>
      <c r="LO470" s="15"/>
      <c r="LP470" s="15"/>
      <c r="LQ470" s="15"/>
      <c r="LR470" s="15"/>
      <c r="LS470" s="15"/>
      <c r="LT470" s="15"/>
      <c r="LU470" s="15"/>
      <c r="LV470" s="15"/>
      <c r="LX470" s="15"/>
      <c r="LY470" s="15"/>
      <c r="LZ470" s="15"/>
      <c r="MA470" s="15"/>
      <c r="MB470" s="20"/>
      <c r="MC470" s="21"/>
      <c r="MD470" s="21"/>
      <c r="ME470" s="21"/>
      <c r="MF470" s="21"/>
      <c r="MG470" s="22"/>
      <c r="MK470" s="13"/>
      <c r="OD470" s="5"/>
    </row>
    <row r="471" spans="8:394" ht="18" customHeight="1" x14ac:dyDescent="0.2">
      <c r="H471" s="4"/>
      <c r="AD471" s="12"/>
      <c r="AF471" s="12"/>
      <c r="BD471" s="24"/>
      <c r="BY471" s="9"/>
      <c r="BZ471" s="10"/>
      <c r="CA471" s="10"/>
      <c r="CB471" s="11"/>
      <c r="CD471" s="13"/>
      <c r="DW471" s="5"/>
      <c r="EQ471" s="4"/>
      <c r="FB471" s="42"/>
      <c r="FC471" s="43"/>
      <c r="FD471" s="12"/>
      <c r="GC471" s="13"/>
      <c r="GE471" s="15"/>
      <c r="GF471" s="15"/>
      <c r="GG471" s="100"/>
      <c r="GH471" s="100"/>
      <c r="GI471" s="100"/>
      <c r="GJ471" s="100"/>
      <c r="GK471" s="100"/>
      <c r="GL471" s="15"/>
      <c r="GM471" s="15"/>
      <c r="GN471" s="15"/>
      <c r="GO471" s="15"/>
      <c r="GP471" s="15"/>
      <c r="GQ471" s="15"/>
      <c r="GR471" s="15"/>
      <c r="GS471" s="15"/>
      <c r="GT471" s="15"/>
      <c r="GU471" s="15"/>
      <c r="GV471" s="15"/>
      <c r="GW471" s="47"/>
      <c r="GX471" s="47"/>
      <c r="GY471" s="43"/>
      <c r="GZ471" s="47"/>
      <c r="HA471" s="47"/>
      <c r="HB471" s="123"/>
      <c r="HC471" s="109"/>
      <c r="HD471" s="109"/>
      <c r="HE471" s="109"/>
      <c r="HF471" s="109"/>
      <c r="HG471" s="124"/>
      <c r="HH471" s="43"/>
      <c r="HI471" s="43"/>
      <c r="HJ471" s="43"/>
      <c r="HK471" s="45"/>
      <c r="JF471" s="5"/>
      <c r="JO471" s="4"/>
      <c r="JZ471" s="12"/>
      <c r="KB471" s="12"/>
      <c r="LA471" s="13"/>
      <c r="LC471" s="9"/>
      <c r="LD471" s="10"/>
      <c r="LE471" s="10"/>
      <c r="LF471" s="10"/>
      <c r="LG471" s="10"/>
      <c r="LH471" s="10"/>
      <c r="LI471" s="10"/>
      <c r="LJ471" s="10"/>
      <c r="LK471" s="10"/>
      <c r="LL471" s="10"/>
      <c r="LM471" s="10"/>
      <c r="LN471" s="10"/>
      <c r="LO471" s="10"/>
      <c r="LP471" s="10"/>
      <c r="LQ471" s="10"/>
      <c r="LR471" s="10"/>
      <c r="LS471" s="10"/>
      <c r="LT471" s="10"/>
      <c r="LU471" s="10"/>
      <c r="LV471" s="10"/>
      <c r="LW471" s="10"/>
      <c r="LX471" s="10"/>
      <c r="LY471" s="10"/>
      <c r="LZ471" s="10"/>
      <c r="MA471" s="10"/>
      <c r="MB471" s="10"/>
      <c r="MC471" s="10"/>
      <c r="MD471" s="10"/>
      <c r="ME471" s="10"/>
      <c r="MF471" s="10"/>
      <c r="MG471" s="10"/>
      <c r="MH471" s="10"/>
      <c r="MI471" s="11"/>
      <c r="MK471" s="13"/>
      <c r="OD471" s="5"/>
    </row>
    <row r="472" spans="8:394" ht="18" customHeight="1" x14ac:dyDescent="0.2">
      <c r="H472" s="4"/>
      <c r="AD472" s="12"/>
      <c r="AF472" s="12"/>
      <c r="BD472" s="24"/>
      <c r="BY472" s="12"/>
      <c r="CB472" s="13"/>
      <c r="CD472" s="13"/>
      <c r="DW472" s="5"/>
      <c r="EQ472" s="4"/>
      <c r="FB472" s="42"/>
      <c r="FC472" s="43"/>
      <c r="FD472" s="12"/>
      <c r="GC472" s="13"/>
      <c r="GE472" s="9"/>
      <c r="GF472" s="10"/>
      <c r="GG472" s="10"/>
      <c r="GH472" s="10"/>
      <c r="GI472" s="10"/>
      <c r="GJ472" s="10"/>
      <c r="GK472" s="10"/>
      <c r="GL472" s="10"/>
      <c r="GM472" s="10"/>
      <c r="GN472" t="s">
        <v>45</v>
      </c>
      <c r="GO472" s="10"/>
      <c r="GP472" s="10"/>
      <c r="GQ472" s="10"/>
      <c r="GR472" s="10"/>
      <c r="GS472" s="10"/>
      <c r="GT472" s="10"/>
      <c r="GU472" s="10"/>
      <c r="GV472" s="10"/>
      <c r="GW472" s="10"/>
      <c r="GX472" s="10"/>
      <c r="GY472" s="10"/>
      <c r="GZ472" s="10"/>
      <c r="HA472" s="10"/>
      <c r="HB472" s="10"/>
      <c r="HC472" s="10"/>
      <c r="HD472" s="10"/>
      <c r="HE472" s="10"/>
      <c r="HF472" s="10"/>
      <c r="HG472" s="10"/>
      <c r="HH472" s="10"/>
      <c r="HI472" s="11"/>
      <c r="HJ472" s="43"/>
      <c r="HK472" s="45"/>
      <c r="JF472" s="5"/>
      <c r="JO472" s="4"/>
      <c r="JZ472" s="12"/>
      <c r="KB472" s="12"/>
      <c r="LA472" s="13"/>
      <c r="LC472" s="12"/>
      <c r="MI472" s="13"/>
      <c r="MK472" s="13"/>
      <c r="OD472" s="5"/>
    </row>
    <row r="473" spans="8:394" ht="18" customHeight="1" x14ac:dyDescent="0.2">
      <c r="H473" s="4"/>
      <c r="AD473" s="12"/>
      <c r="AF473" s="12"/>
      <c r="BD473" s="18"/>
      <c r="BS473" s="9"/>
      <c r="BT473" s="10"/>
      <c r="BU473" s="10"/>
      <c r="BV473" s="11"/>
      <c r="BY473" s="12"/>
      <c r="CB473" s="13"/>
      <c r="CD473" s="13"/>
      <c r="DW473" s="5"/>
      <c r="EQ473" s="4"/>
      <c r="FB473" s="42"/>
      <c r="FC473" s="43"/>
      <c r="FD473" s="12"/>
      <c r="GC473" s="13"/>
      <c r="GE473" s="12"/>
      <c r="HI473" s="13"/>
      <c r="HJ473" s="43"/>
      <c r="HK473" s="45"/>
      <c r="JF473" s="5"/>
      <c r="JO473" s="4"/>
      <c r="JZ473" s="12"/>
      <c r="KB473" s="12"/>
      <c r="LA473" s="13"/>
      <c r="LC473" s="12"/>
      <c r="MI473" s="13"/>
      <c r="MK473" s="13"/>
      <c r="OD473" s="5"/>
    </row>
    <row r="474" spans="8:394" ht="18" customHeight="1" x14ac:dyDescent="0.2">
      <c r="H474" s="4"/>
      <c r="AD474" s="12"/>
      <c r="AF474" s="12"/>
      <c r="BD474" s="18"/>
      <c r="BS474" s="12"/>
      <c r="BV474" s="13"/>
      <c r="BY474" s="12"/>
      <c r="CB474" s="13"/>
      <c r="CD474" s="13"/>
      <c r="DW474" s="5"/>
      <c r="EQ474" s="4"/>
      <c r="FB474" s="42"/>
      <c r="FC474" s="43"/>
      <c r="FD474" s="12"/>
      <c r="GC474" s="13"/>
      <c r="GD474" s="127"/>
      <c r="GE474" s="12"/>
      <c r="HI474" s="13"/>
      <c r="HJ474" s="43"/>
      <c r="HK474" s="45"/>
      <c r="JF474" s="5"/>
      <c r="JO474" s="4"/>
      <c r="JZ474" s="12"/>
      <c r="KB474" s="12"/>
      <c r="LA474" s="13"/>
      <c r="LB474" s="127"/>
      <c r="LC474" s="12"/>
      <c r="MI474" s="13"/>
      <c r="MK474" s="13"/>
      <c r="OD474" s="5"/>
    </row>
    <row r="475" spans="8:394" ht="18" customHeight="1" x14ac:dyDescent="0.2">
      <c r="H475" s="4"/>
      <c r="AD475" s="12"/>
      <c r="AF475" s="12"/>
      <c r="BD475" s="18"/>
      <c r="BE475" s="15"/>
      <c r="BF475" s="15"/>
      <c r="BS475" s="12"/>
      <c r="BV475" s="13"/>
      <c r="BY475" s="12"/>
      <c r="CB475" s="13"/>
      <c r="CD475" s="13"/>
      <c r="DW475" s="5"/>
      <c r="EQ475" s="4"/>
      <c r="FB475" s="42"/>
      <c r="FC475" s="43"/>
      <c r="FD475" s="12"/>
      <c r="GC475" s="13"/>
      <c r="GD475" s="127"/>
      <c r="GE475" s="12"/>
      <c r="HI475" s="13"/>
      <c r="HJ475" s="43"/>
      <c r="HK475" s="45"/>
      <c r="JF475" s="5"/>
      <c r="JO475" s="4"/>
      <c r="JZ475" s="12"/>
      <c r="KB475" s="12"/>
      <c r="LA475" s="13"/>
      <c r="LB475" s="127"/>
      <c r="LC475" s="12"/>
      <c r="MI475" s="13"/>
      <c r="MK475" s="13"/>
      <c r="OD475" s="5"/>
    </row>
    <row r="476" spans="8:394" ht="18" customHeight="1" x14ac:dyDescent="0.2">
      <c r="H476" s="4"/>
      <c r="AD476" s="12"/>
      <c r="AF476" s="12"/>
      <c r="BD476" s="18"/>
      <c r="BE476" s="10"/>
      <c r="BF476" s="10"/>
      <c r="BG476" s="11"/>
      <c r="BS476" s="14"/>
      <c r="BT476" s="15"/>
      <c r="BU476" s="15"/>
      <c r="BV476" s="16"/>
      <c r="BY476" s="12"/>
      <c r="CB476" s="13"/>
      <c r="CD476" s="13"/>
      <c r="DW476" s="5"/>
      <c r="EQ476" s="4"/>
      <c r="FB476" s="42"/>
      <c r="FC476" s="43"/>
      <c r="FD476" s="12"/>
      <c r="GC476" s="13"/>
      <c r="GD476" s="127"/>
      <c r="GE476" s="12"/>
      <c r="HF476" s="9"/>
      <c r="HG476" s="10"/>
      <c r="HH476" s="10"/>
      <c r="HI476" s="11"/>
      <c r="HJ476" s="43"/>
      <c r="HK476" s="45"/>
      <c r="JF476" s="5"/>
      <c r="JO476" s="4"/>
      <c r="JZ476" s="12"/>
      <c r="KB476" s="12"/>
      <c r="LA476" s="13"/>
      <c r="LB476" s="127"/>
      <c r="LC476" s="12"/>
      <c r="MF476" s="9"/>
      <c r="MG476" s="10"/>
      <c r="MH476" s="10"/>
      <c r="MI476" s="11"/>
      <c r="MK476" s="13"/>
      <c r="OD476" s="5"/>
    </row>
    <row r="477" spans="8:394" ht="18" customHeight="1" x14ac:dyDescent="0.2">
      <c r="H477" s="4"/>
      <c r="AD477" s="12"/>
      <c r="AF477" s="12"/>
      <c r="BD477" s="18"/>
      <c r="BG477" s="13"/>
      <c r="BY477" s="12"/>
      <c r="CB477" s="13"/>
      <c r="CD477" s="13"/>
      <c r="DW477" s="5"/>
      <c r="EQ477" s="4"/>
      <c r="FB477" s="42"/>
      <c r="FC477" s="43"/>
      <c r="FD477" s="12"/>
      <c r="GC477" s="13"/>
      <c r="GD477" s="127"/>
      <c r="GE477" s="12"/>
      <c r="HF477" s="12"/>
      <c r="HI477" s="13"/>
      <c r="HJ477" s="43"/>
      <c r="HK477" s="45"/>
      <c r="JF477" s="5"/>
      <c r="JO477" s="4"/>
      <c r="JZ477" s="12"/>
      <c r="KB477" s="12"/>
      <c r="LA477" s="13"/>
      <c r="LB477" s="127"/>
      <c r="LC477" s="12"/>
      <c r="MF477" s="12"/>
      <c r="MI477" s="13"/>
      <c r="MK477" s="13"/>
      <c r="OD477" s="5"/>
    </row>
    <row r="478" spans="8:394" ht="18" customHeight="1" x14ac:dyDescent="0.2">
      <c r="H478" s="4"/>
      <c r="AD478" s="12"/>
      <c r="AF478" s="12"/>
      <c r="BD478" s="18"/>
      <c r="BE478" s="15"/>
      <c r="BF478" s="15"/>
      <c r="BG478" s="16"/>
      <c r="BY478" s="14"/>
      <c r="BZ478" s="15"/>
      <c r="CA478" s="15"/>
      <c r="CB478" s="16"/>
      <c r="CD478" s="13"/>
      <c r="DW478" s="5"/>
      <c r="EQ478" s="4"/>
      <c r="FB478" s="42"/>
      <c r="FC478" s="43"/>
      <c r="FD478" s="12"/>
      <c r="GC478" s="13"/>
      <c r="GD478" s="127"/>
      <c r="GE478" s="12"/>
      <c r="GZ478" s="9"/>
      <c r="HA478" s="10"/>
      <c r="HB478" s="10"/>
      <c r="HC478" s="11"/>
      <c r="HF478" s="12"/>
      <c r="HI478" s="13"/>
      <c r="HJ478" s="43"/>
      <c r="HK478" s="45"/>
      <c r="JF478" s="5"/>
      <c r="JO478" s="4"/>
      <c r="JZ478" s="12"/>
      <c r="KB478" s="12"/>
      <c r="LA478" s="13"/>
      <c r="LB478" s="127"/>
      <c r="LC478" s="12"/>
      <c r="LZ478" s="9"/>
      <c r="MA478" s="10"/>
      <c r="MB478" s="10"/>
      <c r="MC478" s="11"/>
      <c r="MF478" s="12"/>
      <c r="MI478" s="13"/>
      <c r="MK478" s="13"/>
      <c r="OD478" s="5"/>
    </row>
    <row r="479" spans="8:394" ht="18" customHeight="1" x14ac:dyDescent="0.2">
      <c r="H479" s="4"/>
      <c r="AD479" s="12"/>
      <c r="AF479" s="12"/>
      <c r="BD479" s="18"/>
      <c r="BE479" s="10"/>
      <c r="BF479" s="10"/>
      <c r="BG479" s="10"/>
      <c r="BH479" s="10"/>
      <c r="BI479" s="10"/>
      <c r="BJ479" s="11"/>
      <c r="CB479" s="13"/>
      <c r="CD479" s="13"/>
      <c r="DW479" s="5"/>
      <c r="EQ479" s="4"/>
      <c r="FB479" s="42"/>
      <c r="FC479" s="43"/>
      <c r="FD479" s="12"/>
      <c r="GC479" s="13"/>
      <c r="GD479" s="127"/>
      <c r="GE479" s="12"/>
      <c r="GZ479" s="12"/>
      <c r="HC479" s="13"/>
      <c r="HF479" s="12"/>
      <c r="HI479" s="13"/>
      <c r="HJ479" s="43"/>
      <c r="HK479" s="45"/>
      <c r="JF479" s="5"/>
      <c r="JO479" s="4"/>
      <c r="JZ479" s="12"/>
      <c r="KB479" s="12"/>
      <c r="LA479" s="13"/>
      <c r="LB479" s="127"/>
      <c r="LC479" s="12"/>
      <c r="LZ479" s="12"/>
      <c r="MC479" s="13"/>
      <c r="MF479" s="12"/>
      <c r="MI479" s="13"/>
      <c r="MK479" s="13"/>
      <c r="OD479" s="5"/>
    </row>
    <row r="480" spans="8:394" ht="18" customHeight="1" x14ac:dyDescent="0.2">
      <c r="H480" s="4"/>
      <c r="AD480" s="12"/>
      <c r="AF480" s="12"/>
      <c r="BD480" s="18"/>
      <c r="BE480" s="10"/>
      <c r="BF480" s="11"/>
      <c r="BG480" s="10"/>
      <c r="BH480" s="10"/>
      <c r="BI480" s="10"/>
      <c r="BJ480" s="11"/>
      <c r="CB480" s="13"/>
      <c r="CD480" s="13"/>
      <c r="DW480" s="5"/>
      <c r="EQ480" s="4"/>
      <c r="FB480" s="42"/>
      <c r="FC480" s="43"/>
      <c r="FD480" s="14"/>
      <c r="FE480" s="15"/>
      <c r="FF480" s="15"/>
      <c r="FG480" s="15"/>
      <c r="FH480" s="15"/>
      <c r="FI480" s="15"/>
      <c r="FJ480" s="15"/>
      <c r="FK480" s="15"/>
      <c r="FL480" s="15"/>
      <c r="FM480" s="15"/>
      <c r="FN480" s="15"/>
      <c r="FO480" s="15"/>
      <c r="FP480" s="15"/>
      <c r="FQ480" s="15"/>
      <c r="FR480" s="15"/>
      <c r="FS480" s="15"/>
      <c r="FT480" s="15"/>
      <c r="FU480" s="15"/>
      <c r="FV480" s="15"/>
      <c r="FW480" s="15"/>
      <c r="FX480" s="15"/>
      <c r="FY480" s="15"/>
      <c r="FZ480" s="15"/>
      <c r="GA480" s="15"/>
      <c r="GB480" s="15"/>
      <c r="GC480" s="16"/>
      <c r="GE480" s="14"/>
      <c r="GF480" s="15"/>
      <c r="GG480" s="15"/>
      <c r="GH480" s="15"/>
      <c r="GI480" s="15"/>
      <c r="GJ480" s="15"/>
      <c r="GK480" s="15"/>
      <c r="GL480" s="15"/>
      <c r="GM480" s="15"/>
      <c r="GZ480" s="12"/>
      <c r="HC480" s="13"/>
      <c r="HF480" s="12"/>
      <c r="HI480" s="13"/>
      <c r="HJ480" s="43"/>
      <c r="HK480" s="45"/>
      <c r="HU480" s="155"/>
      <c r="JE480" s="9"/>
      <c r="JF480" s="11"/>
      <c r="JO480" s="4"/>
      <c r="JZ480" s="12"/>
      <c r="KB480" s="14"/>
      <c r="KC480" s="15"/>
      <c r="KD480" s="15"/>
      <c r="KE480" s="15"/>
      <c r="KF480" s="15"/>
      <c r="KG480" s="15"/>
      <c r="KH480" s="15"/>
      <c r="KI480" s="15"/>
      <c r="KJ480" s="15"/>
      <c r="KK480" s="15"/>
      <c r="KL480" s="15"/>
      <c r="KM480" s="15"/>
      <c r="KN480" s="15"/>
      <c r="KO480" s="15"/>
      <c r="KP480" s="15"/>
      <c r="KQ480" s="15"/>
      <c r="KR480" s="15"/>
      <c r="KS480" s="15"/>
      <c r="KT480" s="15"/>
      <c r="KU480" s="15"/>
      <c r="KV480" s="15"/>
      <c r="KW480" s="15"/>
      <c r="KX480" s="15"/>
      <c r="KY480" s="15"/>
      <c r="KZ480" s="15"/>
      <c r="LA480" s="16"/>
      <c r="LC480" s="14"/>
      <c r="LD480" s="15"/>
      <c r="LE480" s="15"/>
      <c r="LF480" s="15"/>
      <c r="LG480" s="15"/>
      <c r="LH480" s="15"/>
      <c r="LI480" s="15"/>
      <c r="LJ480" s="15"/>
      <c r="LK480" s="15"/>
      <c r="LZ480" s="12"/>
      <c r="MC480" s="13"/>
      <c r="MF480" s="12"/>
      <c r="MI480" s="13"/>
      <c r="MK480" s="13"/>
      <c r="OC480" s="9"/>
      <c r="OD480" s="11"/>
    </row>
    <row r="481" spans="8:394" ht="18" customHeight="1" x14ac:dyDescent="0.2">
      <c r="H481" s="4"/>
      <c r="AD481" s="12"/>
      <c r="AF481" s="12"/>
      <c r="BD481" s="18"/>
      <c r="BF481" s="13"/>
      <c r="BJ481" s="13"/>
      <c r="CB481" s="13"/>
      <c r="CD481" s="13"/>
      <c r="DW481" s="5"/>
      <c r="EQ481" s="4"/>
      <c r="FB481" s="42"/>
      <c r="FC481" s="43"/>
      <c r="FH481" s="127"/>
      <c r="FI481" s="127"/>
      <c r="FJ481" s="127"/>
      <c r="FK481" s="127"/>
      <c r="FL481" s="127"/>
      <c r="GF481" s="127"/>
      <c r="GG481" s="127"/>
      <c r="GH481" s="127"/>
      <c r="GI481" s="127"/>
      <c r="GJ481" s="127"/>
      <c r="GK481" s="127"/>
      <c r="GN481" s="12"/>
      <c r="GZ481" s="14"/>
      <c r="HA481" s="15"/>
      <c r="HB481" s="15"/>
      <c r="HC481" s="16"/>
      <c r="HF481" s="12"/>
      <c r="HI481" s="13"/>
      <c r="HJ481" s="43"/>
      <c r="HK481" s="45"/>
      <c r="HU481" s="156"/>
      <c r="JE481" s="12"/>
      <c r="JF481" s="13"/>
      <c r="JO481" s="4"/>
      <c r="JZ481" s="12"/>
      <c r="KF481" s="127"/>
      <c r="KG481" s="127"/>
      <c r="KH481" s="127"/>
      <c r="KI481" s="127"/>
      <c r="KJ481" s="127"/>
      <c r="LD481" s="127"/>
      <c r="LE481" s="127"/>
      <c r="LF481" s="127"/>
      <c r="LG481" s="127"/>
      <c r="LH481" s="127"/>
      <c r="LI481" s="127"/>
      <c r="LL481" s="12"/>
      <c r="LZ481" s="14"/>
      <c r="MA481" s="15"/>
      <c r="MB481" s="15"/>
      <c r="MC481" s="16"/>
      <c r="MF481" s="12"/>
      <c r="MI481" s="13"/>
      <c r="MK481" s="13"/>
      <c r="OC481" s="12"/>
      <c r="OD481" s="13"/>
    </row>
    <row r="482" spans="8:394" ht="18" customHeight="1" x14ac:dyDescent="0.2">
      <c r="H482" s="4"/>
      <c r="AD482" s="12"/>
      <c r="AF482" s="12"/>
      <c r="BD482" s="18"/>
      <c r="BF482" s="13"/>
      <c r="BJ482" s="13"/>
      <c r="CB482" s="13"/>
      <c r="CD482" s="13"/>
      <c r="DW482" s="5"/>
      <c r="EQ482" s="4"/>
      <c r="FB482" s="42"/>
      <c r="FC482" s="43"/>
      <c r="FD482" s="9"/>
      <c r="FE482" s="10"/>
      <c r="FF482" s="10"/>
      <c r="FG482" s="10"/>
      <c r="FH482" s="10"/>
      <c r="FI482" s="10"/>
      <c r="FJ482" s="10"/>
      <c r="FK482" s="10"/>
      <c r="FL482" s="10"/>
      <c r="FM482" s="11"/>
      <c r="FO482" s="9"/>
      <c r="FP482" s="10"/>
      <c r="FQ482" s="10"/>
      <c r="FR482" s="10"/>
      <c r="FS482" s="10"/>
      <c r="FT482" s="10"/>
      <c r="FU482" s="10"/>
      <c r="FV482" s="10"/>
      <c r="FW482" s="10"/>
      <c r="FX482" s="10"/>
      <c r="FY482" s="10"/>
      <c r="FZ482" s="10"/>
      <c r="GA482" s="10"/>
      <c r="GB482" s="10"/>
      <c r="GC482" s="10"/>
      <c r="GD482" s="10"/>
      <c r="GE482" s="10"/>
      <c r="GF482" s="10"/>
      <c r="GG482" s="10"/>
      <c r="GH482" s="10"/>
      <c r="GI482" s="10"/>
      <c r="GJ482" s="10"/>
      <c r="GK482" s="10"/>
      <c r="GL482" s="11"/>
      <c r="GN482" s="12"/>
      <c r="HF482" s="12"/>
      <c r="HI482" s="13"/>
      <c r="HJ482" s="43"/>
      <c r="HK482" s="45"/>
      <c r="HP482" s="16"/>
      <c r="HQ482" s="9"/>
      <c r="HR482" s="10"/>
      <c r="HS482" s="10"/>
      <c r="HT482" s="11"/>
      <c r="HU482" s="70"/>
      <c r="HV482" s="92"/>
      <c r="HW482" s="71"/>
      <c r="HX482" s="10"/>
      <c r="HY482" s="10"/>
      <c r="HZ482" s="10"/>
      <c r="IA482" s="10"/>
      <c r="IB482" s="10"/>
      <c r="IC482" s="10"/>
      <c r="ID482" s="10"/>
      <c r="IE482" s="10"/>
      <c r="IF482" s="10"/>
      <c r="IG482" s="10"/>
      <c r="IH482" s="10"/>
      <c r="II482" s="10"/>
      <c r="IJ482" s="10"/>
      <c r="IK482" s="10"/>
      <c r="IL482" s="10"/>
      <c r="IM482" s="11"/>
      <c r="JE482" s="12"/>
      <c r="JF482" s="13"/>
      <c r="JO482" s="4"/>
      <c r="JZ482" s="12"/>
      <c r="KB482" s="9"/>
      <c r="KC482" s="10"/>
      <c r="KD482" s="10"/>
      <c r="KE482" s="10"/>
      <c r="KF482" s="10"/>
      <c r="KG482" s="10"/>
      <c r="KH482" s="10"/>
      <c r="KI482" s="10"/>
      <c r="KJ482" s="10"/>
      <c r="KK482" s="11"/>
      <c r="KM482" s="9"/>
      <c r="KN482" s="10"/>
      <c r="KO482" s="10"/>
      <c r="KP482" s="10"/>
      <c r="KQ482" s="10"/>
      <c r="KR482" s="10"/>
      <c r="KS482" s="10"/>
      <c r="KT482" s="10"/>
      <c r="KU482" s="10"/>
      <c r="KV482" s="10"/>
      <c r="KW482" s="10"/>
      <c r="KX482" s="10"/>
      <c r="KY482" s="10"/>
      <c r="KZ482" s="10"/>
      <c r="LA482" s="10"/>
      <c r="LB482" s="10"/>
      <c r="LC482" s="10"/>
      <c r="LD482" s="10"/>
      <c r="LE482" s="10"/>
      <c r="LF482" s="10"/>
      <c r="LG482" s="10"/>
      <c r="LH482" s="10"/>
      <c r="LI482" s="10"/>
      <c r="LJ482" s="11"/>
      <c r="LL482" s="14"/>
      <c r="LM482" s="15"/>
      <c r="MF482" s="12"/>
      <c r="MI482" s="13"/>
      <c r="MK482" s="13"/>
      <c r="MO482" s="9"/>
      <c r="MP482" s="10"/>
      <c r="MQ482" s="10"/>
      <c r="MR482" s="10"/>
      <c r="MS482" s="10"/>
      <c r="MT482" s="11"/>
      <c r="MU482" s="10"/>
      <c r="MV482" s="10"/>
      <c r="MW482" s="10"/>
      <c r="MX482" s="10"/>
      <c r="MY482" s="10"/>
      <c r="MZ482" s="10"/>
      <c r="NA482" s="10"/>
      <c r="NB482" s="10"/>
      <c r="NC482" s="10"/>
      <c r="ND482" s="10"/>
      <c r="NE482" s="10"/>
      <c r="NF482" s="10"/>
      <c r="NG482" s="10"/>
      <c r="NH482" s="10"/>
      <c r="NI482" s="10"/>
      <c r="NJ482" s="10"/>
      <c r="NK482" s="10"/>
      <c r="NL482" s="10"/>
      <c r="NM482" s="11"/>
      <c r="OC482" s="12"/>
      <c r="OD482" s="13"/>
    </row>
    <row r="483" spans="8:394" ht="18" customHeight="1" x14ac:dyDescent="0.2">
      <c r="H483" s="4"/>
      <c r="AD483" s="12"/>
      <c r="AF483" s="12"/>
      <c r="BD483" s="18"/>
      <c r="BF483" s="13"/>
      <c r="BJ483" s="13"/>
      <c r="CB483" s="13"/>
      <c r="CD483" s="13"/>
      <c r="DW483" s="5"/>
      <c r="EQ483" s="4"/>
      <c r="FB483" s="42"/>
      <c r="FC483" s="43"/>
      <c r="FD483" s="12"/>
      <c r="FM483" s="13"/>
      <c r="FO483" s="12"/>
      <c r="GL483" s="13"/>
      <c r="GN483" s="12"/>
      <c r="HF483" s="14"/>
      <c r="HG483" s="15"/>
      <c r="HH483" s="15"/>
      <c r="HI483" s="16"/>
      <c r="HJ483" s="43"/>
      <c r="HK483" s="45"/>
      <c r="HO483" s="16"/>
      <c r="HT483" s="13"/>
      <c r="HU483" s="107"/>
      <c r="HV483" s="127"/>
      <c r="HW483" s="90"/>
      <c r="IM483" s="13"/>
      <c r="JE483" s="12"/>
      <c r="JF483" s="13"/>
      <c r="JO483" s="4"/>
      <c r="JZ483" s="12"/>
      <c r="KB483" s="12"/>
      <c r="KK483" s="13"/>
      <c r="KM483" s="12"/>
      <c r="LJ483" s="13"/>
      <c r="LL483" s="9"/>
      <c r="LM483" s="10"/>
      <c r="LN483" s="11"/>
      <c r="MF483" s="14"/>
      <c r="MG483" s="15"/>
      <c r="MH483" s="15"/>
      <c r="MI483" s="16"/>
      <c r="MK483" s="13"/>
      <c r="MO483" s="12"/>
      <c r="MT483" s="13"/>
      <c r="NM483" s="13"/>
      <c r="OC483" s="12"/>
      <c r="OD483" s="13"/>
    </row>
    <row r="484" spans="8:394" ht="18" customHeight="1" x14ac:dyDescent="0.2">
      <c r="H484" s="4"/>
      <c r="AD484" s="12"/>
      <c r="AF484" s="12"/>
      <c r="BD484" s="18"/>
      <c r="BF484" s="13"/>
      <c r="BG484" s="15"/>
      <c r="BH484" s="15"/>
      <c r="BI484" s="15"/>
      <c r="BJ484" s="16"/>
      <c r="CB484" s="13"/>
      <c r="CD484" s="13"/>
      <c r="CE484" s="12"/>
      <c r="DW484" s="5"/>
      <c r="EQ484" s="4"/>
      <c r="FB484" s="42"/>
      <c r="FC484" s="43"/>
      <c r="FD484" s="12"/>
      <c r="FM484" s="13"/>
      <c r="FO484" s="12"/>
      <c r="GL484" s="13"/>
      <c r="GN484" s="14"/>
      <c r="GO484" s="15"/>
      <c r="HI484" s="13"/>
      <c r="HJ484" s="43"/>
      <c r="HK484" s="45"/>
      <c r="HO484" s="12"/>
      <c r="HT484" s="13"/>
      <c r="HU484" s="107"/>
      <c r="HV484" s="127"/>
      <c r="HW484" s="90"/>
      <c r="IM484" s="13"/>
      <c r="JE484" s="12"/>
      <c r="JF484" s="13"/>
      <c r="JO484" s="4"/>
      <c r="JZ484" s="12"/>
      <c r="KB484" s="12"/>
      <c r="KK484" s="13"/>
      <c r="KM484" s="12"/>
      <c r="LJ484" s="13"/>
      <c r="LL484" s="12"/>
      <c r="LN484" s="13"/>
      <c r="MI484" s="13"/>
      <c r="MK484" s="13"/>
      <c r="MO484" s="12"/>
      <c r="MT484" s="13"/>
      <c r="NM484" s="13"/>
      <c r="OC484" s="12"/>
      <c r="OD484" s="13"/>
    </row>
    <row r="485" spans="8:394" ht="18" customHeight="1" x14ac:dyDescent="0.2">
      <c r="H485" s="4"/>
      <c r="AD485" s="12"/>
      <c r="AF485" s="12"/>
      <c r="BD485" s="18"/>
      <c r="BF485" s="13"/>
      <c r="BG485" s="10"/>
      <c r="BH485" s="10"/>
      <c r="BI485" s="10"/>
      <c r="BJ485" s="11"/>
      <c r="CB485" s="13"/>
      <c r="CD485" s="13"/>
      <c r="DV485" s="9"/>
      <c r="DW485" s="11"/>
      <c r="EQ485" s="4"/>
      <c r="FB485" s="42"/>
      <c r="FC485" s="43"/>
      <c r="FD485" s="12"/>
      <c r="FM485" s="13"/>
      <c r="FO485" s="12"/>
      <c r="GL485" s="13"/>
      <c r="GN485" s="9"/>
      <c r="GO485" s="10"/>
      <c r="GP485" s="11"/>
      <c r="HI485" s="13"/>
      <c r="HJ485" s="43"/>
      <c r="HK485" s="45"/>
      <c r="HO485" s="12"/>
      <c r="HT485" s="13"/>
      <c r="HU485" s="107"/>
      <c r="HV485" s="127"/>
      <c r="HW485" s="90"/>
      <c r="IM485" s="13"/>
      <c r="JE485" s="12"/>
      <c r="JF485" s="13"/>
      <c r="JO485" s="4"/>
      <c r="JZ485" s="12"/>
      <c r="KB485" s="12"/>
      <c r="KK485" s="13"/>
      <c r="KM485" s="12"/>
      <c r="LJ485" s="13"/>
      <c r="LL485" s="14"/>
      <c r="LM485" s="15"/>
      <c r="LN485" s="16"/>
      <c r="MI485" s="13"/>
      <c r="MK485" s="13"/>
      <c r="MO485" s="12"/>
      <c r="MT485" s="13"/>
      <c r="NM485" s="13"/>
      <c r="OC485" s="12"/>
      <c r="OD485" s="13"/>
    </row>
    <row r="486" spans="8:394" ht="18" customHeight="1" x14ac:dyDescent="0.2">
      <c r="H486" s="4"/>
      <c r="AD486" s="12"/>
      <c r="AF486" s="12"/>
      <c r="BD486" s="18"/>
      <c r="BF486" s="13"/>
      <c r="BJ486" s="13"/>
      <c r="CB486" s="13"/>
      <c r="CD486" s="13"/>
      <c r="DV486" s="12"/>
      <c r="DW486" s="13"/>
      <c r="EQ486" s="4"/>
      <c r="FB486" s="42"/>
      <c r="FC486" s="43"/>
      <c r="FD486" s="14"/>
      <c r="FE486" s="15"/>
      <c r="FF486" s="15"/>
      <c r="FG486" s="15"/>
      <c r="FH486" s="15"/>
      <c r="FI486" s="15"/>
      <c r="FJ486" s="15"/>
      <c r="FK486" s="15"/>
      <c r="FL486" s="15"/>
      <c r="FM486" s="16"/>
      <c r="FO486" s="12"/>
      <c r="GL486" s="13"/>
      <c r="GN486" s="12"/>
      <c r="GP486" s="13"/>
      <c r="HI486" s="13"/>
      <c r="HJ486" s="43"/>
      <c r="HK486" s="45"/>
      <c r="HO486" s="12"/>
      <c r="HT486" s="13"/>
      <c r="HU486" s="107"/>
      <c r="HV486" s="127"/>
      <c r="HW486" s="90"/>
      <c r="IM486" s="13"/>
      <c r="JE486" s="12"/>
      <c r="JF486" s="13"/>
      <c r="JO486" s="4"/>
      <c r="JZ486" s="12"/>
      <c r="KB486" s="14"/>
      <c r="KC486" s="15"/>
      <c r="KD486" s="15"/>
      <c r="KE486" s="15"/>
      <c r="KF486" s="15"/>
      <c r="KG486" s="15"/>
      <c r="KH486" s="15"/>
      <c r="KI486" s="15"/>
      <c r="KJ486" s="15"/>
      <c r="KK486" s="16"/>
      <c r="KM486" s="12"/>
      <c r="LJ486" s="13"/>
      <c r="LL486" s="9"/>
      <c r="LM486" s="10"/>
      <c r="LN486" s="10"/>
      <c r="LO486" s="10"/>
      <c r="LP486" s="10"/>
      <c r="LQ486" s="11"/>
      <c r="MI486" s="13"/>
      <c r="MK486" s="13"/>
      <c r="MO486" s="12"/>
      <c r="MT486" s="13"/>
      <c r="NM486" s="13"/>
      <c r="OC486" s="12"/>
      <c r="OD486" s="13"/>
    </row>
    <row r="487" spans="8:394" ht="18" customHeight="1" x14ac:dyDescent="0.2">
      <c r="H487" s="4"/>
      <c r="AD487" s="12"/>
      <c r="AF487" s="12"/>
      <c r="BD487" s="18"/>
      <c r="BF487" s="13"/>
      <c r="BJ487" s="13"/>
      <c r="BZ487" s="9"/>
      <c r="CA487" s="10"/>
      <c r="CB487" s="11"/>
      <c r="CD487" s="13"/>
      <c r="CH487" s="9"/>
      <c r="CI487" s="10"/>
      <c r="CJ487" s="10"/>
      <c r="CK487" s="10"/>
      <c r="CL487" s="10"/>
      <c r="CM487" s="11"/>
      <c r="CN487" s="10"/>
      <c r="CO487" s="10"/>
      <c r="CP487" s="10"/>
      <c r="CQ487" s="10"/>
      <c r="CR487" s="10"/>
      <c r="CS487" s="10"/>
      <c r="CT487" s="10"/>
      <c r="CU487" s="10"/>
      <c r="CV487" s="10"/>
      <c r="CW487" s="10"/>
      <c r="CX487" s="10"/>
      <c r="CY487" s="10"/>
      <c r="CZ487" s="10"/>
      <c r="DA487" s="10"/>
      <c r="DB487" s="10"/>
      <c r="DC487" s="10"/>
      <c r="DD487" s="10"/>
      <c r="DE487" s="10"/>
      <c r="DF487" s="11"/>
      <c r="DV487" s="12"/>
      <c r="DW487" s="13"/>
      <c r="EQ487" s="4"/>
      <c r="FB487" s="42"/>
      <c r="FC487" s="43"/>
      <c r="FD487" s="12"/>
      <c r="FI487" s="12"/>
      <c r="FM487" s="13"/>
      <c r="FO487" s="12"/>
      <c r="GL487" s="13"/>
      <c r="GN487" s="14"/>
      <c r="GO487" s="15"/>
      <c r="GP487" s="16"/>
      <c r="HI487" s="13"/>
      <c r="HJ487" s="43"/>
      <c r="HK487" s="45"/>
      <c r="HL487" s="12"/>
      <c r="HO487" s="12"/>
      <c r="HT487" s="13"/>
      <c r="HU487" s="107"/>
      <c r="HV487" s="127"/>
      <c r="HW487" s="90"/>
      <c r="IM487" s="13"/>
      <c r="JE487" s="12"/>
      <c r="JF487" s="13"/>
      <c r="JO487" s="4"/>
      <c r="JZ487" s="12"/>
      <c r="KB487" s="12"/>
      <c r="KG487" s="12"/>
      <c r="KK487" s="13"/>
      <c r="KM487" s="12"/>
      <c r="LJ487" s="13"/>
      <c r="LL487" s="9"/>
      <c r="LM487" s="11"/>
      <c r="LN487" s="10"/>
      <c r="LO487" s="10"/>
      <c r="LP487" s="10"/>
      <c r="LQ487" s="11"/>
      <c r="MI487" s="13"/>
      <c r="MK487" s="13"/>
      <c r="ML487" s="12"/>
      <c r="MO487" s="12"/>
      <c r="MT487" s="13"/>
      <c r="NM487" s="13"/>
      <c r="OC487" s="12"/>
      <c r="OD487" s="13"/>
    </row>
    <row r="488" spans="8:394" ht="18" customHeight="1" x14ac:dyDescent="0.2">
      <c r="H488" s="4"/>
      <c r="AD488" s="12"/>
      <c r="AF488" s="12"/>
      <c r="BD488" s="18"/>
      <c r="BF488" s="13"/>
      <c r="BJ488" s="13"/>
      <c r="BZ488" s="12"/>
      <c r="CB488" s="17"/>
      <c r="CD488" s="13"/>
      <c r="CH488" s="12"/>
      <c r="CM488" s="13"/>
      <c r="DF488" s="13"/>
      <c r="DV488" s="12"/>
      <c r="DW488" s="13"/>
      <c r="EQ488" s="4"/>
      <c r="FB488" s="42"/>
      <c r="FC488" s="43"/>
      <c r="FD488" s="12"/>
      <c r="FI488" s="12"/>
      <c r="FM488" s="13"/>
      <c r="FO488" s="12"/>
      <c r="GL488" s="13"/>
      <c r="GN488" s="157"/>
      <c r="GO488" s="158"/>
      <c r="GP488" s="158"/>
      <c r="GQ488" s="158"/>
      <c r="GR488" s="158"/>
      <c r="GS488" s="159"/>
      <c r="HI488" s="13"/>
      <c r="HJ488" s="43"/>
      <c r="HK488" s="45"/>
      <c r="HO488" s="12"/>
      <c r="HT488" s="13"/>
      <c r="HU488" s="107"/>
      <c r="HV488" s="127"/>
      <c r="HW488" s="90"/>
      <c r="IM488" s="13"/>
      <c r="JE488" s="12"/>
      <c r="JF488" s="13"/>
      <c r="JO488" s="4"/>
      <c r="JZ488" s="12"/>
      <c r="KB488" s="12"/>
      <c r="KG488" s="12"/>
      <c r="KK488" s="13"/>
      <c r="KM488" s="12"/>
      <c r="LJ488" s="13"/>
      <c r="LL488" s="12"/>
      <c r="LM488" s="13"/>
      <c r="LQ488" s="13"/>
      <c r="MG488" s="9"/>
      <c r="MH488" s="10"/>
      <c r="MI488" s="11"/>
      <c r="MK488" s="13"/>
      <c r="MO488" s="12"/>
      <c r="MT488" s="13"/>
      <c r="NM488" s="13"/>
      <c r="OC488" s="12"/>
      <c r="OD488" s="13"/>
    </row>
    <row r="489" spans="8:394" ht="18" customHeight="1" x14ac:dyDescent="0.2">
      <c r="H489" s="4"/>
      <c r="AD489" s="12"/>
      <c r="AF489" s="12"/>
      <c r="BD489" s="18"/>
      <c r="BE489" s="15"/>
      <c r="BF489" s="16"/>
      <c r="BG489" s="15"/>
      <c r="BH489" s="15"/>
      <c r="BI489" s="15"/>
      <c r="BJ489" s="16"/>
      <c r="BZ489" s="12"/>
      <c r="CB489" s="18"/>
      <c r="CD489" s="13"/>
      <c r="CH489" s="12"/>
      <c r="CM489" s="13"/>
      <c r="DF489" s="13"/>
      <c r="DV489" s="12"/>
      <c r="DW489" s="13"/>
      <c r="EQ489" s="4"/>
      <c r="FB489" s="42"/>
      <c r="FC489" s="43"/>
      <c r="FD489" s="12"/>
      <c r="FI489" s="12"/>
      <c r="FM489" s="13"/>
      <c r="FO489" s="12"/>
      <c r="GL489" s="13"/>
      <c r="GN489" s="157"/>
      <c r="GO489" s="159"/>
      <c r="GP489" s="158"/>
      <c r="GQ489" s="158"/>
      <c r="GR489" s="158"/>
      <c r="GS489" s="159"/>
      <c r="HI489" s="13"/>
      <c r="HJ489" s="43"/>
      <c r="HK489" s="45"/>
      <c r="HO489" s="12"/>
      <c r="HT489" s="13"/>
      <c r="HU489" s="107"/>
      <c r="HV489" s="127"/>
      <c r="HW489" s="90"/>
      <c r="IM489" s="13"/>
      <c r="JE489" s="12"/>
      <c r="JF489" s="13"/>
      <c r="JO489" s="4"/>
      <c r="JZ489" s="12"/>
      <c r="KB489" s="12"/>
      <c r="KG489" s="12"/>
      <c r="KK489" s="13"/>
      <c r="KM489" s="12"/>
      <c r="LJ489" s="13"/>
      <c r="LL489" s="12"/>
      <c r="LM489" s="13"/>
      <c r="LQ489" s="13"/>
      <c r="MG489" s="12"/>
      <c r="MI489" s="17"/>
      <c r="MK489" s="13"/>
      <c r="MO489" s="12"/>
      <c r="MT489" s="13"/>
      <c r="NM489" s="13"/>
      <c r="OC489" s="12"/>
      <c r="OD489" s="13"/>
    </row>
    <row r="490" spans="8:394" ht="18" customHeight="1" x14ac:dyDescent="0.2">
      <c r="H490" s="4"/>
      <c r="AD490" s="12"/>
      <c r="AF490" s="20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2"/>
      <c r="BD490" s="18"/>
      <c r="BE490" s="15"/>
      <c r="BF490" s="15"/>
      <c r="BG490" s="15"/>
      <c r="BH490" s="15"/>
      <c r="BI490" s="15"/>
      <c r="BJ490" s="16"/>
      <c r="BZ490" s="12"/>
      <c r="CB490" s="18"/>
      <c r="CD490" s="13"/>
      <c r="CH490" s="12"/>
      <c r="CM490" s="13"/>
      <c r="DF490" s="13"/>
      <c r="DV490" s="12"/>
      <c r="DW490" s="13"/>
      <c r="EQ490" s="4"/>
      <c r="FB490" s="42"/>
      <c r="FC490" s="43"/>
      <c r="FD490" s="12"/>
      <c r="FI490" s="12"/>
      <c r="FM490" s="13"/>
      <c r="FO490" s="12"/>
      <c r="GL490" s="13"/>
      <c r="GN490" s="160"/>
      <c r="GO490" s="161"/>
      <c r="GP490" s="162"/>
      <c r="GQ490" s="162"/>
      <c r="GR490" s="162"/>
      <c r="GS490" s="161"/>
      <c r="HG490" s="9"/>
      <c r="HH490" s="10"/>
      <c r="HI490" s="11"/>
      <c r="HJ490" s="43"/>
      <c r="HK490" s="45"/>
      <c r="HO490" s="14"/>
      <c r="HT490" s="13"/>
      <c r="HU490" s="107"/>
      <c r="HV490" s="127"/>
      <c r="HW490" s="90"/>
      <c r="IM490" s="13"/>
      <c r="JE490" s="12"/>
      <c r="JF490" s="13"/>
      <c r="JO490" s="4"/>
      <c r="JZ490" s="12"/>
      <c r="KB490" s="12"/>
      <c r="KG490" s="12"/>
      <c r="KK490" s="13"/>
      <c r="KM490" s="12"/>
      <c r="LJ490" s="13"/>
      <c r="LL490" s="12"/>
      <c r="LM490" s="13"/>
      <c r="LQ490" s="13"/>
      <c r="MG490" s="12"/>
      <c r="MI490" s="18"/>
      <c r="MK490" s="13"/>
      <c r="MO490" s="12"/>
      <c r="MT490" s="13"/>
      <c r="NM490" s="13"/>
      <c r="OC490" s="12"/>
      <c r="OD490" s="13"/>
    </row>
    <row r="491" spans="8:394" ht="18" customHeight="1" x14ac:dyDescent="0.2">
      <c r="H491" s="4"/>
      <c r="AD491" s="12"/>
      <c r="AF491" s="9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  <c r="AY491" s="10"/>
      <c r="AZ491" s="10"/>
      <c r="BA491" s="10"/>
      <c r="BB491" s="10"/>
      <c r="BC491" s="11"/>
      <c r="BD491" s="18"/>
      <c r="BE491" s="10"/>
      <c r="BF491" s="10"/>
      <c r="BG491" s="11"/>
      <c r="BZ491" s="12"/>
      <c r="CB491" s="18"/>
      <c r="CD491" s="13"/>
      <c r="CH491" s="12"/>
      <c r="CM491" s="13"/>
      <c r="DF491" s="13"/>
      <c r="DV491" s="12"/>
      <c r="DW491" s="13"/>
      <c r="EQ491" s="4"/>
      <c r="FB491" s="42"/>
      <c r="FC491" s="43"/>
      <c r="FD491" s="14"/>
      <c r="FE491" s="15"/>
      <c r="FF491" s="15"/>
      <c r="FG491" s="15"/>
      <c r="FH491" s="15"/>
      <c r="FI491" s="14"/>
      <c r="FJ491" s="15"/>
      <c r="FK491" s="15"/>
      <c r="FL491" s="15"/>
      <c r="FM491" s="13"/>
      <c r="FO491" s="12"/>
      <c r="GL491" s="13"/>
      <c r="GN491" s="160"/>
      <c r="GO491" s="161"/>
      <c r="GP491" s="162"/>
      <c r="GQ491" s="162"/>
      <c r="GR491" s="162"/>
      <c r="GS491" s="161"/>
      <c r="HG491" s="12"/>
      <c r="HI491" s="176"/>
      <c r="HJ491" s="43"/>
      <c r="HK491" s="45"/>
      <c r="HO491" s="11"/>
      <c r="HP491" s="14"/>
      <c r="HT491" s="13"/>
      <c r="HU491" s="107"/>
      <c r="HV491" s="127"/>
      <c r="HW491" s="90"/>
      <c r="IM491" s="13"/>
      <c r="JE491" s="12"/>
      <c r="JF491" s="13"/>
      <c r="JO491" s="4"/>
      <c r="JZ491" s="12"/>
      <c r="KB491" s="14"/>
      <c r="KC491" s="15"/>
      <c r="KD491" s="15"/>
      <c r="KE491" s="15"/>
      <c r="KF491" s="15"/>
      <c r="KG491" s="14"/>
      <c r="KH491" s="15"/>
      <c r="KI491" s="15"/>
      <c r="KJ491" s="15"/>
      <c r="KK491" s="13"/>
      <c r="KM491" s="12"/>
      <c r="LJ491" s="13"/>
      <c r="LL491" s="12"/>
      <c r="LM491" s="13"/>
      <c r="LN491" s="15"/>
      <c r="LO491" s="15"/>
      <c r="LP491" s="15"/>
      <c r="LQ491" s="16"/>
      <c r="MG491" s="12"/>
      <c r="MI491" s="18"/>
      <c r="MK491" s="13"/>
      <c r="MO491" s="12"/>
      <c r="MT491" s="13"/>
      <c r="NM491" s="13"/>
      <c r="OC491" s="12"/>
      <c r="OD491" s="13"/>
    </row>
    <row r="492" spans="8:394" ht="18" customHeight="1" x14ac:dyDescent="0.2">
      <c r="H492" s="4"/>
      <c r="AD492" s="12"/>
      <c r="AF492" s="12"/>
      <c r="BC492" s="13"/>
      <c r="BD492" s="18"/>
      <c r="BG492" s="13"/>
      <c r="BZ492" s="12"/>
      <c r="CB492" s="18"/>
      <c r="CD492" s="13"/>
      <c r="CH492" s="12"/>
      <c r="CM492" s="13"/>
      <c r="DF492" s="13"/>
      <c r="DV492" s="12"/>
      <c r="DW492" s="13"/>
      <c r="EQ492" s="4"/>
      <c r="FB492" s="42"/>
      <c r="FC492" s="43"/>
      <c r="FD492" s="43"/>
      <c r="FE492" s="43"/>
      <c r="FF492" s="43"/>
      <c r="FG492" s="43"/>
      <c r="FH492" s="43"/>
      <c r="FI492" s="43"/>
      <c r="FJ492" s="43"/>
      <c r="FK492" s="43"/>
      <c r="FL492" s="41"/>
      <c r="FM492" s="41"/>
      <c r="FN492" s="44"/>
      <c r="GL492" s="13"/>
      <c r="GN492" s="160"/>
      <c r="GO492" s="161"/>
      <c r="GP492" s="162"/>
      <c r="GQ492" s="162"/>
      <c r="GR492" s="162"/>
      <c r="GS492" s="161"/>
      <c r="HG492" s="12"/>
      <c r="HI492" s="177"/>
      <c r="HJ492" s="43"/>
      <c r="HK492" s="45"/>
      <c r="HP492" s="11"/>
      <c r="HQ492" s="15"/>
      <c r="HR492" s="15"/>
      <c r="HS492" s="15"/>
      <c r="HT492" s="16"/>
      <c r="HU492" s="72"/>
      <c r="HV492" s="100"/>
      <c r="HW492" s="73"/>
      <c r="HX492" s="15"/>
      <c r="HY492" s="15"/>
      <c r="HZ492" s="15"/>
      <c r="IA492" s="15"/>
      <c r="IB492" s="15"/>
      <c r="IC492" s="15"/>
      <c r="ID492" s="15"/>
      <c r="IE492" s="15"/>
      <c r="IF492" s="15"/>
      <c r="IG492" s="15"/>
      <c r="IH492" s="15"/>
      <c r="II492" s="15"/>
      <c r="IJ492" s="15"/>
      <c r="IK492" s="15"/>
      <c r="IL492" s="15"/>
      <c r="IM492" s="16"/>
      <c r="JE492" s="12"/>
      <c r="JF492" s="13"/>
      <c r="JO492" s="4"/>
      <c r="JZ492" s="12"/>
      <c r="KJ492" s="10"/>
      <c r="KK492" s="10"/>
      <c r="KL492" s="11"/>
      <c r="LJ492" s="13"/>
      <c r="LL492" s="12"/>
      <c r="LM492" s="13"/>
      <c r="LN492" s="10"/>
      <c r="LO492" s="10"/>
      <c r="LP492" s="10"/>
      <c r="LQ492" s="11"/>
      <c r="MG492" s="12"/>
      <c r="MI492" s="18"/>
      <c r="MK492" s="13"/>
      <c r="MO492" s="14"/>
      <c r="MP492" s="15"/>
      <c r="MQ492" s="15"/>
      <c r="MR492" s="15"/>
      <c r="MS492" s="15"/>
      <c r="MT492" s="16"/>
      <c r="MU492" s="15"/>
      <c r="MV492" s="15"/>
      <c r="MW492" s="15"/>
      <c r="MX492" s="15"/>
      <c r="MY492" s="15"/>
      <c r="MZ492" s="15"/>
      <c r="NA492" s="15"/>
      <c r="NB492" s="15"/>
      <c r="NC492" s="15"/>
      <c r="ND492" s="15"/>
      <c r="NE492" s="15"/>
      <c r="NF492" s="15"/>
      <c r="NG492" s="15"/>
      <c r="NH492" s="15"/>
      <c r="NI492" s="15"/>
      <c r="NJ492" s="15"/>
      <c r="NK492" s="15"/>
      <c r="NL492" s="15"/>
      <c r="NM492" s="16"/>
      <c r="OC492" s="12"/>
      <c r="OD492" s="13"/>
    </row>
    <row r="493" spans="8:394" ht="18" customHeight="1" x14ac:dyDescent="0.2">
      <c r="H493" s="4"/>
      <c r="AD493" s="12"/>
      <c r="AF493" s="12"/>
      <c r="BC493" s="13"/>
      <c r="BD493" s="18"/>
      <c r="BE493" s="15"/>
      <c r="BF493" s="15"/>
      <c r="BG493" s="16"/>
      <c r="BZ493" s="12"/>
      <c r="CB493" s="19"/>
      <c r="CD493" s="13"/>
      <c r="CH493" s="12"/>
      <c r="CM493" s="13"/>
      <c r="DF493" s="13"/>
      <c r="DV493" s="12"/>
      <c r="DW493" s="13"/>
      <c r="EQ493" s="4"/>
      <c r="FB493" s="46"/>
      <c r="FC493" s="47"/>
      <c r="FD493" s="47"/>
      <c r="FE493" s="47"/>
      <c r="FF493" s="47"/>
      <c r="FG493" s="47"/>
      <c r="FH493" s="47"/>
      <c r="FI493" s="47"/>
      <c r="FJ493" s="47"/>
      <c r="FK493" s="47"/>
      <c r="FL493" s="47"/>
      <c r="FM493" s="43"/>
      <c r="FN493" s="45"/>
      <c r="GL493" s="13"/>
      <c r="GN493" s="160"/>
      <c r="GO493" s="161"/>
      <c r="GP493" s="163"/>
      <c r="GQ493" s="163"/>
      <c r="GR493" s="163"/>
      <c r="GS493" s="164"/>
      <c r="HG493" s="12"/>
      <c r="HI493" s="177"/>
      <c r="HJ493" s="43"/>
      <c r="HK493" s="45"/>
      <c r="HU493" s="155"/>
      <c r="JE493" s="12"/>
      <c r="JF493" s="13"/>
      <c r="JO493" s="4"/>
      <c r="JZ493" s="14"/>
      <c r="KA493" s="15"/>
      <c r="KB493" s="15"/>
      <c r="KC493" s="15"/>
      <c r="KD493" s="15"/>
      <c r="KE493" s="15"/>
      <c r="KF493" s="15"/>
      <c r="KG493" s="15"/>
      <c r="KH493" s="15"/>
      <c r="KI493" s="15"/>
      <c r="KJ493" s="15"/>
      <c r="KL493" s="13"/>
      <c r="LJ493" s="13"/>
      <c r="LL493" s="12"/>
      <c r="LM493" s="13"/>
      <c r="LQ493" s="13"/>
      <c r="MG493" s="12"/>
      <c r="MI493" s="18"/>
      <c r="MK493" s="13"/>
      <c r="OC493" s="12"/>
      <c r="OD493" s="13"/>
    </row>
    <row r="494" spans="8:394" ht="18" customHeight="1" x14ac:dyDescent="0.2">
      <c r="H494" s="4"/>
      <c r="AD494" s="12"/>
      <c r="AF494" s="12"/>
      <c r="BC494" s="13"/>
      <c r="BD494" s="18"/>
      <c r="BZ494" s="14"/>
      <c r="CA494" s="15"/>
      <c r="CB494" s="16"/>
      <c r="CD494" s="13"/>
      <c r="CH494" s="12"/>
      <c r="CM494" s="13"/>
      <c r="DF494" s="13"/>
      <c r="DV494" s="12"/>
      <c r="DW494" s="13"/>
      <c r="EQ494" s="4"/>
      <c r="FM494" s="46"/>
      <c r="FN494" s="48"/>
      <c r="GL494" s="13"/>
      <c r="GN494" s="160"/>
      <c r="GO494" s="161"/>
      <c r="GP494" s="158"/>
      <c r="GQ494" s="158"/>
      <c r="GR494" s="158"/>
      <c r="GS494" s="159"/>
      <c r="HG494" s="12"/>
      <c r="HI494" s="177"/>
      <c r="HJ494" s="43"/>
      <c r="HK494" s="45"/>
      <c r="HU494" s="156"/>
      <c r="JE494" s="12"/>
      <c r="JF494" s="13"/>
      <c r="JO494" s="4"/>
      <c r="KK494" s="14"/>
      <c r="KL494" s="16"/>
      <c r="LJ494" s="13"/>
      <c r="LL494" s="12"/>
      <c r="LM494" s="13"/>
      <c r="LQ494" s="13"/>
      <c r="MG494" s="12"/>
      <c r="MI494" s="19"/>
      <c r="MK494" s="13"/>
      <c r="OC494" s="12"/>
      <c r="OD494" s="13"/>
    </row>
    <row r="495" spans="8:394" ht="18" customHeight="1" x14ac:dyDescent="0.2">
      <c r="H495" s="4"/>
      <c r="AD495" s="12"/>
      <c r="AF495" s="12"/>
      <c r="BC495" s="13"/>
      <c r="BD495" s="24"/>
      <c r="CB495" s="13"/>
      <c r="CD495" s="13"/>
      <c r="CH495" s="12"/>
      <c r="CM495" s="13"/>
      <c r="DF495" s="13"/>
      <c r="DV495" s="12"/>
      <c r="DW495" s="13"/>
      <c r="EQ495" s="4"/>
      <c r="FL495" s="13"/>
      <c r="FM495" s="108"/>
      <c r="FN495" s="42"/>
      <c r="FO495" s="12"/>
      <c r="GL495" s="13"/>
      <c r="GN495" s="160"/>
      <c r="GO495" s="161"/>
      <c r="GP495" s="162"/>
      <c r="GQ495" s="162"/>
      <c r="GR495" s="162"/>
      <c r="GS495" s="161"/>
      <c r="HG495" s="12"/>
      <c r="HI495" s="177"/>
      <c r="HJ495" s="43"/>
      <c r="HK495" s="45"/>
      <c r="JE495" s="14"/>
      <c r="JF495" s="16"/>
      <c r="JO495" s="4"/>
      <c r="KJ495" s="13"/>
      <c r="KK495" s="18"/>
      <c r="KL495" s="12"/>
      <c r="KM495" s="12"/>
      <c r="LJ495" s="13"/>
      <c r="LL495" s="12"/>
      <c r="LM495" s="13"/>
      <c r="LQ495" s="13"/>
      <c r="MG495" s="14"/>
      <c r="MH495" s="15"/>
      <c r="MI495" s="16"/>
      <c r="MK495" s="13"/>
      <c r="OC495" s="14"/>
      <c r="OD495" s="16"/>
    </row>
    <row r="496" spans="8:394" ht="18" customHeight="1" x14ac:dyDescent="0.2">
      <c r="H496" s="4"/>
      <c r="AD496" s="12"/>
      <c r="AF496" s="12"/>
      <c r="BC496" s="13"/>
      <c r="BD496" s="24"/>
      <c r="CB496" s="13"/>
      <c r="CD496" s="13"/>
      <c r="CH496" s="12"/>
      <c r="CM496" s="13"/>
      <c r="DF496" s="13"/>
      <c r="DV496" s="12"/>
      <c r="DW496" s="13"/>
      <c r="EQ496" s="4"/>
      <c r="FL496" s="13"/>
      <c r="FM496" s="108"/>
      <c r="FN496" s="42"/>
      <c r="FO496" s="12"/>
      <c r="GL496" s="13"/>
      <c r="GN496" s="160"/>
      <c r="GO496" s="161"/>
      <c r="GP496" s="162"/>
      <c r="GQ496" s="162"/>
      <c r="GR496" s="162"/>
      <c r="GS496" s="161"/>
      <c r="HG496" s="12"/>
      <c r="HI496" s="178"/>
      <c r="HJ496" s="43"/>
      <c r="HK496" s="45"/>
      <c r="JF496" s="5"/>
      <c r="JO496" s="4"/>
      <c r="KJ496" s="13"/>
      <c r="KK496" s="18"/>
      <c r="KL496" s="12"/>
      <c r="KM496" s="12"/>
      <c r="LJ496" s="13"/>
      <c r="LL496" s="12"/>
      <c r="LM496" s="13"/>
      <c r="LQ496" s="13"/>
      <c r="MI496" s="13"/>
      <c r="MK496" s="13"/>
      <c r="ML496" s="20"/>
      <c r="MM496" s="21"/>
      <c r="MN496" s="21"/>
      <c r="MO496" s="21"/>
      <c r="MP496" s="21"/>
      <c r="MQ496" s="21"/>
      <c r="MR496" s="21"/>
      <c r="MS496" s="21"/>
      <c r="MT496" s="21"/>
      <c r="MU496" s="21"/>
      <c r="MV496" s="21"/>
      <c r="MW496" s="21"/>
      <c r="MX496" s="22"/>
      <c r="OD496" s="5"/>
    </row>
    <row r="497" spans="8:394" ht="18" customHeight="1" x14ac:dyDescent="0.2">
      <c r="H497" s="4"/>
      <c r="AD497" s="12"/>
      <c r="AF497" s="12"/>
      <c r="BC497" s="13"/>
      <c r="BD497" s="24"/>
      <c r="CB497" s="13"/>
      <c r="CD497" s="13"/>
      <c r="CH497" s="14"/>
      <c r="CI497" s="15"/>
      <c r="CJ497" s="15"/>
      <c r="CK497" s="15"/>
      <c r="CL497" s="15"/>
      <c r="CM497" s="16"/>
      <c r="CN497" s="15"/>
      <c r="CO497" s="15"/>
      <c r="CP497" s="15"/>
      <c r="CQ497" s="15"/>
      <c r="CR497" s="15"/>
      <c r="CS497" s="15"/>
      <c r="CT497" s="15"/>
      <c r="CU497" s="15"/>
      <c r="CV497" s="15"/>
      <c r="CW497" s="15"/>
      <c r="CX497" s="15"/>
      <c r="CY497" s="15"/>
      <c r="CZ497" s="15"/>
      <c r="DA497" s="15"/>
      <c r="DB497" s="15"/>
      <c r="DC497" s="15"/>
      <c r="DD497" s="15"/>
      <c r="DE497" s="15"/>
      <c r="DF497" s="16"/>
      <c r="DV497" s="12"/>
      <c r="DW497" s="13"/>
      <c r="EQ497" s="4"/>
      <c r="FL497" s="13"/>
      <c r="FM497" s="108"/>
      <c r="FN497" s="42"/>
      <c r="FO497" s="12"/>
      <c r="GL497" s="13"/>
      <c r="GN497" s="160"/>
      <c r="GO497" s="161"/>
      <c r="GP497" s="162"/>
      <c r="GQ497" s="162"/>
      <c r="GR497" s="162"/>
      <c r="GS497" s="161"/>
      <c r="HG497" s="14"/>
      <c r="HH497" s="15"/>
      <c r="HI497" s="16"/>
      <c r="HJ497" s="43"/>
      <c r="HK497" s="45"/>
      <c r="JF497" s="5"/>
      <c r="JO497" s="4"/>
      <c r="KJ497" s="13"/>
      <c r="KK497" s="18"/>
      <c r="KL497" s="12"/>
      <c r="KM497" s="12"/>
      <c r="LJ497" s="13"/>
      <c r="LL497" s="20"/>
      <c r="LM497" s="21"/>
      <c r="LN497" s="21"/>
      <c r="LO497" s="21"/>
      <c r="LP497" s="21"/>
      <c r="LQ497" s="22"/>
      <c r="MI497" s="13"/>
      <c r="MK497" s="13"/>
      <c r="ML497" s="12"/>
      <c r="MW497" s="13"/>
      <c r="MY497" s="12"/>
      <c r="OD497" s="5"/>
    </row>
    <row r="498" spans="8:394" ht="18" customHeight="1" x14ac:dyDescent="0.2">
      <c r="H498" s="4"/>
      <c r="AD498" s="12"/>
      <c r="AF498" s="12"/>
      <c r="BC498" s="13"/>
      <c r="BD498" s="24"/>
      <c r="CB498" s="13"/>
      <c r="CD498" s="13"/>
      <c r="DV498" s="12"/>
      <c r="DW498" s="13"/>
      <c r="EQ498" s="4"/>
      <c r="FM498" s="108"/>
      <c r="FN498" s="42"/>
      <c r="FO498" s="12"/>
      <c r="GL498" s="13"/>
      <c r="GN498" s="160"/>
      <c r="GO498" s="161"/>
      <c r="GP498" s="162"/>
      <c r="GQ498" s="162"/>
      <c r="GR498" s="162"/>
      <c r="GS498" s="161"/>
      <c r="HI498" s="13"/>
      <c r="HJ498" s="43"/>
      <c r="HK498" s="45"/>
      <c r="JF498" s="5"/>
      <c r="JO498" s="4"/>
      <c r="KK498" s="18"/>
      <c r="KL498" s="12"/>
      <c r="KM498" s="12"/>
      <c r="LJ498" s="13"/>
      <c r="LL498" s="12"/>
      <c r="LN498" s="13"/>
      <c r="MI498" s="13"/>
      <c r="MK498" s="13"/>
      <c r="ML498" s="12"/>
      <c r="MW498" s="13"/>
      <c r="MY498" s="12"/>
      <c r="OD498" s="5"/>
    </row>
    <row r="499" spans="8:394" ht="18" customHeight="1" x14ac:dyDescent="0.2">
      <c r="H499" s="4"/>
      <c r="AD499" s="12"/>
      <c r="AF499" s="12"/>
      <c r="BC499" s="13"/>
      <c r="BD499" s="24"/>
      <c r="CB499" s="13"/>
      <c r="CD499" s="13"/>
      <c r="DV499" s="12"/>
      <c r="DW499" s="13"/>
      <c r="EQ499" s="4"/>
      <c r="FL499" s="13"/>
      <c r="FM499" s="108"/>
      <c r="FN499" s="42"/>
      <c r="FO499" s="12"/>
      <c r="GL499" s="13"/>
      <c r="GN499" s="165"/>
      <c r="GO499" s="166"/>
      <c r="GP499" s="166"/>
      <c r="GQ499" s="166"/>
      <c r="GR499" s="166"/>
      <c r="GS499" s="167"/>
      <c r="HI499" s="13"/>
      <c r="HJ499" s="43"/>
      <c r="HK499" s="45"/>
      <c r="JF499" s="5"/>
      <c r="JO499" s="4"/>
      <c r="KJ499" s="13"/>
      <c r="KK499" s="18"/>
      <c r="KL499" s="12"/>
      <c r="KM499" s="12"/>
      <c r="LJ499" s="13"/>
      <c r="LL499" s="12"/>
      <c r="LN499" s="13"/>
      <c r="MI499" s="13"/>
      <c r="MK499" s="13"/>
      <c r="ML499" s="12"/>
      <c r="MW499" s="13"/>
      <c r="MY499" s="12"/>
      <c r="OD499" s="5"/>
    </row>
    <row r="500" spans="8:394" ht="18" customHeight="1" x14ac:dyDescent="0.2">
      <c r="H500" s="4"/>
      <c r="AD500" s="12"/>
      <c r="AF500" s="14"/>
      <c r="AG500" s="15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15"/>
      <c r="AZ500" s="15"/>
      <c r="BA500" s="15"/>
      <c r="BB500" s="15"/>
      <c r="BC500" s="16"/>
      <c r="BD500" s="24"/>
      <c r="CB500" s="13"/>
      <c r="CD500" s="13"/>
      <c r="DV500" s="14"/>
      <c r="DW500" s="16"/>
      <c r="EQ500" s="4"/>
      <c r="FL500" s="13"/>
      <c r="FM500" s="126"/>
      <c r="FN500" s="46"/>
      <c r="FO500" s="12"/>
      <c r="GL500" s="13"/>
      <c r="GN500" s="12"/>
      <c r="GP500" s="13"/>
      <c r="HI500" s="13"/>
      <c r="HJ500" s="43"/>
      <c r="HK500" s="45"/>
      <c r="JF500" s="5"/>
      <c r="JO500" s="4"/>
      <c r="KJ500" s="13"/>
      <c r="KK500" s="19"/>
      <c r="KL500" s="14"/>
      <c r="KM500" s="12"/>
      <c r="LJ500" s="13"/>
      <c r="LL500" s="14"/>
      <c r="LM500" s="15"/>
      <c r="LN500" s="16"/>
      <c r="MI500" s="13"/>
      <c r="MK500" s="13"/>
      <c r="ML500" s="12"/>
      <c r="MW500" s="13"/>
      <c r="MY500" s="12"/>
      <c r="OD500" s="5"/>
    </row>
    <row r="501" spans="8:394" ht="18" customHeight="1" x14ac:dyDescent="0.2">
      <c r="H501" s="4"/>
      <c r="AD501" s="12"/>
      <c r="AF501" s="12"/>
      <c r="BD501" s="18"/>
      <c r="CB501" s="13"/>
      <c r="CD501" s="13"/>
      <c r="DW501" s="5"/>
      <c r="EQ501" s="4"/>
      <c r="FL501" s="13"/>
      <c r="FM501" s="43"/>
      <c r="FN501" s="43"/>
      <c r="FO501" s="14"/>
      <c r="FP501" s="15"/>
      <c r="FQ501" s="15"/>
      <c r="FR501" s="15"/>
      <c r="FS501" s="15"/>
      <c r="FT501" s="15"/>
      <c r="FU501" s="15"/>
      <c r="FV501" s="15"/>
      <c r="FW501" s="15"/>
      <c r="FX501" s="15"/>
      <c r="FY501" s="15"/>
      <c r="FZ501" s="15"/>
      <c r="GA501" s="15"/>
      <c r="GB501" s="15"/>
      <c r="GC501" s="15"/>
      <c r="GD501" s="15"/>
      <c r="GE501" s="15"/>
      <c r="GF501" s="15"/>
      <c r="GG501" s="15"/>
      <c r="GH501" s="15"/>
      <c r="GI501" s="15"/>
      <c r="GJ501" s="15"/>
      <c r="GK501" s="15"/>
      <c r="GL501" s="16"/>
      <c r="GN501" s="12"/>
      <c r="GP501" s="13"/>
      <c r="HI501" s="13"/>
      <c r="HJ501" s="43"/>
      <c r="HK501" s="45"/>
      <c r="HL501" s="146"/>
      <c r="HM501" s="147"/>
      <c r="HN501" s="147"/>
      <c r="HO501" s="147"/>
      <c r="HP501" s="147"/>
      <c r="HQ501" s="147"/>
      <c r="HR501" s="147"/>
      <c r="HS501" s="147"/>
      <c r="HT501" s="147"/>
      <c r="HU501" s="147"/>
      <c r="HV501" s="147"/>
      <c r="HW501" s="147"/>
      <c r="HX501" s="147"/>
      <c r="HY501" s="147"/>
      <c r="HZ501" s="147"/>
      <c r="IA501" s="147"/>
      <c r="IB501" s="147"/>
      <c r="IC501" s="147"/>
      <c r="ID501" s="147"/>
      <c r="IE501" s="148"/>
      <c r="JF501" s="5"/>
      <c r="JO501" s="4"/>
      <c r="KJ501" s="13"/>
      <c r="KM501" s="14"/>
      <c r="KN501" s="15"/>
      <c r="KO501" s="15"/>
      <c r="KP501" s="15"/>
      <c r="KQ501" s="15"/>
      <c r="KR501" s="15"/>
      <c r="KS501" s="15"/>
      <c r="KT501" s="15"/>
      <c r="KU501" s="15"/>
      <c r="KV501" s="15"/>
      <c r="KW501" s="15"/>
      <c r="KX501" s="15"/>
      <c r="KY501" s="15"/>
      <c r="KZ501" s="15"/>
      <c r="LA501" s="15"/>
      <c r="LB501" s="15"/>
      <c r="LC501" s="15"/>
      <c r="LD501" s="15"/>
      <c r="LE501" s="15"/>
      <c r="LF501" s="15"/>
      <c r="LG501" s="15"/>
      <c r="LH501" s="15"/>
      <c r="LI501" s="15"/>
      <c r="LJ501" s="16"/>
      <c r="LL501" s="12"/>
      <c r="MI501" s="13"/>
      <c r="MK501" s="13"/>
      <c r="ML501" s="12"/>
      <c r="MW501" s="13"/>
      <c r="MY501" s="12"/>
      <c r="OD501" s="5"/>
    </row>
    <row r="502" spans="8:394" ht="18" customHeight="1" x14ac:dyDescent="0.2">
      <c r="H502" s="4"/>
      <c r="AD502" s="12"/>
      <c r="AF502" s="9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  <c r="AY502" s="10"/>
      <c r="AZ502" s="10"/>
      <c r="BA502" s="10"/>
      <c r="BB502" s="10"/>
      <c r="BC502" s="10"/>
      <c r="BD502" s="18"/>
      <c r="CB502" s="13"/>
      <c r="CD502" s="13"/>
      <c r="CE502" s="14"/>
      <c r="CF502" s="15"/>
      <c r="CG502" s="15"/>
      <c r="CH502" s="15"/>
      <c r="CI502" s="15"/>
      <c r="CJ502" s="15"/>
      <c r="CK502" s="15"/>
      <c r="CL502" s="15"/>
      <c r="CM502" s="15"/>
      <c r="CN502" s="15"/>
      <c r="CO502" s="15"/>
      <c r="CP502" s="15"/>
      <c r="CQ502" s="15"/>
      <c r="CR502" s="15"/>
      <c r="CS502" s="15"/>
      <c r="CT502" s="15"/>
      <c r="CU502" s="15"/>
      <c r="DW502" s="5"/>
      <c r="EQ502" s="4"/>
      <c r="FL502" s="13"/>
      <c r="FM502" s="43"/>
      <c r="FN502" s="43"/>
      <c r="GN502" s="14"/>
      <c r="GO502" s="15"/>
      <c r="GP502" s="16"/>
      <c r="HI502" s="13"/>
      <c r="HJ502" s="43"/>
      <c r="HK502" s="45"/>
      <c r="HL502" s="149"/>
      <c r="HM502" s="150"/>
      <c r="HN502" s="150"/>
      <c r="HO502" s="150"/>
      <c r="HP502" s="150"/>
      <c r="HQ502" s="150"/>
      <c r="HR502" s="150"/>
      <c r="HS502" s="150"/>
      <c r="HT502" s="150"/>
      <c r="HU502" s="150"/>
      <c r="HV502" s="150"/>
      <c r="HW502" s="150"/>
      <c r="HX502" s="150"/>
      <c r="HY502" s="150"/>
      <c r="HZ502" s="150"/>
      <c r="IA502" s="150"/>
      <c r="IB502" s="150"/>
      <c r="IC502" s="150"/>
      <c r="ID502" s="150"/>
      <c r="IE502" s="151"/>
      <c r="JF502" s="5"/>
      <c r="JO502" s="4"/>
      <c r="KJ502" s="13"/>
      <c r="LL502" s="12"/>
      <c r="MI502" s="13"/>
      <c r="MK502" s="13"/>
      <c r="ML502" s="12"/>
      <c r="MW502" s="13"/>
      <c r="MY502" s="12"/>
      <c r="OD502" s="5"/>
    </row>
    <row r="503" spans="8:394" ht="18" customHeight="1" x14ac:dyDescent="0.2">
      <c r="H503" s="4"/>
      <c r="AD503" s="12"/>
      <c r="AF503" s="12"/>
      <c r="BD503" s="18"/>
      <c r="CB503" s="13"/>
      <c r="CD503" s="13"/>
      <c r="CU503" s="13"/>
      <c r="DW503" s="5"/>
      <c r="EQ503" s="4"/>
      <c r="FL503" s="13"/>
      <c r="FM503" s="43"/>
      <c r="FN503" s="43"/>
      <c r="FO503" s="9"/>
      <c r="FP503" s="10"/>
      <c r="FQ503" s="10"/>
      <c r="FR503" s="10"/>
      <c r="FS503" s="10"/>
      <c r="FT503" s="10"/>
      <c r="FU503" s="10"/>
      <c r="FV503" s="10"/>
      <c r="FW503" s="10"/>
      <c r="FX503" s="10"/>
      <c r="FY503" s="10"/>
      <c r="FZ503" s="10"/>
      <c r="GA503" s="10"/>
      <c r="GB503" s="10"/>
      <c r="GC503" s="10"/>
      <c r="GD503" s="10"/>
      <c r="GE503" s="10"/>
      <c r="GF503" s="10"/>
      <c r="GG503" s="10"/>
      <c r="GH503" s="10"/>
      <c r="GI503" s="10"/>
      <c r="GJ503" s="10"/>
      <c r="GK503" s="10"/>
      <c r="GL503" s="11"/>
      <c r="GN503" s="12"/>
      <c r="HI503" s="13"/>
      <c r="HJ503" s="43"/>
      <c r="HK503" s="45"/>
      <c r="HL503" s="152"/>
      <c r="HM503" s="153"/>
      <c r="HN503" s="153"/>
      <c r="HO503" s="153"/>
      <c r="HP503" s="153"/>
      <c r="HQ503" s="153"/>
      <c r="HR503" s="153"/>
      <c r="HS503" s="153"/>
      <c r="HT503" s="153"/>
      <c r="HU503" s="153"/>
      <c r="HV503" s="153"/>
      <c r="HW503" s="153"/>
      <c r="HX503" s="153"/>
      <c r="HY503" s="153"/>
      <c r="HZ503" s="153"/>
      <c r="IA503" s="153"/>
      <c r="IB503" s="153"/>
      <c r="IC503" s="150"/>
      <c r="ID503" s="150"/>
      <c r="IE503" s="151"/>
      <c r="JF503" s="5"/>
      <c r="JO503" s="4"/>
      <c r="KK503" s="9"/>
      <c r="KL503" s="10"/>
      <c r="KM503" s="9"/>
      <c r="KN503" s="10"/>
      <c r="KO503" s="10"/>
      <c r="KP503" s="10"/>
      <c r="KQ503" s="9"/>
      <c r="KR503" s="10"/>
      <c r="KS503" s="10"/>
      <c r="KT503" s="10"/>
      <c r="KU503" s="10"/>
      <c r="KV503" s="10"/>
      <c r="KW503" s="10"/>
      <c r="KX503" s="10"/>
      <c r="KY503" s="10"/>
      <c r="KZ503" s="10"/>
      <c r="LA503" s="10"/>
      <c r="LB503" s="10"/>
      <c r="LC503" s="10"/>
      <c r="LD503" s="10"/>
      <c r="LE503" s="10"/>
      <c r="LF503" s="10"/>
      <c r="LG503" s="10"/>
      <c r="LH503" s="10"/>
      <c r="LI503" s="10"/>
      <c r="LJ503" s="10"/>
      <c r="LK503" s="10"/>
      <c r="MI503" s="13"/>
      <c r="ML503" s="12"/>
      <c r="MW503" s="13"/>
      <c r="MY503" s="12"/>
      <c r="OD503" s="5"/>
    </row>
    <row r="504" spans="8:394" ht="18" customHeight="1" x14ac:dyDescent="0.2">
      <c r="H504" s="4"/>
      <c r="AD504" s="12"/>
      <c r="AF504" s="12"/>
      <c r="BD504" s="18"/>
      <c r="CB504" s="13"/>
      <c r="CD504" s="13"/>
      <c r="CE504" s="9"/>
      <c r="CF504" s="10"/>
      <c r="CG504" s="10"/>
      <c r="CH504" s="10"/>
      <c r="CI504" s="10"/>
      <c r="CJ504" s="10"/>
      <c r="CK504" s="10"/>
      <c r="CL504" s="10"/>
      <c r="CM504" s="10"/>
      <c r="CN504" s="10"/>
      <c r="CO504" s="10"/>
      <c r="CP504" s="10"/>
      <c r="CQ504" s="10"/>
      <c r="CR504" s="10"/>
      <c r="CS504" s="10"/>
      <c r="CT504" s="11"/>
      <c r="CU504" s="13"/>
      <c r="DW504" s="5"/>
      <c r="EQ504" s="4"/>
      <c r="FM504" s="42"/>
      <c r="FN504" s="43"/>
      <c r="FO504" s="12"/>
      <c r="GL504" s="13"/>
      <c r="GN504" s="12"/>
      <c r="HI504" s="13"/>
      <c r="HJ504" s="43"/>
      <c r="HK504" s="45"/>
      <c r="HL504" s="150"/>
      <c r="HM504" s="150"/>
      <c r="HN504" s="150"/>
      <c r="HO504" s="150"/>
      <c r="HP504" s="150"/>
      <c r="HQ504" s="150"/>
      <c r="HR504" s="150"/>
      <c r="HS504" s="150"/>
      <c r="HT504" s="150"/>
      <c r="HU504" s="150"/>
      <c r="HV504" s="150"/>
      <c r="HW504" s="150"/>
      <c r="HX504" s="150"/>
      <c r="HY504" s="150"/>
      <c r="HZ504" s="150"/>
      <c r="IA504" s="150"/>
      <c r="IB504" s="151"/>
      <c r="IC504" s="150"/>
      <c r="ID504" s="150"/>
      <c r="IE504" s="151"/>
      <c r="JF504" s="5"/>
      <c r="JO504" s="4"/>
      <c r="KK504" s="12"/>
      <c r="KM504" s="12"/>
      <c r="KQ504" s="12"/>
      <c r="MI504" s="13"/>
      <c r="ML504" s="12"/>
      <c r="MW504" s="13"/>
      <c r="MY504" s="12"/>
      <c r="OD504" s="5"/>
    </row>
    <row r="505" spans="8:394" ht="18" customHeight="1" x14ac:dyDescent="0.2">
      <c r="H505" s="4"/>
      <c r="AD505" s="12"/>
      <c r="AF505" s="12"/>
      <c r="BD505" s="19"/>
      <c r="CB505" s="13"/>
      <c r="CD505" s="13"/>
      <c r="CE505" s="12"/>
      <c r="CT505" s="13"/>
      <c r="CU505" s="13"/>
      <c r="DW505" s="5"/>
      <c r="EQ505" s="4"/>
      <c r="FM505" s="42"/>
      <c r="FN505" s="43"/>
      <c r="FO505" s="12"/>
      <c r="GL505" s="13"/>
      <c r="GN505" s="12"/>
      <c r="HI505" s="13"/>
      <c r="HJ505" s="43"/>
      <c r="HK505" s="45"/>
      <c r="HL505" s="146"/>
      <c r="HM505" s="147"/>
      <c r="HN505" s="147"/>
      <c r="HO505" s="147"/>
      <c r="HP505" s="147"/>
      <c r="HQ505" s="147"/>
      <c r="HR505" s="147"/>
      <c r="HS505" s="147"/>
      <c r="HT505" s="147"/>
      <c r="HU505" s="147"/>
      <c r="HV505" s="147"/>
      <c r="HW505" s="147"/>
      <c r="HX505" s="147"/>
      <c r="HY505" s="147"/>
      <c r="HZ505" s="147"/>
      <c r="IA505" s="148"/>
      <c r="IB505" s="151"/>
      <c r="IC505" s="150"/>
      <c r="ID505" s="150"/>
      <c r="IE505" s="151"/>
      <c r="JF505" s="5"/>
      <c r="JO505" s="4"/>
      <c r="KK505" s="12"/>
      <c r="KM505" s="12"/>
      <c r="KQ505" s="12"/>
      <c r="MI505" s="13"/>
      <c r="ML505" s="12"/>
      <c r="MW505" s="13"/>
      <c r="MY505" s="12"/>
      <c r="OD505" s="5"/>
    </row>
    <row r="506" spans="8:394" ht="18" customHeight="1" x14ac:dyDescent="0.2">
      <c r="H506" s="4"/>
      <c r="AD506" s="12"/>
      <c r="AF506" s="12"/>
      <c r="AJ506" s="9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  <c r="AY506" s="10"/>
      <c r="AZ506" s="10"/>
      <c r="BA506" s="10"/>
      <c r="BB506" s="10"/>
      <c r="BC506" s="10"/>
      <c r="CB506" s="13"/>
      <c r="CD506" s="13"/>
      <c r="CE506" s="12"/>
      <c r="CT506" s="13"/>
      <c r="CU506" s="13"/>
      <c r="DW506" s="5"/>
      <c r="EQ506" s="4"/>
      <c r="FM506" s="42"/>
      <c r="FN506" s="43"/>
      <c r="FO506" s="12"/>
      <c r="GL506" s="13"/>
      <c r="GN506" s="12"/>
      <c r="HI506" s="13"/>
      <c r="HJ506" s="43"/>
      <c r="HK506" s="45"/>
      <c r="HL506" s="149"/>
      <c r="HM506" s="150"/>
      <c r="HN506" s="150"/>
      <c r="HO506" s="150"/>
      <c r="HP506" s="150"/>
      <c r="HQ506" s="150"/>
      <c r="HR506" s="150"/>
      <c r="HS506" s="150"/>
      <c r="HT506" s="150"/>
      <c r="HU506" s="150"/>
      <c r="HV506" s="150"/>
      <c r="HW506" s="150"/>
      <c r="HX506" s="150"/>
      <c r="HY506" s="150"/>
      <c r="HZ506" s="150"/>
      <c r="IA506" s="151"/>
      <c r="IB506" s="151"/>
      <c r="IC506" s="150"/>
      <c r="ID506" s="150"/>
      <c r="IE506" s="151"/>
      <c r="JF506" s="5"/>
      <c r="JO506" s="4"/>
      <c r="KK506" s="12"/>
      <c r="KM506" s="12"/>
      <c r="KQ506" s="12"/>
      <c r="MI506" s="13"/>
      <c r="ML506" s="12"/>
      <c r="MW506" s="13"/>
      <c r="MY506" s="12"/>
      <c r="OD506" s="5"/>
    </row>
    <row r="507" spans="8:394" ht="18" customHeight="1" x14ac:dyDescent="0.2">
      <c r="H507" s="4"/>
      <c r="AD507" s="17"/>
      <c r="AE507" s="9"/>
      <c r="AF507" s="12"/>
      <c r="AJ507" s="12"/>
      <c r="CB507" s="13"/>
      <c r="CC507" s="17"/>
      <c r="CD507" s="17"/>
      <c r="CE507" s="12"/>
      <c r="CT507" s="13"/>
      <c r="CU507" s="13"/>
      <c r="DW507" s="5"/>
      <c r="EQ507" s="4"/>
      <c r="FM507" s="42"/>
      <c r="FN507" s="43"/>
      <c r="FO507" s="12"/>
      <c r="FS507" s="9"/>
      <c r="FT507" s="10"/>
      <c r="FU507" s="10"/>
      <c r="FV507" s="10"/>
      <c r="FW507" s="10"/>
      <c r="FX507" s="10"/>
      <c r="FY507" s="10"/>
      <c r="FZ507" s="10"/>
      <c r="GA507" s="10"/>
      <c r="GB507" s="10"/>
      <c r="GC507" s="10"/>
      <c r="GD507" s="10"/>
      <c r="GE507" s="10"/>
      <c r="GF507" s="10"/>
      <c r="GG507" s="10"/>
      <c r="GH507" s="10"/>
      <c r="GI507" s="10"/>
      <c r="GJ507" s="10"/>
      <c r="GK507" s="10"/>
      <c r="GL507" s="10"/>
      <c r="GM507" s="10"/>
      <c r="HI507" s="13"/>
      <c r="HJ507" s="43"/>
      <c r="HK507" s="45"/>
      <c r="HL507" s="149"/>
      <c r="HM507" s="150"/>
      <c r="HN507" s="150"/>
      <c r="HO507" s="150"/>
      <c r="HP507" s="150"/>
      <c r="HQ507" s="150"/>
      <c r="HR507" s="150"/>
      <c r="HS507" s="150"/>
      <c r="HT507" s="150"/>
      <c r="HU507" s="150"/>
      <c r="HV507" s="150"/>
      <c r="HW507" s="150"/>
      <c r="HX507" s="150"/>
      <c r="HY507" s="150"/>
      <c r="HZ507" s="150"/>
      <c r="IA507" s="151"/>
      <c r="IB507" s="151"/>
      <c r="IC507" s="150"/>
      <c r="ID507" s="150"/>
      <c r="IE507" s="151"/>
      <c r="JF507" s="5"/>
      <c r="JO507" s="4"/>
      <c r="KK507" s="12"/>
      <c r="KM507" s="12"/>
      <c r="KQ507" s="12"/>
      <c r="MI507" s="13"/>
      <c r="ML507" s="12"/>
      <c r="MW507" s="13"/>
      <c r="MY507" s="12"/>
      <c r="OD507" s="5"/>
    </row>
    <row r="508" spans="8:394" ht="18" customHeight="1" x14ac:dyDescent="0.2">
      <c r="H508" s="4"/>
      <c r="AD508" s="18"/>
      <c r="AE508" s="12"/>
      <c r="AF508" s="12"/>
      <c r="AG508" s="9"/>
      <c r="AH508" s="11"/>
      <c r="AJ508" s="12"/>
      <c r="CB508" s="13"/>
      <c r="CC508" s="18"/>
      <c r="CD508" s="18"/>
      <c r="CE508" s="12"/>
      <c r="CI508" s="9"/>
      <c r="CJ508" s="10"/>
      <c r="CK508" s="10"/>
      <c r="CL508" s="10"/>
      <c r="CM508" s="10"/>
      <c r="CN508" s="10"/>
      <c r="CO508" s="10"/>
      <c r="CP508" s="11"/>
      <c r="CT508" s="13"/>
      <c r="CU508" s="13"/>
      <c r="CV508" s="9"/>
      <c r="CW508" s="10"/>
      <c r="CX508" s="10"/>
      <c r="CY508" s="10"/>
      <c r="CZ508" s="10"/>
      <c r="DA508" s="10"/>
      <c r="DB508" s="10"/>
      <c r="DC508" s="10"/>
      <c r="DD508" s="10"/>
      <c r="DE508" s="10"/>
      <c r="DF508" s="10"/>
      <c r="DG508" s="10"/>
      <c r="DH508" s="10"/>
      <c r="DI508" s="10"/>
      <c r="DJ508" s="10"/>
      <c r="DK508" s="10"/>
      <c r="DL508" s="10"/>
      <c r="DM508" s="10"/>
      <c r="DN508" s="10"/>
      <c r="DO508" s="10"/>
      <c r="DP508" s="10"/>
      <c r="DQ508" s="10"/>
      <c r="DR508" s="10"/>
      <c r="DS508" s="10"/>
      <c r="DT508" s="10"/>
      <c r="DU508" s="10"/>
      <c r="DV508" s="9"/>
      <c r="DW508" s="11"/>
      <c r="EQ508" s="4"/>
      <c r="FM508" s="125"/>
      <c r="FN508" s="125"/>
      <c r="FO508" s="12"/>
      <c r="FS508" s="12"/>
      <c r="HI508" s="13"/>
      <c r="HJ508" s="125"/>
      <c r="HK508" s="125"/>
      <c r="HL508" s="149"/>
      <c r="HM508" s="150"/>
      <c r="HN508" s="150"/>
      <c r="HO508" s="150"/>
      <c r="HP508" s="150"/>
      <c r="HQ508" s="150"/>
      <c r="HR508" s="150"/>
      <c r="HS508" s="150"/>
      <c r="HT508" s="150"/>
      <c r="HU508" s="150"/>
      <c r="HV508" s="150"/>
      <c r="HW508" s="150"/>
      <c r="HX508" s="150"/>
      <c r="HY508" s="150"/>
      <c r="HZ508" s="150"/>
      <c r="IA508" s="151"/>
      <c r="IB508" s="151"/>
      <c r="IC508" s="150"/>
      <c r="ID508" s="150"/>
      <c r="IE508" s="151"/>
      <c r="JF508" s="5"/>
      <c r="JO508" s="4"/>
      <c r="KK508" s="12"/>
      <c r="KM508" s="9"/>
      <c r="KN508" s="10"/>
      <c r="KO508" s="10"/>
      <c r="KP508" s="11"/>
      <c r="KQ508" s="12"/>
      <c r="MI508" s="13"/>
      <c r="ML508" s="12"/>
      <c r="MW508" s="13"/>
      <c r="MY508" s="12"/>
      <c r="OD508" s="5"/>
    </row>
    <row r="509" spans="8:394" ht="18" customHeight="1" x14ac:dyDescent="0.2">
      <c r="H509" s="4"/>
      <c r="AD509" s="18"/>
      <c r="AE509" s="12"/>
      <c r="AF509" s="12"/>
      <c r="AG509" s="12"/>
      <c r="AH509" s="13"/>
      <c r="AJ509" s="12"/>
      <c r="CB509" s="13"/>
      <c r="CC509" s="18"/>
      <c r="CD509" s="18"/>
      <c r="CE509" s="12"/>
      <c r="CI509" s="12"/>
      <c r="CP509" s="13"/>
      <c r="CT509" s="13"/>
      <c r="CU509" s="13"/>
      <c r="CV509" s="12"/>
      <c r="DV509" s="12"/>
      <c r="DW509" s="13"/>
      <c r="EQ509" s="4"/>
      <c r="FM509" s="108"/>
      <c r="FN509" s="108"/>
      <c r="FO509" s="12"/>
      <c r="FP509" s="168"/>
      <c r="FQ509" s="169"/>
      <c r="FS509" s="12"/>
      <c r="HI509" s="13"/>
      <c r="HJ509" s="108"/>
      <c r="HK509" s="108"/>
      <c r="HL509" s="149"/>
      <c r="HM509" s="150"/>
      <c r="HN509" s="150"/>
      <c r="HO509" s="150"/>
      <c r="HP509" s="150"/>
      <c r="HQ509" s="150"/>
      <c r="HR509" s="150"/>
      <c r="HS509" s="150"/>
      <c r="HT509" s="150"/>
      <c r="HU509" s="150"/>
      <c r="HV509" s="150"/>
      <c r="HW509" s="150"/>
      <c r="HX509" s="150"/>
      <c r="HY509" s="150"/>
      <c r="HZ509" s="150"/>
      <c r="IA509" s="151"/>
      <c r="IB509" s="151"/>
      <c r="IC509" s="146"/>
      <c r="ID509" s="147"/>
      <c r="IE509" s="148"/>
      <c r="IF509" s="10"/>
      <c r="IG509" s="10"/>
      <c r="IH509" s="10"/>
      <c r="II509" s="10"/>
      <c r="IJ509" s="10"/>
      <c r="IK509" s="10"/>
      <c r="IL509" s="10"/>
      <c r="IM509" s="10"/>
      <c r="IN509" s="10"/>
      <c r="IO509" s="10"/>
      <c r="IP509" s="10"/>
      <c r="IQ509" s="10"/>
      <c r="IR509" s="10"/>
      <c r="IS509" s="10"/>
      <c r="IT509" s="10"/>
      <c r="IU509" s="10"/>
      <c r="IV509" s="10"/>
      <c r="IW509" s="10"/>
      <c r="IX509" s="10"/>
      <c r="IY509" s="10"/>
      <c r="IZ509" s="10"/>
      <c r="JA509" s="10"/>
      <c r="JB509" s="10"/>
      <c r="JC509" s="10"/>
      <c r="JD509" s="10"/>
      <c r="JE509" s="9"/>
      <c r="JF509" s="11"/>
      <c r="JO509" s="4"/>
      <c r="KK509" s="12"/>
      <c r="KM509" s="12"/>
      <c r="KP509" s="13"/>
      <c r="KQ509" s="12"/>
      <c r="MI509" s="13"/>
      <c r="ML509" s="12"/>
      <c r="MW509" s="13"/>
      <c r="MY509" s="12"/>
      <c r="NF509" s="10"/>
      <c r="NG509" s="10"/>
      <c r="NH509" s="10"/>
      <c r="NI509" s="10"/>
      <c r="NJ509" s="10"/>
      <c r="NK509" s="10"/>
      <c r="NL509" s="10"/>
      <c r="NM509" s="10"/>
      <c r="NN509" s="10"/>
      <c r="NO509" s="10"/>
      <c r="NP509" s="10"/>
      <c r="NQ509" s="10"/>
      <c r="NR509" s="10"/>
      <c r="NS509" s="10"/>
      <c r="NT509" s="10"/>
      <c r="NU509" s="10"/>
      <c r="NV509" s="10"/>
      <c r="NW509" s="10"/>
      <c r="NX509" s="10"/>
      <c r="NY509" s="10"/>
      <c r="NZ509" s="10"/>
      <c r="OA509" s="10"/>
      <c r="OB509" s="10"/>
      <c r="OC509" s="9"/>
      <c r="OD509" s="11"/>
    </row>
    <row r="510" spans="8:394" ht="18" customHeight="1" x14ac:dyDescent="0.2">
      <c r="H510" s="4"/>
      <c r="AD510" s="18"/>
      <c r="AE510" s="12"/>
      <c r="AF510" s="12"/>
      <c r="AG510" s="12"/>
      <c r="AH510" s="13"/>
      <c r="AJ510" s="12"/>
      <c r="CB510" s="13"/>
      <c r="CC510" s="18"/>
      <c r="CD510" s="18"/>
      <c r="CE510" s="12"/>
      <c r="CI510" s="12"/>
      <c r="CP510" s="13"/>
      <c r="CT510" s="13"/>
      <c r="CU510" s="13"/>
      <c r="CV510" s="12"/>
      <c r="DV510" s="12"/>
      <c r="DW510" s="13"/>
      <c r="EQ510" s="4"/>
      <c r="FM510" s="108"/>
      <c r="FN510" s="108"/>
      <c r="FO510" s="12"/>
      <c r="FP510" s="170"/>
      <c r="FQ510" s="172"/>
      <c r="FS510" s="12"/>
      <c r="HI510" s="13"/>
      <c r="HJ510" s="108"/>
      <c r="HK510" s="108"/>
      <c r="HL510" s="149"/>
      <c r="HM510" s="150"/>
      <c r="HN510" s="150"/>
      <c r="HO510" s="150"/>
      <c r="HP510" s="150"/>
      <c r="HQ510" s="150"/>
      <c r="HR510" s="150"/>
      <c r="HS510" s="150"/>
      <c r="HT510" s="150"/>
      <c r="HU510" s="150"/>
      <c r="HV510" s="150"/>
      <c r="HW510" s="150"/>
      <c r="HX510" s="150"/>
      <c r="HY510" s="150"/>
      <c r="HZ510" s="150"/>
      <c r="IA510" s="151"/>
      <c r="IB510" s="151"/>
      <c r="IC510" s="149"/>
      <c r="ID510" s="150"/>
      <c r="IE510" s="151"/>
      <c r="JE510" s="12"/>
      <c r="JF510" s="13"/>
      <c r="JO510" s="4"/>
      <c r="KK510" s="12"/>
      <c r="KM510" s="12"/>
      <c r="KP510" s="13"/>
      <c r="KQ510" s="12"/>
      <c r="KY510" s="15"/>
      <c r="KZ510" s="15"/>
      <c r="LA510" s="15"/>
      <c r="LB510" s="15"/>
      <c r="LC510" s="15"/>
      <c r="LD510" s="15"/>
      <c r="LE510" s="15"/>
      <c r="LF510" s="15"/>
      <c r="LG510" s="15"/>
      <c r="LH510" s="15"/>
      <c r="LI510" s="15"/>
      <c r="LJ510" s="15"/>
      <c r="LK510" s="15"/>
      <c r="LL510" s="15"/>
      <c r="LM510" s="15"/>
      <c r="LN510" s="15"/>
      <c r="LO510" s="15"/>
      <c r="LP510" s="15"/>
      <c r="LQ510" s="15"/>
      <c r="LR510" s="15"/>
      <c r="LS510" s="15"/>
      <c r="LT510" s="15"/>
      <c r="LU510" s="15"/>
      <c r="LV510" s="15"/>
      <c r="LW510" s="15"/>
      <c r="LX510" s="15"/>
      <c r="LY510" s="15"/>
      <c r="LZ510" s="15"/>
      <c r="MA510" s="15"/>
      <c r="MB510" s="15"/>
      <c r="MC510" s="15"/>
      <c r="MD510" s="15"/>
      <c r="ME510" s="15"/>
      <c r="MF510" s="15"/>
      <c r="MG510" s="15"/>
      <c r="MH510" s="15"/>
      <c r="MI510" s="16"/>
      <c r="ML510" s="12"/>
      <c r="MW510" s="13"/>
      <c r="MY510" s="12"/>
      <c r="OC510" s="12"/>
      <c r="OD510" s="13"/>
    </row>
    <row r="511" spans="8:394" ht="18" customHeight="1" x14ac:dyDescent="0.2">
      <c r="H511" s="4"/>
      <c r="AD511" s="18"/>
      <c r="AE511" s="12"/>
      <c r="AF511" s="12"/>
      <c r="AG511" s="14"/>
      <c r="AH511" s="16"/>
      <c r="AJ511" s="12"/>
      <c r="CB511" s="13"/>
      <c r="CC511" s="18"/>
      <c r="CD511" s="18"/>
      <c r="CE511" s="12"/>
      <c r="CI511" s="12"/>
      <c r="CP511" s="13"/>
      <c r="CT511" s="13"/>
      <c r="CU511" s="13"/>
      <c r="CV511" s="12"/>
      <c r="DV511" s="12"/>
      <c r="DW511" s="13"/>
      <c r="EQ511" s="4"/>
      <c r="FM511" s="108"/>
      <c r="FN511" s="108"/>
      <c r="FO511" s="12"/>
      <c r="FP511" s="170"/>
      <c r="FQ511" s="172"/>
      <c r="FS511" s="12"/>
      <c r="HI511" s="13"/>
      <c r="HJ511" s="108"/>
      <c r="HK511" s="108"/>
      <c r="HL511" s="149"/>
      <c r="HM511" s="150"/>
      <c r="HN511" s="150"/>
      <c r="HO511" s="150"/>
      <c r="HP511" s="150"/>
      <c r="HQ511" s="150"/>
      <c r="HR511" s="150"/>
      <c r="HS511" s="150"/>
      <c r="HT511" s="150"/>
      <c r="HU511" s="150"/>
      <c r="HV511" s="150"/>
      <c r="HW511" s="150"/>
      <c r="HX511" s="150"/>
      <c r="HY511" s="150"/>
      <c r="HZ511" s="150"/>
      <c r="IA511" s="151"/>
      <c r="IB511" s="151"/>
      <c r="IC511" s="149"/>
      <c r="ID511" s="150"/>
      <c r="IE511" s="151"/>
      <c r="JE511" s="12"/>
      <c r="JF511" s="13"/>
      <c r="JO511" s="4"/>
      <c r="KK511" s="12"/>
      <c r="KM511" s="14"/>
      <c r="KN511" s="15"/>
      <c r="KO511" s="15"/>
      <c r="KP511" s="16"/>
      <c r="KQ511" s="12"/>
      <c r="KX511" s="13"/>
      <c r="LB511" s="13"/>
      <c r="LD511" s="13"/>
      <c r="MC511" s="127"/>
      <c r="MD511" s="127"/>
      <c r="ME511" s="127"/>
      <c r="MF511" s="127"/>
      <c r="MG511" s="127"/>
      <c r="MH511" s="127"/>
      <c r="ML511" s="12"/>
      <c r="MW511" s="13"/>
      <c r="MY511" s="12"/>
      <c r="OC511" s="12"/>
      <c r="OD511" s="13"/>
    </row>
    <row r="512" spans="8:394" ht="18" customHeight="1" x14ac:dyDescent="0.2">
      <c r="H512" s="4"/>
      <c r="AD512" s="19"/>
      <c r="AE512" s="14"/>
      <c r="AF512" s="12"/>
      <c r="AJ512" s="12"/>
      <c r="CB512" s="13"/>
      <c r="CC512" s="19"/>
      <c r="CD512" s="19"/>
      <c r="CE512" s="12"/>
      <c r="CI512" s="12"/>
      <c r="CP512" s="13"/>
      <c r="CT512" s="13"/>
      <c r="CU512" s="13"/>
      <c r="CV512" s="12"/>
      <c r="DV512" s="12"/>
      <c r="DW512" s="13"/>
      <c r="EQ512" s="4"/>
      <c r="FM512" s="108"/>
      <c r="FN512" s="108"/>
      <c r="FO512" s="12"/>
      <c r="FP512" s="173"/>
      <c r="FQ512" s="174"/>
      <c r="FS512" s="12"/>
      <c r="HI512" s="13"/>
      <c r="HJ512" s="108"/>
      <c r="HK512" s="108"/>
      <c r="HL512" s="149"/>
      <c r="HM512" s="150"/>
      <c r="HN512" s="150"/>
      <c r="HO512" s="150"/>
      <c r="HP512" s="150"/>
      <c r="HQ512" s="150"/>
      <c r="HR512" s="150"/>
      <c r="HS512" s="150"/>
      <c r="HT512" s="150"/>
      <c r="HU512" s="150"/>
      <c r="HV512" s="150"/>
      <c r="HW512" s="150"/>
      <c r="HX512" s="150"/>
      <c r="HY512" s="150"/>
      <c r="HZ512" s="150"/>
      <c r="IA512" s="151"/>
      <c r="IB512" s="151"/>
      <c r="IC512" s="149"/>
      <c r="ID512" s="150"/>
      <c r="IE512" s="151"/>
      <c r="JE512" s="12"/>
      <c r="JF512" s="13"/>
      <c r="JO512" s="4"/>
      <c r="KK512" s="12"/>
      <c r="KM512" s="12"/>
      <c r="KQ512" s="12"/>
      <c r="KX512" s="13"/>
      <c r="LB512" s="13"/>
      <c r="LD512" s="13"/>
      <c r="MC512" s="127"/>
      <c r="MD512" s="127"/>
      <c r="ME512" s="127"/>
      <c r="MF512" s="127"/>
      <c r="MG512" s="127"/>
      <c r="MH512" s="127"/>
      <c r="ML512" s="12"/>
      <c r="MW512" s="13"/>
      <c r="MY512" s="12"/>
      <c r="OC512" s="12"/>
      <c r="OD512" s="13"/>
    </row>
    <row r="513" spans="8:394" ht="18" customHeight="1" x14ac:dyDescent="0.2">
      <c r="H513" s="4"/>
      <c r="AD513" s="12"/>
      <c r="AF513" s="12"/>
      <c r="AJ513" s="14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15"/>
      <c r="AZ513" s="15"/>
      <c r="BA513" s="15"/>
      <c r="BB513" s="15"/>
      <c r="BC513" s="15"/>
      <c r="BD513" s="15"/>
      <c r="CB513" s="13"/>
      <c r="CD513" s="13"/>
      <c r="CE513" s="12"/>
      <c r="CI513" s="12"/>
      <c r="CP513" s="13"/>
      <c r="CT513" s="13"/>
      <c r="CU513" s="13"/>
      <c r="CV513" s="12"/>
      <c r="DV513" s="12"/>
      <c r="DW513" s="13"/>
      <c r="EQ513" s="4"/>
      <c r="FM513" s="126"/>
      <c r="FN513" s="126"/>
      <c r="FO513" s="12"/>
      <c r="FS513" s="12"/>
      <c r="HI513" s="13"/>
      <c r="HJ513" s="126"/>
      <c r="HK513" s="126"/>
      <c r="HL513" s="149"/>
      <c r="HM513" s="150"/>
      <c r="HN513" s="150"/>
      <c r="HO513" s="150"/>
      <c r="HP513" s="150"/>
      <c r="HQ513" s="150"/>
      <c r="HR513" s="150"/>
      <c r="HS513" s="150"/>
      <c r="HT513" s="150"/>
      <c r="HU513" s="150"/>
      <c r="HV513" s="150"/>
      <c r="HW513" s="150"/>
      <c r="HX513" s="150"/>
      <c r="HY513" s="150"/>
      <c r="HZ513" s="150"/>
      <c r="IA513" s="151"/>
      <c r="IB513" s="151"/>
      <c r="IC513" s="149"/>
      <c r="ID513" s="150"/>
      <c r="IE513" s="151"/>
      <c r="JE513" s="12"/>
      <c r="JF513" s="13"/>
      <c r="JO513" s="4"/>
      <c r="KK513" s="12"/>
      <c r="KM513" s="12"/>
      <c r="KQ513" s="12"/>
      <c r="KX513" s="13"/>
      <c r="LB513" s="13"/>
      <c r="LE513" s="9"/>
      <c r="LF513" s="10"/>
      <c r="LG513" s="10"/>
      <c r="LH513" s="10"/>
      <c r="LI513" s="10"/>
      <c r="LJ513" s="10"/>
      <c r="LK513" s="10"/>
      <c r="LL513" s="10"/>
      <c r="LM513" s="10"/>
      <c r="LN513" s="10"/>
      <c r="LO513" s="10"/>
      <c r="LP513" s="10"/>
      <c r="LQ513" s="10"/>
      <c r="LR513" s="10"/>
      <c r="LS513" s="10"/>
      <c r="LT513" s="10"/>
      <c r="LU513" s="10"/>
      <c r="LV513" s="10"/>
      <c r="LW513" s="10"/>
      <c r="LX513" s="10"/>
      <c r="LY513" s="10"/>
      <c r="LZ513" s="10"/>
      <c r="MA513" s="10"/>
      <c r="MB513" s="10"/>
      <c r="MC513" s="10"/>
      <c r="MD513" s="10"/>
      <c r="ME513" s="10"/>
      <c r="MF513" s="10"/>
      <c r="MG513" s="10"/>
      <c r="MH513" s="10"/>
      <c r="MI513" s="10"/>
      <c r="MJ513" s="10"/>
      <c r="MK513" s="10"/>
      <c r="ML513" s="10"/>
      <c r="MM513" s="10"/>
      <c r="MN513" s="10"/>
      <c r="MO513" s="10"/>
      <c r="MP513" s="10"/>
      <c r="MQ513" s="10"/>
      <c r="MR513" s="10"/>
      <c r="MS513" s="10"/>
      <c r="MT513" s="10"/>
      <c r="MU513" s="10"/>
      <c r="MV513" s="10"/>
      <c r="MW513" s="11"/>
      <c r="MY513" s="12"/>
      <c r="OC513" s="12"/>
      <c r="OD513" s="13"/>
    </row>
    <row r="514" spans="8:394" ht="18" customHeight="1" x14ac:dyDescent="0.2">
      <c r="H514" s="4"/>
      <c r="AD514" s="12"/>
      <c r="AF514" s="12"/>
      <c r="BC514" s="13"/>
      <c r="BE514" s="12"/>
      <c r="CB514" s="13"/>
      <c r="CD514" s="13"/>
      <c r="CE514" s="12"/>
      <c r="CI514" s="12"/>
      <c r="CP514" s="13"/>
      <c r="CT514" s="13"/>
      <c r="CU514" s="13"/>
      <c r="CV514" s="12"/>
      <c r="DV514" s="12"/>
      <c r="DW514" s="13"/>
      <c r="EQ514" s="4"/>
      <c r="FM514" s="42"/>
      <c r="FN514" s="43"/>
      <c r="FO514" s="12"/>
      <c r="FS514" s="14"/>
      <c r="FT514" s="15"/>
      <c r="FU514" s="15"/>
      <c r="FV514" s="15"/>
      <c r="FW514" s="15"/>
      <c r="FX514" s="15"/>
      <c r="FY514" s="15"/>
      <c r="FZ514" s="15"/>
      <c r="GA514" s="15"/>
      <c r="GB514" s="15"/>
      <c r="GC514" s="15"/>
      <c r="GD514" s="15"/>
      <c r="GE514" s="15"/>
      <c r="GF514" s="15"/>
      <c r="GG514" s="15"/>
      <c r="GH514" s="15"/>
      <c r="GI514" s="15"/>
      <c r="GJ514" s="15"/>
      <c r="GK514" s="15"/>
      <c r="GL514" s="15"/>
      <c r="GM514" s="15"/>
      <c r="HI514" s="13"/>
      <c r="HJ514" s="43"/>
      <c r="HK514" s="45"/>
      <c r="HL514" s="149"/>
      <c r="HM514" s="150"/>
      <c r="HN514" s="150"/>
      <c r="HO514" s="150"/>
      <c r="HP514" s="150"/>
      <c r="HQ514" s="150"/>
      <c r="HR514" s="150"/>
      <c r="HS514" s="150"/>
      <c r="HT514" s="150"/>
      <c r="HU514" s="150"/>
      <c r="HV514" s="150"/>
      <c r="HW514" s="150"/>
      <c r="HX514" s="150"/>
      <c r="HY514" s="150"/>
      <c r="HZ514" s="150"/>
      <c r="IA514" s="151"/>
      <c r="IB514" s="151"/>
      <c r="IC514" s="149"/>
      <c r="ID514" s="150"/>
      <c r="IE514" s="151"/>
      <c r="JE514" s="12"/>
      <c r="JF514" s="13"/>
      <c r="JO514" s="4"/>
      <c r="KK514" s="12"/>
      <c r="KM514" s="12"/>
      <c r="KQ514" s="12"/>
      <c r="KX514" s="13"/>
      <c r="LB514" s="13"/>
      <c r="LE514" s="12"/>
      <c r="MW514" s="13"/>
      <c r="MY514" s="12"/>
      <c r="OC514" s="12"/>
      <c r="OD514" s="13"/>
    </row>
    <row r="515" spans="8:394" ht="18" customHeight="1" x14ac:dyDescent="0.2">
      <c r="H515" s="4"/>
      <c r="AD515" s="12"/>
      <c r="AF515" s="12"/>
      <c r="BC515" s="13"/>
      <c r="BE515" s="12"/>
      <c r="CB515" s="13"/>
      <c r="CD515" s="13"/>
      <c r="CE515" s="12"/>
      <c r="CI515" s="14"/>
      <c r="CJ515" s="15"/>
      <c r="CK515" s="15"/>
      <c r="CL515" s="15"/>
      <c r="CM515" s="15"/>
      <c r="CN515" s="15"/>
      <c r="CO515" s="15"/>
      <c r="CP515" s="16"/>
      <c r="CT515" s="13"/>
      <c r="CU515" s="13"/>
      <c r="CV515" s="14"/>
      <c r="CW515" s="15"/>
      <c r="CX515" s="15"/>
      <c r="CY515" s="15"/>
      <c r="CZ515" s="15"/>
      <c r="DA515" s="15"/>
      <c r="DB515" s="15"/>
      <c r="DC515" s="15"/>
      <c r="DD515" s="15"/>
      <c r="DE515" s="15"/>
      <c r="DF515" s="15"/>
      <c r="DG515" s="15"/>
      <c r="DH515" s="15"/>
      <c r="DI515" s="15"/>
      <c r="DJ515" s="15"/>
      <c r="DK515" s="15"/>
      <c r="DL515" s="15"/>
      <c r="DM515" s="15"/>
      <c r="DN515" s="15"/>
      <c r="DO515" s="15"/>
      <c r="DP515" s="15"/>
      <c r="DQ515" s="15"/>
      <c r="DR515" s="15"/>
      <c r="DS515" s="15"/>
      <c r="DT515" s="15"/>
      <c r="DU515" s="15"/>
      <c r="DV515" s="14"/>
      <c r="DW515" s="16"/>
      <c r="EQ515" s="4"/>
      <c r="FM515" s="42"/>
      <c r="FN515" s="43"/>
      <c r="FO515" s="12"/>
      <c r="GL515" s="13"/>
      <c r="GN515" s="12"/>
      <c r="HI515" s="13"/>
      <c r="HJ515" s="43"/>
      <c r="HK515" s="45"/>
      <c r="HL515" s="149"/>
      <c r="HM515" s="150"/>
      <c r="HN515" s="150"/>
      <c r="HO515" s="150"/>
      <c r="HP515" s="150"/>
      <c r="HQ515" s="150"/>
      <c r="HR515" s="150"/>
      <c r="HS515" s="150"/>
      <c r="HT515" s="150"/>
      <c r="HU515" s="150"/>
      <c r="HV515" s="150"/>
      <c r="HW515" s="150"/>
      <c r="HX515" s="150"/>
      <c r="HY515" s="150"/>
      <c r="HZ515" s="150"/>
      <c r="IA515" s="151"/>
      <c r="IB515" s="151"/>
      <c r="IC515" s="149"/>
      <c r="ID515" s="150"/>
      <c r="IE515" s="151"/>
      <c r="JE515" s="12"/>
      <c r="JF515" s="13"/>
      <c r="JO515" s="4"/>
      <c r="KK515" s="12"/>
      <c r="KM515" s="12"/>
      <c r="KQ515" s="12"/>
      <c r="KX515" s="13"/>
      <c r="LB515" s="13"/>
      <c r="LE515" s="12"/>
      <c r="LL515" s="9"/>
      <c r="LM515" s="10"/>
      <c r="LN515" s="10"/>
      <c r="LO515" s="10"/>
      <c r="LP515" s="10"/>
      <c r="LQ515" s="10"/>
      <c r="LR515" s="11"/>
      <c r="MW515" s="13"/>
      <c r="MY515" s="12"/>
      <c r="OC515" s="12"/>
      <c r="OD515" s="13"/>
    </row>
    <row r="516" spans="8:394" ht="18" customHeight="1" x14ac:dyDescent="0.2">
      <c r="H516" s="4"/>
      <c r="AD516" s="12"/>
      <c r="AF516" s="12"/>
      <c r="BC516" s="13"/>
      <c r="BE516" s="12"/>
      <c r="CB516" s="13"/>
      <c r="CD516" s="13"/>
      <c r="CE516" s="12"/>
      <c r="CT516" s="13"/>
      <c r="CU516" s="13"/>
      <c r="DW516" s="5"/>
      <c r="EQ516" s="4"/>
      <c r="FM516" s="42"/>
      <c r="FN516" s="43"/>
      <c r="FO516" s="12"/>
      <c r="GL516" s="13"/>
      <c r="GN516" s="12"/>
      <c r="HI516" s="13"/>
      <c r="HJ516" s="43"/>
      <c r="HK516" s="45"/>
      <c r="HL516" s="149"/>
      <c r="HM516" s="150"/>
      <c r="HN516" s="150"/>
      <c r="HO516" s="150"/>
      <c r="HP516" s="150"/>
      <c r="HQ516" s="150"/>
      <c r="HR516" s="150"/>
      <c r="HS516" s="150"/>
      <c r="HT516" s="150"/>
      <c r="HU516" s="150"/>
      <c r="HV516" s="150"/>
      <c r="HW516" s="150"/>
      <c r="HX516" s="150"/>
      <c r="HY516" s="150"/>
      <c r="HZ516" s="150"/>
      <c r="IA516" s="151"/>
      <c r="IB516" s="151"/>
      <c r="IC516" s="152"/>
      <c r="ID516" s="153"/>
      <c r="IE516" s="154"/>
      <c r="IF516" s="15"/>
      <c r="IG516" s="15"/>
      <c r="IH516" s="15"/>
      <c r="II516" s="15"/>
      <c r="IJ516" s="15"/>
      <c r="IK516" s="15"/>
      <c r="IL516" s="15"/>
      <c r="IM516" s="15"/>
      <c r="IN516" s="15"/>
      <c r="IO516" s="15"/>
      <c r="IP516" s="15"/>
      <c r="IQ516" s="15"/>
      <c r="IR516" s="15"/>
      <c r="IS516" s="15"/>
      <c r="IT516" s="15"/>
      <c r="IU516" s="15"/>
      <c r="IV516" s="15"/>
      <c r="IW516" s="15"/>
      <c r="IX516" s="15"/>
      <c r="IY516" s="15"/>
      <c r="IZ516" s="15"/>
      <c r="JA516" s="15"/>
      <c r="JB516" s="15"/>
      <c r="JC516" s="15"/>
      <c r="JD516" s="15"/>
      <c r="JE516" s="14"/>
      <c r="JF516" s="16"/>
      <c r="JO516" s="4"/>
      <c r="KK516" s="12"/>
      <c r="KM516" s="9"/>
      <c r="KN516" s="10"/>
      <c r="KO516" s="10"/>
      <c r="KP516" s="11"/>
      <c r="KQ516" s="12"/>
      <c r="KX516" s="13"/>
      <c r="KY516" s="9"/>
      <c r="KZ516" s="10"/>
      <c r="LA516" s="10"/>
      <c r="LB516" s="11"/>
      <c r="LE516" s="12"/>
      <c r="LL516" s="12"/>
      <c r="LR516" s="13"/>
      <c r="MW516" s="13"/>
      <c r="MY516" s="12"/>
      <c r="NF516" s="15"/>
      <c r="NG516" s="15"/>
      <c r="NH516" s="15"/>
      <c r="NI516" s="15"/>
      <c r="NJ516" s="15"/>
      <c r="NK516" s="15"/>
      <c r="NL516" s="15"/>
      <c r="NM516" s="15"/>
      <c r="NN516" s="15"/>
      <c r="NO516" s="15"/>
      <c r="NP516" s="15"/>
      <c r="NQ516" s="15"/>
      <c r="NR516" s="15"/>
      <c r="NS516" s="15"/>
      <c r="NT516" s="15"/>
      <c r="NU516" s="15"/>
      <c r="NV516" s="15"/>
      <c r="NW516" s="15"/>
      <c r="NX516" s="15"/>
      <c r="NY516" s="15"/>
      <c r="NZ516" s="15"/>
      <c r="OA516" s="15"/>
      <c r="OB516" s="15"/>
      <c r="OC516" s="14"/>
      <c r="OD516" s="16"/>
    </row>
    <row r="517" spans="8:394" ht="18" customHeight="1" x14ac:dyDescent="0.2">
      <c r="H517" s="4"/>
      <c r="AD517" s="12"/>
      <c r="AF517" s="14"/>
      <c r="AG517" s="15"/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  <c r="AX517" s="15"/>
      <c r="AY517" s="15"/>
      <c r="AZ517" s="15"/>
      <c r="BA517" s="15"/>
      <c r="BB517" s="15"/>
      <c r="BC517" s="16"/>
      <c r="BD517" s="15"/>
      <c r="BE517" s="14"/>
      <c r="BF517" s="15"/>
      <c r="BG517" s="15"/>
      <c r="BH517" s="15"/>
      <c r="BI517" s="15"/>
      <c r="BJ517" s="15"/>
      <c r="BK517" s="15"/>
      <c r="BL517" s="15"/>
      <c r="BM517" s="15"/>
      <c r="BN517" s="15"/>
      <c r="BO517" s="15"/>
      <c r="BP517" s="15"/>
      <c r="BQ517" s="15"/>
      <c r="BR517" s="15"/>
      <c r="BS517" s="15"/>
      <c r="BT517" s="15"/>
      <c r="BU517" s="15"/>
      <c r="BV517" s="15"/>
      <c r="BW517" s="15"/>
      <c r="BX517" s="15"/>
      <c r="BY517" s="15"/>
      <c r="BZ517" s="15"/>
      <c r="CA517" s="15"/>
      <c r="CB517" s="16"/>
      <c r="CD517" s="13"/>
      <c r="CE517" s="12"/>
      <c r="CT517" s="13"/>
      <c r="CU517" s="13"/>
      <c r="DW517" s="5"/>
      <c r="EQ517" s="4"/>
      <c r="FM517" s="42"/>
      <c r="FN517" s="43"/>
      <c r="FO517" s="12"/>
      <c r="GL517" s="13"/>
      <c r="GN517" s="12"/>
      <c r="HI517" s="13"/>
      <c r="HJ517" s="43"/>
      <c r="HK517" s="45"/>
      <c r="HL517" s="149"/>
      <c r="HM517" s="150"/>
      <c r="HN517" s="150"/>
      <c r="HO517" s="150"/>
      <c r="HP517" s="150"/>
      <c r="HQ517" s="150"/>
      <c r="HR517" s="150"/>
      <c r="HS517" s="150"/>
      <c r="HT517" s="150"/>
      <c r="HU517" s="150"/>
      <c r="HV517" s="150"/>
      <c r="HW517" s="150"/>
      <c r="HX517" s="150"/>
      <c r="HY517" s="150"/>
      <c r="HZ517" s="150"/>
      <c r="IA517" s="151"/>
      <c r="IB517" s="151"/>
      <c r="IC517" s="150"/>
      <c r="ID517" s="150"/>
      <c r="IE517" s="151"/>
      <c r="JF517" s="5"/>
      <c r="JO517" s="4"/>
      <c r="KK517" s="12"/>
      <c r="KM517" s="12"/>
      <c r="KP517" s="13"/>
      <c r="KQ517" s="12"/>
      <c r="KX517" s="13"/>
      <c r="KY517" s="12"/>
      <c r="LB517" s="13"/>
      <c r="LE517" s="12"/>
      <c r="LL517" s="12"/>
      <c r="LR517" s="13"/>
      <c r="MW517" s="13"/>
      <c r="MY517" s="12"/>
      <c r="OD517" s="5"/>
    </row>
    <row r="518" spans="8:394" ht="18" customHeight="1" x14ac:dyDescent="0.2">
      <c r="H518" s="4"/>
      <c r="AD518" s="12"/>
      <c r="BJ518" s="14"/>
      <c r="BK518" s="15"/>
      <c r="BL518" s="15"/>
      <c r="BM518" s="15"/>
      <c r="BN518" s="15"/>
      <c r="BO518" s="16"/>
      <c r="BV518" s="127"/>
      <c r="BW518" s="127"/>
      <c r="BX518" s="127"/>
      <c r="BY518" s="127"/>
      <c r="BZ518" s="127"/>
      <c r="CA518" s="127"/>
      <c r="CD518" s="13"/>
      <c r="CE518" s="12"/>
      <c r="CT518" s="13"/>
      <c r="CU518" s="13"/>
      <c r="DW518" s="5"/>
      <c r="EQ518" s="4"/>
      <c r="FM518" s="42"/>
      <c r="FN518" s="43"/>
      <c r="FO518" s="14"/>
      <c r="FP518" s="15"/>
      <c r="FQ518" s="15"/>
      <c r="FR518" s="15"/>
      <c r="FS518" s="15"/>
      <c r="FT518" s="15"/>
      <c r="FU518" s="15"/>
      <c r="FV518" s="15"/>
      <c r="FW518" s="15"/>
      <c r="FX518" s="15"/>
      <c r="FY518" s="15"/>
      <c r="FZ518" s="15"/>
      <c r="GA518" s="15"/>
      <c r="GB518" s="15"/>
      <c r="GC518" s="15"/>
      <c r="GD518" s="15"/>
      <c r="GE518" s="15"/>
      <c r="GF518" s="15"/>
      <c r="GG518" s="15"/>
      <c r="GH518" s="15"/>
      <c r="GI518" s="15"/>
      <c r="GJ518" s="15"/>
      <c r="GK518" s="15"/>
      <c r="GL518" s="16"/>
      <c r="GN518" s="14"/>
      <c r="GO518" s="15"/>
      <c r="GP518" s="15"/>
      <c r="GQ518" s="15"/>
      <c r="GR518" s="15"/>
      <c r="GS518" s="15"/>
      <c r="GT518" s="15"/>
      <c r="GU518" s="15"/>
      <c r="GV518" s="15"/>
      <c r="GW518" s="15"/>
      <c r="GX518" s="15"/>
      <c r="GY518" s="15"/>
      <c r="GZ518" s="15"/>
      <c r="HA518" s="15"/>
      <c r="HB518" s="15"/>
      <c r="HC518" s="15"/>
      <c r="HD518" s="15"/>
      <c r="HE518" s="15"/>
      <c r="HF518" s="15"/>
      <c r="HG518" s="15"/>
      <c r="HH518" s="15"/>
      <c r="HI518" s="16"/>
      <c r="HJ518" s="43"/>
      <c r="HK518" s="45"/>
      <c r="HL518" s="149"/>
      <c r="HM518" s="150"/>
      <c r="HN518" s="150"/>
      <c r="HO518" s="150"/>
      <c r="HP518" s="150"/>
      <c r="HQ518" s="150"/>
      <c r="HR518" s="150"/>
      <c r="HS518" s="150"/>
      <c r="HT518" s="150"/>
      <c r="HU518" s="150"/>
      <c r="HV518" s="150"/>
      <c r="HW518" s="150"/>
      <c r="HX518" s="150"/>
      <c r="HY518" s="150"/>
      <c r="HZ518" s="150"/>
      <c r="IA518" s="151"/>
      <c r="IB518" s="151"/>
      <c r="IC518" s="150"/>
      <c r="ID518" s="150"/>
      <c r="IE518" s="151"/>
      <c r="JF518" s="5"/>
      <c r="JO518" s="4"/>
      <c r="KK518" s="12"/>
      <c r="KM518" s="12"/>
      <c r="KP518" s="13"/>
      <c r="KQ518" s="12"/>
      <c r="KX518" s="13"/>
      <c r="KY518" s="12"/>
      <c r="LB518" s="13"/>
      <c r="LE518" s="12"/>
      <c r="LL518" s="12"/>
      <c r="LR518" s="13"/>
      <c r="MW518" s="13"/>
      <c r="MY518" s="12"/>
      <c r="OD518" s="5"/>
    </row>
    <row r="519" spans="8:394" ht="18" customHeight="1" x14ac:dyDescent="0.2">
      <c r="H519" s="4"/>
      <c r="AD519" s="14"/>
      <c r="AE519" s="15"/>
      <c r="AF519" s="15"/>
      <c r="AG519" s="15"/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  <c r="AX519" s="15"/>
      <c r="AY519" s="15"/>
      <c r="AZ519" s="15"/>
      <c r="BA519" s="15"/>
      <c r="BB519" s="15"/>
      <c r="BC519" s="15"/>
      <c r="BD519" s="15"/>
      <c r="BE519" s="15"/>
      <c r="BF519" s="15"/>
      <c r="BG519" s="15"/>
      <c r="BH519" s="15"/>
      <c r="BI519" s="15"/>
      <c r="BJ519" s="20"/>
      <c r="BK519" s="21"/>
      <c r="BL519" s="21"/>
      <c r="BM519" s="21"/>
      <c r="BN519" s="21"/>
      <c r="BO519" s="22"/>
      <c r="BP519" s="15"/>
      <c r="BQ519" s="15"/>
      <c r="BR519" s="15"/>
      <c r="BS519" s="15"/>
      <c r="BT519" s="15"/>
      <c r="BU519" s="15"/>
      <c r="BV519" s="100"/>
      <c r="BW519" s="100"/>
      <c r="BX519" s="100"/>
      <c r="BY519" s="100"/>
      <c r="BZ519" s="100"/>
      <c r="CA519" s="100"/>
      <c r="CB519" s="15"/>
      <c r="CC519" s="15"/>
      <c r="CD519" s="16"/>
      <c r="CE519" s="14"/>
      <c r="CF519" s="15"/>
      <c r="CG519" s="15"/>
      <c r="CH519" s="15"/>
      <c r="CI519" s="15"/>
      <c r="CJ519" s="15"/>
      <c r="CK519" s="15"/>
      <c r="CL519" s="15"/>
      <c r="CM519" s="15"/>
      <c r="CN519" s="15"/>
      <c r="CO519" s="15"/>
      <c r="CP519" s="15"/>
      <c r="CQ519" s="15"/>
      <c r="CR519" s="15"/>
      <c r="CS519" s="15"/>
      <c r="CT519" s="16"/>
      <c r="CU519" s="13"/>
      <c r="DW519" s="5"/>
      <c r="EQ519" s="4"/>
      <c r="FM519" s="42"/>
      <c r="FN519" s="43"/>
      <c r="FO519" s="43"/>
      <c r="FP519" s="43"/>
      <c r="FQ519" s="43"/>
      <c r="FR519" s="43"/>
      <c r="FS519" s="43"/>
      <c r="FT519" s="43"/>
      <c r="FU519" s="43"/>
      <c r="FV519" s="43"/>
      <c r="FW519" s="43"/>
      <c r="FX519" s="43"/>
      <c r="FY519" s="43"/>
      <c r="FZ519" s="43"/>
      <c r="GA519" s="43"/>
      <c r="GB519" s="43"/>
      <c r="GC519" s="43"/>
      <c r="GD519" s="43"/>
      <c r="GE519" s="43"/>
      <c r="GF519" s="43"/>
      <c r="GG519" s="43"/>
      <c r="GH519" s="43"/>
      <c r="GI519" s="43"/>
      <c r="GJ519" s="43"/>
      <c r="GK519" s="43"/>
      <c r="GL519" s="43"/>
      <c r="GM519" s="43"/>
      <c r="GN519" s="43"/>
      <c r="GO519" s="43"/>
      <c r="GP519" s="43"/>
      <c r="GQ519" s="43"/>
      <c r="GR519" s="43"/>
      <c r="GS519" s="123"/>
      <c r="GT519" s="109"/>
      <c r="GU519" s="109"/>
      <c r="GV519" s="109"/>
      <c r="GW519" s="109"/>
      <c r="GX519" s="124"/>
      <c r="GY519" s="43"/>
      <c r="GZ519" s="43"/>
      <c r="HA519" s="43"/>
      <c r="HB519" s="43"/>
      <c r="HC519" s="127"/>
      <c r="HD519" s="127"/>
      <c r="HE519" s="127"/>
      <c r="HF519" s="127"/>
      <c r="HG519" s="127"/>
      <c r="HH519" s="127"/>
      <c r="HI519" s="43"/>
      <c r="HJ519" s="43"/>
      <c r="HK519" s="45"/>
      <c r="HL519" s="149"/>
      <c r="HM519" s="150"/>
      <c r="HN519" s="150"/>
      <c r="HO519" s="150"/>
      <c r="HP519" s="150"/>
      <c r="HQ519" s="150"/>
      <c r="HR519" s="150"/>
      <c r="HS519" s="150"/>
      <c r="HT519" s="150"/>
      <c r="HU519" s="150"/>
      <c r="HV519" s="150"/>
      <c r="HW519" s="150"/>
      <c r="HX519" s="150"/>
      <c r="HY519" s="150"/>
      <c r="HZ519" s="150"/>
      <c r="IA519" s="151"/>
      <c r="IB519" s="151"/>
      <c r="IC519" s="150"/>
      <c r="ID519" s="150"/>
      <c r="IE519" s="151"/>
      <c r="JF519" s="5"/>
      <c r="JO519" s="4"/>
      <c r="KK519" s="12"/>
      <c r="KM519" s="14"/>
      <c r="KN519" s="15"/>
      <c r="KO519" s="15"/>
      <c r="KP519" s="16"/>
      <c r="KQ519" s="12"/>
      <c r="KX519" s="13"/>
      <c r="KY519" s="14"/>
      <c r="KZ519" s="15"/>
      <c r="LA519" s="15"/>
      <c r="LB519" s="16"/>
      <c r="LE519" s="12"/>
      <c r="LL519" s="12"/>
      <c r="LR519" s="13"/>
      <c r="MW519" s="13"/>
      <c r="MY519" s="12"/>
      <c r="OD519" s="5"/>
    </row>
    <row r="520" spans="8:394" ht="18" customHeight="1" x14ac:dyDescent="0.2">
      <c r="H520" s="4"/>
      <c r="AN520" s="10"/>
      <c r="AQ520" s="10"/>
      <c r="AS520" s="10"/>
      <c r="AV520" s="10"/>
      <c r="AW520" s="10"/>
      <c r="AX520" s="9"/>
      <c r="AY520" s="9"/>
      <c r="AZ520" s="10"/>
      <c r="BA520" s="10"/>
      <c r="BB520" s="10"/>
      <c r="BC520" s="10"/>
      <c r="BD520" s="10"/>
      <c r="BO520" s="9"/>
      <c r="BP520" s="10"/>
      <c r="BQ520" s="10"/>
      <c r="BR520" s="10"/>
      <c r="BS520" s="10"/>
      <c r="BT520" s="10"/>
      <c r="BU520" s="10"/>
      <c r="BV520" s="10"/>
      <c r="BW520" s="10"/>
      <c r="BX520" s="10"/>
      <c r="BY520" s="10"/>
      <c r="BZ520" s="10"/>
      <c r="CA520" s="10"/>
      <c r="CB520" s="10"/>
      <c r="CC520" s="10"/>
      <c r="CD520" s="11"/>
      <c r="CE520" s="9"/>
      <c r="CF520" s="10"/>
      <c r="CG520" s="10"/>
      <c r="CH520" s="10"/>
      <c r="CI520" s="10"/>
      <c r="CJ520" s="10"/>
      <c r="CK520" s="10"/>
      <c r="CL520" s="10"/>
      <c r="CM520" s="10"/>
      <c r="CN520" s="10"/>
      <c r="CO520" s="10"/>
      <c r="CP520" s="10"/>
      <c r="CQ520" s="10"/>
      <c r="CR520" s="10"/>
      <c r="CS520" s="10"/>
      <c r="CT520" s="11"/>
      <c r="CU520" s="13"/>
      <c r="DW520" s="5"/>
      <c r="EQ520" s="4"/>
      <c r="FM520" s="46"/>
      <c r="FN520" s="47"/>
      <c r="FO520" s="47"/>
      <c r="FP520" s="47"/>
      <c r="FQ520" s="47"/>
      <c r="FR520" s="47"/>
      <c r="FS520" s="47"/>
      <c r="FT520" s="47"/>
      <c r="FU520" s="47"/>
      <c r="FV520" s="47"/>
      <c r="FW520" s="43"/>
      <c r="FX520" s="47"/>
      <c r="FY520" s="47"/>
      <c r="FZ520" s="43"/>
      <c r="GA520" s="47"/>
      <c r="GB520" s="43"/>
      <c r="GC520" s="47"/>
      <c r="GD520" s="47"/>
      <c r="GE520" s="43"/>
      <c r="GF520" s="43"/>
      <c r="GG520" s="43"/>
      <c r="GH520" s="43"/>
      <c r="GI520" s="43"/>
      <c r="GJ520" s="43"/>
      <c r="GK520" s="43"/>
      <c r="GL520" s="43"/>
      <c r="GM520" s="43"/>
      <c r="GN520" s="43"/>
      <c r="GO520" s="43"/>
      <c r="GP520" s="43"/>
      <c r="GQ520" s="43"/>
      <c r="GR520" s="43"/>
      <c r="GS520" s="40"/>
      <c r="GT520" s="41"/>
      <c r="GU520" s="41"/>
      <c r="GV520" s="41"/>
      <c r="GW520" s="41"/>
      <c r="GX520" s="44"/>
      <c r="GY520" s="43"/>
      <c r="GZ520" s="43"/>
      <c r="HA520" s="43"/>
      <c r="HB520" s="43"/>
      <c r="HC520" s="127"/>
      <c r="HD520" s="127"/>
      <c r="HE520" s="127"/>
      <c r="HF520" s="127"/>
      <c r="HG520" s="127"/>
      <c r="HH520" s="127"/>
      <c r="HI520" s="43"/>
      <c r="HJ520" s="43"/>
      <c r="HK520" s="45"/>
      <c r="HL520" s="149"/>
      <c r="HM520" s="150"/>
      <c r="HN520" s="150"/>
      <c r="HO520" s="150"/>
      <c r="HP520" s="150"/>
      <c r="HQ520" s="150"/>
      <c r="HR520" s="150"/>
      <c r="HS520" s="150"/>
      <c r="HT520" s="150"/>
      <c r="HU520" s="150"/>
      <c r="HV520" s="150"/>
      <c r="HW520" s="150"/>
      <c r="HX520" s="150"/>
      <c r="HY520" s="150"/>
      <c r="HZ520" s="150"/>
      <c r="IA520" s="151"/>
      <c r="IB520" s="151"/>
      <c r="IC520" s="150"/>
      <c r="ID520" s="150"/>
      <c r="IE520" s="151"/>
      <c r="JF520" s="5"/>
      <c r="JO520" s="4"/>
      <c r="KK520" s="12"/>
      <c r="KM520" s="12"/>
      <c r="KQ520" s="12"/>
      <c r="KX520" s="13"/>
      <c r="KY520" s="9"/>
      <c r="KZ520" s="10"/>
      <c r="LA520" s="10"/>
      <c r="LB520" s="11"/>
      <c r="LE520" s="12"/>
      <c r="LL520" s="12"/>
      <c r="LR520" s="13"/>
      <c r="MW520" s="13"/>
      <c r="MY520" s="12"/>
      <c r="OD520" s="5"/>
    </row>
    <row r="521" spans="8:394" ht="18" customHeight="1" x14ac:dyDescent="0.2">
      <c r="H521" s="4"/>
      <c r="AX521" s="12"/>
      <c r="AY521" s="12"/>
      <c r="BO521" s="12"/>
      <c r="CD521" s="13"/>
      <c r="CE521" s="12"/>
      <c r="CT521" s="13"/>
      <c r="CU521" s="13"/>
      <c r="DW521" s="5"/>
      <c r="EQ521" s="4"/>
      <c r="FW521" s="10"/>
      <c r="FZ521" s="10"/>
      <c r="GB521" s="146"/>
      <c r="GC521" s="147"/>
      <c r="GD521" s="147"/>
      <c r="GE521" s="146"/>
      <c r="GF521" s="146"/>
      <c r="GG521" s="147"/>
      <c r="GH521" s="147"/>
      <c r="GI521" s="147"/>
      <c r="GJ521" s="147"/>
      <c r="GK521" s="147"/>
      <c r="GL521" s="147"/>
      <c r="GM521" s="147"/>
      <c r="GN521" s="147"/>
      <c r="GO521" s="147"/>
      <c r="GP521" s="147"/>
      <c r="GQ521" s="147"/>
      <c r="GR521" s="147"/>
      <c r="GS521" s="147"/>
      <c r="GT521" s="147"/>
      <c r="GU521" s="147"/>
      <c r="GV521" s="147"/>
      <c r="GW521" s="147"/>
      <c r="GX521" s="147"/>
      <c r="GY521" s="147"/>
      <c r="GZ521" s="147"/>
      <c r="HA521" s="147"/>
      <c r="HB521" s="147"/>
      <c r="HC521" s="147"/>
      <c r="HD521" s="147"/>
      <c r="HE521" s="147"/>
      <c r="HF521" s="147"/>
      <c r="HG521" s="147"/>
      <c r="HH521" s="147"/>
      <c r="HI521" s="147"/>
      <c r="HJ521" s="147"/>
      <c r="HK521" s="147"/>
      <c r="HL521" s="147"/>
      <c r="HM521" s="147"/>
      <c r="HN521" s="147"/>
      <c r="HO521" s="147"/>
      <c r="HP521" s="147"/>
      <c r="HQ521" s="147"/>
      <c r="HR521" s="147"/>
      <c r="HS521" s="147"/>
      <c r="HT521" s="147"/>
      <c r="HU521" s="147"/>
      <c r="HV521" s="147"/>
      <c r="HW521" s="147"/>
      <c r="HX521" s="147"/>
      <c r="HY521" s="147"/>
      <c r="HZ521" s="147"/>
      <c r="IA521" s="148"/>
      <c r="IB521" s="151"/>
      <c r="IC521" s="150"/>
      <c r="ID521" s="150"/>
      <c r="IE521" s="151"/>
      <c r="JF521" s="5"/>
      <c r="JO521" s="4"/>
      <c r="KK521" s="12"/>
      <c r="KM521" s="12"/>
      <c r="KQ521" s="12"/>
      <c r="KX521" s="13"/>
      <c r="KY521" s="12"/>
      <c r="LB521" s="13"/>
      <c r="LE521" s="12"/>
      <c r="LL521" s="12"/>
      <c r="LR521" s="13"/>
      <c r="MW521" s="13"/>
      <c r="MY521" s="12"/>
      <c r="OD521" s="5"/>
    </row>
    <row r="522" spans="8:394" ht="18" customHeight="1" x14ac:dyDescent="0.2">
      <c r="H522" s="4"/>
      <c r="AX522" s="12"/>
      <c r="AY522" s="12"/>
      <c r="BO522" s="12"/>
      <c r="CD522" s="13"/>
      <c r="CE522" s="12"/>
      <c r="CT522" s="13"/>
      <c r="CU522" s="13"/>
      <c r="DW522" s="5"/>
      <c r="EQ522" s="4"/>
      <c r="GB522" s="149"/>
      <c r="GC522" s="150"/>
      <c r="GD522" s="150"/>
      <c r="GE522" s="149"/>
      <c r="GF522" s="149"/>
      <c r="GG522" s="150"/>
      <c r="GH522" s="150"/>
      <c r="GI522" s="150"/>
      <c r="GJ522" s="150"/>
      <c r="GK522" s="150"/>
      <c r="GL522" s="150"/>
      <c r="GM522" s="150"/>
      <c r="GN522" s="150"/>
      <c r="GO522" s="150"/>
      <c r="GP522" s="150"/>
      <c r="GQ522" s="150"/>
      <c r="GR522" s="150"/>
      <c r="GS522" s="150"/>
      <c r="GT522" s="150"/>
      <c r="GU522" s="150"/>
      <c r="GV522" s="150"/>
      <c r="GW522" s="150"/>
      <c r="GX522" s="150"/>
      <c r="GY522" s="150"/>
      <c r="GZ522" s="150"/>
      <c r="HA522" s="150"/>
      <c r="HB522" s="150"/>
      <c r="HC522" s="150"/>
      <c r="HD522" s="150"/>
      <c r="HE522" s="150"/>
      <c r="HF522" s="150"/>
      <c r="HG522" s="150"/>
      <c r="HH522" s="150"/>
      <c r="HI522" s="150"/>
      <c r="HJ522" s="150"/>
      <c r="HK522" s="150"/>
      <c r="HL522" s="150"/>
      <c r="HM522" s="150"/>
      <c r="HN522" s="150"/>
      <c r="HO522" s="150"/>
      <c r="HP522" s="150"/>
      <c r="HQ522" s="150"/>
      <c r="HR522" s="150"/>
      <c r="HS522" s="150"/>
      <c r="HT522" s="150"/>
      <c r="HU522" s="150"/>
      <c r="HV522" s="150"/>
      <c r="HW522" s="150"/>
      <c r="HX522" s="150"/>
      <c r="HY522" s="150"/>
      <c r="HZ522" s="150"/>
      <c r="IA522" s="151"/>
      <c r="IB522" s="151"/>
      <c r="IC522" s="150"/>
      <c r="ID522" s="150"/>
      <c r="IE522" s="151"/>
      <c r="JF522" s="5"/>
      <c r="JO522" s="4"/>
      <c r="KK522" s="12"/>
      <c r="KM522" s="12"/>
      <c r="KQ522" s="12"/>
      <c r="KX522" s="13"/>
      <c r="KY522" s="12"/>
      <c r="LB522" s="13"/>
      <c r="LE522" s="12"/>
      <c r="LL522" s="12"/>
      <c r="LR522" s="13"/>
      <c r="MW522" s="13"/>
      <c r="MY522" s="12"/>
      <c r="OD522" s="5"/>
    </row>
    <row r="523" spans="8:394" ht="18" customHeight="1" x14ac:dyDescent="0.2">
      <c r="H523" s="4"/>
      <c r="AX523" s="12"/>
      <c r="AY523" s="12"/>
      <c r="BO523" s="12"/>
      <c r="CD523" s="13"/>
      <c r="CE523" s="12"/>
      <c r="CT523" s="13"/>
      <c r="CU523" s="13"/>
      <c r="DW523" s="5"/>
      <c r="EQ523" s="4"/>
      <c r="GB523" s="149"/>
      <c r="GC523" s="150"/>
      <c r="GD523" s="150"/>
      <c r="GE523" s="149"/>
      <c r="GF523" s="149"/>
      <c r="GG523" s="150"/>
      <c r="GH523" s="150"/>
      <c r="GI523" s="150"/>
      <c r="GJ523" s="150"/>
      <c r="GK523" s="150"/>
      <c r="GL523" s="150"/>
      <c r="GM523" s="150"/>
      <c r="GN523" s="150"/>
      <c r="GO523" s="150"/>
      <c r="GP523" s="150"/>
      <c r="GQ523" s="150"/>
      <c r="GR523" s="150"/>
      <c r="GS523" s="150"/>
      <c r="GT523" s="150"/>
      <c r="GU523" s="150"/>
      <c r="GV523" s="150"/>
      <c r="GW523" s="150"/>
      <c r="GX523" s="150"/>
      <c r="GY523" s="150"/>
      <c r="GZ523" s="150"/>
      <c r="HA523" s="150"/>
      <c r="HB523" s="150"/>
      <c r="HC523" s="150"/>
      <c r="HD523" s="150"/>
      <c r="HE523" s="150"/>
      <c r="HF523" s="150"/>
      <c r="HG523" s="150"/>
      <c r="HH523" s="150"/>
      <c r="HI523" s="150"/>
      <c r="HJ523" s="150"/>
      <c r="HK523" s="150"/>
      <c r="HL523" s="150"/>
      <c r="HM523" s="150"/>
      <c r="HN523" s="150"/>
      <c r="HO523" s="150"/>
      <c r="HP523" s="150"/>
      <c r="HQ523" s="150"/>
      <c r="HR523" s="150"/>
      <c r="HS523" s="150"/>
      <c r="HT523" s="150"/>
      <c r="HU523" s="150"/>
      <c r="HV523" s="150"/>
      <c r="HW523" s="150"/>
      <c r="HX523" s="150"/>
      <c r="HY523" s="150"/>
      <c r="HZ523" s="150"/>
      <c r="IA523" s="151"/>
      <c r="IB523" s="151"/>
      <c r="IC523" s="150"/>
      <c r="ID523" s="150"/>
      <c r="IE523" s="151"/>
      <c r="JF523" s="5"/>
      <c r="JO523" s="4"/>
      <c r="KK523" s="12"/>
      <c r="KM523" s="12"/>
      <c r="KQ523" s="12"/>
      <c r="KX523" s="13"/>
      <c r="KY523" s="14"/>
      <c r="KZ523" s="15"/>
      <c r="LA523" s="15"/>
      <c r="LB523" s="16"/>
      <c r="LE523" s="12"/>
      <c r="LL523" s="12"/>
      <c r="LR523" s="13"/>
      <c r="MW523" s="13"/>
      <c r="MY523" s="12"/>
      <c r="OD523" s="5"/>
    </row>
    <row r="524" spans="8:394" ht="18" customHeight="1" x14ac:dyDescent="0.2">
      <c r="H524" s="4"/>
      <c r="AX524" s="12"/>
      <c r="AY524" s="12"/>
      <c r="BC524" s="9"/>
      <c r="BD524" s="10"/>
      <c r="BE524" s="10"/>
      <c r="BF524" s="10"/>
      <c r="BG524" s="10"/>
      <c r="BH524" s="10"/>
      <c r="BI524" s="10"/>
      <c r="BJ524" s="11"/>
      <c r="BO524" s="12"/>
      <c r="BS524" s="9"/>
      <c r="BT524" s="10"/>
      <c r="BU524" s="10"/>
      <c r="BV524" s="10"/>
      <c r="BW524" s="10"/>
      <c r="BX524" s="10"/>
      <c r="BY524" s="10"/>
      <c r="BZ524" s="11"/>
      <c r="CD524" s="13"/>
      <c r="CE524" s="12"/>
      <c r="CI524" s="9"/>
      <c r="CJ524" s="10"/>
      <c r="CK524" s="10"/>
      <c r="CL524" s="10"/>
      <c r="CM524" s="10"/>
      <c r="CN524" s="10"/>
      <c r="CO524" s="10"/>
      <c r="CP524" s="11"/>
      <c r="CT524" s="13"/>
      <c r="CU524" s="13"/>
      <c r="DW524" s="5"/>
      <c r="EQ524" s="4"/>
      <c r="GB524" s="149"/>
      <c r="GC524" s="150"/>
      <c r="GD524" s="150"/>
      <c r="GE524" s="149"/>
      <c r="GF524" s="149"/>
      <c r="GG524" s="150"/>
      <c r="GH524" s="150"/>
      <c r="GI524" s="150"/>
      <c r="GJ524" s="150"/>
      <c r="GK524" s="150"/>
      <c r="GL524" s="150"/>
      <c r="GM524" s="150"/>
      <c r="GN524" s="150"/>
      <c r="GO524" s="150"/>
      <c r="GP524" s="150"/>
      <c r="GQ524" s="150"/>
      <c r="GR524" s="150"/>
      <c r="GS524" s="150"/>
      <c r="GT524" s="150"/>
      <c r="GU524" s="150"/>
      <c r="GV524" s="150"/>
      <c r="GW524" s="150"/>
      <c r="GX524" s="150"/>
      <c r="GY524" s="150"/>
      <c r="GZ524" s="150"/>
      <c r="HA524" s="150"/>
      <c r="HB524" s="150"/>
      <c r="HC524" s="150"/>
      <c r="HD524" s="150"/>
      <c r="HE524" s="150"/>
      <c r="HF524" s="150"/>
      <c r="HG524" s="150"/>
      <c r="HH524" s="150"/>
      <c r="HI524" s="150"/>
      <c r="HJ524" s="150"/>
      <c r="HK524" s="150"/>
      <c r="HL524" s="150"/>
      <c r="HM524" s="150"/>
      <c r="HN524" s="150"/>
      <c r="HO524" s="150"/>
      <c r="HP524" s="150"/>
      <c r="HQ524" s="150"/>
      <c r="HR524" s="150"/>
      <c r="HS524" s="150"/>
      <c r="HT524" s="150"/>
      <c r="HU524" s="150"/>
      <c r="HV524" s="150"/>
      <c r="HW524" s="150"/>
      <c r="HX524" s="150"/>
      <c r="HY524" s="150"/>
      <c r="HZ524" s="150"/>
      <c r="IA524" s="151"/>
      <c r="IB524" s="151"/>
      <c r="IC524" s="150"/>
      <c r="ID524" s="150"/>
      <c r="IE524" s="151"/>
      <c r="JF524" s="5"/>
      <c r="JO524" s="4"/>
      <c r="KK524" s="12"/>
      <c r="KM524" s="9"/>
      <c r="KN524" s="10"/>
      <c r="KO524" s="10"/>
      <c r="KP524" s="11"/>
      <c r="KQ524" s="10"/>
      <c r="KR524" s="10"/>
      <c r="KS524" s="10"/>
      <c r="KT524" s="10"/>
      <c r="KU524" s="9"/>
      <c r="KV524" s="10"/>
      <c r="KW524" s="10"/>
      <c r="KX524" s="11"/>
      <c r="LB524" s="13"/>
      <c r="LE524" s="12"/>
      <c r="LL524" s="12"/>
      <c r="LR524" s="13"/>
      <c r="MW524" s="13"/>
      <c r="MY524" s="12"/>
      <c r="OD524" s="5"/>
    </row>
    <row r="525" spans="8:394" ht="18" customHeight="1" x14ac:dyDescent="0.2">
      <c r="H525" s="4"/>
      <c r="AX525" s="12"/>
      <c r="AY525" s="12"/>
      <c r="BC525" s="12"/>
      <c r="BJ525" s="13"/>
      <c r="BO525" s="12"/>
      <c r="BS525" s="12"/>
      <c r="BZ525" s="13"/>
      <c r="CD525" s="13"/>
      <c r="CE525" s="12"/>
      <c r="CI525" s="12"/>
      <c r="CP525" s="13"/>
      <c r="CT525" s="13"/>
      <c r="CU525" s="13"/>
      <c r="DW525" s="5"/>
      <c r="EQ525" s="4"/>
      <c r="GB525" s="149"/>
      <c r="GC525" s="150"/>
      <c r="GD525" s="150"/>
      <c r="GE525" s="146"/>
      <c r="GF525" s="149"/>
      <c r="GG525" s="150"/>
      <c r="GH525" s="150"/>
      <c r="GI525" s="150"/>
      <c r="GJ525" s="150"/>
      <c r="GK525" s="150"/>
      <c r="GL525" s="150"/>
      <c r="GM525" s="150"/>
      <c r="GN525" s="150"/>
      <c r="GO525" s="150"/>
      <c r="GP525" s="150"/>
      <c r="GQ525" s="150"/>
      <c r="GR525" s="150"/>
      <c r="GS525" s="150"/>
      <c r="GT525" s="150"/>
      <c r="GU525" s="150"/>
      <c r="GV525" s="150"/>
      <c r="GW525" s="150"/>
      <c r="GX525" s="150"/>
      <c r="GY525" s="150"/>
      <c r="GZ525" s="150"/>
      <c r="HA525" s="150"/>
      <c r="HB525" s="150"/>
      <c r="HC525" s="150"/>
      <c r="HD525" s="150"/>
      <c r="HE525" s="150"/>
      <c r="HF525" s="150"/>
      <c r="HG525" s="150"/>
      <c r="HH525" s="150"/>
      <c r="HI525" s="150"/>
      <c r="HJ525" s="150"/>
      <c r="HK525" s="150"/>
      <c r="HL525" s="150"/>
      <c r="HM525" s="150"/>
      <c r="HN525" s="150"/>
      <c r="HO525" s="150"/>
      <c r="HP525" s="150"/>
      <c r="HQ525" s="150"/>
      <c r="HR525" s="150"/>
      <c r="HS525" s="150"/>
      <c r="HT525" s="150"/>
      <c r="HU525" s="150"/>
      <c r="HV525" s="150"/>
      <c r="HW525" s="150"/>
      <c r="HX525" s="150"/>
      <c r="HY525" s="150"/>
      <c r="HZ525" s="150"/>
      <c r="IA525" s="151"/>
      <c r="IB525" s="151"/>
      <c r="IC525" s="150"/>
      <c r="ID525" s="150"/>
      <c r="IE525" s="151"/>
      <c r="JF525" s="5"/>
      <c r="JO525" s="4"/>
      <c r="KK525" s="12"/>
      <c r="KM525" s="12"/>
      <c r="KP525" s="13"/>
      <c r="KU525" s="12"/>
      <c r="KX525" s="13"/>
      <c r="LB525" s="13"/>
      <c r="LE525" s="12"/>
      <c r="LL525" s="12"/>
      <c r="LR525" s="13"/>
      <c r="MW525" s="13"/>
      <c r="MY525" s="12"/>
      <c r="OD525" s="5"/>
    </row>
    <row r="526" spans="8:394" ht="18" customHeight="1" x14ac:dyDescent="0.2">
      <c r="H526" s="4"/>
      <c r="AX526" s="12"/>
      <c r="AY526" s="12"/>
      <c r="BC526" s="12"/>
      <c r="BJ526" s="13"/>
      <c r="BO526" s="12"/>
      <c r="BS526" s="12"/>
      <c r="BZ526" s="13"/>
      <c r="CD526" s="13"/>
      <c r="CE526" s="12"/>
      <c r="CI526" s="12"/>
      <c r="CP526" s="13"/>
      <c r="CT526" s="13"/>
      <c r="CU526" s="13"/>
      <c r="DW526" s="5"/>
      <c r="EQ526" s="4"/>
      <c r="GB526" s="149"/>
      <c r="GC526" s="150"/>
      <c r="GD526" s="150"/>
      <c r="GE526" s="149"/>
      <c r="GF526" s="149"/>
      <c r="GG526" s="150"/>
      <c r="GH526" s="150"/>
      <c r="GI526" s="150"/>
      <c r="GJ526" s="150"/>
      <c r="GK526" s="150"/>
      <c r="GL526" s="150"/>
      <c r="GM526" s="150"/>
      <c r="GN526" s="150"/>
      <c r="GO526" s="150"/>
      <c r="GP526" s="150"/>
      <c r="GQ526" s="150"/>
      <c r="GR526" s="150"/>
      <c r="GS526" s="150"/>
      <c r="GT526" s="150"/>
      <c r="GU526" s="150"/>
      <c r="GV526" s="150"/>
      <c r="GW526" s="150"/>
      <c r="GX526" s="150"/>
      <c r="GY526" s="150"/>
      <c r="GZ526" s="150"/>
      <c r="HA526" s="150"/>
      <c r="HB526" s="150"/>
      <c r="HC526" s="150"/>
      <c r="HD526" s="150"/>
      <c r="HE526" s="150"/>
      <c r="HF526" s="150"/>
      <c r="HG526" s="150"/>
      <c r="HH526" s="150"/>
      <c r="HI526" s="150"/>
      <c r="HJ526" s="150"/>
      <c r="HK526" s="150"/>
      <c r="HL526" s="150"/>
      <c r="HM526" s="150"/>
      <c r="HN526" s="150"/>
      <c r="HO526" s="150"/>
      <c r="HP526" s="150"/>
      <c r="HQ526" s="150"/>
      <c r="HR526" s="150"/>
      <c r="HS526" s="150"/>
      <c r="HT526" s="150"/>
      <c r="HU526" s="150"/>
      <c r="HV526" s="150"/>
      <c r="HW526" s="150"/>
      <c r="HX526" s="150"/>
      <c r="HY526" s="150"/>
      <c r="HZ526" s="150"/>
      <c r="IA526" s="151"/>
      <c r="IB526" s="151"/>
      <c r="IC526" s="150"/>
      <c r="ID526" s="150"/>
      <c r="IE526" s="151"/>
      <c r="JF526" s="5"/>
      <c r="JO526" s="4"/>
      <c r="KK526" s="12"/>
      <c r="KM526" s="12"/>
      <c r="KP526" s="13"/>
      <c r="KU526" s="12"/>
      <c r="KX526" s="13"/>
      <c r="LB526" s="13"/>
      <c r="LE526" s="12"/>
      <c r="LL526" s="14"/>
      <c r="LM526" s="15"/>
      <c r="LN526" s="15"/>
      <c r="LO526" s="15"/>
      <c r="LP526" s="15"/>
      <c r="LQ526" s="15"/>
      <c r="LR526" s="16"/>
      <c r="MW526" s="13"/>
      <c r="MY526" s="12"/>
      <c r="OD526" s="5"/>
    </row>
    <row r="527" spans="8:394" ht="18" customHeight="1" x14ac:dyDescent="0.2">
      <c r="H527" s="4"/>
      <c r="AX527" s="12"/>
      <c r="AY527" s="12"/>
      <c r="BC527" s="12"/>
      <c r="BJ527" s="13"/>
      <c r="BO527" s="12"/>
      <c r="BS527" s="12"/>
      <c r="BZ527" s="13"/>
      <c r="CD527" s="13"/>
      <c r="CE527" s="12"/>
      <c r="CI527" s="12"/>
      <c r="CP527" s="13"/>
      <c r="CT527" s="13"/>
      <c r="CU527" s="13"/>
      <c r="DW527" s="5"/>
      <c r="EQ527" s="4"/>
      <c r="GB527" s="149"/>
      <c r="GC527" s="150"/>
      <c r="GD527" s="150"/>
      <c r="GE527" s="149"/>
      <c r="GF527" s="149"/>
      <c r="GG527" s="150"/>
      <c r="GH527" s="150"/>
      <c r="GI527" s="150"/>
      <c r="GJ527" s="150"/>
      <c r="GK527" s="150"/>
      <c r="GL527" s="150"/>
      <c r="GM527" s="150"/>
      <c r="GN527" s="150"/>
      <c r="GO527" s="150"/>
      <c r="GP527" s="150"/>
      <c r="GQ527" s="150"/>
      <c r="GR527" s="150"/>
      <c r="GS527" s="150"/>
      <c r="GT527" s="150"/>
      <c r="GU527" s="150"/>
      <c r="GV527" s="150"/>
      <c r="GW527" s="150"/>
      <c r="GX527" s="150"/>
      <c r="GY527" s="150"/>
      <c r="GZ527" s="150"/>
      <c r="HA527" s="150"/>
      <c r="HB527" s="150"/>
      <c r="HC527" s="150"/>
      <c r="HD527" s="150"/>
      <c r="HE527" s="150"/>
      <c r="HF527" s="150"/>
      <c r="HG527" s="150"/>
      <c r="HH527" s="150"/>
      <c r="HI527" s="150"/>
      <c r="HJ527" s="150"/>
      <c r="HK527" s="150"/>
      <c r="HL527" s="150"/>
      <c r="HM527" s="150"/>
      <c r="HN527" s="150"/>
      <c r="HO527" s="150"/>
      <c r="HP527" s="150"/>
      <c r="HQ527" s="150"/>
      <c r="HR527" s="150"/>
      <c r="HS527" s="150"/>
      <c r="HT527" s="150"/>
      <c r="HU527" s="150"/>
      <c r="HV527" s="150"/>
      <c r="HW527" s="150"/>
      <c r="HX527" s="150"/>
      <c r="HY527" s="150"/>
      <c r="HZ527" s="150"/>
      <c r="IA527" s="151"/>
      <c r="IB527" s="151"/>
      <c r="IC527" s="150"/>
      <c r="ID527" s="150"/>
      <c r="IE527" s="151"/>
      <c r="JF527" s="5"/>
      <c r="JO527" s="4"/>
      <c r="KK527" s="12"/>
      <c r="KM527" s="14"/>
      <c r="KN527" s="15"/>
      <c r="KO527" s="15"/>
      <c r="KP527" s="16"/>
      <c r="KQ527" s="15"/>
      <c r="KR527" s="15"/>
      <c r="KS527" s="15"/>
      <c r="KT527" s="15"/>
      <c r="KU527" s="14"/>
      <c r="KV527" s="15"/>
      <c r="KW527" s="15"/>
      <c r="KX527" s="16"/>
      <c r="KY527" s="15"/>
      <c r="KZ527" s="15"/>
      <c r="LA527" s="15"/>
      <c r="LB527" s="16"/>
      <c r="LE527" s="12"/>
      <c r="MW527" s="13"/>
      <c r="MY527" s="12"/>
      <c r="OD527" s="5"/>
    </row>
    <row r="528" spans="8:394" ht="18" customHeight="1" x14ac:dyDescent="0.2">
      <c r="H528" s="4"/>
      <c r="AX528" s="12"/>
      <c r="AY528" s="12"/>
      <c r="BC528" s="12"/>
      <c r="BJ528" s="13"/>
      <c r="BO528" s="12"/>
      <c r="BS528" s="12"/>
      <c r="BZ528" s="13"/>
      <c r="CD528" s="13"/>
      <c r="CE528" s="12"/>
      <c r="CI528" s="12"/>
      <c r="CP528" s="13"/>
      <c r="CT528" s="13"/>
      <c r="CU528" s="13"/>
      <c r="DW528" s="5"/>
      <c r="EQ528" s="4"/>
      <c r="GB528" s="149"/>
      <c r="GC528" s="150"/>
      <c r="GD528" s="150"/>
      <c r="GE528" s="149"/>
      <c r="GF528" s="149"/>
      <c r="GG528" s="150"/>
      <c r="GH528" s="150"/>
      <c r="GI528" s="150"/>
      <c r="GJ528" s="150"/>
      <c r="GK528" s="150"/>
      <c r="GL528" s="150"/>
      <c r="GM528" s="150"/>
      <c r="GN528" s="150"/>
      <c r="GO528" s="150"/>
      <c r="GP528" s="150"/>
      <c r="GQ528" s="150"/>
      <c r="GR528" s="150"/>
      <c r="GS528" s="150"/>
      <c r="GT528" s="150"/>
      <c r="GU528" s="150"/>
      <c r="GV528" s="150"/>
      <c r="GW528" s="150"/>
      <c r="GX528" s="150"/>
      <c r="GY528" s="150"/>
      <c r="GZ528" s="150"/>
      <c r="HA528" s="150"/>
      <c r="HB528" s="150"/>
      <c r="HC528" s="150"/>
      <c r="HD528" s="150"/>
      <c r="HE528" s="150"/>
      <c r="HF528" s="150"/>
      <c r="HG528" s="150"/>
      <c r="HH528" s="150"/>
      <c r="HI528" s="150"/>
      <c r="HJ528" s="150"/>
      <c r="HK528" s="150"/>
      <c r="HL528" s="150"/>
      <c r="HM528" s="150"/>
      <c r="HN528" s="150"/>
      <c r="HO528" s="150"/>
      <c r="HP528" s="150"/>
      <c r="HQ528" s="150"/>
      <c r="HR528" s="150"/>
      <c r="HS528" s="150"/>
      <c r="HT528" s="150"/>
      <c r="HU528" s="150"/>
      <c r="HV528" s="150"/>
      <c r="HW528" s="150"/>
      <c r="HX528" s="150"/>
      <c r="HY528" s="150"/>
      <c r="HZ528" s="150"/>
      <c r="IA528" s="151"/>
      <c r="IB528" s="151"/>
      <c r="IC528" s="150"/>
      <c r="ID528" s="150"/>
      <c r="IE528" s="151"/>
      <c r="JF528" s="5"/>
      <c r="JO528" s="4"/>
      <c r="KK528" s="12"/>
      <c r="LE528" s="12"/>
      <c r="MW528" s="13"/>
      <c r="MY528" s="12"/>
      <c r="OD528" s="5"/>
    </row>
    <row r="529" spans="8:394" ht="18" customHeight="1" x14ac:dyDescent="0.2">
      <c r="H529" s="4"/>
      <c r="AX529" s="12"/>
      <c r="AY529" s="12"/>
      <c r="BC529" s="12"/>
      <c r="BJ529" s="13"/>
      <c r="BO529" s="12"/>
      <c r="BS529" s="12"/>
      <c r="BZ529" s="13"/>
      <c r="CD529" s="13"/>
      <c r="CE529" s="12"/>
      <c r="CI529" s="12"/>
      <c r="CP529" s="13"/>
      <c r="CT529" s="13"/>
      <c r="CU529" s="13"/>
      <c r="DW529" s="5"/>
      <c r="EQ529" s="4"/>
      <c r="GB529" s="149"/>
      <c r="GC529" s="150"/>
      <c r="GD529" s="150"/>
      <c r="GE529" s="149"/>
      <c r="GF529" s="149"/>
      <c r="GG529" s="150"/>
      <c r="GH529" s="150"/>
      <c r="GI529" s="150"/>
      <c r="GJ529" s="150"/>
      <c r="GK529" s="150"/>
      <c r="GL529" s="150"/>
      <c r="GM529" s="150"/>
      <c r="GN529" s="150"/>
      <c r="GO529" s="150"/>
      <c r="GP529" s="150"/>
      <c r="GQ529" s="150"/>
      <c r="GR529" s="150"/>
      <c r="GS529" s="150"/>
      <c r="GT529" s="150"/>
      <c r="GU529" s="150"/>
      <c r="GV529" s="150"/>
      <c r="GW529" s="150"/>
      <c r="GX529" s="150"/>
      <c r="GY529" s="150"/>
      <c r="GZ529" s="150"/>
      <c r="HA529" s="150"/>
      <c r="HB529" s="150"/>
      <c r="HC529" s="150"/>
      <c r="HD529" s="150"/>
      <c r="HE529" s="150"/>
      <c r="HF529" s="150"/>
      <c r="HG529" s="150"/>
      <c r="HH529" s="150"/>
      <c r="HI529" s="150"/>
      <c r="HJ529" s="150"/>
      <c r="HK529" s="150"/>
      <c r="HL529" s="150"/>
      <c r="HM529" s="150"/>
      <c r="HN529" s="150"/>
      <c r="HO529" s="150"/>
      <c r="HP529" s="150"/>
      <c r="HQ529" s="150"/>
      <c r="HR529" s="150"/>
      <c r="HS529" s="150"/>
      <c r="HT529" s="150"/>
      <c r="HU529" s="150"/>
      <c r="HV529" s="150"/>
      <c r="HW529" s="150"/>
      <c r="HX529" s="150"/>
      <c r="HY529" s="150"/>
      <c r="HZ529" s="150"/>
      <c r="IA529" s="151"/>
      <c r="IB529" s="151"/>
      <c r="IC529" s="150"/>
      <c r="ID529" s="150"/>
      <c r="IE529" s="151"/>
      <c r="JF529" s="5"/>
      <c r="JO529" s="4"/>
      <c r="KK529" s="14"/>
      <c r="KL529" s="15"/>
      <c r="KM529" s="15"/>
      <c r="KN529" s="15"/>
      <c r="KO529" s="15"/>
      <c r="KP529" s="15"/>
      <c r="KQ529" s="15"/>
      <c r="KR529" s="15"/>
      <c r="KS529" s="15"/>
      <c r="KT529" s="15"/>
      <c r="KU529" s="15"/>
      <c r="KV529" s="15"/>
      <c r="KW529" s="15"/>
      <c r="KX529" s="15"/>
      <c r="KY529" s="15"/>
      <c r="KZ529" s="15"/>
      <c r="LA529" s="15"/>
      <c r="LB529" s="15"/>
      <c r="LC529" s="15"/>
      <c r="LD529" s="15"/>
      <c r="LE529" s="12"/>
      <c r="MW529" s="13"/>
      <c r="MY529" s="12"/>
      <c r="OD529" s="5"/>
    </row>
    <row r="530" spans="8:394" ht="18" customHeight="1" x14ac:dyDescent="0.2">
      <c r="H530" s="4"/>
      <c r="AX530" s="12"/>
      <c r="AY530" s="12"/>
      <c r="BC530" s="12"/>
      <c r="BJ530" s="13"/>
      <c r="BO530" s="12"/>
      <c r="BS530" s="12"/>
      <c r="BZ530" s="13"/>
      <c r="CD530" s="13"/>
      <c r="CE530" s="12"/>
      <c r="CI530" s="12"/>
      <c r="CP530" s="13"/>
      <c r="CT530" s="13"/>
      <c r="CU530" s="13"/>
      <c r="DW530" s="5"/>
      <c r="EQ530" s="4"/>
      <c r="GB530" s="149"/>
      <c r="GC530" s="150"/>
      <c r="GD530" s="150"/>
      <c r="GE530" s="149"/>
      <c r="GF530" s="149"/>
      <c r="GG530" s="150"/>
      <c r="GH530" s="150"/>
      <c r="GI530" s="150"/>
      <c r="GJ530" s="150"/>
      <c r="GK530" s="150"/>
      <c r="GL530" s="150"/>
      <c r="GM530" s="150"/>
      <c r="GN530" s="150"/>
      <c r="GO530" s="150"/>
      <c r="GP530" s="150"/>
      <c r="GQ530" s="150"/>
      <c r="GR530" s="150"/>
      <c r="GS530" s="150"/>
      <c r="GT530" s="150"/>
      <c r="GU530" s="150"/>
      <c r="GV530" s="150"/>
      <c r="GW530" s="150"/>
      <c r="GX530" s="150"/>
      <c r="GY530" s="150"/>
      <c r="GZ530" s="150"/>
      <c r="HA530" s="150"/>
      <c r="HB530" s="150"/>
      <c r="HC530" s="150"/>
      <c r="HD530" s="150"/>
      <c r="HE530" s="150"/>
      <c r="HF530" s="150"/>
      <c r="HG530" s="150"/>
      <c r="HH530" s="150"/>
      <c r="HI530" s="150"/>
      <c r="HJ530" s="150"/>
      <c r="HK530" s="150"/>
      <c r="HL530" s="150"/>
      <c r="HM530" s="150"/>
      <c r="HN530" s="150"/>
      <c r="HO530" s="150"/>
      <c r="HP530" s="150"/>
      <c r="HQ530" s="150"/>
      <c r="HR530" s="150"/>
      <c r="HS530" s="150"/>
      <c r="HT530" s="150"/>
      <c r="HU530" s="150"/>
      <c r="HV530" s="150"/>
      <c r="HW530" s="150"/>
      <c r="HX530" s="150"/>
      <c r="HY530" s="150"/>
      <c r="HZ530" s="150"/>
      <c r="IA530" s="151"/>
      <c r="IB530" s="151"/>
      <c r="IC530" s="150"/>
      <c r="ID530" s="150"/>
      <c r="IE530" s="151"/>
      <c r="JF530" s="5"/>
      <c r="JO530" s="4"/>
      <c r="LC530" s="11"/>
      <c r="LE530" s="12"/>
      <c r="MW530" s="13"/>
      <c r="MY530" s="12"/>
      <c r="OD530" s="5"/>
    </row>
    <row r="531" spans="8:394" ht="18" customHeight="1" x14ac:dyDescent="0.2">
      <c r="H531" s="4"/>
      <c r="AX531" s="12"/>
      <c r="AY531" s="12"/>
      <c r="BC531" s="14"/>
      <c r="BD531" s="15"/>
      <c r="BE531" s="15"/>
      <c r="BF531" s="15"/>
      <c r="BG531" s="15"/>
      <c r="BH531" s="15"/>
      <c r="BI531" s="15"/>
      <c r="BJ531" s="16"/>
      <c r="BO531" s="12"/>
      <c r="BS531" s="14"/>
      <c r="BT531" s="15"/>
      <c r="BU531" s="15"/>
      <c r="BV531" s="15"/>
      <c r="BW531" s="15"/>
      <c r="BX531" s="15"/>
      <c r="BY531" s="15"/>
      <c r="BZ531" s="16"/>
      <c r="CD531" s="13"/>
      <c r="CE531" s="12"/>
      <c r="CI531" s="14"/>
      <c r="CJ531" s="15"/>
      <c r="CK531" s="15"/>
      <c r="CL531" s="15"/>
      <c r="CM531" s="15"/>
      <c r="CN531" s="15"/>
      <c r="CO531" s="15"/>
      <c r="CP531" s="16"/>
      <c r="CT531" s="13"/>
      <c r="CU531" s="13"/>
      <c r="DW531" s="5"/>
      <c r="EQ531" s="4"/>
      <c r="GB531" s="149"/>
      <c r="GC531" s="150"/>
      <c r="GD531" s="150"/>
      <c r="GE531" s="149"/>
      <c r="GF531" s="149"/>
      <c r="GG531" s="150"/>
      <c r="GH531" s="150"/>
      <c r="GI531" s="150"/>
      <c r="GJ531" s="150"/>
      <c r="GK531" s="150"/>
      <c r="GL531" s="150"/>
      <c r="GM531" s="150"/>
      <c r="GN531" s="150"/>
      <c r="GO531" s="150"/>
      <c r="GP531" s="150"/>
      <c r="GQ531" s="150"/>
      <c r="GR531" s="150"/>
      <c r="GS531" s="150"/>
      <c r="GT531" s="150"/>
      <c r="GU531" s="150"/>
      <c r="GV531" s="150"/>
      <c r="GW531" s="150"/>
      <c r="GX531" s="150"/>
      <c r="GY531" s="150"/>
      <c r="GZ531" s="150"/>
      <c r="HA531" s="150"/>
      <c r="HB531" s="150"/>
      <c r="HC531" s="150"/>
      <c r="HD531" s="150"/>
      <c r="HE531" s="150"/>
      <c r="HF531" s="150"/>
      <c r="HG531" s="150"/>
      <c r="HH531" s="150"/>
      <c r="HI531" s="150"/>
      <c r="HJ531" s="150"/>
      <c r="HK531" s="150"/>
      <c r="HL531" s="150"/>
      <c r="HM531" s="150"/>
      <c r="HN531" s="150"/>
      <c r="HO531" s="150"/>
      <c r="HP531" s="150"/>
      <c r="HQ531" s="150"/>
      <c r="HR531" s="150"/>
      <c r="HS531" s="150"/>
      <c r="HT531" s="150"/>
      <c r="HU531" s="150"/>
      <c r="HV531" s="150"/>
      <c r="HW531" s="150"/>
      <c r="HX531" s="150"/>
      <c r="HY531" s="150"/>
      <c r="HZ531" s="150"/>
      <c r="IA531" s="151"/>
      <c r="IB531" s="151"/>
      <c r="IC531" s="150"/>
      <c r="ID531" s="150"/>
      <c r="IE531" s="151"/>
      <c r="JF531" s="5"/>
      <c r="JO531" s="4"/>
      <c r="LC531" s="13"/>
      <c r="LE531" s="12"/>
      <c r="MW531" s="13"/>
      <c r="MY531" s="12"/>
      <c r="OD531" s="5"/>
    </row>
    <row r="532" spans="8:394" ht="18" customHeight="1" x14ac:dyDescent="0.2">
      <c r="H532" s="4"/>
      <c r="AX532" s="12"/>
      <c r="AY532" s="12"/>
      <c r="BO532" s="12"/>
      <c r="CD532" s="13"/>
      <c r="CE532" s="12"/>
      <c r="CT532" s="13"/>
      <c r="CU532" s="13"/>
      <c r="DW532" s="5"/>
      <c r="EQ532" s="4"/>
      <c r="GB532" s="149"/>
      <c r="GC532" s="150"/>
      <c r="GD532" s="150"/>
      <c r="GE532" s="149"/>
      <c r="GF532" s="149"/>
      <c r="GG532" s="150"/>
      <c r="GH532" s="150"/>
      <c r="GI532" s="150"/>
      <c r="GJ532" s="150"/>
      <c r="GK532" s="150"/>
      <c r="GL532" s="150"/>
      <c r="GM532" s="150"/>
      <c r="GN532" s="150"/>
      <c r="GO532" s="150"/>
      <c r="GP532" s="150"/>
      <c r="GQ532" s="150"/>
      <c r="GR532" s="150"/>
      <c r="GS532" s="150"/>
      <c r="GT532" s="150"/>
      <c r="GU532" s="150"/>
      <c r="GV532" s="150"/>
      <c r="GW532" s="150"/>
      <c r="GX532" s="150"/>
      <c r="GY532" s="150"/>
      <c r="GZ532" s="150"/>
      <c r="HA532" s="150"/>
      <c r="HB532" s="150"/>
      <c r="HC532" s="150"/>
      <c r="HD532" s="150"/>
      <c r="HE532" s="150"/>
      <c r="HF532" s="150"/>
      <c r="HG532" s="150"/>
      <c r="HH532" s="150"/>
      <c r="HI532" s="150"/>
      <c r="HJ532" s="150"/>
      <c r="HK532" s="150"/>
      <c r="HL532" s="150"/>
      <c r="HM532" s="150"/>
      <c r="HN532" s="150"/>
      <c r="HO532" s="150"/>
      <c r="HP532" s="150"/>
      <c r="HQ532" s="150"/>
      <c r="HR532" s="150"/>
      <c r="HS532" s="150"/>
      <c r="HT532" s="150"/>
      <c r="HU532" s="150"/>
      <c r="HV532" s="150"/>
      <c r="HW532" s="150"/>
      <c r="HX532" s="150"/>
      <c r="HY532" s="150"/>
      <c r="HZ532" s="150"/>
      <c r="IA532" s="151"/>
      <c r="IB532" s="151"/>
      <c r="IC532" s="150"/>
      <c r="ID532" s="150"/>
      <c r="IE532" s="151"/>
      <c r="JF532" s="5"/>
      <c r="JO532" s="4"/>
      <c r="LC532" s="13"/>
      <c r="LE532" s="14"/>
      <c r="LF532" s="15"/>
      <c r="LG532" s="15"/>
      <c r="LH532" s="15"/>
      <c r="LI532" s="15"/>
      <c r="LJ532" s="15"/>
      <c r="LK532" s="15"/>
      <c r="LL532" s="15"/>
      <c r="LM532" s="15"/>
      <c r="LN532" s="15"/>
      <c r="LO532" s="15"/>
      <c r="LP532" s="15"/>
      <c r="LQ532" s="15"/>
      <c r="LR532" s="15"/>
      <c r="LS532" s="15"/>
      <c r="LT532" s="15"/>
      <c r="LU532" s="15"/>
      <c r="LV532" s="15"/>
      <c r="LW532" s="15"/>
      <c r="LX532" s="15"/>
      <c r="LY532" s="15"/>
      <c r="LZ532" s="15"/>
      <c r="MA532" s="15"/>
      <c r="MB532" s="15"/>
      <c r="MC532" s="15"/>
      <c r="MD532" s="15"/>
      <c r="ME532" s="15"/>
      <c r="MF532" s="15"/>
      <c r="MG532" s="15"/>
      <c r="MH532" s="15"/>
      <c r="MI532" s="15"/>
      <c r="MJ532" s="15"/>
      <c r="MK532" s="15"/>
      <c r="ML532" s="15"/>
      <c r="MM532" s="15"/>
      <c r="MN532" s="15"/>
      <c r="MO532" s="15"/>
      <c r="MP532" s="15"/>
      <c r="MQ532" s="15"/>
      <c r="MR532" s="15"/>
      <c r="MS532" s="15"/>
      <c r="MT532" s="15"/>
      <c r="MU532" s="15"/>
      <c r="MV532" s="15"/>
      <c r="MW532" s="16"/>
      <c r="MY532" s="12"/>
      <c r="OD532" s="5"/>
    </row>
    <row r="533" spans="8:394" ht="18" customHeight="1" x14ac:dyDescent="0.2">
      <c r="H533" s="4"/>
      <c r="AX533" s="12"/>
      <c r="AY533" s="12"/>
      <c r="BO533" s="12"/>
      <c r="CD533" s="13"/>
      <c r="CE533" s="12"/>
      <c r="CT533" s="13"/>
      <c r="CU533" s="13"/>
      <c r="DW533" s="5"/>
      <c r="EQ533" s="4"/>
      <c r="GB533" s="149"/>
      <c r="GC533" s="150"/>
      <c r="GD533" s="150"/>
      <c r="GE533" s="149"/>
      <c r="GF533" s="149"/>
      <c r="GG533" s="150"/>
      <c r="GH533" s="150"/>
      <c r="GI533" s="150"/>
      <c r="GJ533" s="150"/>
      <c r="GK533" s="150"/>
      <c r="GL533" s="150"/>
      <c r="GM533" s="150"/>
      <c r="GN533" s="150"/>
      <c r="GO533" s="150"/>
      <c r="GP533" s="150"/>
      <c r="GQ533" s="150"/>
      <c r="GR533" s="150"/>
      <c r="GS533" s="150"/>
      <c r="GT533" s="150"/>
      <c r="GU533" s="150"/>
      <c r="GV533" s="150"/>
      <c r="GW533" s="150"/>
      <c r="GX533" s="150"/>
      <c r="GY533" s="150"/>
      <c r="GZ533" s="150"/>
      <c r="HA533" s="150"/>
      <c r="HB533" s="150"/>
      <c r="HC533" s="150"/>
      <c r="HD533" s="150"/>
      <c r="HE533" s="150"/>
      <c r="HF533" s="150"/>
      <c r="HG533" s="150"/>
      <c r="HH533" s="150"/>
      <c r="HI533" s="150"/>
      <c r="HJ533" s="150"/>
      <c r="HK533" s="150"/>
      <c r="HL533" s="150"/>
      <c r="HM533" s="150"/>
      <c r="HN533" s="150"/>
      <c r="HO533" s="150"/>
      <c r="HP533" s="150"/>
      <c r="HQ533" s="150"/>
      <c r="HR533" s="150"/>
      <c r="HS533" s="150"/>
      <c r="HT533" s="150"/>
      <c r="HU533" s="150"/>
      <c r="HV533" s="150"/>
      <c r="HW533" s="150"/>
      <c r="HX533" s="150"/>
      <c r="HY533" s="150"/>
      <c r="HZ533" s="150"/>
      <c r="IA533" s="151"/>
      <c r="IB533" s="151"/>
      <c r="IC533" s="150"/>
      <c r="ID533" s="150"/>
      <c r="IE533" s="151"/>
      <c r="JF533" s="5"/>
      <c r="JO533" s="4"/>
      <c r="LC533" s="13"/>
      <c r="MY533" s="12"/>
      <c r="OD533" s="5"/>
    </row>
    <row r="534" spans="8:394" ht="18" customHeight="1" x14ac:dyDescent="0.2">
      <c r="H534" s="4"/>
      <c r="AX534" s="12"/>
      <c r="AY534" s="12"/>
      <c r="BO534" s="12"/>
      <c r="CD534" s="13"/>
      <c r="CE534" s="12"/>
      <c r="CT534" s="13"/>
      <c r="CU534" s="13"/>
      <c r="DW534" s="5"/>
      <c r="EQ534" s="4"/>
      <c r="GB534" s="149"/>
      <c r="GC534" s="150"/>
      <c r="GD534" s="150"/>
      <c r="GE534" s="149"/>
      <c r="GF534" s="149"/>
      <c r="GG534" s="150"/>
      <c r="GH534" s="150"/>
      <c r="GI534" s="150"/>
      <c r="GJ534" s="150"/>
      <c r="GK534" s="150"/>
      <c r="GL534" s="150"/>
      <c r="GM534" s="150"/>
      <c r="GN534" s="150"/>
      <c r="GO534" s="150"/>
      <c r="GP534" s="150"/>
      <c r="GQ534" s="150"/>
      <c r="GR534" s="150"/>
      <c r="GS534" s="150"/>
      <c r="GT534" s="150"/>
      <c r="GU534" s="150"/>
      <c r="GV534" s="150"/>
      <c r="GW534" s="150"/>
      <c r="GX534" s="150"/>
      <c r="GY534" s="150"/>
      <c r="GZ534" s="150"/>
      <c r="HA534" s="150"/>
      <c r="HB534" s="150"/>
      <c r="HC534" s="150"/>
      <c r="HD534" s="150"/>
      <c r="HE534" s="150"/>
      <c r="HF534" s="150"/>
      <c r="HG534" s="150"/>
      <c r="HH534" s="150"/>
      <c r="HI534" s="150"/>
      <c r="HJ534" s="150"/>
      <c r="HK534" s="150"/>
      <c r="HL534" s="150"/>
      <c r="HM534" s="150"/>
      <c r="HN534" s="150"/>
      <c r="HO534" s="150"/>
      <c r="HP534" s="150"/>
      <c r="HQ534" s="150"/>
      <c r="HR534" s="150"/>
      <c r="HS534" s="150"/>
      <c r="HT534" s="150"/>
      <c r="HU534" s="150"/>
      <c r="HV534" s="150"/>
      <c r="HW534" s="150"/>
      <c r="HX534" s="150"/>
      <c r="HY534" s="150"/>
      <c r="HZ534" s="150"/>
      <c r="IA534" s="151"/>
      <c r="IB534" s="151"/>
      <c r="IC534" s="150"/>
      <c r="ID534" s="150"/>
      <c r="IE534" s="151"/>
      <c r="JF534" s="5"/>
      <c r="JO534" s="4"/>
      <c r="LD534" s="10"/>
      <c r="LE534" s="10"/>
      <c r="LF534" s="10"/>
      <c r="LG534" s="10"/>
      <c r="LH534" s="10"/>
      <c r="LI534" s="10"/>
      <c r="LJ534" s="10"/>
      <c r="LK534" s="10"/>
      <c r="LL534" s="10"/>
      <c r="LM534" s="10"/>
      <c r="LN534" s="10"/>
      <c r="LO534" s="10"/>
      <c r="LP534" s="10"/>
      <c r="LQ534" s="10"/>
      <c r="LR534" s="10"/>
      <c r="LS534" s="10"/>
      <c r="LT534" s="10"/>
      <c r="LU534" s="10"/>
      <c r="LV534" s="10"/>
      <c r="LW534" s="10"/>
      <c r="LX534" s="10"/>
      <c r="LY534" s="10"/>
      <c r="LZ534" s="10"/>
      <c r="MA534" s="10"/>
      <c r="MB534" s="10"/>
      <c r="MC534" s="10"/>
      <c r="MD534" s="10"/>
      <c r="ME534" s="10"/>
      <c r="MF534" s="10"/>
      <c r="MG534" s="10"/>
      <c r="MH534" s="10"/>
      <c r="MI534" s="10"/>
      <c r="MJ534" s="10"/>
      <c r="MK534" s="10"/>
      <c r="ML534" s="10"/>
      <c r="MM534" s="10"/>
      <c r="MN534" s="10"/>
      <c r="MO534" s="10"/>
      <c r="MP534" s="10"/>
      <c r="MQ534" s="10"/>
      <c r="MR534" s="10"/>
      <c r="MS534" s="10"/>
      <c r="MT534" s="10"/>
      <c r="MU534" s="10"/>
      <c r="MV534" s="10"/>
      <c r="MW534" s="10"/>
      <c r="MX534" s="10"/>
      <c r="OD534" s="5"/>
    </row>
    <row r="535" spans="8:394" ht="18" customHeight="1" x14ac:dyDescent="0.2">
      <c r="H535" s="4"/>
      <c r="AX535" s="12"/>
      <c r="AY535" s="14"/>
      <c r="AZ535" s="15"/>
      <c r="BA535" s="15"/>
      <c r="BB535" s="15"/>
      <c r="BC535" s="15"/>
      <c r="BD535" s="15"/>
      <c r="BE535" s="15"/>
      <c r="BF535" s="15"/>
      <c r="BG535" s="15"/>
      <c r="BH535" s="15"/>
      <c r="BI535" s="15"/>
      <c r="BJ535" s="15"/>
      <c r="BK535" s="15"/>
      <c r="BL535" s="15"/>
      <c r="BM535" s="15"/>
      <c r="BN535" s="15"/>
      <c r="BO535" s="14"/>
      <c r="BP535" s="15"/>
      <c r="BQ535" s="15"/>
      <c r="BR535" s="15"/>
      <c r="BS535" s="15"/>
      <c r="BT535" s="15"/>
      <c r="BU535" s="15"/>
      <c r="BV535" s="15"/>
      <c r="BW535" s="15"/>
      <c r="BX535" s="15"/>
      <c r="BY535" s="15"/>
      <c r="BZ535" s="15"/>
      <c r="CA535" s="15"/>
      <c r="CB535" s="15"/>
      <c r="CC535" s="15"/>
      <c r="CD535" s="16"/>
      <c r="CE535" s="14"/>
      <c r="CF535" s="15"/>
      <c r="CG535" s="15"/>
      <c r="CH535" s="15"/>
      <c r="CI535" s="15"/>
      <c r="CJ535" s="15"/>
      <c r="CK535" s="15"/>
      <c r="CL535" s="15"/>
      <c r="CM535" s="15"/>
      <c r="CN535" s="15"/>
      <c r="CO535" s="15"/>
      <c r="CP535" s="15"/>
      <c r="CQ535" s="15"/>
      <c r="CR535" s="15"/>
      <c r="CS535" s="15"/>
      <c r="CT535" s="16"/>
      <c r="CU535" s="13"/>
      <c r="DW535" s="5"/>
      <c r="EQ535" s="4"/>
      <c r="GB535" s="149"/>
      <c r="GC535" s="150"/>
      <c r="GD535" s="150"/>
      <c r="GE535" s="149"/>
      <c r="GF535" s="149"/>
      <c r="GG535" s="150"/>
      <c r="GH535" s="150"/>
      <c r="GI535" s="150"/>
      <c r="GJ535" s="150"/>
      <c r="GK535" s="150"/>
      <c r="GL535" s="150"/>
      <c r="GM535" s="150"/>
      <c r="GN535" s="150"/>
      <c r="GO535" s="150"/>
      <c r="GP535" s="150"/>
      <c r="GQ535" s="150"/>
      <c r="GR535" s="150"/>
      <c r="GS535" s="150"/>
      <c r="GT535" s="150"/>
      <c r="GU535" s="150"/>
      <c r="GV535" s="150"/>
      <c r="GW535" s="150"/>
      <c r="GX535" s="150"/>
      <c r="GY535" s="150"/>
      <c r="GZ535" s="150"/>
      <c r="HA535" s="150"/>
      <c r="HB535" s="150"/>
      <c r="HC535" s="150"/>
      <c r="HD535" s="150"/>
      <c r="HE535" s="150"/>
      <c r="HF535" s="150"/>
      <c r="HG535" s="150"/>
      <c r="HH535" s="150"/>
      <c r="HI535" s="150"/>
      <c r="HJ535" s="150"/>
      <c r="HK535" s="150"/>
      <c r="HL535" s="150"/>
      <c r="HM535" s="150"/>
      <c r="HN535" s="150"/>
      <c r="HO535" s="150"/>
      <c r="HP535" s="150"/>
      <c r="HQ535" s="150"/>
      <c r="HR535" s="150"/>
      <c r="HS535" s="150"/>
      <c r="HT535" s="150"/>
      <c r="HU535" s="150"/>
      <c r="HV535" s="150"/>
      <c r="HW535" s="150"/>
      <c r="HX535" s="150"/>
      <c r="HY535" s="150"/>
      <c r="HZ535" s="150"/>
      <c r="IA535" s="151"/>
      <c r="IB535" s="151"/>
      <c r="IC535" s="150"/>
      <c r="ID535" s="150"/>
      <c r="IE535" s="151"/>
      <c r="JF535" s="5"/>
      <c r="JO535" s="4"/>
      <c r="OD535" s="5"/>
    </row>
    <row r="536" spans="8:394" ht="18" customHeight="1" x14ac:dyDescent="0.2">
      <c r="H536" s="4"/>
      <c r="AX536" s="14"/>
      <c r="AY536" s="15"/>
      <c r="AZ536" s="15"/>
      <c r="BA536" s="15"/>
      <c r="BB536" s="15"/>
      <c r="BC536" s="15"/>
      <c r="BD536" s="15"/>
      <c r="BE536" s="15"/>
      <c r="BF536" s="15"/>
      <c r="BG536" s="15"/>
      <c r="BH536" s="15"/>
      <c r="BI536" s="15"/>
      <c r="BJ536" s="15"/>
      <c r="BK536" s="15"/>
      <c r="BL536" s="15"/>
      <c r="BM536" s="15"/>
      <c r="BN536" s="15"/>
      <c r="BO536" s="15"/>
      <c r="BP536" s="15"/>
      <c r="BQ536" s="15"/>
      <c r="BR536" s="15"/>
      <c r="BS536" s="15"/>
      <c r="BT536" s="15"/>
      <c r="BU536" s="15"/>
      <c r="BV536" s="15"/>
      <c r="BW536" s="15"/>
      <c r="BX536" s="15"/>
      <c r="BY536" s="15"/>
      <c r="BZ536" s="15"/>
      <c r="CA536" s="15"/>
      <c r="CB536" s="15"/>
      <c r="CC536" s="15"/>
      <c r="CD536" s="15"/>
      <c r="CE536" s="15"/>
      <c r="CF536" s="15"/>
      <c r="CG536" s="15"/>
      <c r="CH536" s="15"/>
      <c r="CI536" s="15"/>
      <c r="CJ536" s="15"/>
      <c r="CK536" s="15"/>
      <c r="CL536" s="15"/>
      <c r="CM536" s="15"/>
      <c r="CN536" s="15"/>
      <c r="CO536" s="15"/>
      <c r="CP536" s="15"/>
      <c r="CQ536" s="15"/>
      <c r="CR536" s="15"/>
      <c r="CS536" s="15"/>
      <c r="CT536" s="15"/>
      <c r="CU536" s="16"/>
      <c r="DW536" s="5"/>
      <c r="EQ536" s="4"/>
      <c r="GB536" s="149"/>
      <c r="GC536" s="150"/>
      <c r="GD536" s="150"/>
      <c r="GE536" s="149"/>
      <c r="GF536" s="149"/>
      <c r="GG536" s="150"/>
      <c r="GH536" s="150"/>
      <c r="GI536" s="150"/>
      <c r="GJ536" s="150"/>
      <c r="GK536" s="150"/>
      <c r="GL536" s="150"/>
      <c r="GM536" s="150"/>
      <c r="GN536" s="150"/>
      <c r="GO536" s="150"/>
      <c r="GP536" s="150"/>
      <c r="GQ536" s="150"/>
      <c r="GR536" s="150"/>
      <c r="GS536" s="150"/>
      <c r="GT536" s="150"/>
      <c r="GU536" s="150"/>
      <c r="GV536" s="150"/>
      <c r="GW536" s="150"/>
      <c r="GX536" s="150"/>
      <c r="GY536" s="150"/>
      <c r="GZ536" s="150"/>
      <c r="HA536" s="150"/>
      <c r="HB536" s="150"/>
      <c r="HC536" s="150"/>
      <c r="HD536" s="150"/>
      <c r="HE536" s="150"/>
      <c r="HF536" s="150"/>
      <c r="HG536" s="150"/>
      <c r="HH536" s="150"/>
      <c r="HI536" s="150"/>
      <c r="HJ536" s="150"/>
      <c r="HK536" s="150"/>
      <c r="HL536" s="150"/>
      <c r="HM536" s="150"/>
      <c r="HN536" s="150"/>
      <c r="HO536" s="150"/>
      <c r="HP536" s="150"/>
      <c r="HQ536" s="150"/>
      <c r="HR536" s="150"/>
      <c r="HS536" s="150"/>
      <c r="HT536" s="150"/>
      <c r="HU536" s="150"/>
      <c r="HV536" s="150"/>
      <c r="HW536" s="150"/>
      <c r="HX536" s="150"/>
      <c r="HY536" s="150"/>
      <c r="HZ536" s="150"/>
      <c r="IA536" s="151"/>
      <c r="IB536" s="151"/>
      <c r="IC536" s="150"/>
      <c r="ID536" s="150"/>
      <c r="IE536" s="151"/>
      <c r="JF536" s="5"/>
      <c r="JO536" s="4"/>
      <c r="OD536" s="5"/>
    </row>
    <row r="537" spans="8:394" ht="18" customHeight="1" x14ac:dyDescent="0.2">
      <c r="H537" s="4"/>
      <c r="DW537" s="5"/>
      <c r="EQ537" s="4"/>
      <c r="GB537" s="149"/>
      <c r="GC537" s="150"/>
      <c r="GD537" s="150"/>
      <c r="GE537" s="149"/>
      <c r="GF537" s="149"/>
      <c r="GG537" s="150"/>
      <c r="GH537" s="150"/>
      <c r="GI537" s="150"/>
      <c r="GJ537" s="150"/>
      <c r="GK537" s="150"/>
      <c r="GL537" s="150"/>
      <c r="GM537" s="150"/>
      <c r="GN537" s="150"/>
      <c r="GO537" s="150"/>
      <c r="GP537" s="150"/>
      <c r="GQ537" s="150"/>
      <c r="GR537" s="150"/>
      <c r="GS537" s="150"/>
      <c r="GT537" s="150"/>
      <c r="GU537" s="150"/>
      <c r="GV537" s="150"/>
      <c r="GW537" s="150"/>
      <c r="GX537" s="150"/>
      <c r="GY537" s="150"/>
      <c r="GZ537" s="150"/>
      <c r="HA537" s="150"/>
      <c r="HB537" s="150"/>
      <c r="HC537" s="150"/>
      <c r="HD537" s="150"/>
      <c r="HE537" s="150"/>
      <c r="HF537" s="150"/>
      <c r="HG537" s="150"/>
      <c r="HH537" s="150"/>
      <c r="HI537" s="150"/>
      <c r="HJ537" s="150"/>
      <c r="HK537" s="150"/>
      <c r="HL537" s="150"/>
      <c r="HM537" s="150"/>
      <c r="HN537" s="150"/>
      <c r="HO537" s="150"/>
      <c r="HP537" s="150"/>
      <c r="HQ537" s="150"/>
      <c r="HR537" s="150"/>
      <c r="HS537" s="150"/>
      <c r="HT537" s="150"/>
      <c r="HU537" s="150"/>
      <c r="HV537" s="150"/>
      <c r="HW537" s="150"/>
      <c r="HX537" s="150"/>
      <c r="HY537" s="150"/>
      <c r="HZ537" s="150"/>
      <c r="IA537" s="151"/>
      <c r="IB537" s="151"/>
      <c r="IC537" s="150"/>
      <c r="ID537" s="150"/>
      <c r="IE537" s="151"/>
      <c r="JF537" s="5"/>
      <c r="JO537" s="4"/>
      <c r="OD537" s="5"/>
    </row>
    <row r="538" spans="8:394" ht="18" customHeight="1" x14ac:dyDescent="0.2">
      <c r="H538" s="4"/>
      <c r="DW538" s="5"/>
      <c r="EQ538" s="4"/>
      <c r="GB538" s="149"/>
      <c r="GC538" s="150"/>
      <c r="GD538" s="150"/>
      <c r="GE538" s="149"/>
      <c r="GF538" s="149"/>
      <c r="GG538" s="146"/>
      <c r="GH538" s="148"/>
      <c r="GI538" s="150"/>
      <c r="GJ538" s="150"/>
      <c r="GK538" s="150"/>
      <c r="GL538" s="150"/>
      <c r="GM538" s="150"/>
      <c r="GN538" s="150"/>
      <c r="GO538" s="150"/>
      <c r="GP538" s="150"/>
      <c r="GQ538" s="150"/>
      <c r="GR538" s="150"/>
      <c r="GS538" s="150"/>
      <c r="GT538" s="150"/>
      <c r="GU538" s="150"/>
      <c r="GV538" s="150"/>
      <c r="GW538" s="150"/>
      <c r="GX538" s="150"/>
      <c r="GY538" s="150"/>
      <c r="GZ538" s="150"/>
      <c r="HA538" s="150"/>
      <c r="HB538" s="150"/>
      <c r="HC538" s="146"/>
      <c r="HD538" s="148"/>
      <c r="HE538" s="150"/>
      <c r="HF538" s="150"/>
      <c r="HG538" s="150"/>
      <c r="HH538" s="150"/>
      <c r="HI538" s="150"/>
      <c r="HJ538" s="150"/>
      <c r="HK538" s="150"/>
      <c r="HL538" s="150"/>
      <c r="HM538" s="150"/>
      <c r="HN538" s="150"/>
      <c r="HO538" s="150"/>
      <c r="HP538" s="150"/>
      <c r="HQ538" s="150"/>
      <c r="HR538" s="150"/>
      <c r="HS538" s="150"/>
      <c r="HT538" s="150"/>
      <c r="HU538" s="150"/>
      <c r="HV538" s="150"/>
      <c r="HW538" s="150"/>
      <c r="HX538" s="150"/>
      <c r="HY538" s="146"/>
      <c r="HZ538" s="148"/>
      <c r="IA538" s="151"/>
      <c r="IB538" s="151"/>
      <c r="IC538" s="150"/>
      <c r="ID538" s="150"/>
      <c r="IE538" s="151"/>
      <c r="JF538" s="5"/>
      <c r="JO538" s="4"/>
      <c r="OD538" s="5"/>
    </row>
    <row r="539" spans="8:394" ht="18" customHeight="1" x14ac:dyDescent="0.2">
      <c r="H539" s="4"/>
      <c r="DW539" s="5"/>
      <c r="EQ539" s="4"/>
      <c r="GB539" s="149"/>
      <c r="GC539" s="150"/>
      <c r="GD539" s="150"/>
      <c r="GE539" s="149"/>
      <c r="GF539" s="149"/>
      <c r="GG539" s="152"/>
      <c r="GH539" s="154"/>
      <c r="GI539" s="150"/>
      <c r="GJ539" s="150"/>
      <c r="GK539" s="150"/>
      <c r="GL539" s="150"/>
      <c r="GM539" s="150"/>
      <c r="GN539" s="150"/>
      <c r="GO539" s="150"/>
      <c r="GP539" s="150"/>
      <c r="GQ539" s="150"/>
      <c r="GR539" s="150"/>
      <c r="GS539" s="150"/>
      <c r="GT539" s="150"/>
      <c r="GU539" s="150"/>
      <c r="GV539" s="150"/>
      <c r="GW539" s="150"/>
      <c r="GX539" s="150"/>
      <c r="GY539" s="150"/>
      <c r="GZ539" s="150"/>
      <c r="HA539" s="150"/>
      <c r="HB539" s="150"/>
      <c r="HC539" s="152"/>
      <c r="HD539" s="154"/>
      <c r="HE539" s="150"/>
      <c r="HF539" s="150"/>
      <c r="HG539" s="150"/>
      <c r="HH539" s="150"/>
      <c r="HI539" s="150"/>
      <c r="HJ539" s="150"/>
      <c r="HK539" s="150"/>
      <c r="HL539" s="150"/>
      <c r="HM539" s="150"/>
      <c r="HN539" s="150"/>
      <c r="HO539" s="150"/>
      <c r="HP539" s="150"/>
      <c r="HQ539" s="150"/>
      <c r="HR539" s="150"/>
      <c r="HS539" s="150"/>
      <c r="HT539" s="150"/>
      <c r="HU539" s="150"/>
      <c r="HV539" s="150"/>
      <c r="HW539" s="150"/>
      <c r="HX539" s="150"/>
      <c r="HY539" s="152"/>
      <c r="HZ539" s="154"/>
      <c r="IA539" s="151"/>
      <c r="IB539" s="151"/>
      <c r="IC539" s="150"/>
      <c r="ID539" s="150"/>
      <c r="IE539" s="151"/>
      <c r="JF539" s="5"/>
      <c r="JO539" s="4"/>
      <c r="OD539" s="5"/>
    </row>
    <row r="540" spans="8:394" ht="18" customHeight="1" x14ac:dyDescent="0.2">
      <c r="H540" s="4"/>
      <c r="DW540" s="5"/>
      <c r="EQ540" s="4"/>
      <c r="GB540" s="149"/>
      <c r="GC540" s="150"/>
      <c r="GD540" s="150"/>
      <c r="GE540" s="149"/>
      <c r="GF540" s="152"/>
      <c r="GG540" s="153"/>
      <c r="GH540" s="153"/>
      <c r="GI540" s="153"/>
      <c r="GJ540" s="153"/>
      <c r="GK540" s="153"/>
      <c r="GL540" s="153"/>
      <c r="GM540" s="153"/>
      <c r="GN540" s="153"/>
      <c r="GO540" s="153"/>
      <c r="GP540" s="153"/>
      <c r="GQ540" s="153"/>
      <c r="GR540" s="153"/>
      <c r="GS540" s="153"/>
      <c r="GT540" s="153"/>
      <c r="GU540" s="153"/>
      <c r="GV540" s="153"/>
      <c r="GW540" s="153"/>
      <c r="GX540" s="153"/>
      <c r="GY540" s="153"/>
      <c r="GZ540" s="153"/>
      <c r="HA540" s="153"/>
      <c r="HB540" s="153"/>
      <c r="HC540" s="153"/>
      <c r="HD540" s="153"/>
      <c r="HE540" s="153"/>
      <c r="HF540" s="153"/>
      <c r="HG540" s="153"/>
      <c r="HH540" s="153"/>
      <c r="HI540" s="153"/>
      <c r="HJ540" s="153"/>
      <c r="HK540" s="153"/>
      <c r="HL540" s="153"/>
      <c r="HM540" s="153"/>
      <c r="HN540" s="153"/>
      <c r="HO540" s="153"/>
      <c r="HP540" s="153"/>
      <c r="HQ540" s="153"/>
      <c r="HR540" s="153"/>
      <c r="HS540" s="153"/>
      <c r="HT540" s="153"/>
      <c r="HU540" s="153"/>
      <c r="HV540" s="153"/>
      <c r="HW540" s="153"/>
      <c r="HX540" s="153"/>
      <c r="HY540" s="153"/>
      <c r="HZ540" s="153"/>
      <c r="IA540" s="154"/>
      <c r="IB540" s="151"/>
      <c r="IC540" s="150"/>
      <c r="ID540" s="150"/>
      <c r="IE540" s="151"/>
      <c r="JF540" s="5"/>
      <c r="JO540" s="4"/>
      <c r="OD540" s="5"/>
    </row>
    <row r="541" spans="8:394" ht="18" customHeight="1" x14ac:dyDescent="0.2">
      <c r="H541" s="4"/>
      <c r="DW541" s="5"/>
      <c r="EQ541" s="4"/>
      <c r="GB541" s="149"/>
      <c r="GC541" s="150"/>
      <c r="GD541" s="150"/>
      <c r="GE541" s="152"/>
      <c r="GF541" s="153"/>
      <c r="GG541" s="153"/>
      <c r="GH541" s="153"/>
      <c r="GI541" s="153"/>
      <c r="GJ541" s="153"/>
      <c r="GK541" s="153"/>
      <c r="GL541" s="153"/>
      <c r="GM541" s="153"/>
      <c r="GN541" s="153"/>
      <c r="GO541" s="153"/>
      <c r="GP541" s="153"/>
      <c r="GQ541" s="153"/>
      <c r="GR541" s="153"/>
      <c r="GS541" s="153"/>
      <c r="GT541" s="153"/>
      <c r="GU541" s="153"/>
      <c r="GV541" s="153"/>
      <c r="GW541" s="153"/>
      <c r="GX541" s="153"/>
      <c r="GY541" s="153"/>
      <c r="GZ541" s="153"/>
      <c r="HA541" s="153"/>
      <c r="HB541" s="153"/>
      <c r="HC541" s="153"/>
      <c r="HD541" s="153"/>
      <c r="HE541" s="153"/>
      <c r="HF541" s="153"/>
      <c r="HG541" s="153"/>
      <c r="HH541" s="153"/>
      <c r="HI541" s="153"/>
      <c r="HJ541" s="153"/>
      <c r="HK541" s="153"/>
      <c r="HL541" s="153"/>
      <c r="HM541" s="153"/>
      <c r="HN541" s="153"/>
      <c r="HO541" s="153"/>
      <c r="HP541" s="153"/>
      <c r="HQ541" s="153"/>
      <c r="HR541" s="153"/>
      <c r="HS541" s="153"/>
      <c r="HT541" s="153"/>
      <c r="HU541" s="153"/>
      <c r="HV541" s="153"/>
      <c r="HW541" s="153"/>
      <c r="HX541" s="153"/>
      <c r="HY541" s="153"/>
      <c r="HZ541" s="153"/>
      <c r="IA541" s="153"/>
      <c r="IB541" s="154"/>
      <c r="IC541" s="150"/>
      <c r="ID541" s="150"/>
      <c r="IE541" s="151"/>
      <c r="JF541" s="5"/>
      <c r="JO541" s="4"/>
      <c r="OD541" s="5"/>
    </row>
    <row r="542" spans="8:394" ht="18" customHeight="1" x14ac:dyDescent="0.2">
      <c r="H542" s="4"/>
      <c r="DW542" s="5"/>
      <c r="EQ542" s="4"/>
      <c r="GB542" s="149"/>
      <c r="GC542" s="150"/>
      <c r="GD542" s="150"/>
      <c r="GE542" s="150"/>
      <c r="GF542" s="150"/>
      <c r="GG542" s="150"/>
      <c r="GH542" s="150"/>
      <c r="GI542" s="150"/>
      <c r="GJ542" s="150"/>
      <c r="GK542" s="150"/>
      <c r="GL542" s="150"/>
      <c r="GM542" s="150"/>
      <c r="GN542" s="150"/>
      <c r="GO542" s="150"/>
      <c r="GP542" s="150"/>
      <c r="GQ542" s="150"/>
      <c r="GR542" s="150"/>
      <c r="GS542" s="150"/>
      <c r="GT542" s="150"/>
      <c r="GU542" s="150"/>
      <c r="GV542" s="150"/>
      <c r="GW542" s="150"/>
      <c r="GX542" s="150"/>
      <c r="GY542" s="150"/>
      <c r="GZ542" s="150"/>
      <c r="HA542" s="150"/>
      <c r="HB542" s="150"/>
      <c r="HC542" s="150"/>
      <c r="HD542" s="150"/>
      <c r="HE542" s="150"/>
      <c r="HF542" s="150"/>
      <c r="HG542" s="150"/>
      <c r="HH542" s="150"/>
      <c r="HI542" s="150"/>
      <c r="HJ542" s="150"/>
      <c r="HK542" s="150"/>
      <c r="HL542" s="150"/>
      <c r="HM542" s="150"/>
      <c r="HN542" s="150"/>
      <c r="HO542" s="150"/>
      <c r="HP542" s="150"/>
      <c r="HQ542" s="150"/>
      <c r="HR542" s="150"/>
      <c r="HS542" s="150"/>
      <c r="HT542" s="150"/>
      <c r="HU542" s="150"/>
      <c r="HV542" s="150"/>
      <c r="HW542" s="150"/>
      <c r="HX542" s="150"/>
      <c r="HY542" s="150"/>
      <c r="HZ542" s="150"/>
      <c r="IA542" s="150"/>
      <c r="IB542" s="150"/>
      <c r="IC542" s="150"/>
      <c r="ID542" s="150"/>
      <c r="IE542" s="151"/>
      <c r="JF542" s="5"/>
      <c r="JO542" s="4"/>
      <c r="OD542" s="5"/>
    </row>
    <row r="543" spans="8:394" ht="18" customHeight="1" x14ac:dyDescent="0.2">
      <c r="H543" s="4"/>
      <c r="DW543" s="5"/>
      <c r="EQ543" s="4"/>
      <c r="GB543" s="149"/>
      <c r="GC543" s="150"/>
      <c r="GD543" s="150"/>
      <c r="GE543" s="150"/>
      <c r="GF543" s="150"/>
      <c r="GG543" s="150"/>
      <c r="GH543" s="150"/>
      <c r="GI543" s="150"/>
      <c r="GJ543" s="150"/>
      <c r="GK543" s="150"/>
      <c r="GL543" s="150"/>
      <c r="GM543" s="150"/>
      <c r="GN543" s="150"/>
      <c r="GO543" s="150"/>
      <c r="GP543" s="150"/>
      <c r="GQ543" s="150"/>
      <c r="GR543" s="150"/>
      <c r="GS543" s="150"/>
      <c r="GT543" s="150"/>
      <c r="GU543" s="150"/>
      <c r="GV543" s="150"/>
      <c r="GW543" s="150"/>
      <c r="GX543" s="150"/>
      <c r="GY543" s="150"/>
      <c r="GZ543" s="150"/>
      <c r="HA543" s="150"/>
      <c r="HB543" s="150"/>
      <c r="HC543" s="150"/>
      <c r="HD543" s="150"/>
      <c r="HE543" s="150"/>
      <c r="HF543" s="150"/>
      <c r="HG543" s="150"/>
      <c r="HH543" s="150"/>
      <c r="HI543" s="150"/>
      <c r="HJ543" s="150"/>
      <c r="HK543" s="150"/>
      <c r="HL543" s="150"/>
      <c r="HM543" s="150"/>
      <c r="HN543" s="150"/>
      <c r="HO543" s="150"/>
      <c r="HP543" s="150"/>
      <c r="HQ543" s="150"/>
      <c r="HR543" s="150"/>
      <c r="HS543" s="150"/>
      <c r="HT543" s="150"/>
      <c r="HU543" s="150"/>
      <c r="HV543" s="150"/>
      <c r="HW543" s="150"/>
      <c r="HX543" s="150"/>
      <c r="HY543" s="150"/>
      <c r="HZ543" s="150"/>
      <c r="IA543" s="150"/>
      <c r="IB543" s="150"/>
      <c r="IC543" s="150"/>
      <c r="ID543" s="150"/>
      <c r="IE543" s="151"/>
      <c r="JF543" s="5"/>
      <c r="JO543" s="4"/>
      <c r="OD543" s="5"/>
    </row>
    <row r="544" spans="8:394" ht="18" customHeight="1" x14ac:dyDescent="0.2">
      <c r="H544" s="4"/>
      <c r="DW544" s="5"/>
      <c r="EQ544" s="4"/>
      <c r="GB544" s="152"/>
      <c r="GC544" s="153"/>
      <c r="GD544" s="153"/>
      <c r="GE544" s="153"/>
      <c r="GF544" s="153"/>
      <c r="GG544" s="153"/>
      <c r="GH544" s="153"/>
      <c r="GI544" s="153"/>
      <c r="GJ544" s="153"/>
      <c r="GK544" s="153"/>
      <c r="GL544" s="153"/>
      <c r="GM544" s="153"/>
      <c r="GN544" s="153"/>
      <c r="GO544" s="153"/>
      <c r="GP544" s="153"/>
      <c r="GQ544" s="153"/>
      <c r="GR544" s="153"/>
      <c r="GS544" s="153"/>
      <c r="GT544" s="153"/>
      <c r="GU544" s="153"/>
      <c r="GV544" s="153"/>
      <c r="GW544" s="153"/>
      <c r="GX544" s="153"/>
      <c r="GY544" s="153"/>
      <c r="GZ544" s="153"/>
      <c r="HA544" s="153"/>
      <c r="HB544" s="153"/>
      <c r="HC544" s="153"/>
      <c r="HD544" s="153"/>
      <c r="HE544" s="153"/>
      <c r="HF544" s="153"/>
      <c r="HG544" s="153"/>
      <c r="HH544" s="153"/>
      <c r="HI544" s="153"/>
      <c r="HJ544" s="153"/>
      <c r="HK544" s="153"/>
      <c r="HL544" s="153"/>
      <c r="HM544" s="153"/>
      <c r="HN544" s="153"/>
      <c r="HO544" s="153"/>
      <c r="HP544" s="153"/>
      <c r="HQ544" s="153"/>
      <c r="HR544" s="153"/>
      <c r="HS544" s="153"/>
      <c r="HT544" s="153"/>
      <c r="HU544" s="153"/>
      <c r="HV544" s="153"/>
      <c r="HW544" s="153"/>
      <c r="HX544" s="153"/>
      <c r="HY544" s="153"/>
      <c r="HZ544" s="153"/>
      <c r="IA544" s="153"/>
      <c r="IB544" s="153"/>
      <c r="IC544" s="153"/>
      <c r="ID544" s="153"/>
      <c r="IE544" s="154"/>
      <c r="JF544" s="5"/>
      <c r="JO544" s="4"/>
      <c r="OD544" s="5"/>
    </row>
    <row r="545" spans="8:394" ht="18" customHeight="1" x14ac:dyDescent="0.2">
      <c r="H545" s="4"/>
      <c r="DW545" s="5"/>
      <c r="EQ545" s="4"/>
      <c r="JF545" s="5"/>
      <c r="JO545" s="4"/>
      <c r="OD545" s="5"/>
    </row>
    <row r="546" spans="8:394" ht="18" customHeight="1" x14ac:dyDescent="0.2">
      <c r="H546" s="4"/>
      <c r="DW546" s="5"/>
      <c r="EQ546" s="4"/>
      <c r="JF546" s="5"/>
      <c r="JO546" s="4"/>
      <c r="OD546" s="5"/>
    </row>
    <row r="547" spans="8:394" ht="18" customHeight="1" x14ac:dyDescent="0.2">
      <c r="H547" s="4"/>
      <c r="DW547" s="5"/>
      <c r="EQ547" s="4"/>
      <c r="JF547" s="5"/>
      <c r="JO547" s="4"/>
      <c r="OD547" s="5"/>
    </row>
    <row r="548" spans="8:394" ht="18" customHeight="1" x14ac:dyDescent="0.2">
      <c r="H548" s="4"/>
      <c r="DW548" s="5"/>
      <c r="EQ548" s="4"/>
      <c r="JF548" s="5"/>
      <c r="JO548" s="4"/>
      <c r="OD548" s="5"/>
    </row>
    <row r="549" spans="8:394" ht="18" customHeight="1" thickBot="1" x14ac:dyDescent="0.25">
      <c r="H549" s="6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BP549" s="7"/>
      <c r="BQ549" s="7"/>
      <c r="BR549" s="7"/>
      <c r="BS549" s="7"/>
      <c r="BT549" s="7"/>
      <c r="BU549" s="7"/>
      <c r="BV549" s="7"/>
      <c r="BW549" s="7"/>
      <c r="BX549" s="7"/>
      <c r="BY549" s="7"/>
      <c r="BZ549" s="7"/>
      <c r="CA549" s="7"/>
      <c r="CB549" s="7"/>
      <c r="CC549" s="7"/>
      <c r="CD549" s="7"/>
      <c r="CE549" s="7"/>
      <c r="CF549" s="7"/>
      <c r="CG549" s="7"/>
      <c r="CH549" s="7"/>
      <c r="CI549" s="7"/>
      <c r="CJ549" s="7"/>
      <c r="CK549" s="7"/>
      <c r="CL549" s="7"/>
      <c r="CM549" s="7"/>
      <c r="CN549" s="7"/>
      <c r="CO549" s="7"/>
      <c r="CP549" s="7"/>
      <c r="CQ549" s="7"/>
      <c r="CR549" s="7"/>
      <c r="CS549" s="7"/>
      <c r="CT549" s="7"/>
      <c r="CU549" s="7"/>
      <c r="CV549" s="7"/>
      <c r="CW549" s="7"/>
      <c r="CX549" s="7"/>
      <c r="CY549" s="7"/>
      <c r="CZ549" s="7"/>
      <c r="DA549" s="7"/>
      <c r="DB549" s="7"/>
      <c r="DC549" s="7"/>
      <c r="DD549" s="7"/>
      <c r="DE549" s="7"/>
      <c r="DF549" s="7"/>
      <c r="DG549" s="7"/>
      <c r="DH549" s="7"/>
      <c r="DI549" s="7"/>
      <c r="DJ549" s="7"/>
      <c r="DK549" s="7"/>
      <c r="DL549" s="7"/>
      <c r="DM549" s="7"/>
      <c r="DN549" s="7"/>
      <c r="DO549" s="7"/>
      <c r="DP549" s="7"/>
      <c r="DQ549" s="7"/>
      <c r="DR549" s="7"/>
      <c r="DS549" s="7"/>
      <c r="DT549" s="7"/>
      <c r="DU549" s="7"/>
      <c r="DV549" s="7"/>
      <c r="DW549" s="8"/>
      <c r="EQ549" s="4"/>
      <c r="JF549" s="5"/>
      <c r="JO549" s="4"/>
      <c r="OD549" s="5"/>
    </row>
    <row r="550" spans="8:394" ht="18" customHeight="1" thickBot="1" x14ac:dyDescent="0.25">
      <c r="EQ550" s="6"/>
      <c r="ER550" s="7"/>
      <c r="ES550" s="7"/>
      <c r="ET550" s="7"/>
      <c r="EU550" s="7"/>
      <c r="EV550" s="7"/>
      <c r="EW550" s="7"/>
      <c r="EX550" s="7"/>
      <c r="EY550" s="7"/>
      <c r="EZ550" s="7"/>
      <c r="FA550" s="7"/>
      <c r="FB550" s="7"/>
      <c r="FC550" s="7"/>
      <c r="FD550" s="7"/>
      <c r="FE550" s="7"/>
      <c r="FF550" s="7"/>
      <c r="FG550" s="7"/>
      <c r="FH550" s="7"/>
      <c r="FI550" s="7"/>
      <c r="FJ550" s="7"/>
      <c r="FK550" s="7"/>
      <c r="FL550" s="7"/>
      <c r="FM550" s="7"/>
      <c r="FN550" s="7"/>
      <c r="FO550" s="7"/>
      <c r="FP550" s="7"/>
      <c r="FQ550" s="7"/>
      <c r="FR550" s="7"/>
      <c r="FS550" s="7"/>
      <c r="FT550" s="7"/>
      <c r="FU550" s="7"/>
      <c r="FV550" s="7"/>
      <c r="FW550" s="7"/>
      <c r="FX550" s="7"/>
      <c r="FY550" s="7"/>
      <c r="FZ550" s="7"/>
      <c r="GA550" s="7"/>
      <c r="GB550" s="7"/>
      <c r="GC550" s="7"/>
      <c r="GD550" s="7"/>
      <c r="GE550" s="7"/>
      <c r="GF550" s="7"/>
      <c r="GG550" s="7"/>
      <c r="GH550" s="7"/>
      <c r="GI550" s="7"/>
      <c r="GJ550" s="7"/>
      <c r="GK550" s="7"/>
      <c r="GL550" s="7"/>
      <c r="GM550" s="7"/>
      <c r="GN550" s="7"/>
      <c r="GO550" s="7"/>
      <c r="GP550" s="7"/>
      <c r="GQ550" s="7"/>
      <c r="GR550" s="7"/>
      <c r="GS550" s="7"/>
      <c r="GT550" s="7"/>
      <c r="GU550" s="7"/>
      <c r="GV550" s="7"/>
      <c r="GW550" s="7"/>
      <c r="GX550" s="7"/>
      <c r="GY550" s="7"/>
      <c r="GZ550" s="7"/>
      <c r="HA550" s="7"/>
      <c r="HB550" s="7"/>
      <c r="HC550" s="7"/>
      <c r="HD550" s="7"/>
      <c r="HE550" s="7"/>
      <c r="HF550" s="7"/>
      <c r="HG550" s="7"/>
      <c r="HH550" s="7"/>
      <c r="HI550" s="7"/>
      <c r="HJ550" s="7"/>
      <c r="HK550" s="7"/>
      <c r="HL550" s="7"/>
      <c r="HM550" s="7"/>
      <c r="HN550" s="7"/>
      <c r="HO550" s="7"/>
      <c r="HP550" s="7"/>
      <c r="HQ550" s="7"/>
      <c r="HR550" s="7"/>
      <c r="HS550" s="7"/>
      <c r="HT550" s="7"/>
      <c r="HU550" s="7"/>
      <c r="HV550" s="7"/>
      <c r="HW550" s="7"/>
      <c r="HX550" s="7"/>
      <c r="HY550" s="7"/>
      <c r="HZ550" s="7"/>
      <c r="IA550" s="7"/>
      <c r="IB550" s="7"/>
      <c r="IC550" s="7"/>
      <c r="ID550" s="7"/>
      <c r="IE550" s="7"/>
      <c r="IF550" s="7"/>
      <c r="IG550" s="7"/>
      <c r="IH550" s="7"/>
      <c r="II550" s="7"/>
      <c r="IJ550" s="7"/>
      <c r="IK550" s="7"/>
      <c r="IL550" s="7"/>
      <c r="IM550" s="7"/>
      <c r="IN550" s="7"/>
      <c r="IO550" s="7"/>
      <c r="IP550" s="7"/>
      <c r="IQ550" s="7"/>
      <c r="IR550" s="7"/>
      <c r="IS550" s="7"/>
      <c r="IT550" s="7"/>
      <c r="IU550" s="7"/>
      <c r="IV550" s="7"/>
      <c r="IW550" s="7"/>
      <c r="IX550" s="7"/>
      <c r="IY550" s="7"/>
      <c r="IZ550" s="7"/>
      <c r="JA550" s="7"/>
      <c r="JB550" s="7"/>
      <c r="JC550" s="7"/>
      <c r="JD550" s="7"/>
      <c r="JE550" s="7"/>
      <c r="JF550" s="8"/>
      <c r="JO550" s="6"/>
      <c r="JP550" s="7"/>
      <c r="JQ550" s="7"/>
      <c r="JR550" s="7"/>
      <c r="JS550" s="7"/>
      <c r="JT550" s="7"/>
      <c r="JU550" s="7"/>
      <c r="JV550" s="7"/>
      <c r="JW550" s="7"/>
      <c r="JX550" s="7"/>
      <c r="JY550" s="7"/>
      <c r="JZ550" s="7"/>
      <c r="KA550" s="7"/>
      <c r="KB550" s="7"/>
      <c r="KC550" s="7"/>
      <c r="KD550" s="7"/>
      <c r="KE550" s="7"/>
      <c r="KF550" s="7"/>
      <c r="KG550" s="7"/>
      <c r="KH550" s="7"/>
      <c r="KI550" s="7"/>
      <c r="KJ550" s="7"/>
      <c r="KK550" s="7"/>
      <c r="KL550" s="7"/>
      <c r="KM550" s="7"/>
      <c r="KN550" s="7"/>
      <c r="KO550" s="7"/>
      <c r="KP550" s="7"/>
      <c r="KQ550" s="7"/>
      <c r="KR550" s="7"/>
      <c r="KS550" s="7"/>
      <c r="KT550" s="7"/>
      <c r="KU550" s="7"/>
      <c r="KV550" s="7"/>
      <c r="KW550" s="7"/>
      <c r="KX550" s="7"/>
      <c r="KY550" s="7"/>
      <c r="KZ550" s="7"/>
      <c r="LA550" s="7"/>
      <c r="LB550" s="7"/>
      <c r="LC550" s="7"/>
      <c r="LD550" s="7"/>
      <c r="LE550" s="7"/>
      <c r="LF550" s="7"/>
      <c r="LG550" s="7"/>
      <c r="LH550" s="7"/>
      <c r="LI550" s="7"/>
      <c r="LJ550" s="7"/>
      <c r="LK550" s="7"/>
      <c r="LL550" s="7"/>
      <c r="LM550" s="7"/>
      <c r="LN550" s="7"/>
      <c r="LO550" s="7"/>
      <c r="LP550" s="7"/>
      <c r="LQ550" s="7"/>
      <c r="LR550" s="7"/>
      <c r="LS550" s="7"/>
      <c r="LT550" s="7"/>
      <c r="LU550" s="7"/>
      <c r="LV550" s="7"/>
      <c r="LW550" s="7"/>
      <c r="LX550" s="7"/>
      <c r="LY550" s="7"/>
      <c r="LZ550" s="7"/>
      <c r="MA550" s="7"/>
      <c r="MB550" s="7"/>
      <c r="MC550" s="7"/>
      <c r="MD550" s="7"/>
      <c r="ME550" s="7"/>
      <c r="MF550" s="7"/>
      <c r="MG550" s="7"/>
      <c r="MH550" s="7"/>
      <c r="MI550" s="7"/>
      <c r="MJ550" s="7"/>
      <c r="MK550" s="7"/>
      <c r="ML550" s="7"/>
      <c r="MM550" s="7"/>
      <c r="MN550" s="7"/>
      <c r="MO550" s="7"/>
      <c r="MP550" s="7"/>
      <c r="MQ550" s="7"/>
      <c r="MR550" s="7"/>
      <c r="MS550" s="7"/>
      <c r="MT550" s="7"/>
      <c r="MU550" s="7"/>
      <c r="MV550" s="7"/>
      <c r="MW550" s="7"/>
      <c r="MX550" s="7"/>
      <c r="MY550" s="7"/>
      <c r="MZ550" s="7"/>
      <c r="NA550" s="7"/>
      <c r="NB550" s="7"/>
      <c r="NC550" s="7"/>
      <c r="ND550" s="7"/>
      <c r="NE550" s="7"/>
      <c r="NF550" s="7"/>
      <c r="NG550" s="7"/>
      <c r="NH550" s="7"/>
      <c r="NI550" s="7"/>
      <c r="NJ550" s="7"/>
      <c r="NK550" s="7"/>
      <c r="NL550" s="7"/>
      <c r="NM550" s="7"/>
      <c r="NN550" s="7"/>
      <c r="NO550" s="7"/>
      <c r="NP550" s="7"/>
      <c r="NQ550" s="7"/>
      <c r="NR550" s="7"/>
      <c r="NS550" s="7"/>
      <c r="NT550" s="7"/>
      <c r="NU550" s="7"/>
      <c r="NV550" s="7"/>
      <c r="NW550" s="7"/>
      <c r="NX550" s="7"/>
      <c r="NY550" s="7"/>
      <c r="NZ550" s="7"/>
      <c r="OA550" s="7"/>
      <c r="OB550" s="7"/>
      <c r="OC550" s="7"/>
      <c r="OD550" s="8"/>
    </row>
    <row r="555" spans="8:394" ht="18" customHeight="1" thickBot="1" x14ac:dyDescent="0.25"/>
    <row r="556" spans="8:394" ht="18" customHeight="1" x14ac:dyDescent="0.2">
      <c r="H556" s="1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3"/>
    </row>
    <row r="557" spans="8:394" ht="18" customHeight="1" x14ac:dyDescent="0.2">
      <c r="H557" s="4"/>
      <c r="DW557" s="5"/>
      <c r="FC557" s="17"/>
      <c r="HL557" s="17"/>
    </row>
    <row r="558" spans="8:394" ht="18" customHeight="1" x14ac:dyDescent="0.2">
      <c r="H558" s="4"/>
      <c r="DW558" s="5"/>
      <c r="FC558" s="18"/>
      <c r="HL558" s="18"/>
    </row>
    <row r="559" spans="8:394" ht="18" customHeight="1" x14ac:dyDescent="0.2">
      <c r="H559" s="4"/>
      <c r="DW559" s="5"/>
      <c r="FC559" s="18"/>
      <c r="HL559" s="18"/>
    </row>
    <row r="560" spans="8:394" ht="18" customHeight="1" x14ac:dyDescent="0.2">
      <c r="H560" s="4"/>
      <c r="DW560" s="5"/>
      <c r="FC560" s="18"/>
      <c r="HL560" s="18"/>
    </row>
    <row r="561" spans="8:221" ht="18" customHeight="1" x14ac:dyDescent="0.2">
      <c r="H561" s="4"/>
      <c r="DW561" s="5"/>
      <c r="FC561" s="18"/>
      <c r="HL561" s="18"/>
    </row>
    <row r="562" spans="8:221" ht="18" customHeight="1" x14ac:dyDescent="0.2">
      <c r="H562" s="4"/>
      <c r="DW562" s="5"/>
      <c r="FC562" s="18"/>
      <c r="HL562" s="18"/>
    </row>
    <row r="563" spans="8:221" ht="18" customHeight="1" x14ac:dyDescent="0.2">
      <c r="H563" s="4"/>
      <c r="DW563" s="5"/>
      <c r="FB563" s="9"/>
      <c r="FC563" s="10"/>
      <c r="FD563" s="10"/>
      <c r="FE563" s="10"/>
      <c r="FF563" s="10"/>
      <c r="FG563" s="10"/>
      <c r="FH563" s="10"/>
      <c r="FI563" s="10"/>
      <c r="FJ563" s="10"/>
      <c r="FK563" s="10"/>
      <c r="FL563" s="10"/>
      <c r="FM563" s="10"/>
      <c r="FN563" s="10"/>
      <c r="FO563" s="10"/>
      <c r="FP563" s="10"/>
      <c r="FQ563" s="10"/>
      <c r="FR563" s="10"/>
      <c r="FS563" s="10"/>
      <c r="FT563" s="10"/>
      <c r="FU563" s="10"/>
      <c r="FV563" s="10"/>
      <c r="FW563" s="10"/>
      <c r="FX563" s="10"/>
      <c r="FY563" s="10"/>
      <c r="FZ563" s="10"/>
      <c r="GA563" s="10"/>
      <c r="GB563" s="10"/>
      <c r="GC563" s="10"/>
      <c r="GD563" s="10"/>
      <c r="GE563" s="10"/>
      <c r="GF563" s="10"/>
      <c r="GG563" s="10"/>
      <c r="GH563" s="10"/>
      <c r="GI563" s="10"/>
      <c r="GJ563" s="10"/>
      <c r="GK563" s="10"/>
      <c r="GL563" s="10"/>
      <c r="GM563" s="10"/>
      <c r="GN563" s="10"/>
      <c r="GO563" s="10"/>
      <c r="GP563" s="10"/>
      <c r="GQ563" s="10"/>
      <c r="GR563" s="10"/>
      <c r="GS563" s="10"/>
      <c r="GT563" s="10"/>
      <c r="GU563" s="10"/>
      <c r="GV563" s="10"/>
      <c r="GW563" s="10"/>
      <c r="GX563" s="10"/>
      <c r="GY563" s="10"/>
      <c r="GZ563" s="10"/>
      <c r="HA563" s="10"/>
      <c r="HB563" s="10"/>
      <c r="HC563" s="10"/>
      <c r="HD563" s="10"/>
      <c r="HE563" s="10"/>
      <c r="HF563" s="10"/>
      <c r="HG563" s="10"/>
      <c r="HH563" s="10"/>
      <c r="HI563" s="10"/>
      <c r="HJ563" s="10"/>
      <c r="HK563" s="10"/>
      <c r="HL563" s="10"/>
      <c r="HM563" s="11"/>
    </row>
    <row r="564" spans="8:221" ht="18" customHeight="1" x14ac:dyDescent="0.2">
      <c r="H564" s="4"/>
      <c r="DW564" s="5"/>
      <c r="FB564" s="14"/>
      <c r="FC564" s="15"/>
      <c r="FD564" s="15"/>
      <c r="FE564" s="15"/>
      <c r="FF564" s="15"/>
      <c r="FG564" s="15"/>
      <c r="FH564" s="15"/>
      <c r="FI564" s="15"/>
      <c r="FJ564" s="15"/>
      <c r="FK564" s="15"/>
      <c r="FL564" s="15"/>
      <c r="FM564" s="15"/>
      <c r="FN564" s="15"/>
      <c r="FO564" s="15"/>
      <c r="FP564" s="15"/>
      <c r="FQ564" s="15"/>
      <c r="FR564" s="15"/>
      <c r="FS564" s="15"/>
      <c r="FT564" s="15"/>
      <c r="FU564" s="15"/>
      <c r="FV564" s="15"/>
      <c r="FW564" s="15"/>
      <c r="FX564" s="15"/>
      <c r="FY564" s="15"/>
      <c r="FZ564" s="15"/>
      <c r="GA564" s="15"/>
      <c r="GB564" s="15"/>
      <c r="GC564" s="15"/>
      <c r="GD564" s="15"/>
      <c r="GE564" s="15"/>
      <c r="GF564" s="15"/>
      <c r="GG564" s="15"/>
      <c r="GH564" s="15"/>
      <c r="GI564" s="15"/>
      <c r="GJ564" s="15"/>
      <c r="GK564" s="15"/>
      <c r="GL564" s="15"/>
      <c r="GM564" s="15"/>
      <c r="GN564" s="15"/>
      <c r="GO564" s="15"/>
      <c r="GP564" s="15"/>
      <c r="GQ564" s="15"/>
      <c r="GR564" s="15"/>
      <c r="GS564" s="15"/>
      <c r="GT564" s="15"/>
      <c r="GU564" s="15"/>
      <c r="GV564" s="15"/>
      <c r="GW564" s="15"/>
      <c r="GX564" s="15"/>
      <c r="GY564" s="15"/>
      <c r="GZ564" s="15"/>
      <c r="HA564" s="15"/>
      <c r="HB564" s="15"/>
      <c r="HC564" s="15"/>
      <c r="HD564" s="15"/>
      <c r="HE564" s="15"/>
      <c r="HF564" s="15"/>
      <c r="HG564" s="15"/>
      <c r="HH564" s="15"/>
      <c r="HI564" s="15"/>
      <c r="HJ564" s="15"/>
      <c r="HK564" s="15"/>
      <c r="HL564" s="15"/>
      <c r="HM564" s="16"/>
    </row>
    <row r="565" spans="8:221" ht="18" customHeight="1" x14ac:dyDescent="0.2">
      <c r="H565" s="4"/>
      <c r="DW565" s="5"/>
      <c r="FC565" s="12"/>
      <c r="FD565" s="13"/>
      <c r="FY565" s="18"/>
      <c r="FZ565" s="12"/>
      <c r="GK565" s="13"/>
      <c r="GS565" s="13"/>
      <c r="GT565" s="18"/>
      <c r="GU565" s="12"/>
      <c r="HK565" s="12"/>
      <c r="HL565" s="13"/>
    </row>
    <row r="566" spans="8:221" ht="18" customHeight="1" x14ac:dyDescent="0.2">
      <c r="H566" s="4"/>
      <c r="DW566" s="5"/>
      <c r="FC566" s="12"/>
      <c r="FD566" s="13"/>
      <c r="FY566" s="18"/>
      <c r="FZ566" s="12"/>
      <c r="GK566" s="13"/>
      <c r="GS566" s="13"/>
      <c r="GT566" s="18"/>
      <c r="GU566" s="12"/>
      <c r="HK566" s="12"/>
      <c r="HL566" s="13"/>
    </row>
    <row r="567" spans="8:221" ht="18" customHeight="1" x14ac:dyDescent="0.2">
      <c r="H567" s="4"/>
      <c r="DW567" s="5"/>
      <c r="FC567" s="12"/>
      <c r="FD567" s="13"/>
      <c r="FY567" s="18"/>
      <c r="FZ567" s="12"/>
      <c r="GK567" s="13"/>
      <c r="GS567" s="13"/>
      <c r="GT567" s="18"/>
      <c r="GU567" s="12"/>
      <c r="HK567" s="12"/>
      <c r="HL567" s="13"/>
    </row>
    <row r="568" spans="8:221" ht="18" customHeight="1" x14ac:dyDescent="0.2">
      <c r="H568" s="4"/>
      <c r="DW568" s="5"/>
      <c r="FC568" s="12"/>
      <c r="FD568" s="13"/>
      <c r="FY568" s="18"/>
      <c r="FZ568" s="12"/>
      <c r="GK568" s="13"/>
      <c r="GS568" s="13"/>
      <c r="GT568" s="18"/>
      <c r="GU568" s="12"/>
      <c r="HK568" s="12"/>
      <c r="HL568" s="13"/>
    </row>
    <row r="569" spans="8:221" ht="18" customHeight="1" x14ac:dyDescent="0.2">
      <c r="H569" s="4"/>
      <c r="DW569" s="5"/>
      <c r="FC569" s="12"/>
      <c r="FD569" s="13"/>
      <c r="FY569" s="18"/>
      <c r="FZ569" s="12"/>
      <c r="GK569" s="13"/>
      <c r="GS569" s="13"/>
      <c r="GT569" s="18"/>
      <c r="GU569" s="12"/>
      <c r="HK569" s="12"/>
      <c r="HL569" s="13"/>
    </row>
    <row r="570" spans="8:221" ht="18" customHeight="1" x14ac:dyDescent="0.2">
      <c r="H570" s="4"/>
      <c r="DW570" s="5"/>
      <c r="FC570" s="12"/>
      <c r="FD570" s="13"/>
      <c r="FY570" s="18"/>
      <c r="FZ570" s="12"/>
      <c r="GK570" s="13"/>
      <c r="GS570" s="13"/>
      <c r="GT570" s="18"/>
      <c r="GU570" s="12"/>
      <c r="HK570" s="12"/>
      <c r="HL570" s="13"/>
    </row>
    <row r="571" spans="8:221" ht="18" customHeight="1" x14ac:dyDescent="0.2">
      <c r="H571" s="4"/>
      <c r="DW571" s="5"/>
      <c r="FC571" s="12"/>
      <c r="FD571" s="13"/>
      <c r="FY571" s="18"/>
      <c r="FZ571" s="12"/>
      <c r="GK571" s="13"/>
      <c r="GS571" s="13"/>
      <c r="GT571" s="18"/>
      <c r="GU571" s="12"/>
      <c r="HK571" s="12"/>
      <c r="HL571" s="13"/>
    </row>
    <row r="572" spans="8:221" ht="18" customHeight="1" x14ac:dyDescent="0.2">
      <c r="H572" s="4"/>
      <c r="DW572" s="5"/>
      <c r="FC572" s="12"/>
      <c r="FD572" s="13"/>
      <c r="FY572" s="18"/>
      <c r="FZ572" s="12"/>
      <c r="GK572" s="13"/>
      <c r="GS572" s="13"/>
      <c r="GT572" s="18"/>
      <c r="GU572" s="12"/>
      <c r="HK572" s="12"/>
      <c r="HL572" s="13"/>
    </row>
    <row r="573" spans="8:221" ht="18" customHeight="1" x14ac:dyDescent="0.2">
      <c r="H573" s="4"/>
      <c r="DW573" s="5"/>
      <c r="FC573" s="12"/>
      <c r="FD573" s="13"/>
      <c r="FY573" s="18"/>
      <c r="FZ573" s="12"/>
      <c r="GK573" s="13"/>
      <c r="GS573" s="13"/>
      <c r="GT573" s="18"/>
      <c r="GU573" s="12"/>
      <c r="HK573" s="12"/>
      <c r="HL573" s="13"/>
    </row>
    <row r="574" spans="8:221" ht="18" customHeight="1" x14ac:dyDescent="0.2">
      <c r="H574" s="4"/>
      <c r="DW574" s="5"/>
      <c r="FC574" s="12"/>
      <c r="FD574" s="13"/>
      <c r="FY574" s="18"/>
      <c r="FZ574" s="12"/>
      <c r="GK574" s="13"/>
      <c r="GS574" s="13"/>
      <c r="GT574" s="18"/>
      <c r="GU574" s="12"/>
      <c r="HK574" s="12"/>
      <c r="HL574" s="13"/>
    </row>
    <row r="575" spans="8:221" ht="18" customHeight="1" x14ac:dyDescent="0.2">
      <c r="H575" s="4"/>
      <c r="DW575" s="5"/>
      <c r="FC575" s="12"/>
      <c r="FD575" s="13"/>
      <c r="FY575" s="18"/>
      <c r="FZ575" s="12"/>
      <c r="GK575" s="13"/>
      <c r="GS575" s="13"/>
      <c r="GT575" s="18"/>
      <c r="GU575" s="12"/>
      <c r="HK575" s="12"/>
      <c r="HL575" s="13"/>
    </row>
    <row r="576" spans="8:221" ht="18" customHeight="1" x14ac:dyDescent="0.2">
      <c r="H576" s="4"/>
      <c r="DW576" s="5"/>
      <c r="FC576" s="12"/>
      <c r="FD576" s="13"/>
      <c r="FY576" s="18"/>
      <c r="FZ576" s="12"/>
      <c r="GK576" s="13"/>
      <c r="GS576" s="13"/>
      <c r="GT576" s="18"/>
      <c r="GU576" s="12"/>
      <c r="HK576" s="12"/>
      <c r="HL576" s="13"/>
    </row>
    <row r="577" spans="8:252" ht="18" customHeight="1" x14ac:dyDescent="0.2">
      <c r="H577" s="4"/>
      <c r="DW577" s="5"/>
      <c r="FC577" s="12"/>
      <c r="FD577" s="13"/>
      <c r="FY577" s="18"/>
      <c r="FZ577" s="12"/>
      <c r="GK577" s="13"/>
      <c r="GS577" s="13"/>
      <c r="GT577" s="18"/>
      <c r="GU577" s="12"/>
      <c r="HK577" s="12"/>
      <c r="HL577" s="13"/>
      <c r="ID577" s="9"/>
      <c r="IE577" s="11"/>
    </row>
    <row r="578" spans="8:252" ht="18" customHeight="1" x14ac:dyDescent="0.2">
      <c r="H578" s="4"/>
      <c r="DW578" s="5"/>
      <c r="FC578" s="12"/>
      <c r="FD578" s="13"/>
      <c r="FY578" s="18"/>
      <c r="FZ578" s="12"/>
      <c r="GK578" s="13"/>
      <c r="GS578" s="13"/>
      <c r="GT578" s="18"/>
      <c r="GU578" s="12"/>
      <c r="HK578" s="12"/>
      <c r="HL578" s="13"/>
      <c r="ID578" s="12"/>
      <c r="IE578" s="13"/>
    </row>
    <row r="579" spans="8:252" ht="18" customHeight="1" x14ac:dyDescent="0.2">
      <c r="H579" s="4"/>
      <c r="DW579" s="5"/>
      <c r="FC579" s="12"/>
      <c r="FD579" s="13"/>
      <c r="FY579" s="18"/>
      <c r="FZ579" s="12"/>
      <c r="GK579" s="13"/>
      <c r="GS579" s="13"/>
      <c r="GT579" s="18"/>
      <c r="GU579" s="12"/>
      <c r="HK579" s="12"/>
      <c r="HL579" s="13"/>
      <c r="ID579" s="12"/>
      <c r="IE579" s="13"/>
    </row>
    <row r="580" spans="8:252" ht="18" customHeight="1" x14ac:dyDescent="0.2">
      <c r="H580" s="4"/>
      <c r="DW580" s="5"/>
      <c r="FC580" s="12"/>
      <c r="FD580" s="13"/>
      <c r="FY580" s="18"/>
      <c r="FZ580" s="12"/>
      <c r="GK580" s="13"/>
      <c r="GS580" s="13"/>
      <c r="GT580" s="18"/>
      <c r="GU580" s="12"/>
      <c r="HK580" s="12"/>
      <c r="HL580" s="13"/>
      <c r="ID580" s="12"/>
      <c r="IE580" s="13"/>
    </row>
    <row r="581" spans="8:252" ht="18" customHeight="1" x14ac:dyDescent="0.2">
      <c r="H581" s="4"/>
      <c r="DW581" s="5"/>
      <c r="FC581" s="12"/>
      <c r="FD581" s="13"/>
      <c r="FY581" s="18"/>
      <c r="FZ581" s="12"/>
      <c r="GK581" s="13"/>
      <c r="GS581" s="13"/>
      <c r="GT581" s="18"/>
      <c r="GU581" s="12"/>
      <c r="HK581" s="12"/>
      <c r="HL581" s="13"/>
      <c r="ID581" s="12"/>
      <c r="IE581" s="13"/>
    </row>
    <row r="582" spans="8:252" ht="18" customHeight="1" x14ac:dyDescent="0.2">
      <c r="H582" s="4"/>
      <c r="DW582" s="5"/>
      <c r="FC582" s="12"/>
      <c r="FD582" s="13"/>
      <c r="FY582" s="18"/>
      <c r="FZ582" s="12"/>
      <c r="GK582" s="13"/>
      <c r="GS582" s="13"/>
      <c r="GT582" s="18"/>
      <c r="GU582" s="12"/>
      <c r="HK582" s="12"/>
      <c r="HL582" s="13"/>
      <c r="ID582" s="12"/>
      <c r="IE582" s="13"/>
    </row>
    <row r="583" spans="8:252" ht="18" customHeight="1" x14ac:dyDescent="0.2">
      <c r="H583" s="4"/>
      <c r="S583" s="9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  <c r="AY583" s="10"/>
      <c r="AZ583" s="10"/>
      <c r="BA583" s="10"/>
      <c r="BB583" s="10"/>
      <c r="BC583" s="10"/>
      <c r="BD583" s="10"/>
      <c r="BE583" s="10"/>
      <c r="BF583" s="10"/>
      <c r="BG583" s="10"/>
      <c r="BH583" s="10"/>
      <c r="BI583" s="10"/>
      <c r="BJ583" s="10"/>
      <c r="BK583" s="10"/>
      <c r="BL583" s="10"/>
      <c r="BM583" s="10"/>
      <c r="BN583" s="10"/>
      <c r="BO583" s="11"/>
      <c r="DW583" s="5"/>
      <c r="FC583" s="12"/>
      <c r="FD583" s="13"/>
      <c r="FY583" s="18"/>
      <c r="FZ583" s="12"/>
      <c r="GK583" s="13"/>
      <c r="GS583" s="13"/>
      <c r="GT583" s="18"/>
      <c r="GU583" s="12"/>
      <c r="HK583" s="12"/>
      <c r="HL583" s="13"/>
      <c r="ID583" s="12"/>
      <c r="IE583" s="13"/>
      <c r="IG583" s="17"/>
    </row>
    <row r="584" spans="8:252" ht="18" customHeight="1" x14ac:dyDescent="0.2">
      <c r="H584" s="4"/>
      <c r="S584" s="12"/>
      <c r="BO584" s="13"/>
      <c r="DW584" s="5"/>
      <c r="FC584" s="12"/>
      <c r="FD584" s="13"/>
      <c r="FY584" s="18"/>
      <c r="FZ584" s="12"/>
      <c r="GK584" s="13"/>
      <c r="GS584" s="13"/>
      <c r="GT584" s="18"/>
      <c r="GU584" s="12"/>
      <c r="HK584" s="12"/>
      <c r="HL584" s="13"/>
      <c r="ID584" s="12"/>
      <c r="IE584" s="13"/>
      <c r="IG584" s="18"/>
    </row>
    <row r="585" spans="8:252" ht="18" customHeight="1" x14ac:dyDescent="0.2">
      <c r="H585" s="4"/>
      <c r="S585" s="12"/>
      <c r="U585" s="9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1"/>
      <c r="AU585" s="10"/>
      <c r="AV585" s="9"/>
      <c r="AW585" s="10"/>
      <c r="AX585" s="10"/>
      <c r="AY585" s="10"/>
      <c r="AZ585" s="11"/>
      <c r="BA585" s="10"/>
      <c r="BB585" s="10"/>
      <c r="BC585" s="10"/>
      <c r="BD585" s="10"/>
      <c r="BE585" s="11"/>
      <c r="BF585" s="9"/>
      <c r="BG585" s="10"/>
      <c r="BH585" s="10"/>
      <c r="BI585" s="10"/>
      <c r="BJ585" s="10"/>
      <c r="BK585" s="10"/>
      <c r="BL585" s="10"/>
      <c r="BM585" s="11"/>
      <c r="BO585" s="13"/>
      <c r="DW585" s="5"/>
      <c r="FC585" s="12"/>
      <c r="FD585" s="13"/>
      <c r="FY585" s="18"/>
      <c r="FZ585" s="12"/>
      <c r="GK585" s="13"/>
      <c r="GS585" s="13"/>
      <c r="GT585" s="18"/>
      <c r="GU585" s="12"/>
      <c r="HK585" s="12"/>
      <c r="HL585" s="13"/>
      <c r="ID585" s="12"/>
      <c r="IE585" s="13"/>
      <c r="IG585" s="18"/>
    </row>
    <row r="586" spans="8:252" ht="18" customHeight="1" x14ac:dyDescent="0.2">
      <c r="H586" s="4"/>
      <c r="S586" s="12"/>
      <c r="U586" s="12"/>
      <c r="AT586" s="13"/>
      <c r="AV586" s="12"/>
      <c r="AZ586" s="13"/>
      <c r="BE586" s="13"/>
      <c r="BF586" s="12"/>
      <c r="BM586" s="13"/>
      <c r="BO586" s="13"/>
      <c r="DW586" s="5"/>
      <c r="FC586" s="12"/>
      <c r="FD586" s="13"/>
      <c r="FY586" s="18"/>
      <c r="FZ586" s="12"/>
      <c r="GK586" s="13"/>
      <c r="GS586" s="13"/>
      <c r="GT586" s="18"/>
      <c r="GU586" s="12"/>
      <c r="HK586" s="12"/>
      <c r="HL586" s="13"/>
      <c r="ID586" s="12"/>
      <c r="IE586" s="13"/>
      <c r="IG586" s="18"/>
    </row>
    <row r="587" spans="8:252" ht="18" customHeight="1" x14ac:dyDescent="0.2">
      <c r="H587" s="4"/>
      <c r="S587" s="12"/>
      <c r="U587" s="12"/>
      <c r="AT587" s="13"/>
      <c r="AV587" s="12"/>
      <c r="AZ587" s="13"/>
      <c r="BE587" s="13"/>
      <c r="BF587" s="12"/>
      <c r="BM587" s="13"/>
      <c r="BO587" s="13"/>
      <c r="DW587" s="5"/>
      <c r="FC587" s="12"/>
      <c r="FD587" s="13"/>
      <c r="FY587" s="18"/>
      <c r="FZ587" s="12"/>
      <c r="GK587" s="13"/>
      <c r="GS587" s="13"/>
      <c r="GT587" s="18"/>
      <c r="GU587" s="12"/>
      <c r="HK587" s="12"/>
      <c r="HL587" s="13"/>
      <c r="ID587" s="12"/>
      <c r="IE587" s="13"/>
      <c r="IG587" s="18"/>
    </row>
    <row r="588" spans="8:252" ht="18" customHeight="1" x14ac:dyDescent="0.2">
      <c r="H588" s="4"/>
      <c r="S588" s="12"/>
      <c r="U588" s="12"/>
      <c r="AT588" s="13"/>
      <c r="AV588" s="12"/>
      <c r="AZ588" s="13"/>
      <c r="BE588" s="13"/>
      <c r="BF588" s="12"/>
      <c r="BM588" s="13"/>
      <c r="BO588" s="13"/>
      <c r="DW588" s="5"/>
      <c r="FC588" s="12"/>
      <c r="FD588" s="13"/>
      <c r="FE588" s="15"/>
      <c r="FF588" s="15"/>
      <c r="FG588" s="15"/>
      <c r="FH588" s="15"/>
      <c r="FI588" s="15"/>
      <c r="FJ588" s="15"/>
      <c r="FK588" s="15"/>
      <c r="FL588" s="15"/>
      <c r="FM588" s="15"/>
      <c r="FN588" s="15"/>
      <c r="FO588" s="15"/>
      <c r="FP588" s="15"/>
      <c r="FQ588" s="15"/>
      <c r="FR588" s="15"/>
      <c r="FS588" s="15"/>
      <c r="FT588" s="15"/>
      <c r="FU588" s="15"/>
      <c r="FV588" s="15"/>
      <c r="FW588" s="15"/>
      <c r="FX588" s="15"/>
      <c r="FY588" s="19"/>
      <c r="FZ588" s="14"/>
      <c r="GA588" s="15"/>
      <c r="GB588" s="15"/>
      <c r="GC588" s="15"/>
      <c r="GD588" s="15"/>
      <c r="GE588" s="15"/>
      <c r="GF588" s="15"/>
      <c r="GG588" s="15"/>
      <c r="GH588" s="15"/>
      <c r="GI588" s="15"/>
      <c r="GJ588" s="15"/>
      <c r="GK588" s="16"/>
      <c r="GL588" s="15"/>
      <c r="GM588" s="15"/>
      <c r="GN588" s="15"/>
      <c r="GO588" s="15"/>
      <c r="GP588" s="15"/>
      <c r="GQ588" s="15"/>
      <c r="GR588" s="15"/>
      <c r="GS588" s="16"/>
      <c r="GT588" s="19"/>
      <c r="GU588" s="14"/>
      <c r="GV588" s="15"/>
      <c r="GW588" s="15"/>
      <c r="GX588" s="15"/>
      <c r="GY588" s="15"/>
      <c r="GZ588" s="15"/>
      <c r="HA588" s="15"/>
      <c r="HB588" s="15"/>
      <c r="HC588" s="15"/>
      <c r="HD588" s="15"/>
      <c r="HE588" s="15"/>
      <c r="HF588" s="15"/>
      <c r="HG588" s="15"/>
      <c r="HH588" s="15"/>
      <c r="HI588" s="15"/>
      <c r="HJ588" s="15"/>
      <c r="HK588" s="12"/>
      <c r="HL588" s="13"/>
      <c r="ID588" s="12"/>
      <c r="IE588" s="13"/>
      <c r="IG588" s="18"/>
    </row>
    <row r="589" spans="8:252" ht="18" customHeight="1" x14ac:dyDescent="0.2">
      <c r="H589" s="4"/>
      <c r="S589" s="12"/>
      <c r="U589" s="12"/>
      <c r="AT589" s="13"/>
      <c r="AV589" s="14"/>
      <c r="AW589" s="15"/>
      <c r="AX589" s="15"/>
      <c r="AY589" s="15"/>
      <c r="AZ589" s="16"/>
      <c r="BA589" s="15"/>
      <c r="BB589" s="15"/>
      <c r="BC589" s="15"/>
      <c r="BD589" s="15"/>
      <c r="BE589" s="16"/>
      <c r="BF589" s="12"/>
      <c r="BM589" s="13"/>
      <c r="BO589" s="13"/>
      <c r="DW589" s="5"/>
      <c r="FC589" s="12"/>
      <c r="FD589" s="13"/>
      <c r="FE589" s="10"/>
      <c r="FF589" s="10"/>
      <c r="FG589" s="10"/>
      <c r="FH589" s="10"/>
      <c r="FI589" s="10"/>
      <c r="FJ589" s="10"/>
      <c r="FK589" s="10"/>
      <c r="FL589" s="10"/>
      <c r="FM589" s="10"/>
      <c r="FN589" s="10"/>
      <c r="FO589" s="10"/>
      <c r="FP589" s="10"/>
      <c r="FQ589" s="10"/>
      <c r="FR589" s="10"/>
      <c r="FS589" s="10"/>
      <c r="FT589" s="10"/>
      <c r="FU589" s="10"/>
      <c r="FV589" s="10"/>
      <c r="FW589" s="10"/>
      <c r="FX589" s="10"/>
      <c r="FY589" s="10"/>
      <c r="FZ589" s="10"/>
      <c r="GA589" s="10"/>
      <c r="GB589" s="10"/>
      <c r="GC589" s="10"/>
      <c r="GD589" s="10"/>
      <c r="GE589" s="10"/>
      <c r="GF589" s="10"/>
      <c r="GG589" s="10"/>
      <c r="GH589" s="10"/>
      <c r="GI589" s="10"/>
      <c r="GJ589" s="10"/>
      <c r="GK589" s="10"/>
      <c r="GL589" s="10"/>
      <c r="GM589" s="10"/>
      <c r="GN589" s="10"/>
      <c r="GO589" s="10"/>
      <c r="GP589" s="10"/>
      <c r="GQ589" s="10"/>
      <c r="GR589" s="10"/>
      <c r="GS589" s="10"/>
      <c r="GT589" s="10"/>
      <c r="GU589" s="10"/>
      <c r="GV589" s="10"/>
      <c r="GW589" s="10"/>
      <c r="GX589" s="10"/>
      <c r="GY589" s="10"/>
      <c r="GZ589" s="10"/>
      <c r="HA589" s="10"/>
      <c r="HB589" s="10"/>
      <c r="HC589" s="10"/>
      <c r="HD589" s="10"/>
      <c r="HE589" s="10"/>
      <c r="HF589" s="10"/>
      <c r="HG589" s="10"/>
      <c r="HH589" s="10"/>
      <c r="HI589" s="10"/>
      <c r="HJ589" s="10"/>
      <c r="HK589" s="12"/>
      <c r="HL589" s="13"/>
      <c r="HM589" s="10"/>
      <c r="HN589" s="10"/>
      <c r="HO589" s="10"/>
      <c r="HP589" s="10"/>
      <c r="HQ589" s="10"/>
      <c r="HR589" s="10"/>
      <c r="HS589" s="10"/>
      <c r="HT589" s="10"/>
      <c r="HU589" s="10"/>
      <c r="HV589" s="10"/>
      <c r="HW589" s="10"/>
      <c r="HX589" s="10"/>
      <c r="HY589" s="10"/>
      <c r="HZ589" s="10"/>
      <c r="IA589" s="10"/>
      <c r="IB589" s="10"/>
      <c r="IC589" s="10"/>
      <c r="ID589" s="10"/>
      <c r="IE589" s="10"/>
      <c r="IF589" s="10"/>
      <c r="IG589" s="11"/>
    </row>
    <row r="590" spans="8:252" ht="18" customHeight="1" x14ac:dyDescent="0.2">
      <c r="H590" s="4"/>
      <c r="S590" s="12"/>
      <c r="U590" s="12"/>
      <c r="AT590" s="13"/>
      <c r="AV590" s="12"/>
      <c r="BF590" s="12"/>
      <c r="BM590" s="13"/>
      <c r="BO590" s="13"/>
      <c r="DW590" s="5"/>
      <c r="FC590" s="12"/>
      <c r="FD590" s="13"/>
      <c r="HK590" s="12"/>
      <c r="HL590" s="13"/>
      <c r="IG590" s="13"/>
    </row>
    <row r="591" spans="8:252" ht="18" customHeight="1" x14ac:dyDescent="0.2">
      <c r="H591" s="4"/>
      <c r="S591" s="12"/>
      <c r="U591" s="12"/>
      <c r="AT591" s="13"/>
      <c r="AV591" s="12"/>
      <c r="BF591" s="12"/>
      <c r="BM591" s="13"/>
      <c r="BO591" s="13"/>
      <c r="DW591" s="5"/>
      <c r="FC591" s="12"/>
      <c r="FD591" s="13"/>
      <c r="HK591" s="12"/>
      <c r="HL591" s="13"/>
      <c r="IG591" s="13"/>
    </row>
    <row r="592" spans="8:252" ht="18" customHeight="1" thickBot="1" x14ac:dyDescent="0.25">
      <c r="H592" s="4"/>
      <c r="S592" s="12"/>
      <c r="U592" s="12"/>
      <c r="AT592" s="13"/>
      <c r="AV592" s="12"/>
      <c r="BF592" s="12"/>
      <c r="BM592" s="13"/>
      <c r="BO592" s="13"/>
      <c r="DW592" s="5"/>
      <c r="ER592" s="7"/>
      <c r="ES592" s="7"/>
      <c r="ET592" s="7"/>
      <c r="EU592" s="7"/>
      <c r="EV592" s="7"/>
      <c r="EW592" s="7"/>
      <c r="EX592" s="7"/>
      <c r="EY592" s="7"/>
      <c r="EZ592" s="7"/>
      <c r="FA592" s="7"/>
      <c r="FB592" s="7"/>
      <c r="FC592" s="12"/>
      <c r="FD592" s="13"/>
      <c r="FE592" s="7"/>
      <c r="FF592" s="7"/>
      <c r="FG592" s="7"/>
      <c r="FH592" s="7"/>
      <c r="FI592" s="7"/>
      <c r="FJ592" s="7"/>
      <c r="FK592" s="7"/>
      <c r="FL592" s="7"/>
      <c r="FM592" s="7"/>
      <c r="FN592" s="7"/>
      <c r="FO592" s="7"/>
      <c r="FP592" s="7"/>
      <c r="FQ592" s="7"/>
      <c r="FR592" s="7"/>
      <c r="FS592" s="7"/>
      <c r="FT592" s="7"/>
      <c r="FU592" s="7"/>
      <c r="FV592" s="7"/>
      <c r="FW592" s="7"/>
      <c r="FX592" s="7"/>
      <c r="FY592" s="7"/>
      <c r="FZ592" s="7"/>
      <c r="GA592" s="7"/>
      <c r="GB592" s="7"/>
      <c r="GC592" s="7"/>
      <c r="GD592" s="7"/>
      <c r="GE592" s="7"/>
      <c r="GF592" s="7"/>
      <c r="GG592" s="7"/>
      <c r="GH592" s="7"/>
      <c r="GI592" s="7"/>
      <c r="GJ592" s="7"/>
      <c r="GK592" s="7"/>
      <c r="GL592" s="7"/>
      <c r="GM592" s="7"/>
      <c r="GN592" s="7"/>
      <c r="GO592" s="7"/>
      <c r="GP592" s="7"/>
      <c r="GQ592" s="7"/>
      <c r="GR592" s="7"/>
      <c r="GS592" s="7"/>
      <c r="GT592" s="7"/>
      <c r="GU592" s="7"/>
      <c r="GV592" s="7"/>
      <c r="GW592" s="7"/>
      <c r="GX592" s="7"/>
      <c r="GY592" s="7"/>
      <c r="GZ592" s="7"/>
      <c r="HA592" s="7"/>
      <c r="HB592" s="7"/>
      <c r="HC592" s="7"/>
      <c r="HD592" s="7"/>
      <c r="HE592" s="7"/>
      <c r="HF592" s="7"/>
      <c r="HG592" s="7"/>
      <c r="HH592" s="7"/>
      <c r="HI592" s="7"/>
      <c r="HJ592" s="7"/>
      <c r="HK592" s="12"/>
      <c r="HL592" s="13"/>
      <c r="HM592" s="7"/>
      <c r="HN592" s="7"/>
      <c r="HO592" s="7"/>
      <c r="HP592" s="7"/>
      <c r="HQ592" s="7"/>
      <c r="HR592" s="7"/>
      <c r="HS592" s="7"/>
      <c r="HT592" s="7"/>
      <c r="HU592" s="7"/>
      <c r="HV592" s="7"/>
      <c r="HW592" s="7"/>
      <c r="HX592" s="7"/>
      <c r="HY592" s="7"/>
      <c r="HZ592" s="7"/>
      <c r="IA592" s="7"/>
      <c r="IB592" s="7"/>
      <c r="IC592" s="7"/>
      <c r="ID592" s="7"/>
      <c r="IE592" s="7"/>
      <c r="IF592" s="7"/>
      <c r="IG592" s="180"/>
      <c r="IH592" s="7"/>
      <c r="II592" s="7"/>
      <c r="IJ592" s="7"/>
      <c r="IK592" s="7"/>
      <c r="IL592" s="7"/>
      <c r="IM592" s="7"/>
      <c r="IN592" s="7"/>
      <c r="IO592" s="7"/>
      <c r="IP592" s="7"/>
      <c r="IQ592" s="7"/>
      <c r="IR592" s="7"/>
    </row>
    <row r="593" spans="8:220" ht="18" customHeight="1" x14ac:dyDescent="0.2">
      <c r="H593" s="4"/>
      <c r="S593" s="12"/>
      <c r="U593" s="12"/>
      <c r="AT593" s="13"/>
      <c r="AV593" s="12"/>
      <c r="BF593" s="12"/>
      <c r="BM593" s="13"/>
      <c r="BO593" s="13"/>
      <c r="BQ593" s="15"/>
      <c r="BR593" s="15"/>
      <c r="BS593" s="15"/>
      <c r="BT593" s="15"/>
      <c r="BU593" s="15"/>
      <c r="BV593" s="15"/>
      <c r="BW593" s="15"/>
      <c r="BX593" s="15"/>
      <c r="BY593" s="15"/>
      <c r="BZ593" s="15"/>
      <c r="CA593" s="15"/>
      <c r="CB593" s="15"/>
      <c r="CC593" s="15"/>
      <c r="CD593" s="15"/>
      <c r="DW593" s="5"/>
      <c r="FC593" s="12"/>
      <c r="FD593" s="13"/>
      <c r="HK593" s="12"/>
      <c r="HL593" s="13"/>
    </row>
    <row r="594" spans="8:220" ht="18" customHeight="1" x14ac:dyDescent="0.2">
      <c r="H594" s="4"/>
      <c r="S594" s="12"/>
      <c r="U594" s="12"/>
      <c r="AT594" s="13"/>
      <c r="AV594" s="14"/>
      <c r="AW594" s="15"/>
      <c r="AX594" s="15"/>
      <c r="AY594" s="15"/>
      <c r="AZ594" s="15"/>
      <c r="BA594" s="15"/>
      <c r="BB594" s="15"/>
      <c r="BC594" s="15"/>
      <c r="BD594" s="15"/>
      <c r="BE594" s="15"/>
      <c r="BF594" s="14"/>
      <c r="BG594" s="15"/>
      <c r="BH594" s="15"/>
      <c r="BI594" s="15"/>
      <c r="BJ594" s="15"/>
      <c r="BK594" s="15"/>
      <c r="BL594" s="15"/>
      <c r="BM594" s="16"/>
      <c r="BP594" s="10"/>
      <c r="BU594" s="20"/>
      <c r="BV594" s="21"/>
      <c r="BW594" s="21"/>
      <c r="BX594" s="21"/>
      <c r="BY594" s="21"/>
      <c r="BZ594" s="22"/>
      <c r="CD594" s="11"/>
      <c r="DW594" s="5"/>
      <c r="FC594" s="12"/>
      <c r="FD594" s="13"/>
      <c r="HK594" s="12"/>
      <c r="HL594" s="13"/>
    </row>
    <row r="595" spans="8:220" ht="18" customHeight="1" x14ac:dyDescent="0.2">
      <c r="H595" s="4"/>
      <c r="S595" s="12"/>
      <c r="U595" s="12"/>
      <c r="AT595" s="13"/>
      <c r="AV595" s="15"/>
      <c r="AW595" s="15"/>
      <c r="AX595" s="100"/>
      <c r="AY595" s="100"/>
      <c r="AZ595" s="100"/>
      <c r="BA595" s="100"/>
      <c r="BB595" s="100"/>
      <c r="BC595" s="15"/>
      <c r="BD595" s="15"/>
      <c r="BE595" s="15"/>
      <c r="BF595" s="15"/>
      <c r="BG595" s="15"/>
      <c r="BH595" s="15"/>
      <c r="BI595" s="15"/>
      <c r="BJ595" s="15"/>
      <c r="BK595" s="15"/>
      <c r="BL595" s="15"/>
      <c r="BM595" s="15"/>
      <c r="BN595" s="15"/>
      <c r="BO595" s="15"/>
      <c r="BQ595" s="15"/>
      <c r="BR595" s="15"/>
      <c r="BS595" s="15"/>
      <c r="BT595" s="15"/>
      <c r="BU595" s="20"/>
      <c r="BV595" s="21"/>
      <c r="BW595" s="21"/>
      <c r="BX595" s="21"/>
      <c r="BY595" s="21"/>
      <c r="BZ595" s="22"/>
      <c r="CD595" s="13"/>
      <c r="DW595" s="5"/>
      <c r="FC595" s="12"/>
      <c r="FD595" s="13"/>
      <c r="HK595" s="12"/>
      <c r="HL595" s="13"/>
    </row>
    <row r="596" spans="8:220" ht="18" customHeight="1" x14ac:dyDescent="0.2">
      <c r="H596" s="4"/>
      <c r="S596" s="12"/>
      <c r="U596" s="12"/>
      <c r="AT596" s="13"/>
      <c r="AV596" s="9"/>
      <c r="AW596" s="10"/>
      <c r="AX596" s="10"/>
      <c r="AY596" s="10"/>
      <c r="AZ596" s="10"/>
      <c r="BA596" s="10"/>
      <c r="BB596" s="10"/>
      <c r="BC596" s="10"/>
      <c r="BD596" s="10"/>
      <c r="BE596" t="s">
        <v>45</v>
      </c>
      <c r="BF596" s="10"/>
      <c r="BG596" s="10"/>
      <c r="BH596" s="10"/>
      <c r="BI596" s="10"/>
      <c r="BJ596" s="10"/>
      <c r="BK596" s="10"/>
      <c r="BL596" s="10"/>
      <c r="BM596" s="10"/>
      <c r="BN596" s="10"/>
      <c r="BO596" s="10"/>
      <c r="BP596" s="10"/>
      <c r="BQ596" s="10"/>
      <c r="BR596" s="10"/>
      <c r="BS596" s="10"/>
      <c r="BT596" s="10"/>
      <c r="BU596" s="10"/>
      <c r="BV596" s="10"/>
      <c r="BW596" s="10"/>
      <c r="BX596" s="10"/>
      <c r="BY596" s="10"/>
      <c r="BZ596" s="10"/>
      <c r="CA596" s="10"/>
      <c r="CB596" s="11"/>
      <c r="CD596" s="13"/>
      <c r="DW596" s="5"/>
      <c r="FC596" s="14"/>
      <c r="FD596" s="16"/>
      <c r="HK596" s="14"/>
      <c r="HL596" s="16"/>
    </row>
    <row r="597" spans="8:220" ht="18" customHeight="1" x14ac:dyDescent="0.2">
      <c r="H597" s="4"/>
      <c r="S597" s="12"/>
      <c r="U597" s="12"/>
      <c r="AT597" s="13"/>
      <c r="AV597" s="12"/>
      <c r="CB597" s="13"/>
      <c r="CD597" s="13"/>
      <c r="DW597" s="5"/>
    </row>
    <row r="598" spans="8:220" ht="18" customHeight="1" x14ac:dyDescent="0.2">
      <c r="H598" s="4"/>
      <c r="S598" s="12"/>
      <c r="U598" s="12"/>
      <c r="AT598" s="13"/>
      <c r="AV598" s="12"/>
      <c r="CB598" s="13"/>
      <c r="CD598" s="13"/>
      <c r="DW598" s="5"/>
    </row>
    <row r="599" spans="8:220" ht="18" customHeight="1" x14ac:dyDescent="0.2">
      <c r="H599" s="4"/>
      <c r="S599" s="12"/>
      <c r="U599" s="12"/>
      <c r="AT599" s="13"/>
      <c r="AU599" s="127"/>
      <c r="AV599" s="12"/>
      <c r="CB599" s="13"/>
      <c r="CD599" s="13"/>
      <c r="DW599" s="5"/>
    </row>
    <row r="600" spans="8:220" ht="18" customHeight="1" x14ac:dyDescent="0.2">
      <c r="H600" s="4"/>
      <c r="S600" s="12"/>
      <c r="U600" s="12"/>
      <c r="AT600" s="13"/>
      <c r="AU600" s="127"/>
      <c r="AV600" s="12"/>
      <c r="CB600" s="13"/>
      <c r="CD600" s="13"/>
      <c r="DW600" s="5"/>
    </row>
    <row r="601" spans="8:220" ht="18" customHeight="1" x14ac:dyDescent="0.2">
      <c r="H601" s="4"/>
      <c r="S601" s="12"/>
      <c r="U601" s="12"/>
      <c r="AT601" s="13"/>
      <c r="AU601" s="127"/>
      <c r="AV601" s="12"/>
      <c r="BY601" s="9"/>
      <c r="BZ601" s="10"/>
      <c r="CA601" s="10"/>
      <c r="CB601" s="11"/>
      <c r="CD601" s="13"/>
      <c r="DW601" s="5"/>
    </row>
    <row r="602" spans="8:220" ht="18" customHeight="1" x14ac:dyDescent="0.2">
      <c r="H602" s="4"/>
      <c r="S602" s="12"/>
      <c r="U602" s="12"/>
      <c r="AT602" s="13"/>
      <c r="AU602" s="127"/>
      <c r="AV602" s="12"/>
      <c r="BY602" s="12"/>
      <c r="CB602" s="13"/>
      <c r="CD602" s="13"/>
      <c r="DW602" s="5"/>
    </row>
    <row r="603" spans="8:220" ht="18" customHeight="1" x14ac:dyDescent="0.2">
      <c r="H603" s="4"/>
      <c r="S603" s="12"/>
      <c r="U603" s="12"/>
      <c r="AT603" s="13"/>
      <c r="AU603" s="127"/>
      <c r="AV603" s="12"/>
      <c r="BS603" s="9"/>
      <c r="BT603" s="10"/>
      <c r="BU603" s="10"/>
      <c r="BV603" s="11"/>
      <c r="BY603" s="12"/>
      <c r="CB603" s="13"/>
      <c r="CD603" s="13"/>
      <c r="DW603" s="5"/>
    </row>
    <row r="604" spans="8:220" ht="18" customHeight="1" x14ac:dyDescent="0.2">
      <c r="H604" s="4"/>
      <c r="S604" s="12"/>
      <c r="U604" s="12"/>
      <c r="AT604" s="13"/>
      <c r="AU604" s="127"/>
      <c r="AV604" s="12"/>
      <c r="BS604" s="12"/>
      <c r="BV604" s="13"/>
      <c r="BY604" s="12"/>
      <c r="CB604" s="13"/>
      <c r="CD604" s="13"/>
      <c r="DW604" s="5"/>
    </row>
    <row r="605" spans="8:220" ht="18" customHeight="1" x14ac:dyDescent="0.2">
      <c r="H605" s="4"/>
      <c r="S605" s="12"/>
      <c r="U605" s="14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  <c r="AG605" s="15"/>
      <c r="AH605" s="15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  <c r="AS605" s="15"/>
      <c r="AT605" s="16"/>
      <c r="AV605" s="14"/>
      <c r="AW605" s="15"/>
      <c r="AX605" s="15"/>
      <c r="AY605" s="15"/>
      <c r="AZ605" s="15"/>
      <c r="BA605" s="15"/>
      <c r="BB605" s="15"/>
      <c r="BC605" s="15"/>
      <c r="BD605" s="15"/>
      <c r="BS605" s="12"/>
      <c r="BV605" s="13"/>
      <c r="BY605" s="12"/>
      <c r="CB605" s="13"/>
      <c r="CD605" s="13"/>
      <c r="DV605" s="9"/>
      <c r="DW605" s="11"/>
    </row>
    <row r="606" spans="8:220" ht="18" customHeight="1" x14ac:dyDescent="0.2">
      <c r="H606" s="4"/>
      <c r="S606" s="12"/>
      <c r="Y606" s="127"/>
      <c r="Z606" s="127"/>
      <c r="AA606" s="127"/>
      <c r="AB606" s="127"/>
      <c r="AC606" s="127"/>
      <c r="AW606" s="127"/>
      <c r="AX606" s="127"/>
      <c r="AY606" s="127"/>
      <c r="AZ606" s="127"/>
      <c r="BA606" s="127"/>
      <c r="BB606" s="127"/>
      <c r="BE606" s="12"/>
      <c r="BS606" s="14"/>
      <c r="BT606" s="15"/>
      <c r="BU606" s="15"/>
      <c r="BV606" s="16"/>
      <c r="BY606" s="12"/>
      <c r="CB606" s="13"/>
      <c r="CD606" s="13"/>
      <c r="DV606" s="12"/>
      <c r="DW606" s="13"/>
    </row>
    <row r="607" spans="8:220" ht="18" customHeight="1" x14ac:dyDescent="0.2">
      <c r="H607" s="4"/>
      <c r="S607" s="12"/>
      <c r="U607" s="9"/>
      <c r="V607" s="10"/>
      <c r="W607" s="10"/>
      <c r="X607" s="10"/>
      <c r="Y607" s="10"/>
      <c r="Z607" s="10"/>
      <c r="AA607" s="10"/>
      <c r="AB607" s="10"/>
      <c r="AC607" s="10"/>
      <c r="AD607" s="11"/>
      <c r="AF607" s="9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  <c r="AY607" s="10"/>
      <c r="AZ607" s="10"/>
      <c r="BA607" s="10"/>
      <c r="BB607" s="10"/>
      <c r="BC607" s="11"/>
      <c r="BE607" s="12"/>
      <c r="BY607" s="12"/>
      <c r="CB607" s="13"/>
      <c r="CD607" s="13"/>
      <c r="CH607" s="9"/>
      <c r="CI607" s="10"/>
      <c r="CJ607" s="10"/>
      <c r="CK607" s="10"/>
      <c r="CL607" s="10"/>
      <c r="CM607" s="11"/>
      <c r="CN607" s="10"/>
      <c r="CO607" s="10"/>
      <c r="CP607" s="10"/>
      <c r="CQ607" s="10"/>
      <c r="CR607" s="10"/>
      <c r="CS607" s="10"/>
      <c r="CT607" s="10"/>
      <c r="CU607" s="10"/>
      <c r="CV607" s="10"/>
      <c r="CW607" s="10"/>
      <c r="CX607" s="10"/>
      <c r="CY607" s="10"/>
      <c r="CZ607" s="10"/>
      <c r="DA607" s="10"/>
      <c r="DB607" s="10"/>
      <c r="DC607" s="10"/>
      <c r="DD607" s="10"/>
      <c r="DE607" s="10"/>
      <c r="DF607" s="11"/>
      <c r="DV607" s="12"/>
      <c r="DW607" s="13"/>
    </row>
    <row r="608" spans="8:220" ht="18" customHeight="1" x14ac:dyDescent="0.2">
      <c r="H608" s="4"/>
      <c r="S608" s="12"/>
      <c r="U608" s="12"/>
      <c r="AD608" s="13"/>
      <c r="AF608" s="12"/>
      <c r="BC608" s="13"/>
      <c r="BE608" s="12"/>
      <c r="BY608" s="14"/>
      <c r="BZ608" s="15"/>
      <c r="CA608" s="15"/>
      <c r="CB608" s="16"/>
      <c r="CD608" s="13"/>
      <c r="CH608" s="12"/>
      <c r="CM608" s="13"/>
      <c r="DF608" s="13"/>
      <c r="DV608" s="12"/>
      <c r="DW608" s="13"/>
    </row>
    <row r="609" spans="8:127" ht="18" customHeight="1" x14ac:dyDescent="0.2">
      <c r="H609" s="4"/>
      <c r="S609" s="12"/>
      <c r="U609" s="12"/>
      <c r="AD609" s="13"/>
      <c r="AF609" s="12"/>
      <c r="BC609" s="13"/>
      <c r="BE609" s="14"/>
      <c r="BF609" s="15"/>
      <c r="CB609" s="13"/>
      <c r="CD609" s="13"/>
      <c r="CH609" s="12"/>
      <c r="CM609" s="13"/>
      <c r="DF609" s="13"/>
      <c r="DV609" s="12"/>
      <c r="DW609" s="13"/>
    </row>
    <row r="610" spans="8:127" ht="18" customHeight="1" x14ac:dyDescent="0.2">
      <c r="H610" s="4"/>
      <c r="S610" s="12"/>
      <c r="U610" s="12"/>
      <c r="AD610" s="13"/>
      <c r="AF610" s="12"/>
      <c r="BC610" s="13"/>
      <c r="BE610" s="9"/>
      <c r="BF610" s="10"/>
      <c r="BG610" s="11"/>
      <c r="CB610" s="13"/>
      <c r="CD610" s="13"/>
      <c r="CH610" s="12"/>
      <c r="CM610" s="13"/>
      <c r="DF610" s="13"/>
      <c r="DV610" s="12"/>
      <c r="DW610" s="13"/>
    </row>
    <row r="611" spans="8:127" ht="18" customHeight="1" x14ac:dyDescent="0.2">
      <c r="H611" s="4"/>
      <c r="S611" s="12"/>
      <c r="U611" s="14"/>
      <c r="V611" s="15"/>
      <c r="W611" s="15"/>
      <c r="X611" s="15"/>
      <c r="Y611" s="15"/>
      <c r="Z611" s="15"/>
      <c r="AA611" s="15"/>
      <c r="AB611" s="15"/>
      <c r="AC611" s="15"/>
      <c r="AD611" s="16"/>
      <c r="AF611" s="12"/>
      <c r="BC611" s="13"/>
      <c r="BE611" s="12"/>
      <c r="BG611" s="13"/>
      <c r="CB611" s="13"/>
      <c r="CD611" s="13"/>
      <c r="CH611" s="12"/>
      <c r="CM611" s="13"/>
      <c r="DF611" s="13"/>
      <c r="DV611" s="12"/>
      <c r="DW611" s="13"/>
    </row>
    <row r="612" spans="8:127" ht="18" customHeight="1" x14ac:dyDescent="0.2">
      <c r="H612" s="4"/>
      <c r="S612" s="12"/>
      <c r="U612" s="12"/>
      <c r="Z612" s="12"/>
      <c r="AD612" s="13"/>
      <c r="AF612" s="12"/>
      <c r="BC612" s="13"/>
      <c r="BE612" s="14"/>
      <c r="BF612" s="15"/>
      <c r="BG612" s="16"/>
      <c r="CB612" s="13"/>
      <c r="CD612" s="13"/>
      <c r="CE612" s="12"/>
      <c r="CH612" s="12"/>
      <c r="CM612" s="13"/>
      <c r="DF612" s="13"/>
      <c r="DV612" s="12"/>
      <c r="DW612" s="13"/>
    </row>
    <row r="613" spans="8:127" ht="18" customHeight="1" x14ac:dyDescent="0.2">
      <c r="H613" s="4"/>
      <c r="S613" s="12"/>
      <c r="U613" s="12"/>
      <c r="Z613" s="12"/>
      <c r="AD613" s="13"/>
      <c r="AF613" s="12"/>
      <c r="BC613" s="13"/>
      <c r="BE613" s="9"/>
      <c r="BF613" s="10"/>
      <c r="BG613" s="10"/>
      <c r="BH613" s="10"/>
      <c r="BI613" s="10"/>
      <c r="BJ613" s="11"/>
      <c r="CB613" s="13"/>
      <c r="CD613" s="13"/>
      <c r="CH613" s="12"/>
      <c r="CM613" s="13"/>
      <c r="DF613" s="13"/>
      <c r="DV613" s="12"/>
      <c r="DW613" s="13"/>
    </row>
    <row r="614" spans="8:127" ht="18" customHeight="1" x14ac:dyDescent="0.2">
      <c r="H614" s="4"/>
      <c r="S614" s="12"/>
      <c r="U614" s="12"/>
      <c r="Z614" s="12"/>
      <c r="AD614" s="13"/>
      <c r="AF614" s="12"/>
      <c r="BC614" s="13"/>
      <c r="BE614" s="9"/>
      <c r="BF614" s="11"/>
      <c r="BG614" s="10"/>
      <c r="BH614" s="10"/>
      <c r="BI614" s="10"/>
      <c r="BJ614" s="11"/>
      <c r="CB614" s="13"/>
      <c r="CD614" s="13"/>
      <c r="CH614" s="12"/>
      <c r="CM614" s="13"/>
      <c r="DF614" s="13"/>
      <c r="DV614" s="12"/>
      <c r="DW614" s="13"/>
    </row>
    <row r="615" spans="8:127" ht="18" customHeight="1" x14ac:dyDescent="0.2">
      <c r="H615" s="4"/>
      <c r="S615" s="12"/>
      <c r="U615" s="12"/>
      <c r="Z615" s="12"/>
      <c r="AD615" s="13"/>
      <c r="AF615" s="12"/>
      <c r="BC615" s="13"/>
      <c r="BE615" s="12"/>
      <c r="BF615" s="13"/>
      <c r="BJ615" s="13"/>
      <c r="BZ615" s="9"/>
      <c r="CA615" s="10"/>
      <c r="CB615" s="11"/>
      <c r="CD615" s="13"/>
      <c r="CH615" s="12"/>
      <c r="CM615" s="13"/>
      <c r="DF615" s="13"/>
      <c r="DV615" s="12"/>
      <c r="DW615" s="13"/>
    </row>
    <row r="616" spans="8:127" ht="18" customHeight="1" x14ac:dyDescent="0.2">
      <c r="H616" s="4"/>
      <c r="S616" s="12"/>
      <c r="U616" s="14"/>
      <c r="V616" s="15"/>
      <c r="W616" s="15"/>
      <c r="X616" s="15"/>
      <c r="Y616" s="15"/>
      <c r="Z616" s="14"/>
      <c r="AA616" s="15"/>
      <c r="AB616" s="15"/>
      <c r="AC616" s="15"/>
      <c r="AD616" s="13"/>
      <c r="AF616" s="12"/>
      <c r="BC616" s="13"/>
      <c r="BE616" s="12"/>
      <c r="BF616" s="13"/>
      <c r="BJ616" s="13"/>
      <c r="BZ616" s="12"/>
      <c r="CB616" s="17"/>
      <c r="CD616" s="13"/>
      <c r="CH616" s="12"/>
      <c r="CM616" s="13"/>
      <c r="DF616" s="13"/>
      <c r="DV616" s="12"/>
      <c r="DW616" s="13"/>
    </row>
    <row r="617" spans="8:127" ht="18" customHeight="1" x14ac:dyDescent="0.2">
      <c r="H617" s="4"/>
      <c r="S617" s="12"/>
      <c r="AC617" s="10"/>
      <c r="AD617" s="10"/>
      <c r="AE617" s="11"/>
      <c r="BC617" s="13"/>
      <c r="BE617" s="12"/>
      <c r="BF617" s="13"/>
      <c r="BJ617" s="13"/>
      <c r="BZ617" s="12"/>
      <c r="CB617" s="18"/>
      <c r="CD617" s="13"/>
      <c r="CH617" s="14"/>
      <c r="CI617" s="15"/>
      <c r="CJ617" s="15"/>
      <c r="CK617" s="15"/>
      <c r="CL617" s="15"/>
      <c r="CM617" s="16"/>
      <c r="CN617" s="15"/>
      <c r="CO617" s="15"/>
      <c r="CP617" s="15"/>
      <c r="CQ617" s="15"/>
      <c r="CR617" s="15"/>
      <c r="CS617" s="15"/>
      <c r="CT617" s="15"/>
      <c r="CU617" s="15"/>
      <c r="CV617" s="15"/>
      <c r="CW617" s="15"/>
      <c r="CX617" s="15"/>
      <c r="CY617" s="15"/>
      <c r="CZ617" s="15"/>
      <c r="DA617" s="15"/>
      <c r="DB617" s="15"/>
      <c r="DC617" s="15"/>
      <c r="DD617" s="15"/>
      <c r="DE617" s="15"/>
      <c r="DF617" s="16"/>
      <c r="DV617" s="12"/>
      <c r="DW617" s="13"/>
    </row>
    <row r="618" spans="8:127" ht="18" customHeight="1" x14ac:dyDescent="0.2">
      <c r="H618" s="4"/>
      <c r="S618" s="14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E618" s="13"/>
      <c r="BC618" s="13"/>
      <c r="BE618" s="12"/>
      <c r="BF618" s="13"/>
      <c r="BG618" s="15"/>
      <c r="BH618" s="15"/>
      <c r="BI618" s="15"/>
      <c r="BJ618" s="16"/>
      <c r="BZ618" s="12"/>
      <c r="CB618" s="18"/>
      <c r="CD618" s="13"/>
      <c r="DV618" s="12"/>
      <c r="DW618" s="13"/>
    </row>
    <row r="619" spans="8:127" ht="18" customHeight="1" x14ac:dyDescent="0.2">
      <c r="H619" s="4"/>
      <c r="AD619" s="14"/>
      <c r="AE619" s="16"/>
      <c r="BC619" s="13"/>
      <c r="BE619" s="12"/>
      <c r="BF619" s="13"/>
      <c r="BG619" s="10"/>
      <c r="BH619" s="10"/>
      <c r="BI619" s="10"/>
      <c r="BJ619" s="11"/>
      <c r="BZ619" s="12"/>
      <c r="CB619" s="18"/>
      <c r="CD619" s="13"/>
      <c r="DV619" s="12"/>
      <c r="DW619" s="13"/>
    </row>
    <row r="620" spans="8:127" ht="18" customHeight="1" x14ac:dyDescent="0.2">
      <c r="H620" s="4"/>
      <c r="AC620" s="13"/>
      <c r="AD620" s="18"/>
      <c r="AE620" s="12"/>
      <c r="AF620" s="12"/>
      <c r="BC620" s="13"/>
      <c r="BE620" s="12"/>
      <c r="BF620" s="13"/>
      <c r="BJ620" s="13"/>
      <c r="BZ620" s="12"/>
      <c r="CB620" s="18"/>
      <c r="CD620" s="13"/>
      <c r="DV620" s="14"/>
      <c r="DW620" s="16"/>
    </row>
    <row r="621" spans="8:127" ht="18" customHeight="1" x14ac:dyDescent="0.2">
      <c r="H621" s="4"/>
      <c r="AC621" s="13"/>
      <c r="AD621" s="18"/>
      <c r="AE621" s="12"/>
      <c r="AF621" s="12"/>
      <c r="BC621" s="13"/>
      <c r="BE621" s="12"/>
      <c r="BF621" s="13"/>
      <c r="BJ621" s="13"/>
      <c r="BZ621" s="12"/>
      <c r="CB621" s="19"/>
      <c r="CD621" s="13"/>
      <c r="DW621" s="5"/>
    </row>
    <row r="622" spans="8:127" ht="18" customHeight="1" x14ac:dyDescent="0.2">
      <c r="H622" s="4"/>
      <c r="AC622" s="13"/>
      <c r="AD622" s="18"/>
      <c r="AE622" s="12"/>
      <c r="AF622" s="12"/>
      <c r="BC622" s="13"/>
      <c r="BE622" s="12"/>
      <c r="BF622" s="13"/>
      <c r="BJ622" s="13"/>
      <c r="BZ622" s="14"/>
      <c r="CA622" s="15"/>
      <c r="CB622" s="16"/>
      <c r="CD622" s="13"/>
      <c r="DW622" s="5"/>
    </row>
    <row r="623" spans="8:127" ht="18" customHeight="1" x14ac:dyDescent="0.2">
      <c r="H623" s="4"/>
      <c r="AD623" s="18"/>
      <c r="AE623" s="12"/>
      <c r="AF623" s="12"/>
      <c r="BC623" s="13"/>
      <c r="BE623" s="12"/>
      <c r="BF623" s="13"/>
      <c r="BJ623" s="13"/>
      <c r="CB623" s="13"/>
      <c r="CD623" s="13"/>
      <c r="DW623" s="5"/>
    </row>
    <row r="624" spans="8:127" ht="18" customHeight="1" x14ac:dyDescent="0.2">
      <c r="H624" s="4"/>
      <c r="AC624" s="13"/>
      <c r="AD624" s="18"/>
      <c r="AE624" s="12"/>
      <c r="AF624" s="12"/>
      <c r="BC624" s="13"/>
      <c r="BE624" s="20"/>
      <c r="BF624" s="21"/>
      <c r="BG624" s="21"/>
      <c r="BH624" s="21"/>
      <c r="BI624" s="21"/>
      <c r="BJ624" s="22"/>
      <c r="CB624" s="13"/>
      <c r="CD624" s="13"/>
      <c r="DW624" s="5"/>
    </row>
    <row r="625" spans="8:127" ht="18" customHeight="1" x14ac:dyDescent="0.2">
      <c r="H625" s="4"/>
      <c r="AC625" s="13"/>
      <c r="AD625" s="19"/>
      <c r="AE625" s="14"/>
      <c r="AF625" s="12"/>
      <c r="BC625" s="13"/>
      <c r="BE625" s="12"/>
      <c r="BG625" s="13"/>
      <c r="CB625" s="13"/>
      <c r="CD625" s="13"/>
      <c r="DW625" s="5"/>
    </row>
    <row r="626" spans="8:127" ht="18" customHeight="1" x14ac:dyDescent="0.2">
      <c r="H626" s="4"/>
      <c r="AC626" s="13"/>
      <c r="AF626" s="14"/>
      <c r="AG626" s="15"/>
      <c r="AH626" s="15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  <c r="AS626" s="15"/>
      <c r="AT626" s="15"/>
      <c r="AU626" s="15"/>
      <c r="AV626" s="15"/>
      <c r="AW626" s="15"/>
      <c r="AX626" s="15"/>
      <c r="AY626" s="15"/>
      <c r="AZ626" s="15"/>
      <c r="BA626" s="15"/>
      <c r="BB626" s="15"/>
      <c r="BC626" s="16"/>
      <c r="BE626" s="12"/>
      <c r="BG626" s="13"/>
      <c r="CB626" s="13"/>
      <c r="CD626" s="13"/>
      <c r="DW626" s="5"/>
    </row>
    <row r="627" spans="8:127" ht="18" customHeight="1" x14ac:dyDescent="0.2">
      <c r="H627" s="4"/>
      <c r="AC627" s="13"/>
      <c r="BE627" s="14"/>
      <c r="BF627" s="15"/>
      <c r="BG627" s="16"/>
      <c r="CB627" s="13"/>
      <c r="CD627" s="13"/>
      <c r="DW627" s="5"/>
    </row>
    <row r="628" spans="8:127" ht="18" customHeight="1" x14ac:dyDescent="0.2">
      <c r="H628" s="4"/>
      <c r="AC628" s="13"/>
      <c r="AF628" s="9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  <c r="AY628" s="10"/>
      <c r="AZ628" s="74"/>
      <c r="BA628" s="85"/>
      <c r="BB628" s="85"/>
      <c r="BC628" s="75"/>
      <c r="BE628" s="12"/>
      <c r="CB628" s="13"/>
      <c r="CC628" s="12"/>
      <c r="CE628" s="14"/>
      <c r="CF628" s="15"/>
      <c r="CG628" s="15"/>
      <c r="CH628" s="15"/>
      <c r="CI628" s="15"/>
      <c r="CJ628" s="15"/>
      <c r="CK628" s="15"/>
      <c r="CL628" s="15"/>
      <c r="CM628" s="15"/>
      <c r="CN628" s="15"/>
      <c r="CO628" s="15"/>
      <c r="CP628" s="15"/>
      <c r="CQ628" s="15"/>
      <c r="CR628" s="15"/>
      <c r="CS628" s="15"/>
      <c r="CT628" s="15"/>
      <c r="CU628" s="15"/>
      <c r="DW628" s="5"/>
    </row>
    <row r="629" spans="8:127" ht="18" customHeight="1" x14ac:dyDescent="0.2">
      <c r="H629" s="4"/>
      <c r="AD629" s="12"/>
      <c r="AF629" s="12"/>
      <c r="AZ629" s="86"/>
      <c r="BA629" s="87"/>
      <c r="BB629" s="87"/>
      <c r="BC629" s="88"/>
      <c r="BE629" s="12"/>
      <c r="CB629" s="13"/>
      <c r="CC629" s="17"/>
      <c r="CD629" s="17"/>
      <c r="CU629" s="13"/>
      <c r="DW629" s="5"/>
    </row>
    <row r="630" spans="8:127" ht="18" customHeight="1" x14ac:dyDescent="0.2">
      <c r="H630" s="4"/>
      <c r="AD630" s="12"/>
      <c r="AF630" s="12"/>
      <c r="AZ630" s="86"/>
      <c r="BA630" s="87"/>
      <c r="BB630" s="87"/>
      <c r="BC630" s="88"/>
      <c r="BE630" s="12"/>
      <c r="CB630" s="13"/>
      <c r="CC630" s="18"/>
      <c r="CD630" s="18"/>
      <c r="CE630" s="9"/>
      <c r="CF630" s="10"/>
      <c r="CG630" s="10"/>
      <c r="CH630" s="10"/>
      <c r="CI630" s="10"/>
      <c r="CJ630" s="10"/>
      <c r="CK630" s="10"/>
      <c r="CL630" s="10"/>
      <c r="CM630" s="10"/>
      <c r="CN630" s="10"/>
      <c r="CO630" s="10"/>
      <c r="CP630" s="10"/>
      <c r="CQ630" s="10"/>
      <c r="CR630" s="10"/>
      <c r="CS630" s="10"/>
      <c r="CT630" s="11"/>
      <c r="CU630" s="13"/>
      <c r="DW630" s="5"/>
    </row>
    <row r="631" spans="8:127" ht="18" customHeight="1" x14ac:dyDescent="0.2">
      <c r="H631" s="4"/>
      <c r="AD631" s="12"/>
      <c r="AF631" s="12"/>
      <c r="AZ631" s="76"/>
      <c r="BA631" s="89"/>
      <c r="BB631" s="89"/>
      <c r="BC631" s="77"/>
      <c r="BE631" s="12"/>
      <c r="CB631" s="13"/>
      <c r="CC631" s="18"/>
      <c r="CD631" s="18"/>
      <c r="CE631" s="12"/>
      <c r="CT631" s="13"/>
      <c r="CU631" s="13"/>
      <c r="DW631" s="5"/>
    </row>
    <row r="632" spans="8:127" ht="18" customHeight="1" x14ac:dyDescent="0.2">
      <c r="H632" s="4"/>
      <c r="AD632" s="12"/>
      <c r="AF632" s="12"/>
      <c r="AJ632" s="9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  <c r="AY632" s="10"/>
      <c r="AZ632" s="133"/>
      <c r="BA632" s="134"/>
      <c r="BB632" s="134"/>
      <c r="BC632" s="143"/>
      <c r="BD632" s="10"/>
      <c r="CB632" s="13"/>
      <c r="CC632" s="19"/>
      <c r="CD632" s="19"/>
      <c r="CE632" s="12"/>
      <c r="CT632" s="13"/>
      <c r="CU632" s="13"/>
      <c r="DW632" s="5"/>
    </row>
    <row r="633" spans="8:127" ht="18" customHeight="1" x14ac:dyDescent="0.2">
      <c r="H633" s="4"/>
      <c r="AD633" s="17"/>
      <c r="AE633" s="17"/>
      <c r="AF633" s="12"/>
      <c r="AJ633" s="12"/>
      <c r="CB633" s="13"/>
      <c r="CC633" s="12"/>
      <c r="CE633" s="12"/>
      <c r="CT633" s="13"/>
      <c r="CU633" s="13"/>
      <c r="DW633" s="5"/>
    </row>
    <row r="634" spans="8:127" ht="18" customHeight="1" x14ac:dyDescent="0.2">
      <c r="H634" s="4"/>
      <c r="AD634" s="18"/>
      <c r="AE634" s="18"/>
      <c r="AF634" s="12"/>
      <c r="AG634" s="9"/>
      <c r="AH634" s="11"/>
      <c r="AJ634" s="12"/>
      <c r="CB634" s="13"/>
      <c r="CD634" s="13"/>
      <c r="CE634" s="12"/>
      <c r="CI634" s="9"/>
      <c r="CJ634" s="10"/>
      <c r="CK634" s="10"/>
      <c r="CL634" s="10"/>
      <c r="CM634" s="10"/>
      <c r="CN634" s="10"/>
      <c r="CO634" s="10"/>
      <c r="CP634" s="11"/>
      <c r="CT634" s="13"/>
      <c r="CU634" s="13"/>
      <c r="CV634" s="9"/>
      <c r="CW634" s="10"/>
      <c r="CX634" s="10"/>
      <c r="CY634" s="10"/>
      <c r="CZ634" s="10"/>
      <c r="DA634" s="10"/>
      <c r="DB634" s="10"/>
      <c r="DC634" s="10"/>
      <c r="DD634" s="10"/>
      <c r="DE634" s="10"/>
      <c r="DF634" s="10"/>
      <c r="DG634" s="10"/>
      <c r="DH634" s="10"/>
      <c r="DI634" s="10"/>
      <c r="DJ634" s="10"/>
      <c r="DK634" s="10"/>
      <c r="DL634" s="10"/>
      <c r="DM634" s="10"/>
      <c r="DN634" s="10"/>
      <c r="DO634" s="10"/>
      <c r="DP634" s="10"/>
      <c r="DQ634" s="10"/>
      <c r="DR634" s="10"/>
      <c r="DS634" s="10"/>
      <c r="DT634" s="10"/>
      <c r="DU634" s="10"/>
      <c r="DV634" s="9"/>
      <c r="DW634" s="11"/>
    </row>
    <row r="635" spans="8:127" ht="18" customHeight="1" x14ac:dyDescent="0.2">
      <c r="H635" s="4"/>
      <c r="AD635" s="18"/>
      <c r="AE635" s="18"/>
      <c r="AF635" s="12"/>
      <c r="AG635" s="12"/>
      <c r="AH635" s="13"/>
      <c r="AJ635" s="12"/>
      <c r="CB635" s="13"/>
      <c r="CC635" s="12"/>
      <c r="CE635" s="12"/>
      <c r="CI635" s="12"/>
      <c r="CP635" s="13"/>
      <c r="CT635" s="13"/>
      <c r="CU635" s="13"/>
      <c r="CV635" s="12"/>
      <c r="DV635" s="12"/>
      <c r="DW635" s="13"/>
    </row>
    <row r="636" spans="8:127" ht="18" customHeight="1" x14ac:dyDescent="0.2">
      <c r="H636" s="4"/>
      <c r="AD636" s="18"/>
      <c r="AE636" s="18"/>
      <c r="AF636" s="12"/>
      <c r="AG636" s="12"/>
      <c r="AH636" s="13"/>
      <c r="AJ636" s="12"/>
      <c r="CB636" s="13"/>
      <c r="CD636" s="13"/>
      <c r="CE636" s="12"/>
      <c r="CI636" s="12"/>
      <c r="CP636" s="13"/>
      <c r="CT636" s="13"/>
      <c r="CU636" s="13"/>
      <c r="CV636" s="12"/>
      <c r="DV636" s="12"/>
      <c r="DW636" s="13"/>
    </row>
    <row r="637" spans="8:127" ht="18" customHeight="1" x14ac:dyDescent="0.2">
      <c r="H637" s="4"/>
      <c r="AD637" s="18"/>
      <c r="AE637" s="18"/>
      <c r="AF637" s="12"/>
      <c r="AG637" s="14"/>
      <c r="AH637" s="16"/>
      <c r="AJ637" s="12"/>
      <c r="CB637" s="13"/>
      <c r="CD637" s="13"/>
      <c r="CE637" s="12"/>
      <c r="CI637" s="12"/>
      <c r="CP637" s="13"/>
      <c r="CT637" s="13"/>
      <c r="CU637" s="13"/>
      <c r="CV637" s="12"/>
      <c r="DV637" s="12"/>
      <c r="DW637" s="13"/>
    </row>
    <row r="638" spans="8:127" ht="18" customHeight="1" x14ac:dyDescent="0.2">
      <c r="H638" s="4"/>
      <c r="AD638" s="19"/>
      <c r="AE638" s="19"/>
      <c r="AF638" s="12"/>
      <c r="AJ638" s="12"/>
      <c r="CB638" s="13"/>
      <c r="CD638" s="13"/>
      <c r="CE638" s="12"/>
      <c r="CI638" s="12"/>
      <c r="CP638" s="13"/>
      <c r="CT638" s="13"/>
      <c r="CU638" s="13"/>
      <c r="CV638" s="12"/>
      <c r="DV638" s="12"/>
      <c r="DW638" s="13"/>
    </row>
    <row r="639" spans="8:127" ht="18" customHeight="1" x14ac:dyDescent="0.2">
      <c r="H639" s="4"/>
      <c r="AD639" s="12"/>
      <c r="AF639" s="12"/>
      <c r="AJ639" s="14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Y639" s="15"/>
      <c r="AZ639" s="15"/>
      <c r="BA639" s="15"/>
      <c r="BB639" s="15"/>
      <c r="BC639" s="15"/>
      <c r="BD639" s="15"/>
      <c r="BE639" s="15"/>
      <c r="BF639" s="15"/>
      <c r="BG639" s="15"/>
      <c r="BH639" s="15"/>
      <c r="BI639" s="15"/>
      <c r="BJ639" s="15"/>
      <c r="BK639" s="15"/>
      <c r="BL639" s="15"/>
      <c r="BM639" s="15"/>
      <c r="BN639" s="15"/>
      <c r="BO639" s="15"/>
      <c r="BP639" s="15"/>
      <c r="BQ639" s="15"/>
      <c r="BR639" s="15"/>
      <c r="BS639" s="15"/>
      <c r="BT639" s="15"/>
      <c r="BU639" s="15"/>
      <c r="BV639" s="15"/>
      <c r="BW639" s="15"/>
      <c r="BX639" s="15"/>
      <c r="BY639" s="15"/>
      <c r="BZ639" s="15"/>
      <c r="CA639" s="15"/>
      <c r="CB639" s="16"/>
      <c r="CD639" s="13"/>
      <c r="CE639" s="12"/>
      <c r="CI639" s="12"/>
      <c r="CP639" s="13"/>
      <c r="CT639" s="13"/>
      <c r="CU639" s="13"/>
      <c r="CV639" s="12"/>
      <c r="DV639" s="12"/>
      <c r="DW639" s="13"/>
    </row>
    <row r="640" spans="8:127" ht="18" customHeight="1" x14ac:dyDescent="0.2">
      <c r="H640" s="4"/>
      <c r="AD640" s="12"/>
      <c r="AF640" s="12"/>
      <c r="AW640" s="9"/>
      <c r="AX640" s="10"/>
      <c r="AY640" s="10"/>
      <c r="AZ640" s="10"/>
      <c r="BA640" s="10"/>
      <c r="BB640" s="10"/>
      <c r="BC640" s="10"/>
      <c r="BD640" s="10"/>
      <c r="BE640" s="10"/>
      <c r="BF640" s="10"/>
      <c r="BG640" s="10"/>
      <c r="BH640" s="10"/>
      <c r="BI640" s="10"/>
      <c r="BJ640" s="20"/>
      <c r="BK640" s="21"/>
      <c r="BL640" s="21"/>
      <c r="BM640" s="21"/>
      <c r="BN640" s="21"/>
      <c r="BO640" s="22"/>
      <c r="BV640" s="127"/>
      <c r="BW640" s="127"/>
      <c r="BX640" s="127"/>
      <c r="BY640" s="127"/>
      <c r="BZ640" s="127"/>
      <c r="CA640" s="127"/>
      <c r="CD640" s="13"/>
      <c r="CE640" s="12"/>
      <c r="CI640" s="12"/>
      <c r="CP640" s="13"/>
      <c r="CT640" s="13"/>
      <c r="CU640" s="13"/>
      <c r="CV640" s="12"/>
      <c r="DV640" s="12"/>
      <c r="DW640" s="13"/>
    </row>
    <row r="641" spans="8:127" ht="18" customHeight="1" x14ac:dyDescent="0.2">
      <c r="H641" s="4"/>
      <c r="AD641" s="12"/>
      <c r="AF641" s="12"/>
      <c r="AW641" s="12"/>
      <c r="BJ641" s="9"/>
      <c r="BK641" s="10"/>
      <c r="BL641" s="10"/>
      <c r="BM641" s="10"/>
      <c r="BN641" s="10"/>
      <c r="BO641" s="11"/>
      <c r="BV641" s="127"/>
      <c r="BW641" s="127"/>
      <c r="BX641" s="127"/>
      <c r="BY641" s="127"/>
      <c r="BZ641" s="127"/>
      <c r="CA641" s="127"/>
      <c r="CD641" s="13"/>
      <c r="CE641" s="12"/>
      <c r="CI641" s="12"/>
      <c r="CP641" s="13"/>
      <c r="CT641" s="13"/>
      <c r="CU641" s="13"/>
      <c r="CV641" s="14"/>
      <c r="CW641" s="15"/>
      <c r="CX641" s="15"/>
      <c r="CY641" s="15"/>
      <c r="CZ641" s="15"/>
      <c r="DA641" s="15"/>
      <c r="DB641" s="15"/>
      <c r="DC641" s="15"/>
      <c r="DD641" s="15"/>
      <c r="DE641" s="15"/>
      <c r="DF641" s="15"/>
      <c r="DG641" s="15"/>
      <c r="DH641" s="15"/>
      <c r="DI641" s="15"/>
      <c r="DJ641" s="15"/>
      <c r="DK641" s="15"/>
      <c r="DL641" s="15"/>
      <c r="DM641" s="15"/>
      <c r="DN641" s="15"/>
      <c r="DO641" s="15"/>
      <c r="DP641" s="15"/>
      <c r="DQ641" s="15"/>
      <c r="DR641" s="15"/>
      <c r="DS641" s="15"/>
      <c r="DT641" s="15"/>
      <c r="DU641" s="15"/>
      <c r="DV641" s="14"/>
      <c r="DW641" s="16"/>
    </row>
    <row r="642" spans="8:127" ht="18" customHeight="1" x14ac:dyDescent="0.2">
      <c r="H642" s="4"/>
      <c r="AD642" s="12"/>
      <c r="AF642" s="12"/>
      <c r="AW642" s="12"/>
      <c r="AY642" s="9"/>
      <c r="AZ642" s="10"/>
      <c r="BA642" s="10"/>
      <c r="BB642" s="10"/>
      <c r="BC642" s="10"/>
      <c r="BD642" s="10"/>
      <c r="BE642" s="10"/>
      <c r="BF642" s="10"/>
      <c r="BG642" s="10"/>
      <c r="BH642" s="10"/>
      <c r="BI642" s="10"/>
      <c r="BJ642" s="10"/>
      <c r="BK642" s="10"/>
      <c r="BL642" s="10"/>
      <c r="BM642" s="10"/>
      <c r="BN642" s="10"/>
      <c r="BO642" s="10"/>
      <c r="BP642" s="10"/>
      <c r="BQ642" s="10"/>
      <c r="BR642" s="10"/>
      <c r="BS642" s="10"/>
      <c r="BT642" s="10"/>
      <c r="BU642" s="10"/>
      <c r="BV642" s="10"/>
      <c r="BW642" s="10"/>
      <c r="BX642" s="10"/>
      <c r="BY642" s="10"/>
      <c r="BZ642" s="10"/>
      <c r="CA642" s="10"/>
      <c r="CB642" s="10"/>
      <c r="CC642" s="10"/>
      <c r="CD642" s="10"/>
      <c r="CE642" s="10"/>
      <c r="CF642" s="10"/>
      <c r="CG642" s="10"/>
      <c r="CH642" s="10"/>
      <c r="CI642" s="10"/>
      <c r="CJ642" s="10"/>
      <c r="CK642" s="10"/>
      <c r="CL642" s="10"/>
      <c r="CM642" s="10"/>
      <c r="CN642" s="10"/>
      <c r="CO642" s="10"/>
      <c r="CP642" s="10"/>
      <c r="CQ642" s="10"/>
      <c r="CR642" s="10"/>
      <c r="CS642" s="10"/>
      <c r="CT642" s="11"/>
      <c r="CU642" s="13"/>
      <c r="DW642" s="5"/>
    </row>
    <row r="643" spans="8:127" ht="18" customHeight="1" x14ac:dyDescent="0.2">
      <c r="H643" s="4"/>
      <c r="AD643" s="12"/>
      <c r="AF643" s="14"/>
      <c r="AG643" s="15"/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  <c r="AS643" s="15"/>
      <c r="AT643" s="15"/>
      <c r="AU643" s="15"/>
      <c r="AV643" s="15"/>
      <c r="AW643" s="12"/>
      <c r="AY643" s="12"/>
      <c r="CT643" s="13"/>
      <c r="CU643" s="13"/>
      <c r="DW643" s="5"/>
    </row>
    <row r="644" spans="8:127" ht="18" customHeight="1" x14ac:dyDescent="0.2">
      <c r="H644" s="4"/>
      <c r="AD644" s="12"/>
      <c r="AX644" s="13"/>
      <c r="AY644" s="12"/>
      <c r="CT644" s="13"/>
      <c r="CU644" s="13"/>
      <c r="DW644" s="5"/>
    </row>
    <row r="645" spans="8:127" ht="18" customHeight="1" x14ac:dyDescent="0.2">
      <c r="H645" s="4"/>
      <c r="AD645" s="14"/>
      <c r="AE645" s="15"/>
      <c r="AF645" s="15"/>
      <c r="AG645" s="15"/>
      <c r="AH645" s="15"/>
      <c r="AI645" s="15"/>
      <c r="AJ645" s="15"/>
      <c r="AK645" s="15"/>
      <c r="AL645" s="15"/>
      <c r="AM645" s="15"/>
      <c r="AO645" s="15"/>
      <c r="AP645" s="15"/>
      <c r="AR645" s="15"/>
      <c r="AT645" s="15"/>
      <c r="AU645" s="15"/>
      <c r="AV645" s="15"/>
      <c r="AW645" s="15"/>
      <c r="AX645" s="15"/>
      <c r="AY645" s="12"/>
      <c r="CT645" s="13"/>
      <c r="CU645" s="13"/>
      <c r="DW645" s="5"/>
    </row>
    <row r="646" spans="8:127" ht="18" customHeight="1" x14ac:dyDescent="0.2">
      <c r="H646" s="4"/>
      <c r="AN646" s="10"/>
      <c r="AQ646" s="10"/>
      <c r="AS646" s="10"/>
      <c r="AV646" s="10"/>
      <c r="AX646" s="12"/>
      <c r="AY646" s="12"/>
      <c r="CT646" s="13"/>
      <c r="CU646" s="13"/>
      <c r="DW646" s="5"/>
    </row>
    <row r="647" spans="8:127" ht="18" customHeight="1" x14ac:dyDescent="0.2">
      <c r="H647" s="4"/>
      <c r="AX647" s="12"/>
      <c r="AY647" s="12"/>
      <c r="CT647" s="13"/>
      <c r="CU647" s="13"/>
      <c r="DW647" s="5"/>
    </row>
    <row r="648" spans="8:127" ht="18" customHeight="1" x14ac:dyDescent="0.2">
      <c r="H648" s="4"/>
      <c r="AX648" s="12"/>
      <c r="AY648" s="12"/>
      <c r="CT648" s="13"/>
      <c r="CU648" s="13"/>
      <c r="DW648" s="5"/>
    </row>
    <row r="649" spans="8:127" ht="18" customHeight="1" x14ac:dyDescent="0.2">
      <c r="H649" s="4"/>
      <c r="AX649" s="12"/>
      <c r="AY649" s="12"/>
      <c r="CT649" s="13"/>
      <c r="CU649" s="13"/>
      <c r="DW649" s="5"/>
    </row>
    <row r="650" spans="8:127" ht="18" customHeight="1" x14ac:dyDescent="0.2">
      <c r="H650" s="4"/>
      <c r="AX650" s="12"/>
      <c r="AY650" s="12"/>
      <c r="CT650" s="13"/>
      <c r="CU650" s="13"/>
      <c r="DW650" s="5"/>
    </row>
    <row r="651" spans="8:127" ht="18" customHeight="1" x14ac:dyDescent="0.2">
      <c r="H651" s="4"/>
      <c r="AX651" s="12"/>
      <c r="AY651" s="12"/>
      <c r="CT651" s="13"/>
      <c r="CU651" s="13"/>
      <c r="DW651" s="5"/>
    </row>
    <row r="652" spans="8:127" ht="18" customHeight="1" x14ac:dyDescent="0.2">
      <c r="H652" s="4"/>
      <c r="AX652" s="12"/>
      <c r="AY652" s="12"/>
      <c r="CT652" s="13"/>
      <c r="CU652" s="13"/>
      <c r="DW652" s="5"/>
    </row>
    <row r="653" spans="8:127" ht="18" customHeight="1" x14ac:dyDescent="0.2">
      <c r="H653" s="4"/>
      <c r="AX653" s="12"/>
      <c r="AY653" s="12"/>
      <c r="CT653" s="13"/>
      <c r="CU653" s="13"/>
      <c r="DW653" s="5"/>
    </row>
    <row r="654" spans="8:127" ht="18" customHeight="1" x14ac:dyDescent="0.2">
      <c r="H654" s="4"/>
      <c r="AX654" s="12"/>
      <c r="AY654" s="12"/>
      <c r="CT654" s="13"/>
      <c r="CU654" s="13"/>
      <c r="DW654" s="5"/>
    </row>
    <row r="655" spans="8:127" ht="18" customHeight="1" x14ac:dyDescent="0.2">
      <c r="H655" s="4"/>
      <c r="AX655" s="12"/>
      <c r="AY655" s="12"/>
      <c r="CT655" s="13"/>
      <c r="CU655" s="13"/>
      <c r="DW655" s="5"/>
    </row>
    <row r="656" spans="8:127" ht="18" customHeight="1" x14ac:dyDescent="0.2">
      <c r="H656" s="4"/>
      <c r="AX656" s="12"/>
      <c r="AY656" s="12"/>
      <c r="CT656" s="13"/>
      <c r="CU656" s="13"/>
      <c r="DW656" s="5"/>
    </row>
    <row r="657" spans="8:127" ht="18" customHeight="1" x14ac:dyDescent="0.2">
      <c r="H657" s="4"/>
      <c r="AX657" s="12"/>
      <c r="AY657" s="12"/>
      <c r="CT657" s="13"/>
      <c r="CU657" s="13"/>
      <c r="DW657" s="5"/>
    </row>
    <row r="658" spans="8:127" ht="18" customHeight="1" x14ac:dyDescent="0.2">
      <c r="H658" s="4"/>
      <c r="AX658" s="12"/>
      <c r="AY658" s="12"/>
      <c r="CT658" s="13"/>
      <c r="CU658" s="13"/>
      <c r="DW658" s="5"/>
    </row>
    <row r="659" spans="8:127" ht="18" customHeight="1" x14ac:dyDescent="0.2">
      <c r="H659" s="4"/>
      <c r="AX659" s="12"/>
      <c r="AY659" s="12"/>
      <c r="CT659" s="13"/>
      <c r="CU659" s="13"/>
      <c r="DW659" s="5"/>
    </row>
    <row r="660" spans="8:127" ht="18" customHeight="1" x14ac:dyDescent="0.2">
      <c r="H660" s="4"/>
      <c r="AX660" s="12"/>
      <c r="AY660" s="12"/>
      <c r="CT660" s="13"/>
      <c r="CU660" s="13"/>
      <c r="DW660" s="5"/>
    </row>
    <row r="661" spans="8:127" ht="18" customHeight="1" x14ac:dyDescent="0.2">
      <c r="H661" s="4"/>
      <c r="AX661" s="12"/>
      <c r="AY661" s="14"/>
      <c r="AZ661" s="15"/>
      <c r="BA661" s="15"/>
      <c r="BB661" s="15"/>
      <c r="BC661" s="15"/>
      <c r="BD661" s="15"/>
      <c r="BE661" s="15"/>
      <c r="BF661" s="15"/>
      <c r="BG661" s="15"/>
      <c r="BH661" s="15"/>
      <c r="BI661" s="15"/>
      <c r="BJ661" s="15"/>
      <c r="BK661" s="15"/>
      <c r="BL661" s="15"/>
      <c r="BM661" s="15"/>
      <c r="BN661" s="15"/>
      <c r="BO661" s="15"/>
      <c r="BP661" s="15"/>
      <c r="BQ661" s="15"/>
      <c r="BR661" s="15"/>
      <c r="BS661" s="15"/>
      <c r="BT661" s="15"/>
      <c r="BU661" s="15"/>
      <c r="BV661" s="15"/>
      <c r="BW661" s="15"/>
      <c r="BX661" s="15"/>
      <c r="BY661" s="15"/>
      <c r="BZ661" s="15"/>
      <c r="CA661" s="15"/>
      <c r="CB661" s="15"/>
      <c r="CC661" s="15"/>
      <c r="CD661" s="15"/>
      <c r="CE661" s="15"/>
      <c r="CF661" s="15"/>
      <c r="CG661" s="15"/>
      <c r="CH661" s="15"/>
      <c r="CI661" s="15"/>
      <c r="CJ661" s="15"/>
      <c r="CK661" s="15"/>
      <c r="CL661" s="15"/>
      <c r="CM661" s="15"/>
      <c r="CN661" s="15"/>
      <c r="CO661" s="15"/>
      <c r="CP661" s="15"/>
      <c r="CQ661" s="15"/>
      <c r="CR661" s="15"/>
      <c r="CS661" s="15"/>
      <c r="CT661" s="16"/>
      <c r="CU661" s="13"/>
      <c r="DW661" s="5"/>
    </row>
    <row r="662" spans="8:127" ht="18" customHeight="1" x14ac:dyDescent="0.2">
      <c r="H662" s="4"/>
      <c r="AX662" s="14"/>
      <c r="AY662" s="15"/>
      <c r="AZ662" s="15"/>
      <c r="BA662" s="15"/>
      <c r="BB662" s="15"/>
      <c r="BC662" s="15"/>
      <c r="BD662" s="15"/>
      <c r="BE662" s="15"/>
      <c r="BF662" s="15"/>
      <c r="BG662" s="15"/>
      <c r="BH662" s="15"/>
      <c r="BI662" s="15"/>
      <c r="BJ662" s="15"/>
      <c r="BK662" s="15"/>
      <c r="BL662" s="15"/>
      <c r="BM662" s="15"/>
      <c r="BN662" s="15"/>
      <c r="BO662" s="15"/>
      <c r="BP662" s="15"/>
      <c r="BQ662" s="15"/>
      <c r="BR662" s="15"/>
      <c r="BS662" s="15"/>
      <c r="BT662" s="15"/>
      <c r="BU662" s="15"/>
      <c r="BV662" s="15"/>
      <c r="BW662" s="15"/>
      <c r="BX662" s="15"/>
      <c r="BY662" s="15"/>
      <c r="BZ662" s="15"/>
      <c r="CA662" s="15"/>
      <c r="CB662" s="15"/>
      <c r="CC662" s="15"/>
      <c r="CD662" s="15"/>
      <c r="CE662" s="15"/>
      <c r="CF662" s="15"/>
      <c r="CG662" s="15"/>
      <c r="CH662" s="15"/>
      <c r="CI662" s="15"/>
      <c r="CJ662" s="15"/>
      <c r="CK662" s="15"/>
      <c r="CL662" s="15"/>
      <c r="CM662" s="15"/>
      <c r="CN662" s="15"/>
      <c r="CO662" s="15"/>
      <c r="CP662" s="15"/>
      <c r="CQ662" s="15"/>
      <c r="CR662" s="15"/>
      <c r="CS662" s="15"/>
      <c r="CT662" s="15"/>
      <c r="CU662" s="16"/>
      <c r="DW662" s="5"/>
    </row>
    <row r="663" spans="8:127" ht="18" customHeight="1" x14ac:dyDescent="0.2">
      <c r="H663" s="4"/>
      <c r="DW663" s="5"/>
    </row>
    <row r="664" spans="8:127" ht="18" customHeight="1" x14ac:dyDescent="0.2">
      <c r="H664" s="4"/>
      <c r="DW664" s="5"/>
    </row>
    <row r="665" spans="8:127" ht="18" customHeight="1" x14ac:dyDescent="0.2">
      <c r="H665" s="4"/>
      <c r="DW665" s="5"/>
    </row>
    <row r="666" spans="8:127" ht="18" customHeight="1" x14ac:dyDescent="0.2">
      <c r="H666" s="4"/>
      <c r="DW666" s="5"/>
    </row>
    <row r="667" spans="8:127" ht="18" customHeight="1" x14ac:dyDescent="0.2">
      <c r="H667" s="4"/>
      <c r="DW667" s="5"/>
    </row>
    <row r="668" spans="8:127" ht="18" customHeight="1" x14ac:dyDescent="0.2">
      <c r="H668" s="4"/>
      <c r="DW668" s="5"/>
    </row>
    <row r="669" spans="8:127" ht="18" customHeight="1" x14ac:dyDescent="0.2">
      <c r="H669" s="4"/>
      <c r="DW669" s="5"/>
    </row>
    <row r="670" spans="8:127" ht="18" customHeight="1" x14ac:dyDescent="0.2">
      <c r="H670" s="4"/>
      <c r="DW670" s="5"/>
    </row>
    <row r="671" spans="8:127" ht="18" customHeight="1" x14ac:dyDescent="0.2">
      <c r="H671" s="4"/>
      <c r="DW671" s="5"/>
    </row>
    <row r="672" spans="8:127" ht="18" customHeight="1" x14ac:dyDescent="0.2">
      <c r="H672" s="4"/>
      <c r="DW672" s="5"/>
    </row>
    <row r="673" spans="8:127" ht="18" customHeight="1" x14ac:dyDescent="0.2">
      <c r="H673" s="4"/>
      <c r="DW673" s="5"/>
    </row>
    <row r="674" spans="8:127" ht="18" customHeight="1" x14ac:dyDescent="0.2">
      <c r="H674" s="4"/>
      <c r="DW674" s="5"/>
    </row>
    <row r="675" spans="8:127" ht="18" customHeight="1" thickBot="1" x14ac:dyDescent="0.25">
      <c r="H675" s="6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  <c r="BG675" s="7"/>
      <c r="BH675" s="7"/>
      <c r="BI675" s="7"/>
      <c r="BJ675" s="7"/>
      <c r="BK675" s="7"/>
      <c r="BL675" s="7"/>
      <c r="BM675" s="7"/>
      <c r="BN675" s="7"/>
      <c r="BO675" s="7"/>
      <c r="BP675" s="7"/>
      <c r="BQ675" s="7"/>
      <c r="BR675" s="7"/>
      <c r="BS675" s="7"/>
      <c r="BT675" s="7"/>
      <c r="BU675" s="7"/>
      <c r="BV675" s="7"/>
      <c r="BW675" s="7"/>
      <c r="BX675" s="7"/>
      <c r="BY675" s="7"/>
      <c r="BZ675" s="7"/>
      <c r="CA675" s="7"/>
      <c r="CB675" s="7"/>
      <c r="CC675" s="7"/>
      <c r="CD675" s="7"/>
      <c r="CE675" s="7"/>
      <c r="CF675" s="7"/>
      <c r="CG675" s="7"/>
      <c r="CH675" s="7"/>
      <c r="CI675" s="7"/>
      <c r="CJ675" s="7"/>
      <c r="CK675" s="7"/>
      <c r="CL675" s="7"/>
      <c r="CM675" s="7"/>
      <c r="CN675" s="7"/>
      <c r="CO675" s="7"/>
      <c r="CP675" s="7"/>
      <c r="CQ675" s="7"/>
      <c r="CR675" s="7"/>
      <c r="CS675" s="7"/>
      <c r="CT675" s="7"/>
      <c r="CU675" s="7"/>
      <c r="CV675" s="7"/>
      <c r="CW675" s="7"/>
      <c r="CX675" s="7"/>
      <c r="CY675" s="7"/>
      <c r="CZ675" s="7"/>
      <c r="DA675" s="7"/>
      <c r="DB675" s="7"/>
      <c r="DC675" s="7"/>
      <c r="DD675" s="7"/>
      <c r="DE675" s="7"/>
      <c r="DF675" s="7"/>
      <c r="DG675" s="7"/>
      <c r="DH675" s="7"/>
      <c r="DI675" s="7"/>
      <c r="DJ675" s="7"/>
      <c r="DK675" s="7"/>
      <c r="DL675" s="7"/>
      <c r="DM675" s="7"/>
      <c r="DN675" s="7"/>
      <c r="DO675" s="7"/>
      <c r="DP675" s="7"/>
      <c r="DQ675" s="7"/>
      <c r="DR675" s="7"/>
      <c r="DS675" s="7"/>
      <c r="DT675" s="7"/>
      <c r="DU675" s="7"/>
      <c r="DV675" s="7"/>
      <c r="DW675" s="8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54EC3-A040-2C48-8B06-B13E8C7DACA2}">
  <sheetPr codeName="Sheet4"/>
  <dimension ref="H5:PR494"/>
  <sheetViews>
    <sheetView topLeftCell="GG56" zoomScale="56" zoomScaleNormal="56" workbookViewId="0">
      <selection activeCell="IF83" sqref="IF83"/>
    </sheetView>
  </sheetViews>
  <sheetFormatPr baseColWidth="10" defaultColWidth="3" defaultRowHeight="18" customHeight="1" x14ac:dyDescent="0.2"/>
  <cols>
    <col min="18" max="18" width="3" customWidth="1"/>
    <col min="66" max="66" width="3" customWidth="1"/>
    <col min="77" max="77" width="3" customWidth="1"/>
    <col min="103" max="103" width="3" customWidth="1"/>
  </cols>
  <sheetData>
    <row r="5" spans="8:127" ht="18" customHeight="1" thickBot="1" x14ac:dyDescent="0.25"/>
    <row r="6" spans="8:127" ht="18" customHeight="1" x14ac:dyDescent="0.2">
      <c r="H6" s="1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3"/>
    </row>
    <row r="7" spans="8:127" ht="18" customHeight="1" x14ac:dyDescent="0.2">
      <c r="H7" s="4"/>
      <c r="DW7" s="5"/>
    </row>
    <row r="8" spans="8:127" ht="18" customHeight="1" x14ac:dyDescent="0.2">
      <c r="H8" s="4"/>
      <c r="DW8" s="5"/>
    </row>
    <row r="9" spans="8:127" ht="18" customHeight="1" x14ac:dyDescent="0.2">
      <c r="H9" s="4"/>
      <c r="DW9" s="5"/>
    </row>
    <row r="10" spans="8:127" ht="18" customHeight="1" x14ac:dyDescent="0.2">
      <c r="H10" s="4"/>
      <c r="DW10" s="5"/>
    </row>
    <row r="11" spans="8:127" ht="18" customHeight="1" x14ac:dyDescent="0.2">
      <c r="H11" s="4"/>
      <c r="DW11" s="5"/>
    </row>
    <row r="12" spans="8:127" ht="18" customHeight="1" x14ac:dyDescent="0.2">
      <c r="H12" s="4"/>
      <c r="DW12" s="5"/>
    </row>
    <row r="13" spans="8:127" ht="18" customHeight="1" x14ac:dyDescent="0.2">
      <c r="H13" s="4"/>
      <c r="DW13" s="5"/>
    </row>
    <row r="14" spans="8:127" ht="18" customHeight="1" x14ac:dyDescent="0.2">
      <c r="H14" s="4"/>
      <c r="DW14" s="5"/>
    </row>
    <row r="15" spans="8:127" ht="18" customHeight="1" x14ac:dyDescent="0.2">
      <c r="H15" s="4"/>
      <c r="DW15" s="5"/>
    </row>
    <row r="16" spans="8:127" ht="18" customHeight="1" x14ac:dyDescent="0.2">
      <c r="H16" s="4"/>
      <c r="DW16" s="5"/>
    </row>
    <row r="17" spans="8:283" ht="18" customHeight="1" x14ac:dyDescent="0.2">
      <c r="H17" s="4"/>
      <c r="DW17" s="5"/>
    </row>
    <row r="18" spans="8:283" ht="18" customHeight="1" x14ac:dyDescent="0.2">
      <c r="H18" s="4"/>
      <c r="DW18" s="5"/>
      <c r="FJ18" s="15"/>
      <c r="FK18" s="15"/>
      <c r="FL18" s="15"/>
      <c r="FM18" s="15"/>
      <c r="IK18" s="15"/>
      <c r="IL18" s="15"/>
      <c r="IM18" s="15"/>
      <c r="IN18" s="15"/>
    </row>
    <row r="19" spans="8:283" ht="18" customHeight="1" x14ac:dyDescent="0.2">
      <c r="H19" s="4"/>
      <c r="DW19" s="5"/>
      <c r="EM19" s="40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4"/>
      <c r="HN19" s="40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4"/>
    </row>
    <row r="20" spans="8:283" ht="18" customHeight="1" x14ac:dyDescent="0.2">
      <c r="H20" s="4"/>
      <c r="DW20" s="5"/>
      <c r="EM20" s="42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5"/>
      <c r="HN20" s="42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43"/>
      <c r="IO20" s="43"/>
      <c r="IP20" s="43"/>
      <c r="IQ20" s="43"/>
      <c r="IR20" s="43"/>
      <c r="IS20" s="43"/>
      <c r="IT20" s="43"/>
      <c r="IU20" s="43"/>
      <c r="IV20" s="43"/>
      <c r="IW20" s="43"/>
      <c r="IX20" s="43"/>
      <c r="IY20" s="43"/>
      <c r="IZ20" s="43"/>
      <c r="JA20" s="43"/>
      <c r="JB20" s="43"/>
      <c r="JC20" s="43"/>
      <c r="JD20" s="43"/>
      <c r="JE20" s="43"/>
      <c r="JF20" s="43"/>
      <c r="JG20" s="43"/>
      <c r="JH20" s="43"/>
      <c r="JI20" s="43"/>
      <c r="JJ20" s="45"/>
    </row>
    <row r="21" spans="8:283" ht="18" customHeight="1" x14ac:dyDescent="0.2">
      <c r="H21" s="4"/>
      <c r="DW21" s="5"/>
      <c r="EM21" s="42"/>
      <c r="EN21" s="43"/>
      <c r="EO21" s="9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1"/>
      <c r="FO21" s="11"/>
      <c r="FP21" s="10"/>
      <c r="FQ21" s="10"/>
      <c r="FR21" s="10"/>
      <c r="FS21" s="10"/>
      <c r="FT21" s="11"/>
      <c r="FU21" s="10"/>
      <c r="FV21" s="10"/>
      <c r="FW21" s="10"/>
      <c r="FX21" s="10"/>
      <c r="FY21" s="11"/>
      <c r="FZ21" s="43"/>
      <c r="GA21" s="45"/>
      <c r="HN21" s="42"/>
      <c r="HO21" s="43"/>
      <c r="HP21" s="9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1"/>
      <c r="IP21" s="11"/>
      <c r="IQ21" s="10"/>
      <c r="IR21" s="10"/>
      <c r="IS21" s="10"/>
      <c r="IT21" s="10"/>
      <c r="IU21" s="11"/>
      <c r="IV21" s="10"/>
      <c r="IW21" s="10"/>
      <c r="IX21" s="10"/>
      <c r="IY21" s="10"/>
      <c r="IZ21" s="11"/>
      <c r="JA21" s="9"/>
      <c r="JB21" s="10"/>
      <c r="JC21" s="10"/>
      <c r="JD21" s="10"/>
      <c r="JE21" s="10"/>
      <c r="JF21" s="10"/>
      <c r="JG21" s="10"/>
      <c r="JH21" s="11"/>
      <c r="JI21" s="43"/>
      <c r="JJ21" s="45"/>
    </row>
    <row r="22" spans="8:283" ht="18" customHeight="1" x14ac:dyDescent="0.2">
      <c r="H22" s="4"/>
      <c r="DW22" s="5"/>
      <c r="EM22" s="42"/>
      <c r="EN22" s="43"/>
      <c r="EO22" s="12"/>
      <c r="FN22" s="13"/>
      <c r="FO22" s="13"/>
      <c r="FT22" s="13"/>
      <c r="FY22" s="13"/>
      <c r="FZ22" s="43"/>
      <c r="GA22" s="45"/>
      <c r="HN22" s="42"/>
      <c r="HO22" s="43"/>
      <c r="HP22" s="12"/>
      <c r="IO22" s="13"/>
      <c r="IP22" s="13"/>
      <c r="IU22" s="13"/>
      <c r="IZ22" s="13"/>
      <c r="JA22" s="12"/>
      <c r="JH22" s="13"/>
      <c r="JI22" s="43"/>
      <c r="JJ22" s="45"/>
    </row>
    <row r="23" spans="8:283" ht="18" customHeight="1" x14ac:dyDescent="0.2">
      <c r="H23" s="4"/>
      <c r="DW23" s="5"/>
      <c r="EM23" s="42"/>
      <c r="EN23" s="43"/>
      <c r="EO23" s="12"/>
      <c r="FN23" s="13"/>
      <c r="FO23" s="13"/>
      <c r="FT23" s="13"/>
      <c r="FY23" s="13"/>
      <c r="FZ23" s="43"/>
      <c r="GA23" s="45"/>
      <c r="HN23" s="42"/>
      <c r="HO23" s="43"/>
      <c r="HP23" s="12"/>
      <c r="IO23" s="13"/>
      <c r="IP23" s="13"/>
      <c r="IU23" s="13"/>
      <c r="IZ23" s="13"/>
      <c r="JA23" s="12"/>
      <c r="JH23" s="13"/>
      <c r="JI23" s="43"/>
      <c r="JJ23" s="45"/>
    </row>
    <row r="24" spans="8:283" ht="18" customHeight="1" x14ac:dyDescent="0.2">
      <c r="H24" s="4"/>
      <c r="DW24" s="5"/>
      <c r="EM24" s="42"/>
      <c r="EN24" s="43"/>
      <c r="EO24" s="12"/>
      <c r="FN24" s="13"/>
      <c r="FO24" s="13"/>
      <c r="FT24" s="13"/>
      <c r="FY24" s="13"/>
      <c r="FZ24" s="43"/>
      <c r="GA24" s="45"/>
      <c r="HN24" s="42"/>
      <c r="HO24" s="43"/>
      <c r="HP24" s="12"/>
      <c r="IO24" s="13"/>
      <c r="IP24" s="13"/>
      <c r="IU24" s="13"/>
      <c r="IZ24" s="13"/>
      <c r="JA24" s="12"/>
      <c r="JH24" s="13"/>
      <c r="JI24" s="43"/>
      <c r="JJ24" s="45"/>
    </row>
    <row r="25" spans="8:283" ht="18" customHeight="1" x14ac:dyDescent="0.2">
      <c r="H25" s="4"/>
      <c r="DW25" s="5"/>
      <c r="EM25" s="42"/>
      <c r="EN25" s="43"/>
      <c r="EO25" s="12"/>
      <c r="FN25" s="13"/>
      <c r="FO25" s="13"/>
      <c r="FP25" s="15"/>
      <c r="FQ25" s="15"/>
      <c r="FR25" s="15"/>
      <c r="FS25" s="15"/>
      <c r="FT25" s="16"/>
      <c r="FU25" s="15"/>
      <c r="FV25" s="15"/>
      <c r="FW25" s="15"/>
      <c r="FX25" s="15"/>
      <c r="FY25" s="16"/>
      <c r="FZ25" s="43"/>
      <c r="GA25" s="45"/>
      <c r="HN25" s="42"/>
      <c r="HO25" s="43"/>
      <c r="HP25" s="12"/>
      <c r="IO25" s="13"/>
      <c r="IP25" s="13"/>
      <c r="IQ25" s="15"/>
      <c r="IR25" s="15"/>
      <c r="IS25" s="15"/>
      <c r="IT25" s="15"/>
      <c r="IU25" s="16"/>
      <c r="IV25" s="15"/>
      <c r="IW25" s="15"/>
      <c r="IX25" s="15"/>
      <c r="IY25" s="15"/>
      <c r="IZ25" s="16"/>
      <c r="JA25" s="12"/>
      <c r="JH25" s="13"/>
      <c r="JI25" s="43"/>
      <c r="JJ25" s="45"/>
    </row>
    <row r="26" spans="8:283" ht="18" customHeight="1" x14ac:dyDescent="0.2">
      <c r="H26" s="4"/>
      <c r="DW26" s="5"/>
      <c r="EM26" s="42"/>
      <c r="EN26" s="43"/>
      <c r="EO26" s="12"/>
      <c r="FN26" s="13"/>
      <c r="FO26" s="13"/>
      <c r="FY26" s="11"/>
      <c r="FZ26" s="43"/>
      <c r="GA26" s="45"/>
      <c r="HN26" s="42"/>
      <c r="HO26" s="43"/>
      <c r="HP26" s="12"/>
      <c r="IO26" s="13"/>
      <c r="IP26" s="13"/>
      <c r="JA26" s="12"/>
      <c r="JH26" s="13"/>
      <c r="JI26" s="43"/>
      <c r="JJ26" s="45"/>
    </row>
    <row r="27" spans="8:283" ht="18" customHeight="1" x14ac:dyDescent="0.2">
      <c r="H27" s="4"/>
      <c r="DW27" s="5"/>
      <c r="EM27" s="42"/>
      <c r="EN27" s="43"/>
      <c r="EO27" s="12"/>
      <c r="FN27" s="13"/>
      <c r="FO27" s="13"/>
      <c r="FY27" s="13"/>
      <c r="FZ27" s="43"/>
      <c r="GA27" s="45"/>
      <c r="HN27" s="42"/>
      <c r="HO27" s="43"/>
      <c r="HP27" s="12"/>
      <c r="IO27" s="13"/>
      <c r="IP27" s="13"/>
      <c r="JA27" s="12"/>
      <c r="JH27" s="13"/>
      <c r="JI27" s="43"/>
      <c r="JJ27" s="45"/>
    </row>
    <row r="28" spans="8:283" ht="18" customHeight="1" x14ac:dyDescent="0.2">
      <c r="H28" s="4"/>
      <c r="DW28" s="5"/>
      <c r="EM28" s="42"/>
      <c r="EN28" s="43"/>
      <c r="EO28" s="12"/>
      <c r="FN28" s="13"/>
      <c r="FO28" s="13"/>
      <c r="FY28" s="13"/>
      <c r="FZ28" s="43"/>
      <c r="GA28" s="45"/>
      <c r="HN28" s="42"/>
      <c r="HO28" s="43"/>
      <c r="HP28" s="12"/>
      <c r="IO28" s="13"/>
      <c r="IP28" s="13"/>
      <c r="JA28" s="12"/>
      <c r="JH28" s="13"/>
      <c r="JI28" s="43"/>
      <c r="JJ28" s="45"/>
    </row>
    <row r="29" spans="8:283" ht="18" customHeight="1" x14ac:dyDescent="0.2">
      <c r="H29" s="4"/>
      <c r="DW29" s="5"/>
      <c r="EM29" s="42"/>
      <c r="EN29" s="43"/>
      <c r="EO29" s="12"/>
      <c r="FN29" s="13"/>
      <c r="FO29" s="13"/>
      <c r="FY29" s="13"/>
      <c r="FZ29" s="43"/>
      <c r="GA29" s="45"/>
      <c r="GC29" s="15"/>
      <c r="GE29" s="15"/>
      <c r="GG29" s="15"/>
      <c r="GI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  <c r="HN29" s="42"/>
      <c r="HO29" s="43"/>
      <c r="HP29" s="12"/>
      <c r="IO29" s="13"/>
      <c r="IP29" s="13"/>
      <c r="JA29" s="12"/>
      <c r="JH29" s="13"/>
      <c r="JI29" s="43"/>
      <c r="JJ29" s="45"/>
      <c r="JL29" s="15"/>
      <c r="JM29" s="15"/>
      <c r="JN29" s="15"/>
      <c r="JO29" s="15"/>
      <c r="JP29" s="15"/>
      <c r="JQ29" s="15"/>
      <c r="JR29" s="15"/>
      <c r="JS29" s="15"/>
      <c r="JT29" s="15"/>
      <c r="JU29" s="15"/>
      <c r="JV29" s="15"/>
      <c r="JW29" s="15"/>
    </row>
    <row r="30" spans="8:283" ht="18" customHeight="1" x14ac:dyDescent="0.2">
      <c r="H30" s="4"/>
      <c r="DW30" s="5"/>
      <c r="EM30" s="42"/>
      <c r="EN30" s="43"/>
      <c r="EO30" s="12"/>
      <c r="FN30" s="13"/>
      <c r="FO30" s="13"/>
      <c r="FY30" s="16"/>
      <c r="FZ30" s="42"/>
      <c r="GA30" s="43"/>
      <c r="GB30" s="41"/>
      <c r="GC30" s="43"/>
      <c r="GD30" s="41"/>
      <c r="GE30" s="43"/>
      <c r="GF30" s="41"/>
      <c r="GG30" s="43"/>
      <c r="GH30" s="41"/>
      <c r="GI30" s="43"/>
      <c r="GJ30" s="41"/>
      <c r="GK30" s="43"/>
      <c r="GL30" s="43"/>
      <c r="GM30" s="123"/>
      <c r="GN30" s="109"/>
      <c r="GO30" s="109"/>
      <c r="GP30" s="109"/>
      <c r="GQ30" s="109"/>
      <c r="GR30" s="124"/>
      <c r="GS30" s="43"/>
      <c r="GT30" s="43"/>
      <c r="GU30" s="43"/>
      <c r="GV30" s="44"/>
      <c r="HN30" s="42"/>
      <c r="HO30" s="43"/>
      <c r="HP30" s="12"/>
      <c r="IO30" s="13"/>
      <c r="IP30" s="13"/>
      <c r="IY30" s="15"/>
      <c r="IZ30" s="15"/>
      <c r="JA30" s="14"/>
      <c r="JB30" s="15"/>
      <c r="JC30" s="15"/>
      <c r="JD30" s="15"/>
      <c r="JE30" s="15"/>
      <c r="JF30" s="15"/>
      <c r="JG30" s="15"/>
      <c r="JH30" s="16"/>
      <c r="JI30" s="42"/>
      <c r="JJ30" s="43"/>
      <c r="JK30" s="41"/>
      <c r="JL30" s="43"/>
      <c r="JM30" s="43"/>
      <c r="JN30" s="123"/>
      <c r="JO30" s="109"/>
      <c r="JP30" s="109"/>
      <c r="JQ30" s="109"/>
      <c r="JR30" s="109"/>
      <c r="JS30" s="124"/>
      <c r="JT30" s="43"/>
      <c r="JU30" s="43"/>
      <c r="JV30" s="43"/>
      <c r="JW30" s="44"/>
    </row>
    <row r="31" spans="8:283" ht="18" customHeight="1" x14ac:dyDescent="0.2">
      <c r="H31" s="4"/>
      <c r="DW31" s="5"/>
      <c r="EM31" s="42"/>
      <c r="EN31" s="43"/>
      <c r="EO31" s="12"/>
      <c r="FN31" s="13"/>
      <c r="FO31" s="13"/>
      <c r="FP31" s="10"/>
      <c r="FQ31" s="10"/>
      <c r="FR31" s="92"/>
      <c r="FS31" s="92"/>
      <c r="FT31" s="92"/>
      <c r="FU31" s="92"/>
      <c r="FV31" s="92"/>
      <c r="FW31" s="10"/>
      <c r="FX31" s="10"/>
      <c r="FY31" s="15"/>
      <c r="FZ31" s="46"/>
      <c r="GA31" s="47"/>
      <c r="GB31" s="43"/>
      <c r="GC31" s="47"/>
      <c r="GD31" s="43"/>
      <c r="GE31" s="47"/>
      <c r="GF31" s="43"/>
      <c r="GG31" s="47"/>
      <c r="GH31" s="43"/>
      <c r="GI31" s="47"/>
      <c r="GJ31" s="43"/>
      <c r="GK31" s="47"/>
      <c r="GL31" s="47"/>
      <c r="GM31" s="123"/>
      <c r="GN31" s="109"/>
      <c r="GO31" s="109"/>
      <c r="GP31" s="109"/>
      <c r="GQ31" s="109"/>
      <c r="GR31" s="124"/>
      <c r="GS31" s="43"/>
      <c r="GT31" s="43"/>
      <c r="GU31" s="43"/>
      <c r="GV31" s="45"/>
      <c r="HN31" s="42"/>
      <c r="HO31" s="43"/>
      <c r="HP31" s="12"/>
      <c r="IO31" s="13"/>
      <c r="IP31" s="13"/>
      <c r="IQ31" s="10"/>
      <c r="IR31" s="92"/>
      <c r="IS31" s="92"/>
      <c r="IT31" s="92"/>
      <c r="IU31" s="92"/>
      <c r="IV31" s="92"/>
      <c r="IW31" s="10"/>
      <c r="IX31" s="10"/>
      <c r="IY31" s="15"/>
      <c r="IZ31" s="15"/>
      <c r="JA31" s="15"/>
      <c r="JB31" s="15"/>
      <c r="JC31" s="15"/>
      <c r="JD31" s="15"/>
      <c r="JE31" s="15"/>
      <c r="JF31" s="15"/>
      <c r="JG31" s="15"/>
      <c r="JH31" s="15"/>
      <c r="JI31" s="46"/>
      <c r="JJ31" s="47"/>
      <c r="JK31" s="43"/>
      <c r="JL31" s="47"/>
      <c r="JM31" s="47"/>
      <c r="JN31" s="123"/>
      <c r="JO31" s="109"/>
      <c r="JP31" s="109"/>
      <c r="JQ31" s="109"/>
      <c r="JR31" s="109"/>
      <c r="JS31" s="124"/>
      <c r="JT31" s="43"/>
      <c r="JU31" s="43"/>
      <c r="JV31" s="43"/>
      <c r="JW31" s="45"/>
    </row>
    <row r="32" spans="8:283" ht="18" customHeight="1" x14ac:dyDescent="0.2">
      <c r="H32" s="4"/>
      <c r="DW32" s="5"/>
      <c r="EM32" s="42"/>
      <c r="EN32" s="43"/>
      <c r="EO32" s="12"/>
      <c r="FN32" s="13"/>
      <c r="FO32" s="13"/>
      <c r="FP32" s="10"/>
      <c r="FQ32" s="10"/>
      <c r="FR32" s="10"/>
      <c r="FS32" s="10"/>
      <c r="FT32" s="10"/>
      <c r="FU32" s="10"/>
      <c r="FV32" s="10"/>
      <c r="FW32" s="10"/>
      <c r="FX32" s="10"/>
      <c r="FY32" t="s">
        <v>45</v>
      </c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1"/>
      <c r="GU32" s="43"/>
      <c r="GV32" s="45"/>
      <c r="HN32" s="42"/>
      <c r="HO32" s="43"/>
      <c r="HP32" s="12"/>
      <c r="IO32" s="13"/>
      <c r="IP32" s="13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1"/>
      <c r="JV32" s="43"/>
      <c r="JW32" s="45"/>
    </row>
    <row r="33" spans="8:283" ht="18" customHeight="1" x14ac:dyDescent="0.2">
      <c r="H33" s="4"/>
      <c r="AL33" s="15"/>
      <c r="AM33" s="15"/>
      <c r="AN33" s="15"/>
      <c r="AO33" s="15"/>
      <c r="AP33" s="15"/>
      <c r="AQ33" s="15"/>
      <c r="AR33" s="15"/>
      <c r="AS33" s="15"/>
      <c r="DW33" s="5"/>
      <c r="EM33" s="42"/>
      <c r="EN33" s="43"/>
      <c r="EO33" s="12"/>
      <c r="FN33" s="13"/>
      <c r="FO33" s="13"/>
      <c r="GT33" s="13"/>
      <c r="GU33" s="43"/>
      <c r="GV33" s="45"/>
      <c r="HN33" s="42"/>
      <c r="HO33" s="43"/>
      <c r="HP33" s="12"/>
      <c r="IO33" s="13"/>
      <c r="IP33" s="13"/>
      <c r="JU33" s="13"/>
      <c r="JV33" s="43"/>
      <c r="JW33" s="45"/>
    </row>
    <row r="34" spans="8:283" ht="18" customHeight="1" x14ac:dyDescent="0.2">
      <c r="H34" s="4"/>
      <c r="S34" s="40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3"/>
      <c r="AM34" s="123"/>
      <c r="AN34" s="109"/>
      <c r="AO34" s="109"/>
      <c r="AP34" s="109"/>
      <c r="AQ34" s="109"/>
      <c r="AR34" s="124"/>
      <c r="AS34" s="43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4"/>
      <c r="DW34" s="5"/>
      <c r="EM34" s="42"/>
      <c r="EN34" s="43"/>
      <c r="EO34" s="12"/>
      <c r="FN34" s="13"/>
      <c r="FO34" s="90"/>
      <c r="GT34" s="13"/>
      <c r="GU34" s="43"/>
      <c r="GV34" s="45"/>
      <c r="HN34" s="42"/>
      <c r="HO34" s="43"/>
      <c r="HP34" s="12"/>
      <c r="IO34" s="13"/>
      <c r="IP34" s="90"/>
      <c r="JU34" s="13"/>
      <c r="JV34" s="43"/>
      <c r="JW34" s="45"/>
    </row>
    <row r="35" spans="8:283" ht="18" customHeight="1" x14ac:dyDescent="0.2">
      <c r="H35" s="4"/>
      <c r="S35" s="42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7"/>
      <c r="AM35" s="123"/>
      <c r="AN35" s="109"/>
      <c r="AO35" s="109"/>
      <c r="AP35" s="109"/>
      <c r="AQ35" s="109"/>
      <c r="AR35" s="124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5"/>
      <c r="DW35" s="5"/>
      <c r="EM35" s="42"/>
      <c r="EN35" s="43"/>
      <c r="EO35" s="12"/>
      <c r="FN35" s="13"/>
      <c r="FO35" s="90"/>
      <c r="GT35" s="13"/>
      <c r="GU35" s="43"/>
      <c r="GV35" s="45"/>
      <c r="HN35" s="42"/>
      <c r="HO35" s="43"/>
      <c r="HP35" s="12"/>
      <c r="IO35" s="13"/>
      <c r="IP35" s="90"/>
      <c r="JU35" s="13"/>
      <c r="JV35" s="43"/>
      <c r="JW35" s="45"/>
    </row>
    <row r="36" spans="8:283" ht="18" customHeight="1" x14ac:dyDescent="0.2">
      <c r="H36" s="4"/>
      <c r="S36" s="42"/>
      <c r="T36" s="43"/>
      <c r="U36" s="9"/>
      <c r="V36" s="10"/>
      <c r="W36" s="10"/>
      <c r="X36" s="10"/>
      <c r="Y36" s="9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1"/>
      <c r="AK36" s="10"/>
      <c r="AL36" s="10"/>
      <c r="AM36" s="10"/>
      <c r="AN36" s="10"/>
      <c r="AO36" s="10"/>
      <c r="AP36" s="10"/>
      <c r="AQ36" s="10"/>
      <c r="AR36" s="10"/>
      <c r="AS36" s="10"/>
      <c r="AT36" s="11"/>
      <c r="AU36" s="10"/>
      <c r="AV36" s="9"/>
      <c r="AW36" s="10"/>
      <c r="AX36" s="10"/>
      <c r="AY36" s="10"/>
      <c r="AZ36" s="11"/>
      <c r="BA36" s="10"/>
      <c r="BB36" s="10"/>
      <c r="BC36" s="10"/>
      <c r="BD36" s="10"/>
      <c r="BE36" s="11"/>
      <c r="BF36" s="9"/>
      <c r="BG36" s="10"/>
      <c r="BH36" s="10"/>
      <c r="BI36" s="10"/>
      <c r="BJ36" s="10"/>
      <c r="BK36" s="10"/>
      <c r="BL36" s="10"/>
      <c r="BM36" s="11"/>
      <c r="BN36" s="43"/>
      <c r="BO36" s="45"/>
      <c r="DW36" s="5"/>
      <c r="EM36" s="42"/>
      <c r="EN36" s="43"/>
      <c r="EO36" s="12"/>
      <c r="FN36" s="13"/>
      <c r="FO36" s="90"/>
      <c r="GT36" s="13"/>
      <c r="GU36" s="43"/>
      <c r="GV36" s="45"/>
      <c r="HN36" s="42"/>
      <c r="HO36" s="43"/>
      <c r="HP36" s="12"/>
      <c r="IO36" s="13"/>
      <c r="IP36" s="90"/>
      <c r="JU36" s="13"/>
      <c r="JV36" s="43"/>
      <c r="JW36" s="45"/>
    </row>
    <row r="37" spans="8:283" ht="18" customHeight="1" x14ac:dyDescent="0.2">
      <c r="H37" s="4"/>
      <c r="S37" s="42"/>
      <c r="T37" s="43"/>
      <c r="U37" s="12"/>
      <c r="Y37" s="12"/>
      <c r="AJ37" s="13"/>
      <c r="AT37" s="13"/>
      <c r="AV37" s="12"/>
      <c r="AZ37" s="13"/>
      <c r="BE37" s="13"/>
      <c r="BF37" s="12"/>
      <c r="BM37" s="13"/>
      <c r="BN37" s="43"/>
      <c r="BO37" s="45"/>
      <c r="DW37" s="5"/>
      <c r="EM37" s="42"/>
      <c r="EN37" s="43"/>
      <c r="EO37" s="12"/>
      <c r="FN37" s="13"/>
      <c r="FO37" s="90"/>
      <c r="GT37" s="13"/>
      <c r="GU37" s="43"/>
      <c r="GV37" s="45"/>
      <c r="HN37" s="42"/>
      <c r="HO37" s="43"/>
      <c r="HP37" s="12"/>
      <c r="IO37" s="13"/>
      <c r="IP37" s="90"/>
      <c r="JU37" s="13"/>
      <c r="JV37" s="43"/>
      <c r="JW37" s="45"/>
    </row>
    <row r="38" spans="8:283" ht="18" customHeight="1" x14ac:dyDescent="0.2">
      <c r="H38" s="4"/>
      <c r="S38" s="42"/>
      <c r="T38" s="43"/>
      <c r="U38" s="12"/>
      <c r="Y38" s="12"/>
      <c r="AJ38" s="13"/>
      <c r="AT38" s="13"/>
      <c r="AV38" s="12"/>
      <c r="AZ38" s="13"/>
      <c r="BE38" s="13"/>
      <c r="BF38" s="12"/>
      <c r="BM38" s="13"/>
      <c r="BN38" s="43"/>
      <c r="BO38" s="45"/>
      <c r="DW38" s="5"/>
      <c r="EM38" s="42"/>
      <c r="EN38" s="43"/>
      <c r="EO38" s="12"/>
      <c r="FN38" s="13"/>
      <c r="FO38" s="90"/>
      <c r="GT38" s="13"/>
      <c r="GU38" s="43"/>
      <c r="GV38" s="45"/>
      <c r="HN38" s="42"/>
      <c r="HO38" s="43"/>
      <c r="HP38" s="12"/>
      <c r="IO38" s="13"/>
      <c r="IP38" s="90"/>
      <c r="JU38" s="13"/>
      <c r="JV38" s="43"/>
      <c r="JW38" s="45"/>
    </row>
    <row r="39" spans="8:283" ht="18" customHeight="1" x14ac:dyDescent="0.2">
      <c r="H39" s="4"/>
      <c r="S39" s="42"/>
      <c r="T39" s="43"/>
      <c r="U39" s="12"/>
      <c r="Y39" s="12"/>
      <c r="AJ39" s="13"/>
      <c r="AT39" s="13"/>
      <c r="AV39" s="12"/>
      <c r="AZ39" s="13"/>
      <c r="BE39" s="13"/>
      <c r="BF39" s="12"/>
      <c r="BM39" s="13"/>
      <c r="BN39" s="43"/>
      <c r="BO39" s="45"/>
      <c r="DW39" s="5"/>
      <c r="EM39" s="42"/>
      <c r="EN39" s="43"/>
      <c r="EO39" s="12"/>
      <c r="FN39" s="13"/>
      <c r="FO39" s="90"/>
      <c r="GT39" s="13"/>
      <c r="GU39" s="43"/>
      <c r="GV39" s="45"/>
      <c r="HN39" s="42"/>
      <c r="HO39" s="43"/>
      <c r="HP39" s="12"/>
      <c r="IO39" s="13"/>
      <c r="IP39" s="90"/>
      <c r="JU39" s="13"/>
      <c r="JV39" s="43"/>
      <c r="JW39" s="45"/>
    </row>
    <row r="40" spans="8:283" ht="18" customHeight="1" x14ac:dyDescent="0.2">
      <c r="H40" s="4"/>
      <c r="S40" s="42"/>
      <c r="T40" s="43"/>
      <c r="U40" s="12"/>
      <c r="Y40" s="12"/>
      <c r="AJ40" s="13"/>
      <c r="AT40" s="13"/>
      <c r="AV40" s="14"/>
      <c r="AW40" s="15"/>
      <c r="AX40" s="15"/>
      <c r="AY40" s="15"/>
      <c r="AZ40" s="16"/>
      <c r="BA40" s="15"/>
      <c r="BB40" s="15"/>
      <c r="BC40" s="15"/>
      <c r="BD40" s="15"/>
      <c r="BE40" s="16"/>
      <c r="BF40" s="12"/>
      <c r="BM40" s="13"/>
      <c r="BN40" s="43"/>
      <c r="BO40" s="45"/>
      <c r="DW40" s="5"/>
      <c r="EM40" s="42"/>
      <c r="EN40" s="43"/>
      <c r="EO40" s="14"/>
      <c r="EP40" s="15"/>
      <c r="EQ40" s="15"/>
      <c r="ER40" s="15"/>
      <c r="ES40" s="15"/>
      <c r="ET40" s="15"/>
      <c r="EU40" s="15"/>
      <c r="EV40" s="15"/>
      <c r="EW40" s="15"/>
      <c r="EX40" s="15"/>
      <c r="EY40" s="15"/>
      <c r="EZ40" s="15"/>
      <c r="FA40" s="15"/>
      <c r="FB40" s="15"/>
      <c r="FC40" s="15"/>
      <c r="FD40" s="15"/>
      <c r="FE40" s="15"/>
      <c r="FF40" s="15"/>
      <c r="FG40" s="15"/>
      <c r="FH40" s="15"/>
      <c r="FI40" s="15"/>
      <c r="FJ40" s="15"/>
      <c r="FK40" s="15"/>
      <c r="FL40" s="15"/>
      <c r="FM40" s="15"/>
      <c r="FN40" s="16"/>
      <c r="FO40" s="13"/>
      <c r="FX40" s="15"/>
      <c r="GT40" s="13"/>
      <c r="GU40" s="43"/>
      <c r="GV40" s="45"/>
      <c r="HN40" s="42"/>
      <c r="HO40" s="43"/>
      <c r="HP40" s="14"/>
      <c r="HQ40" s="15"/>
      <c r="HR40" s="15"/>
      <c r="HS40" s="15"/>
      <c r="HT40" s="15"/>
      <c r="HU40" s="15"/>
      <c r="HV40" s="15"/>
      <c r="HW40" s="15"/>
      <c r="HX40" s="15"/>
      <c r="HY40" s="15"/>
      <c r="HZ40" s="15"/>
      <c r="IA40" s="15"/>
      <c r="IB40" s="15"/>
      <c r="IC40" s="15"/>
      <c r="ID40" s="15"/>
      <c r="IE40" s="15"/>
      <c r="IF40" s="15"/>
      <c r="IG40" s="15"/>
      <c r="IH40" s="15"/>
      <c r="II40" s="15"/>
      <c r="IJ40" s="15"/>
      <c r="IK40" s="15"/>
      <c r="IL40" s="15"/>
      <c r="IM40" s="15"/>
      <c r="IN40" s="15"/>
      <c r="IO40" s="16"/>
      <c r="IP40" s="13"/>
      <c r="JU40" s="13"/>
      <c r="JV40" s="43"/>
      <c r="JW40" s="45"/>
    </row>
    <row r="41" spans="8:283" ht="18" customHeight="1" x14ac:dyDescent="0.2">
      <c r="H41" s="4"/>
      <c r="S41" s="42"/>
      <c r="T41" s="43"/>
      <c r="U41" s="12"/>
      <c r="Y41" s="12"/>
      <c r="AJ41" s="13"/>
      <c r="AT41" s="13"/>
      <c r="AV41" s="12"/>
      <c r="BF41" s="12"/>
      <c r="BM41" s="13"/>
      <c r="BN41" s="43"/>
      <c r="BO41" s="45"/>
      <c r="DW41" s="5"/>
      <c r="EM41" s="42"/>
      <c r="EN41" s="43"/>
      <c r="EO41" s="14"/>
      <c r="EP41" s="100"/>
      <c r="EQ41" s="100"/>
      <c r="ER41" s="100"/>
      <c r="ES41" s="100"/>
      <c r="ET41" s="100"/>
      <c r="EU41" s="15"/>
      <c r="EV41" s="15"/>
      <c r="EW41" s="15"/>
      <c r="EX41" s="15"/>
      <c r="EY41" s="15"/>
      <c r="EZ41" s="15"/>
      <c r="FA41" s="15"/>
      <c r="FB41" s="15"/>
      <c r="FC41" s="15"/>
      <c r="FD41" s="15"/>
      <c r="FE41" s="15"/>
      <c r="FF41" s="15"/>
      <c r="FG41" s="15"/>
      <c r="FH41" s="15"/>
      <c r="FI41" s="15"/>
      <c r="FJ41" s="15"/>
      <c r="FK41" s="15"/>
      <c r="FL41" s="15"/>
      <c r="FM41" s="15"/>
      <c r="FN41" s="15"/>
      <c r="FO41" s="16"/>
      <c r="FP41" s="207"/>
      <c r="FQ41" s="207"/>
      <c r="FR41" s="207"/>
      <c r="FS41" s="207"/>
      <c r="FT41" s="207"/>
      <c r="FU41" s="207"/>
      <c r="FV41" s="207"/>
      <c r="FW41" s="207"/>
      <c r="FX41" s="209"/>
      <c r="GT41" s="13"/>
      <c r="GU41" s="43"/>
      <c r="GV41" s="45"/>
      <c r="HN41" s="42"/>
      <c r="HO41" s="43"/>
      <c r="HP41" s="14"/>
      <c r="HQ41" s="100"/>
      <c r="HR41" s="100"/>
      <c r="HS41" s="100"/>
      <c r="HT41" s="100"/>
      <c r="HU41" s="100"/>
      <c r="HV41" s="15"/>
      <c r="HW41" s="15"/>
      <c r="HX41" s="15"/>
      <c r="HY41" s="15"/>
      <c r="HZ41" s="15"/>
      <c r="IA41" s="15"/>
      <c r="IB41" s="15"/>
      <c r="IC41" s="15"/>
      <c r="ID41" s="15"/>
      <c r="IE41" s="15"/>
      <c r="IF41" s="15"/>
      <c r="IG41" s="15"/>
      <c r="IH41" s="15"/>
      <c r="II41" s="15"/>
      <c r="IJ41" s="15"/>
      <c r="IK41" s="15"/>
      <c r="IL41" s="15"/>
      <c r="IM41" s="15"/>
      <c r="IN41" s="15"/>
      <c r="IO41" s="15"/>
      <c r="IP41" s="16"/>
      <c r="JU41" s="13"/>
      <c r="JV41" s="43"/>
      <c r="JW41" s="45"/>
    </row>
    <row r="42" spans="8:283" ht="18" customHeight="1" x14ac:dyDescent="0.2">
      <c r="H42" s="4"/>
      <c r="S42" s="42"/>
      <c r="T42" s="43"/>
      <c r="U42" s="12"/>
      <c r="Y42" s="12"/>
      <c r="AJ42" s="13"/>
      <c r="AT42" s="13"/>
      <c r="AV42" s="12"/>
      <c r="BF42" s="12"/>
      <c r="BM42" s="13"/>
      <c r="BN42" s="43"/>
      <c r="BO42" s="45"/>
      <c r="DW42" s="5"/>
      <c r="EM42" s="42"/>
      <c r="EN42" s="43"/>
      <c r="EO42" s="12"/>
      <c r="EY42" s="9"/>
      <c r="EZ42" s="10"/>
      <c r="FA42" s="10"/>
      <c r="FB42" s="10"/>
      <c r="FC42" s="10"/>
      <c r="FD42" s="10"/>
      <c r="FE42" s="10"/>
      <c r="FF42" s="11"/>
      <c r="FH42" s="12"/>
      <c r="FW42" s="13"/>
      <c r="FX42" s="49"/>
      <c r="FY42" s="12"/>
      <c r="GT42" s="13"/>
      <c r="GU42" s="43"/>
      <c r="GV42" s="45"/>
      <c r="HN42" s="42"/>
      <c r="HO42" s="43"/>
      <c r="HP42" s="12"/>
      <c r="HZ42" s="9"/>
      <c r="IA42" s="10"/>
      <c r="IB42" s="10"/>
      <c r="IC42" s="10"/>
      <c r="ID42" s="10"/>
      <c r="IE42" s="10"/>
      <c r="IF42" s="10"/>
      <c r="IG42" s="11"/>
      <c r="II42" s="12"/>
      <c r="IM42" s="12"/>
      <c r="IY42" s="204"/>
      <c r="JU42" s="13"/>
      <c r="JV42" s="43"/>
      <c r="JW42" s="45"/>
    </row>
    <row r="43" spans="8:283" ht="18" customHeight="1" x14ac:dyDescent="0.2">
      <c r="H43" s="4"/>
      <c r="S43" s="42"/>
      <c r="T43" s="43"/>
      <c r="U43" s="12"/>
      <c r="Y43" s="12"/>
      <c r="AJ43" s="13"/>
      <c r="AT43" s="13"/>
      <c r="AV43" s="12"/>
      <c r="BF43" s="12"/>
      <c r="BM43" s="13"/>
      <c r="BN43" s="43"/>
      <c r="BO43" s="45"/>
      <c r="DW43" s="5"/>
      <c r="EM43" s="42"/>
      <c r="EN43" s="43"/>
      <c r="EO43" s="12"/>
      <c r="EY43" s="12"/>
      <c r="FF43" s="13"/>
      <c r="FH43" s="9"/>
      <c r="FI43" s="11"/>
      <c r="FW43" s="13"/>
      <c r="FX43" s="208"/>
      <c r="GT43" s="13"/>
      <c r="GU43" s="43"/>
      <c r="GV43" s="45"/>
      <c r="HN43" s="42"/>
      <c r="HO43" s="43"/>
      <c r="HP43" s="12"/>
      <c r="HZ43" s="12"/>
      <c r="IG43" s="13"/>
      <c r="II43" s="12"/>
      <c r="IM43" s="12"/>
      <c r="IY43" s="205"/>
      <c r="JU43" s="13"/>
      <c r="JV43" s="43"/>
      <c r="JW43" s="45"/>
    </row>
    <row r="44" spans="8:283" ht="18" customHeight="1" x14ac:dyDescent="0.2">
      <c r="H44" s="4"/>
      <c r="S44" s="42"/>
      <c r="T44" s="43"/>
      <c r="U44" s="12"/>
      <c r="Y44" s="12"/>
      <c r="AJ44" s="13"/>
      <c r="AT44" s="13"/>
      <c r="AV44" s="12"/>
      <c r="BF44" s="12"/>
      <c r="BM44" s="13"/>
      <c r="BN44" s="43"/>
      <c r="BO44" s="4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DW44" s="5"/>
      <c r="EM44" s="42"/>
      <c r="EN44" s="43"/>
      <c r="EO44" s="12"/>
      <c r="EY44" s="12"/>
      <c r="FF44" s="13"/>
      <c r="FH44" s="12"/>
      <c r="FI44" s="13"/>
      <c r="FW44" s="13"/>
      <c r="FX44" s="208"/>
      <c r="FY44" s="9"/>
      <c r="FZ44" s="10"/>
      <c r="GA44" s="10"/>
      <c r="GB44" s="10"/>
      <c r="GC44" s="10"/>
      <c r="GD44" s="11"/>
      <c r="GT44" s="13"/>
      <c r="GU44" s="43"/>
      <c r="GV44" s="45"/>
      <c r="HN44" s="42"/>
      <c r="HO44" s="43"/>
      <c r="HP44" s="12"/>
      <c r="HZ44" s="12"/>
      <c r="IG44" s="13"/>
      <c r="II44" s="12"/>
      <c r="IM44" s="12"/>
      <c r="IY44" s="205"/>
      <c r="IZ44" s="10"/>
      <c r="JA44" s="10"/>
      <c r="JB44" s="10"/>
      <c r="JC44" s="10"/>
      <c r="JD44" s="10"/>
      <c r="JE44" s="11"/>
      <c r="JU44" s="13"/>
      <c r="JV44" s="43"/>
      <c r="JW44" s="45"/>
    </row>
    <row r="45" spans="8:283" ht="18" customHeight="1" x14ac:dyDescent="0.2">
      <c r="H45" s="4"/>
      <c r="S45" s="42"/>
      <c r="T45" s="43"/>
      <c r="U45" s="12"/>
      <c r="Y45" s="12"/>
      <c r="AJ45" s="13"/>
      <c r="AT45" s="13"/>
      <c r="AV45" s="14"/>
      <c r="AW45" s="15"/>
      <c r="AX45" s="15"/>
      <c r="AY45" s="15"/>
      <c r="AZ45" s="15"/>
      <c r="BA45" s="15"/>
      <c r="BB45" s="15"/>
      <c r="BC45" s="15"/>
      <c r="BD45" s="15"/>
      <c r="BE45" s="15"/>
      <c r="BF45" s="14"/>
      <c r="BG45" s="15"/>
      <c r="BH45" s="15"/>
      <c r="BI45" s="15"/>
      <c r="BJ45" s="15"/>
      <c r="BK45" s="15"/>
      <c r="BL45" s="15"/>
      <c r="BM45" s="16"/>
      <c r="BN45" s="42"/>
      <c r="BO45" s="43"/>
      <c r="BP45" s="41"/>
      <c r="BQ45" s="43"/>
      <c r="BR45" s="43"/>
      <c r="BS45" s="123"/>
      <c r="BT45" s="109"/>
      <c r="BU45" s="109"/>
      <c r="BV45" s="109"/>
      <c r="BW45" s="109"/>
      <c r="BX45" s="124"/>
      <c r="BY45" s="43"/>
      <c r="BZ45" s="43"/>
      <c r="CA45" s="43"/>
      <c r="CB45" s="44"/>
      <c r="DW45" s="5"/>
      <c r="EM45" s="42"/>
      <c r="EN45" s="43"/>
      <c r="EO45" s="12"/>
      <c r="EY45" s="12"/>
      <c r="FF45" s="13"/>
      <c r="FH45" s="12"/>
      <c r="FI45" s="13"/>
      <c r="FW45" s="13"/>
      <c r="FX45" s="208"/>
      <c r="FY45" s="12"/>
      <c r="GD45" s="13"/>
      <c r="GT45" s="13"/>
      <c r="GU45" s="43"/>
      <c r="GV45" s="45"/>
      <c r="HN45" s="42"/>
      <c r="HO45" s="43"/>
      <c r="HP45" s="12"/>
      <c r="HZ45" s="12"/>
      <c r="IG45" s="13"/>
      <c r="II45" s="12"/>
      <c r="IJ45" s="32"/>
      <c r="IK45" s="32"/>
      <c r="IM45" s="12"/>
      <c r="IY45" s="205"/>
      <c r="JE45" s="13"/>
      <c r="JU45" s="13"/>
      <c r="JV45" s="43"/>
      <c r="JW45" s="45"/>
    </row>
    <row r="46" spans="8:283" ht="18" customHeight="1" x14ac:dyDescent="0.2">
      <c r="H46" s="4"/>
      <c r="S46" s="42"/>
      <c r="T46" s="43"/>
      <c r="U46" s="12"/>
      <c r="Y46" s="12"/>
      <c r="AJ46" s="13"/>
      <c r="AT46" s="13"/>
      <c r="AX46" s="127"/>
      <c r="AY46" s="127"/>
      <c r="AZ46" s="127"/>
      <c r="BA46" s="127"/>
      <c r="BB46" s="127"/>
      <c r="BE46" s="15"/>
      <c r="BF46" s="15"/>
      <c r="BG46" s="15"/>
      <c r="BH46" s="15"/>
      <c r="BI46" s="15"/>
      <c r="BJ46" s="15"/>
      <c r="BK46" s="15"/>
      <c r="BL46" s="15"/>
      <c r="BM46" s="15"/>
      <c r="BN46" s="46"/>
      <c r="BO46" s="47"/>
      <c r="BP46" s="43"/>
      <c r="BQ46" s="47"/>
      <c r="BR46" s="47"/>
      <c r="BS46" s="123"/>
      <c r="BT46" s="109"/>
      <c r="BU46" s="109"/>
      <c r="BV46" s="109"/>
      <c r="BW46" s="109"/>
      <c r="BX46" s="124"/>
      <c r="BY46" s="43"/>
      <c r="BZ46" s="43"/>
      <c r="CA46" s="43"/>
      <c r="CB46" s="45"/>
      <c r="DW46" s="5"/>
      <c r="EM46" s="42"/>
      <c r="EN46" s="43"/>
      <c r="EO46" s="12"/>
      <c r="EY46" s="12"/>
      <c r="FF46" s="13"/>
      <c r="FH46" s="12"/>
      <c r="FI46" s="13"/>
      <c r="FL46" s="9"/>
      <c r="FM46" s="10"/>
      <c r="FN46" s="10"/>
      <c r="FO46" s="10"/>
      <c r="FP46" s="10"/>
      <c r="FQ46" s="10"/>
      <c r="FR46" s="10"/>
      <c r="FS46" s="11"/>
      <c r="FW46" s="13"/>
      <c r="FX46" s="208"/>
      <c r="FY46" s="12"/>
      <c r="GD46" s="13"/>
      <c r="GT46" s="13"/>
      <c r="GU46" s="43"/>
      <c r="GV46" s="45"/>
      <c r="HN46" s="42"/>
      <c r="HO46" s="43"/>
      <c r="HP46" s="12"/>
      <c r="HZ46" s="12"/>
      <c r="IG46" s="13"/>
      <c r="II46" s="12"/>
      <c r="IJ46" s="32"/>
      <c r="IK46" s="32"/>
      <c r="IM46" s="12"/>
      <c r="IY46" s="205"/>
      <c r="JE46" s="13"/>
      <c r="JU46" s="13"/>
      <c r="JV46" s="43"/>
      <c r="JW46" s="45"/>
    </row>
    <row r="47" spans="8:283" ht="18" customHeight="1" x14ac:dyDescent="0.2">
      <c r="H47" s="4"/>
      <c r="S47" s="42"/>
      <c r="T47" s="43"/>
      <c r="U47" s="12"/>
      <c r="Y47" s="14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6"/>
      <c r="AT47" s="13"/>
      <c r="AU47" s="52"/>
      <c r="AV47" s="52"/>
      <c r="AW47" s="52"/>
      <c r="AX47" s="52"/>
      <c r="AY47" s="52"/>
      <c r="AZ47" s="52"/>
      <c r="BA47" s="52"/>
      <c r="BB47" s="52"/>
      <c r="BC47" s="52"/>
      <c r="BD47" s="17"/>
      <c r="BE47" t="s">
        <v>45</v>
      </c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1"/>
      <c r="CA47" s="43"/>
      <c r="CB47" s="45"/>
      <c r="DW47" s="5"/>
      <c r="EM47" s="42"/>
      <c r="EN47" s="43"/>
      <c r="EO47" s="9"/>
      <c r="EP47" s="10"/>
      <c r="EQ47" s="10"/>
      <c r="ER47" s="10"/>
      <c r="ES47" s="10"/>
      <c r="ET47" s="9"/>
      <c r="EU47" s="10"/>
      <c r="EV47" s="10"/>
      <c r="EW47" s="10"/>
      <c r="EX47" s="11"/>
      <c r="EY47" s="12"/>
      <c r="FF47" s="13"/>
      <c r="FH47" s="12"/>
      <c r="FI47" s="13"/>
      <c r="FL47" s="12"/>
      <c r="FS47" s="13"/>
      <c r="FW47" s="13"/>
      <c r="FX47" s="208"/>
      <c r="FY47" s="12"/>
      <c r="GD47" s="13"/>
      <c r="GT47" s="13"/>
      <c r="GU47" s="43"/>
      <c r="GV47" s="45"/>
      <c r="HN47" s="42"/>
      <c r="HO47" s="43"/>
      <c r="HP47" s="9"/>
      <c r="HQ47" s="10"/>
      <c r="HR47" s="10"/>
      <c r="HS47" s="10"/>
      <c r="HT47" s="10"/>
      <c r="HU47" s="9"/>
      <c r="HV47" s="10"/>
      <c r="HW47" s="10"/>
      <c r="HX47" s="10"/>
      <c r="HY47" s="11"/>
      <c r="HZ47" s="12"/>
      <c r="IG47" s="13"/>
      <c r="II47" s="12"/>
      <c r="IM47" s="12"/>
      <c r="IY47" s="205"/>
      <c r="JE47" s="13"/>
      <c r="JU47" s="13"/>
      <c r="JV47" s="43"/>
      <c r="JW47" s="45"/>
    </row>
    <row r="48" spans="8:283" ht="18" customHeight="1" x14ac:dyDescent="0.2">
      <c r="H48" s="4"/>
      <c r="S48" s="42"/>
      <c r="T48" s="43"/>
      <c r="U48" s="12"/>
      <c r="AT48" s="13"/>
      <c r="AU48" s="51"/>
      <c r="AV48" s="51"/>
      <c r="AW48" s="51"/>
      <c r="AX48" s="51"/>
      <c r="AY48" s="51"/>
      <c r="AZ48" s="51"/>
      <c r="BA48" s="51"/>
      <c r="BB48" s="51"/>
      <c r="BC48" s="51"/>
      <c r="BD48" s="18"/>
      <c r="BZ48" s="13"/>
      <c r="CA48" s="43"/>
      <c r="CB48" s="45"/>
      <c r="DW48" s="5"/>
      <c r="EM48" s="42"/>
      <c r="EN48" s="43"/>
      <c r="EO48" s="12"/>
      <c r="ET48" s="12"/>
      <c r="EX48" s="13"/>
      <c r="EY48" s="12"/>
      <c r="FF48" s="13"/>
      <c r="FH48" s="14"/>
      <c r="FI48" s="35"/>
      <c r="FJ48" s="32"/>
      <c r="FL48" s="12"/>
      <c r="FS48" s="13"/>
      <c r="FW48" s="13"/>
      <c r="FX48" s="208"/>
      <c r="FY48" s="12"/>
      <c r="GD48" s="13"/>
      <c r="GT48" s="13"/>
      <c r="GU48" s="43"/>
      <c r="GV48" s="45"/>
      <c r="HN48" s="42"/>
      <c r="HO48" s="43"/>
      <c r="HP48" s="12"/>
      <c r="HU48" s="12"/>
      <c r="HY48" s="13"/>
      <c r="HZ48" s="12"/>
      <c r="IG48" s="13"/>
      <c r="II48" s="12"/>
      <c r="IM48" s="12"/>
      <c r="IY48" s="205"/>
      <c r="JE48" s="13"/>
      <c r="JU48" s="13"/>
      <c r="JV48" s="43"/>
      <c r="JW48" s="45"/>
    </row>
    <row r="49" spans="8:285" ht="18" customHeight="1" x14ac:dyDescent="0.2">
      <c r="H49" s="4"/>
      <c r="S49" s="125"/>
      <c r="T49" s="125"/>
      <c r="U49" s="12"/>
      <c r="AT49" s="13"/>
      <c r="AU49" s="51"/>
      <c r="AV49" s="51"/>
      <c r="AW49" s="51"/>
      <c r="AX49" s="51"/>
      <c r="AY49" s="51"/>
      <c r="AZ49" s="51"/>
      <c r="BA49" s="51"/>
      <c r="BB49" s="51"/>
      <c r="BC49" s="51"/>
      <c r="BD49" s="18"/>
      <c r="BZ49" s="13"/>
      <c r="CA49" s="43"/>
      <c r="CB49" s="45"/>
      <c r="DW49" s="5"/>
      <c r="EM49" s="42"/>
      <c r="EN49" s="43"/>
      <c r="EO49" s="12"/>
      <c r="ET49" s="12"/>
      <c r="EX49" s="13"/>
      <c r="EY49" s="12"/>
      <c r="FF49" s="13"/>
      <c r="FH49" s="12"/>
      <c r="FI49" s="32"/>
      <c r="FJ49" s="32"/>
      <c r="FL49" s="12"/>
      <c r="FS49" s="13"/>
      <c r="FW49" s="13"/>
      <c r="FX49" s="208"/>
      <c r="FY49" s="12"/>
      <c r="GD49" s="13"/>
      <c r="GT49" s="13"/>
      <c r="GU49" s="43"/>
      <c r="GV49" s="45"/>
      <c r="HN49" s="42"/>
      <c r="HO49" s="43"/>
      <c r="HP49" s="12"/>
      <c r="HU49" s="12"/>
      <c r="HY49" s="13"/>
      <c r="HZ49" s="12"/>
      <c r="IG49" s="13"/>
      <c r="II49" s="9"/>
      <c r="IJ49" s="11"/>
      <c r="IM49" s="12"/>
      <c r="IU49" s="15"/>
      <c r="IV49" s="15"/>
      <c r="IW49" s="15"/>
      <c r="IX49" s="15"/>
      <c r="IY49" s="205"/>
      <c r="JE49" s="13"/>
      <c r="JU49" s="13"/>
      <c r="JV49" s="43"/>
      <c r="JW49" s="45"/>
    </row>
    <row r="50" spans="8:285" ht="18" customHeight="1" x14ac:dyDescent="0.2">
      <c r="H50" s="4"/>
      <c r="S50" s="108"/>
      <c r="T50" s="108"/>
      <c r="U50" s="12"/>
      <c r="AT50" s="13"/>
      <c r="AU50" s="51"/>
      <c r="AV50" s="51"/>
      <c r="AW50" s="51"/>
      <c r="AX50" s="51"/>
      <c r="AY50" s="51"/>
      <c r="AZ50" s="51"/>
      <c r="BA50" s="51"/>
      <c r="BB50" s="51"/>
      <c r="BC50" s="51"/>
      <c r="BD50" s="18"/>
      <c r="BZ50" s="13"/>
      <c r="CA50" s="43"/>
      <c r="CB50" s="45"/>
      <c r="DW50" s="5"/>
      <c r="EM50" s="42"/>
      <c r="EN50" s="43"/>
      <c r="EO50" s="12"/>
      <c r="ET50" s="12"/>
      <c r="EX50" s="13"/>
      <c r="EY50" s="12"/>
      <c r="FF50" s="13"/>
      <c r="FH50" s="9"/>
      <c r="FI50" s="11"/>
      <c r="FL50" s="12"/>
      <c r="FS50" s="13"/>
      <c r="FW50" s="13"/>
      <c r="FX50" s="208"/>
      <c r="FY50" s="12"/>
      <c r="GD50" s="13"/>
      <c r="GT50" s="13"/>
      <c r="GU50" s="43"/>
      <c r="GV50" s="45"/>
      <c r="HN50" s="42"/>
      <c r="HO50" s="43"/>
      <c r="HP50" s="12"/>
      <c r="HU50" s="12"/>
      <c r="HY50" s="13"/>
      <c r="HZ50" s="12"/>
      <c r="IG50" s="13"/>
      <c r="II50" s="12"/>
      <c r="IJ50" s="13"/>
      <c r="IM50" s="12"/>
      <c r="IT50" s="13"/>
      <c r="IY50" s="205"/>
      <c r="JE50" s="13"/>
      <c r="JU50" s="13"/>
      <c r="JV50" s="43"/>
      <c r="JW50" s="45"/>
    </row>
    <row r="51" spans="8:285" ht="18" customHeight="1" x14ac:dyDescent="0.2">
      <c r="H51" s="4"/>
      <c r="S51" s="108"/>
      <c r="T51" s="108"/>
      <c r="U51" s="12"/>
      <c r="AT51" s="13"/>
      <c r="AU51" s="51"/>
      <c r="AV51" s="51"/>
      <c r="AW51" s="51"/>
      <c r="AX51" s="51"/>
      <c r="AY51" s="51"/>
      <c r="AZ51" s="51"/>
      <c r="BA51" s="51"/>
      <c r="BB51" s="51"/>
      <c r="BC51" s="51"/>
      <c r="BD51" s="18"/>
      <c r="BW51" s="9"/>
      <c r="BX51" s="10"/>
      <c r="BY51" s="10"/>
      <c r="BZ51" s="11"/>
      <c r="CA51" s="43"/>
      <c r="CB51" s="45"/>
      <c r="DW51" s="5"/>
      <c r="EM51" s="42"/>
      <c r="EN51" s="43"/>
      <c r="EO51" s="14"/>
      <c r="EP51" s="15"/>
      <c r="EQ51" s="15"/>
      <c r="ER51" s="15"/>
      <c r="ES51" s="15"/>
      <c r="ET51" s="14"/>
      <c r="EU51" s="15"/>
      <c r="EV51" s="15"/>
      <c r="EW51" s="15"/>
      <c r="EX51" s="16"/>
      <c r="EY51" s="14"/>
      <c r="EZ51" s="15"/>
      <c r="FA51" s="15"/>
      <c r="FB51" s="15"/>
      <c r="FC51" s="15"/>
      <c r="FD51" s="15"/>
      <c r="FE51" s="15"/>
      <c r="FF51" s="16"/>
      <c r="FG51" s="15"/>
      <c r="FH51" s="12"/>
      <c r="FI51" s="13"/>
      <c r="FL51" s="12"/>
      <c r="FS51" s="13"/>
      <c r="FW51" s="13"/>
      <c r="FX51" s="208"/>
      <c r="FY51" s="12"/>
      <c r="GD51" s="13"/>
      <c r="GT51" s="13"/>
      <c r="GU51" s="43"/>
      <c r="GV51" s="45"/>
      <c r="GW51" s="146"/>
      <c r="GX51" s="147"/>
      <c r="HN51" s="42"/>
      <c r="HO51" s="43"/>
      <c r="HP51" s="14"/>
      <c r="HQ51" s="15"/>
      <c r="HR51" s="15"/>
      <c r="HS51" s="15"/>
      <c r="HT51" s="15"/>
      <c r="HU51" s="14"/>
      <c r="HV51" s="15"/>
      <c r="HW51" s="15"/>
      <c r="HX51" s="15"/>
      <c r="HY51" s="16"/>
      <c r="HZ51" s="14"/>
      <c r="IA51" s="15"/>
      <c r="IB51" s="15"/>
      <c r="IC51" s="15"/>
      <c r="ID51" s="15"/>
      <c r="IE51" s="15"/>
      <c r="IF51" s="15"/>
      <c r="IG51" s="16"/>
      <c r="IH51" s="15"/>
      <c r="II51" s="12"/>
      <c r="IJ51" s="13"/>
      <c r="IM51" s="12"/>
      <c r="IT51" s="13"/>
      <c r="IY51" s="205"/>
      <c r="JE51" s="13"/>
      <c r="JU51" s="13"/>
      <c r="JV51" s="43"/>
      <c r="JW51" s="45"/>
      <c r="JX51" s="146"/>
      <c r="JY51" s="147"/>
    </row>
    <row r="52" spans="8:285" ht="18" customHeight="1" x14ac:dyDescent="0.2">
      <c r="H52" s="4"/>
      <c r="S52" s="108"/>
      <c r="T52" s="108"/>
      <c r="U52" s="12"/>
      <c r="AT52" s="13"/>
      <c r="AU52" s="51"/>
      <c r="AV52" s="51"/>
      <c r="AW52" s="51"/>
      <c r="AX52" s="51"/>
      <c r="AY52" s="51"/>
      <c r="AZ52" s="51"/>
      <c r="BA52" s="51"/>
      <c r="BB52" s="51"/>
      <c r="BC52" s="51"/>
      <c r="BD52" s="18"/>
      <c r="BW52" s="12"/>
      <c r="BZ52" s="13"/>
      <c r="CA52" s="43"/>
      <c r="CB52" s="45"/>
      <c r="DW52" s="5"/>
      <c r="EM52" s="42"/>
      <c r="EN52" s="43"/>
      <c r="EO52" s="43"/>
      <c r="EP52" s="43"/>
      <c r="EQ52" s="43"/>
      <c r="ER52" s="43"/>
      <c r="ES52" s="43"/>
      <c r="ET52" s="43"/>
      <c r="EU52" s="43"/>
      <c r="EV52" s="43"/>
      <c r="EW52" s="43"/>
      <c r="EX52" s="43"/>
      <c r="EY52" s="43"/>
      <c r="EZ52" s="43"/>
      <c r="FA52" s="41"/>
      <c r="FB52" s="41"/>
      <c r="FC52" s="41"/>
      <c r="FD52" s="41"/>
      <c r="FE52" s="41"/>
      <c r="FF52" s="41"/>
      <c r="FG52" s="41"/>
      <c r="FH52" s="12"/>
      <c r="FI52" s="13"/>
      <c r="FL52" s="12"/>
      <c r="FS52" s="13"/>
      <c r="FW52" s="13"/>
      <c r="FX52" s="208"/>
      <c r="FY52" s="12"/>
      <c r="GD52" s="13"/>
      <c r="GT52" s="13"/>
      <c r="GU52" s="43"/>
      <c r="GV52" s="45"/>
      <c r="GW52" s="149"/>
      <c r="GX52" s="150"/>
      <c r="HN52" s="42"/>
      <c r="HO52" s="43"/>
      <c r="HP52" s="43"/>
      <c r="HQ52" s="43"/>
      <c r="HR52" s="43"/>
      <c r="HS52" s="43"/>
      <c r="HT52" s="43"/>
      <c r="HU52" s="43"/>
      <c r="HV52" s="43"/>
      <c r="HW52" s="43"/>
      <c r="HX52" s="43"/>
      <c r="HY52" s="43"/>
      <c r="HZ52" s="43"/>
      <c r="IA52" s="43"/>
      <c r="IB52" s="41"/>
      <c r="IC52" s="41"/>
      <c r="ID52" s="41"/>
      <c r="IE52" s="41"/>
      <c r="IF52" s="41"/>
      <c r="IG52" s="41"/>
      <c r="IH52" s="41"/>
      <c r="II52" s="12"/>
      <c r="IJ52" s="13"/>
      <c r="IM52" s="12"/>
      <c r="IT52" s="13"/>
      <c r="IY52" s="205"/>
      <c r="JE52" s="13"/>
      <c r="JU52" s="13"/>
      <c r="JV52" s="43"/>
      <c r="JW52" s="45"/>
      <c r="JX52" s="149"/>
      <c r="JY52" s="150"/>
    </row>
    <row r="53" spans="8:285" ht="18" customHeight="1" x14ac:dyDescent="0.2">
      <c r="H53" s="4"/>
      <c r="S53" s="108"/>
      <c r="T53" s="108"/>
      <c r="U53" s="12"/>
      <c r="AB53" s="9"/>
      <c r="AC53" s="10"/>
      <c r="AD53" s="10"/>
      <c r="AE53" s="10"/>
      <c r="AF53" s="10"/>
      <c r="AG53" s="10"/>
      <c r="AH53" s="10"/>
      <c r="AI53" s="10"/>
      <c r="AJ53" s="10"/>
      <c r="AK53" s="11"/>
      <c r="AT53" s="13"/>
      <c r="AU53" s="51"/>
      <c r="AV53" s="51"/>
      <c r="AW53" s="51"/>
      <c r="AX53" s="51"/>
      <c r="AY53" s="51"/>
      <c r="AZ53" s="51"/>
      <c r="BA53" s="51"/>
      <c r="BB53" s="51"/>
      <c r="BC53" s="51"/>
      <c r="BD53" s="18"/>
      <c r="BQ53" s="9"/>
      <c r="BR53" s="10"/>
      <c r="BS53" s="10"/>
      <c r="BT53" s="11"/>
      <c r="BW53" s="12"/>
      <c r="BZ53" s="13"/>
      <c r="CA53" s="43"/>
      <c r="CB53" s="45"/>
      <c r="DW53" s="5"/>
      <c r="EM53" s="46"/>
      <c r="EN53" s="47"/>
      <c r="EO53" s="47"/>
      <c r="EP53" s="47"/>
      <c r="EQ53" s="47"/>
      <c r="ER53" s="47"/>
      <c r="ES53" s="47"/>
      <c r="ET53" s="47"/>
      <c r="EU53" s="47"/>
      <c r="EV53" s="47"/>
      <c r="EW53" s="47"/>
      <c r="EX53" s="43"/>
      <c r="EY53" s="47"/>
      <c r="EZ53" s="43"/>
      <c r="FA53" s="43"/>
      <c r="FB53" s="43"/>
      <c r="FC53" s="43"/>
      <c r="FD53" s="43"/>
      <c r="FE53" s="43"/>
      <c r="FF53" s="43"/>
      <c r="FG53" s="43"/>
      <c r="FH53" s="12"/>
      <c r="FI53" s="13"/>
      <c r="FL53" s="12"/>
      <c r="FS53" s="13"/>
      <c r="FW53" s="13"/>
      <c r="FX53" s="208"/>
      <c r="FY53" s="12"/>
      <c r="GD53" s="13"/>
      <c r="GT53" s="13"/>
      <c r="GU53" s="43"/>
      <c r="GV53" s="45"/>
      <c r="GW53" s="184"/>
      <c r="GX53" s="185"/>
      <c r="HN53" s="46"/>
      <c r="HO53" s="47"/>
      <c r="HP53" s="47"/>
      <c r="HQ53" s="47"/>
      <c r="HR53" s="47"/>
      <c r="HS53" s="47"/>
      <c r="HT53" s="47"/>
      <c r="HU53" s="47"/>
      <c r="HV53" s="47"/>
      <c r="HW53" s="47"/>
      <c r="HX53" s="47"/>
      <c r="HY53" s="43"/>
      <c r="HZ53" s="47"/>
      <c r="IA53" s="43"/>
      <c r="IB53" s="43"/>
      <c r="IC53" s="43"/>
      <c r="ID53" s="43"/>
      <c r="IE53" s="43"/>
      <c r="IF53" s="43"/>
      <c r="IG53" s="43"/>
      <c r="IH53" s="43"/>
      <c r="II53" s="12"/>
      <c r="IJ53" s="13"/>
      <c r="IM53" s="12"/>
      <c r="IT53" s="13"/>
      <c r="IY53" s="205"/>
      <c r="JE53" s="13"/>
      <c r="JU53" s="13"/>
      <c r="JV53" s="43"/>
      <c r="JW53" s="45"/>
      <c r="JX53" s="184"/>
      <c r="JY53" s="185"/>
    </row>
    <row r="54" spans="8:285" ht="18" customHeight="1" x14ac:dyDescent="0.2">
      <c r="H54" s="4"/>
      <c r="S54" s="126"/>
      <c r="T54" s="126"/>
      <c r="U54" s="12"/>
      <c r="AB54" s="12"/>
      <c r="AK54" s="13"/>
      <c r="AT54" s="13"/>
      <c r="AU54" s="51"/>
      <c r="AV54" s="51"/>
      <c r="AW54" s="51"/>
      <c r="AX54" s="51"/>
      <c r="AY54" s="51"/>
      <c r="AZ54" s="51"/>
      <c r="BA54" s="51"/>
      <c r="BB54" s="51"/>
      <c r="BC54" s="51"/>
      <c r="BD54" s="18"/>
      <c r="BQ54" s="12"/>
      <c r="BT54" s="13"/>
      <c r="BW54" s="12"/>
      <c r="BZ54" s="13"/>
      <c r="CA54" s="43"/>
      <c r="CB54" s="45"/>
      <c r="DW54" s="5"/>
      <c r="EV54" s="10"/>
      <c r="EW54" s="10"/>
      <c r="EX54" s="10"/>
      <c r="EY54" s="10"/>
      <c r="EZ54" s="10"/>
      <c r="FA54" s="10"/>
      <c r="FB54" s="10"/>
      <c r="FC54" s="10"/>
      <c r="FD54" s="10"/>
      <c r="FE54" s="11"/>
      <c r="FF54" s="42"/>
      <c r="FG54" s="43"/>
      <c r="FH54" s="12"/>
      <c r="FI54" s="13"/>
      <c r="FL54" s="12"/>
      <c r="FS54" s="13"/>
      <c r="FW54" s="13"/>
      <c r="FX54" s="208"/>
      <c r="FY54" s="12"/>
      <c r="GD54" s="13"/>
      <c r="GT54" s="13"/>
      <c r="GU54" s="43"/>
      <c r="GV54" s="45"/>
      <c r="GW54" s="170"/>
      <c r="GX54" s="171"/>
      <c r="HW54" s="10"/>
      <c r="HX54" s="10"/>
      <c r="HY54" s="10"/>
      <c r="HZ54" s="10"/>
      <c r="IA54" s="10"/>
      <c r="IB54" s="10"/>
      <c r="IC54" s="10"/>
      <c r="ID54" s="10"/>
      <c r="IE54" s="10"/>
      <c r="IF54" s="11"/>
      <c r="IG54" s="42"/>
      <c r="IH54" s="43"/>
      <c r="II54" s="14"/>
      <c r="IJ54" s="16"/>
      <c r="IM54" s="12"/>
      <c r="IT54" s="13"/>
      <c r="IY54" s="205"/>
      <c r="JE54" s="13"/>
      <c r="JU54" s="13"/>
      <c r="JV54" s="43"/>
      <c r="JW54" s="45"/>
      <c r="JX54" s="170"/>
      <c r="JY54" s="171"/>
    </row>
    <row r="55" spans="8:285" ht="18" customHeight="1" x14ac:dyDescent="0.2">
      <c r="H55" s="4"/>
      <c r="S55" s="42"/>
      <c r="T55" s="43"/>
      <c r="U55" s="14"/>
      <c r="V55" s="15"/>
      <c r="W55" s="15"/>
      <c r="X55" s="15"/>
      <c r="Y55" s="15"/>
      <c r="Z55" s="15"/>
      <c r="AA55" s="15"/>
      <c r="AB55" s="14"/>
      <c r="AC55" s="15"/>
      <c r="AD55" s="15"/>
      <c r="AE55" s="15"/>
      <c r="AF55" s="15"/>
      <c r="AG55" s="15"/>
      <c r="AH55" s="15"/>
      <c r="AI55" s="15"/>
      <c r="AJ55" s="15"/>
      <c r="AK55" s="16"/>
      <c r="AL55" s="15"/>
      <c r="AM55" s="15"/>
      <c r="AN55" s="15"/>
      <c r="AO55" s="15"/>
      <c r="AP55" s="15"/>
      <c r="AQ55" s="15"/>
      <c r="AR55" s="15"/>
      <c r="AS55" s="15"/>
      <c r="AT55" s="16"/>
      <c r="AU55" s="54"/>
      <c r="AV55" s="54"/>
      <c r="AW55" s="54"/>
      <c r="AX55" s="54"/>
      <c r="AY55" s="54"/>
      <c r="AZ55" s="54"/>
      <c r="BA55" s="54"/>
      <c r="BB55" s="54"/>
      <c r="BC55" s="54"/>
      <c r="BD55" s="19"/>
      <c r="BQ55" s="12"/>
      <c r="BT55" s="13"/>
      <c r="BW55" s="12"/>
      <c r="BZ55" s="13"/>
      <c r="CA55" s="43"/>
      <c r="CB55" s="45"/>
      <c r="CL55" s="17"/>
      <c r="DV55" s="9"/>
      <c r="DW55" s="11"/>
      <c r="FF55" s="42"/>
      <c r="FG55" s="43"/>
      <c r="FH55" s="14"/>
      <c r="FI55" s="16"/>
      <c r="FL55" s="12"/>
      <c r="FS55" s="13"/>
      <c r="FW55" s="13"/>
      <c r="FX55" s="208"/>
      <c r="FY55" s="14"/>
      <c r="FZ55" s="15"/>
      <c r="GA55" s="15"/>
      <c r="GB55" s="15"/>
      <c r="GC55" s="15"/>
      <c r="GD55" s="16"/>
      <c r="GT55" s="13"/>
      <c r="GU55" s="43"/>
      <c r="GV55" s="45"/>
      <c r="GW55" s="149"/>
      <c r="GX55" s="150"/>
      <c r="IG55" s="42"/>
      <c r="IH55" s="43"/>
      <c r="II55" s="12"/>
      <c r="IM55" s="12"/>
      <c r="IT55" s="13"/>
      <c r="IY55" s="205"/>
      <c r="IZ55" s="15"/>
      <c r="JA55" s="15"/>
      <c r="JB55" s="15"/>
      <c r="JC55" s="15"/>
      <c r="JD55" s="15"/>
      <c r="JE55" s="16"/>
      <c r="JU55" s="13"/>
      <c r="JV55" s="43"/>
      <c r="JW55" s="45"/>
      <c r="JX55" s="149"/>
      <c r="JY55" s="150"/>
    </row>
    <row r="56" spans="8:285" ht="18" customHeight="1" x14ac:dyDescent="0.2">
      <c r="H56" s="4"/>
      <c r="S56" s="42"/>
      <c r="T56" s="43"/>
      <c r="U56" s="12"/>
      <c r="V56" s="127"/>
      <c r="W56" s="127"/>
      <c r="X56" s="127"/>
      <c r="Y56" s="127"/>
      <c r="Z56" s="127"/>
      <c r="AW56" s="127"/>
      <c r="AX56" s="127"/>
      <c r="AY56" s="127"/>
      <c r="AZ56" s="127"/>
      <c r="BA56" s="127"/>
      <c r="BB56" s="127"/>
      <c r="BE56" s="12"/>
      <c r="BQ56" s="14"/>
      <c r="BR56" s="15"/>
      <c r="BS56" s="15"/>
      <c r="BT56" s="16"/>
      <c r="BW56" s="12"/>
      <c r="BZ56" s="13"/>
      <c r="CA56" s="43"/>
      <c r="CB56" s="45"/>
      <c r="CL56" s="18"/>
      <c r="DV56" s="12"/>
      <c r="DW56" s="13"/>
      <c r="FF56" s="42"/>
      <c r="FG56" s="43"/>
      <c r="FH56" s="12"/>
      <c r="FL56" s="12"/>
      <c r="FS56" s="13"/>
      <c r="FW56" s="13"/>
      <c r="FX56" s="208"/>
      <c r="GT56" s="13"/>
      <c r="GU56" s="43"/>
      <c r="GV56" s="45"/>
      <c r="GW56" s="149"/>
      <c r="GX56" s="150"/>
      <c r="IG56" s="42"/>
      <c r="IH56" s="43"/>
      <c r="II56" s="9"/>
      <c r="IJ56" s="11"/>
      <c r="IM56" s="12"/>
      <c r="IT56" s="13"/>
      <c r="IY56" s="205"/>
      <c r="JU56" s="13"/>
      <c r="JV56" s="43"/>
      <c r="JW56" s="45"/>
      <c r="JX56" s="149"/>
      <c r="JY56" s="150"/>
    </row>
    <row r="57" spans="8:285" ht="18" customHeight="1" x14ac:dyDescent="0.2">
      <c r="H57" s="4"/>
      <c r="S57" s="42"/>
      <c r="T57" s="43"/>
      <c r="U57" s="9"/>
      <c r="V57" s="10"/>
      <c r="W57" s="10"/>
      <c r="X57" s="10"/>
      <c r="Y57" s="10"/>
      <c r="Z57" s="10"/>
      <c r="AA57" s="10"/>
      <c r="AB57" s="10"/>
      <c r="AC57" s="10"/>
      <c r="AD57" s="11"/>
      <c r="AF57" s="9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1"/>
      <c r="BE57" s="12"/>
      <c r="BW57" s="12"/>
      <c r="BZ57" s="13"/>
      <c r="CA57" s="43"/>
      <c r="CB57" s="45"/>
      <c r="CG57" s="16"/>
      <c r="CH57" s="181"/>
      <c r="CI57" s="10"/>
      <c r="CJ57" s="10"/>
      <c r="CK57" s="10"/>
      <c r="CL57" s="9"/>
      <c r="CM57" s="10"/>
      <c r="CN57" s="10"/>
      <c r="CO57" s="11"/>
      <c r="CP57" s="9"/>
      <c r="CQ57" s="10"/>
      <c r="CR57" s="10"/>
      <c r="CS57" s="10"/>
      <c r="CT57" s="10"/>
      <c r="CU57" s="10"/>
      <c r="CV57" s="10"/>
      <c r="CW57" s="10"/>
      <c r="CX57" s="10"/>
      <c r="CY57" s="10"/>
      <c r="CZ57" s="11"/>
      <c r="DA57" s="10"/>
      <c r="DB57" s="10"/>
      <c r="DC57" s="10"/>
      <c r="DD57" s="10"/>
      <c r="DE57" s="11"/>
      <c r="DF57" s="182"/>
      <c r="DV57" s="12"/>
      <c r="DW57" s="13"/>
      <c r="FF57" s="42"/>
      <c r="FG57" s="43"/>
      <c r="FH57" s="12"/>
      <c r="FL57" s="12"/>
      <c r="FS57" s="13"/>
      <c r="FW57" s="13"/>
      <c r="FX57" s="208"/>
      <c r="GT57" s="13"/>
      <c r="GU57" s="43"/>
      <c r="GV57" s="45"/>
      <c r="GW57" s="149"/>
      <c r="GX57" s="150"/>
      <c r="IG57" s="42"/>
      <c r="IH57" s="43"/>
      <c r="II57" s="12"/>
      <c r="IJ57" s="13"/>
      <c r="IM57" s="12"/>
      <c r="IT57" s="13"/>
      <c r="IY57" s="205"/>
      <c r="JU57" s="13"/>
      <c r="JV57" s="43"/>
      <c r="JW57" s="45"/>
      <c r="JX57" s="149"/>
      <c r="JY57" s="150"/>
    </row>
    <row r="58" spans="8:285" ht="18" customHeight="1" x14ac:dyDescent="0.2">
      <c r="H58" s="4"/>
      <c r="S58" s="42"/>
      <c r="T58" s="43"/>
      <c r="U58" s="12"/>
      <c r="AD58" s="13"/>
      <c r="AF58" s="9"/>
      <c r="AG58" s="10"/>
      <c r="AH58" s="11"/>
      <c r="BC58" s="13"/>
      <c r="BE58" s="12"/>
      <c r="BW58" s="14"/>
      <c r="BX58" s="15"/>
      <c r="BY58" s="15"/>
      <c r="BZ58" s="16"/>
      <c r="CA58" s="43"/>
      <c r="CB58" s="45"/>
      <c r="CF58" s="16"/>
      <c r="CG58" s="181"/>
      <c r="CL58" s="170"/>
      <c r="CM58" s="171"/>
      <c r="CN58" s="171"/>
      <c r="CO58" s="172"/>
      <c r="CP58" s="12"/>
      <c r="CQ58" s="171"/>
      <c r="CR58" s="171"/>
      <c r="CS58" s="171"/>
      <c r="CT58" s="171"/>
      <c r="CV58" s="171"/>
      <c r="CW58" s="171"/>
      <c r="CX58" s="171"/>
      <c r="CY58" s="171"/>
      <c r="CZ58" s="13"/>
      <c r="DF58" s="144"/>
      <c r="DV58" s="12"/>
      <c r="DW58" s="13"/>
      <c r="FF58" s="42"/>
      <c r="FG58" s="43"/>
      <c r="FH58" s="12"/>
      <c r="FL58" s="12"/>
      <c r="FS58" s="13"/>
      <c r="FW58" s="13"/>
      <c r="FX58" s="208"/>
      <c r="GT58" s="13"/>
      <c r="GU58" s="43"/>
      <c r="GV58" s="45"/>
      <c r="GW58" s="149"/>
      <c r="GX58" s="150"/>
      <c r="IG58" s="42"/>
      <c r="IH58" s="43"/>
      <c r="II58" s="12"/>
      <c r="IJ58" s="13"/>
      <c r="IM58" s="12"/>
      <c r="IT58" s="13"/>
      <c r="IY58" s="205"/>
      <c r="JU58" s="13"/>
      <c r="JV58" s="43"/>
      <c r="JW58" s="45"/>
      <c r="JX58" s="149"/>
      <c r="JY58" s="150"/>
    </row>
    <row r="59" spans="8:285" ht="18" customHeight="1" x14ac:dyDescent="0.2">
      <c r="H59" s="4"/>
      <c r="S59" s="42"/>
      <c r="T59" s="43"/>
      <c r="U59" s="12"/>
      <c r="AD59" s="13"/>
      <c r="AF59" s="12"/>
      <c r="AH59" s="13"/>
      <c r="BC59" s="13"/>
      <c r="BE59" s="14"/>
      <c r="BF59" s="15"/>
      <c r="BZ59" s="13"/>
      <c r="CA59" s="43"/>
      <c r="CB59" s="45"/>
      <c r="CF59" s="12"/>
      <c r="CL59" s="170"/>
      <c r="CM59" s="171"/>
      <c r="CN59" s="171"/>
      <c r="CO59" s="172"/>
      <c r="CP59" s="9"/>
      <c r="CQ59" s="10"/>
      <c r="CR59" s="10"/>
      <c r="CS59" s="10"/>
      <c r="CT59" s="10"/>
      <c r="CU59" s="10"/>
      <c r="CV59" s="10"/>
      <c r="CW59" s="10"/>
      <c r="CX59" s="10"/>
      <c r="CY59" s="10"/>
      <c r="CZ59" s="11"/>
      <c r="DB59" s="171"/>
      <c r="DC59" s="171"/>
      <c r="DF59" s="13"/>
      <c r="DV59" s="12"/>
      <c r="DW59" s="13"/>
      <c r="FF59" s="42"/>
      <c r="FG59" s="43"/>
      <c r="FH59" s="12"/>
      <c r="FL59" s="12"/>
      <c r="FS59" s="13"/>
      <c r="FW59" s="13"/>
      <c r="FX59" s="208"/>
      <c r="GT59" s="13"/>
      <c r="GU59" s="43"/>
      <c r="GV59" s="45"/>
      <c r="GW59" s="149"/>
      <c r="GX59" s="150"/>
      <c r="IG59" s="42"/>
      <c r="IH59" s="43"/>
      <c r="II59" s="12"/>
      <c r="IJ59" s="13"/>
      <c r="IM59" s="12"/>
      <c r="IT59" s="13"/>
      <c r="IY59" s="205"/>
      <c r="JU59" s="13"/>
      <c r="JV59" s="43"/>
      <c r="JW59" s="45"/>
      <c r="JX59" s="149"/>
      <c r="JY59" s="150"/>
    </row>
    <row r="60" spans="8:285" ht="18" customHeight="1" x14ac:dyDescent="0.2">
      <c r="H60" s="4"/>
      <c r="S60" s="42"/>
      <c r="T60" s="43"/>
      <c r="U60" s="12"/>
      <c r="AD60" s="13"/>
      <c r="AF60" s="12"/>
      <c r="AH60" s="13"/>
      <c r="BC60" s="13"/>
      <c r="BE60" s="9"/>
      <c r="BF60" s="10"/>
      <c r="BG60" s="11"/>
      <c r="BZ60" s="13"/>
      <c r="CA60" s="43"/>
      <c r="CB60" s="45"/>
      <c r="CF60" s="12"/>
      <c r="CL60" s="170"/>
      <c r="CM60" s="171"/>
      <c r="CN60" s="171"/>
      <c r="CO60" s="172"/>
      <c r="CP60" s="12"/>
      <c r="CZ60" s="13"/>
      <c r="DB60" s="171"/>
      <c r="DC60" s="171"/>
      <c r="DF60" s="13"/>
      <c r="DV60" s="12"/>
      <c r="DW60" s="13"/>
      <c r="FF60" s="42"/>
      <c r="FG60" s="43"/>
      <c r="FH60" s="12"/>
      <c r="FL60" s="12"/>
      <c r="FS60" s="13"/>
      <c r="FW60" s="13"/>
      <c r="FX60" s="208"/>
      <c r="GT60" s="13"/>
      <c r="GU60" s="43"/>
      <c r="GV60" s="45"/>
      <c r="GW60" s="149"/>
      <c r="GX60" s="150"/>
      <c r="IG60" s="42"/>
      <c r="IH60" s="43"/>
      <c r="II60" s="12"/>
      <c r="IJ60" s="13"/>
      <c r="IM60" s="12"/>
      <c r="IT60" s="13"/>
      <c r="IY60" s="205"/>
      <c r="JU60" s="13"/>
      <c r="JV60" s="43"/>
      <c r="JW60" s="45"/>
      <c r="JX60" s="149"/>
      <c r="JY60" s="150"/>
    </row>
    <row r="61" spans="8:285" ht="18" customHeight="1" x14ac:dyDescent="0.2">
      <c r="H61" s="4"/>
      <c r="S61" s="42"/>
      <c r="T61" s="43"/>
      <c r="U61" s="14"/>
      <c r="V61" s="15"/>
      <c r="W61" s="15"/>
      <c r="X61" s="15"/>
      <c r="Y61" s="15"/>
      <c r="Z61" s="15"/>
      <c r="AA61" s="15"/>
      <c r="AB61" s="15"/>
      <c r="AC61" s="15"/>
      <c r="AD61" s="16"/>
      <c r="AF61" s="12"/>
      <c r="AH61" s="13"/>
      <c r="BC61" s="13"/>
      <c r="BE61" s="12"/>
      <c r="BG61" s="13"/>
      <c r="BZ61" s="13"/>
      <c r="CA61" s="43"/>
      <c r="CB61" s="45"/>
      <c r="CF61" s="12"/>
      <c r="CL61" s="170"/>
      <c r="CM61" s="171"/>
      <c r="CN61" s="171"/>
      <c r="CO61" s="172"/>
      <c r="CP61" s="12"/>
      <c r="CZ61" s="13"/>
      <c r="DB61" s="171"/>
      <c r="DC61" s="171"/>
      <c r="DF61" s="13"/>
      <c r="DV61" s="12"/>
      <c r="DW61" s="13"/>
      <c r="FF61" s="42"/>
      <c r="FG61" s="43"/>
      <c r="FH61" s="12"/>
      <c r="FL61" s="12"/>
      <c r="FS61" s="13"/>
      <c r="FW61" s="13"/>
      <c r="FX61" s="208"/>
      <c r="GT61" s="13"/>
      <c r="GU61" s="43"/>
      <c r="GV61" s="45"/>
      <c r="GW61" s="149"/>
      <c r="GX61" s="150"/>
      <c r="IG61" s="42"/>
      <c r="IH61" s="43"/>
      <c r="II61" s="14"/>
      <c r="IJ61" s="16"/>
      <c r="IM61" s="14"/>
      <c r="IN61" s="15"/>
      <c r="IO61" s="15"/>
      <c r="IP61" s="15"/>
      <c r="IQ61" s="15"/>
      <c r="IR61" s="15"/>
      <c r="IS61" s="15"/>
      <c r="IT61" s="16"/>
      <c r="IY61" s="205"/>
      <c r="JU61" s="13"/>
      <c r="JV61" s="43"/>
      <c r="JW61" s="45"/>
      <c r="JX61" s="149"/>
      <c r="JY61" s="150"/>
    </row>
    <row r="62" spans="8:285" ht="18" customHeight="1" x14ac:dyDescent="0.2">
      <c r="H62" s="4"/>
      <c r="S62" s="42"/>
      <c r="T62" s="43"/>
      <c r="U62" s="12"/>
      <c r="Z62" s="12"/>
      <c r="AD62" s="13"/>
      <c r="AF62" s="12"/>
      <c r="AH62" s="13"/>
      <c r="BC62" s="13"/>
      <c r="BE62" s="14"/>
      <c r="BF62" s="15"/>
      <c r="BG62" s="16"/>
      <c r="BZ62" s="13"/>
      <c r="CA62" s="43"/>
      <c r="CB62" s="45"/>
      <c r="CC62" s="12"/>
      <c r="CF62" s="12"/>
      <c r="CL62" s="170"/>
      <c r="CM62" s="171"/>
      <c r="CN62" s="171"/>
      <c r="CO62" s="172"/>
      <c r="CP62" s="12"/>
      <c r="CZ62" s="13"/>
      <c r="DB62" s="171"/>
      <c r="DC62" s="171"/>
      <c r="DF62" s="13"/>
      <c r="DV62" s="12"/>
      <c r="DW62" s="13"/>
      <c r="FF62" s="42"/>
      <c r="FG62" s="43"/>
      <c r="FH62" s="12"/>
      <c r="FL62" s="12"/>
      <c r="FT62" s="10"/>
      <c r="FU62" s="10"/>
      <c r="FV62" s="10"/>
      <c r="FW62" s="10"/>
      <c r="FX62" s="10"/>
      <c r="GT62" s="13"/>
      <c r="GU62" s="43"/>
      <c r="GV62" s="45"/>
      <c r="GW62" s="149"/>
      <c r="GX62" s="150"/>
      <c r="IG62" s="42"/>
      <c r="IH62" s="43"/>
      <c r="II62" s="12"/>
      <c r="IY62" s="205"/>
      <c r="JU62" s="13"/>
      <c r="JV62" s="43"/>
      <c r="JW62" s="45"/>
      <c r="JX62" s="149"/>
      <c r="JY62" s="150"/>
    </row>
    <row r="63" spans="8:285" ht="18" customHeight="1" x14ac:dyDescent="0.2">
      <c r="H63" s="4"/>
      <c r="S63" s="42"/>
      <c r="T63" s="43"/>
      <c r="U63" s="12"/>
      <c r="Z63" s="12"/>
      <c r="AD63" s="13"/>
      <c r="AF63" s="12"/>
      <c r="AH63" s="13"/>
      <c r="BC63" s="13"/>
      <c r="BE63" s="157"/>
      <c r="BF63" s="158"/>
      <c r="BG63" s="158"/>
      <c r="BH63" s="158"/>
      <c r="BI63" s="158"/>
      <c r="BJ63" s="159"/>
      <c r="BZ63" s="13"/>
      <c r="CA63" s="43"/>
      <c r="CB63" s="45"/>
      <c r="CF63" s="12"/>
      <c r="CL63" s="170"/>
      <c r="CM63" s="171"/>
      <c r="CN63" s="171"/>
      <c r="CO63" s="172"/>
      <c r="CP63" s="12"/>
      <c r="CZ63" s="13"/>
      <c r="DB63" s="171"/>
      <c r="DC63" s="171"/>
      <c r="DF63" s="13"/>
      <c r="DV63" s="12"/>
      <c r="DW63" s="13"/>
      <c r="FF63" s="42"/>
      <c r="FG63" s="43"/>
      <c r="FH63" s="12"/>
      <c r="FJ63" s="97"/>
      <c r="FL63" s="12"/>
      <c r="GT63" s="13"/>
      <c r="GU63" s="43"/>
      <c r="GV63" s="45"/>
      <c r="GW63" s="149"/>
      <c r="GX63" s="150"/>
      <c r="IG63" s="42"/>
      <c r="IH63" s="43"/>
      <c r="II63" s="12"/>
      <c r="IO63" s="97"/>
      <c r="IP63" s="97"/>
      <c r="IQ63" s="97"/>
      <c r="IR63" s="97"/>
      <c r="IY63" s="205"/>
      <c r="JU63" s="13"/>
      <c r="JV63" s="43"/>
      <c r="JW63" s="45"/>
      <c r="JX63" s="149"/>
      <c r="JY63" s="150"/>
    </row>
    <row r="64" spans="8:285" ht="18" customHeight="1" x14ac:dyDescent="0.2">
      <c r="H64" s="4"/>
      <c r="S64" s="42"/>
      <c r="T64" s="43"/>
      <c r="U64" s="12"/>
      <c r="Z64" s="12"/>
      <c r="AD64" s="13"/>
      <c r="AF64" s="12"/>
      <c r="AH64" s="13"/>
      <c r="BC64" s="13"/>
      <c r="BE64" s="157"/>
      <c r="BF64" s="159"/>
      <c r="BG64" s="158"/>
      <c r="BH64" s="158"/>
      <c r="BI64" s="158"/>
      <c r="BJ64" s="159"/>
      <c r="BZ64" s="13"/>
      <c r="CA64" s="43"/>
      <c r="CB64" s="45"/>
      <c r="CF64" s="12"/>
      <c r="CL64" s="170"/>
      <c r="CM64" s="171"/>
      <c r="CN64" s="171"/>
      <c r="CO64" s="172"/>
      <c r="CP64" s="12"/>
      <c r="CZ64" s="13"/>
      <c r="DB64" s="171"/>
      <c r="DC64" s="171"/>
      <c r="DF64" s="13"/>
      <c r="DV64" s="12"/>
      <c r="DW64" s="13"/>
      <c r="FF64" s="42"/>
      <c r="FG64" s="43"/>
      <c r="FH64" s="12"/>
      <c r="FJ64" s="97"/>
      <c r="FL64" s="12"/>
      <c r="GT64" s="13"/>
      <c r="GU64" s="43"/>
      <c r="GV64" s="45"/>
      <c r="GW64" s="149"/>
      <c r="GX64" s="150"/>
      <c r="IG64" s="42"/>
      <c r="IH64" s="43"/>
      <c r="II64" s="12"/>
      <c r="IY64" s="205"/>
      <c r="JU64" s="13"/>
      <c r="JV64" s="43"/>
      <c r="JW64" s="45"/>
      <c r="JX64" s="149"/>
      <c r="JY64" s="150"/>
    </row>
    <row r="65" spans="8:285" ht="18" customHeight="1" x14ac:dyDescent="0.2">
      <c r="H65" s="4"/>
      <c r="S65" s="42"/>
      <c r="T65" s="43"/>
      <c r="U65" s="12"/>
      <c r="Z65" s="12"/>
      <c r="AD65" s="13"/>
      <c r="AF65" s="14"/>
      <c r="AG65" s="15"/>
      <c r="AH65" s="16"/>
      <c r="BC65" s="13"/>
      <c r="BE65" s="160"/>
      <c r="BF65" s="161"/>
      <c r="BG65" s="162"/>
      <c r="BH65" s="162"/>
      <c r="BI65" s="162"/>
      <c r="BJ65" s="161"/>
      <c r="BX65" s="9"/>
      <c r="BY65" s="10"/>
      <c r="BZ65" s="11"/>
      <c r="CA65" s="43"/>
      <c r="CB65" s="45"/>
      <c r="CF65" s="14"/>
      <c r="CL65" s="170"/>
      <c r="CM65" s="171"/>
      <c r="CN65" s="171"/>
      <c r="CO65" s="172"/>
      <c r="CP65" s="14"/>
      <c r="CQ65" s="15"/>
      <c r="CR65" s="15"/>
      <c r="CS65" s="15"/>
      <c r="CT65" s="15"/>
      <c r="CU65" s="15"/>
      <c r="CV65" s="15"/>
      <c r="CW65" s="15"/>
      <c r="CX65" s="15"/>
      <c r="CY65" s="15"/>
      <c r="CZ65" s="16"/>
      <c r="DB65" s="171"/>
      <c r="DC65" s="171"/>
      <c r="DF65" s="13"/>
      <c r="DV65" s="12"/>
      <c r="DW65" s="13"/>
      <c r="FF65" s="42"/>
      <c r="FG65" s="43"/>
      <c r="FH65" s="12"/>
      <c r="FJ65" s="97"/>
      <c r="FL65" s="12"/>
      <c r="GT65" s="13"/>
      <c r="GU65" s="43"/>
      <c r="GV65" s="45"/>
      <c r="GW65" s="149"/>
      <c r="GX65" s="150"/>
      <c r="IG65" s="42"/>
      <c r="IH65" s="43"/>
      <c r="II65" s="14"/>
      <c r="IJ65" s="15"/>
      <c r="IK65" s="15"/>
      <c r="IL65" s="15"/>
      <c r="IM65" s="15"/>
      <c r="IN65" s="15"/>
      <c r="IO65" s="15"/>
      <c r="IP65" s="15"/>
      <c r="IQ65" s="15"/>
      <c r="IR65" s="15"/>
      <c r="IS65" s="15"/>
      <c r="IT65" s="15"/>
      <c r="IU65" s="15"/>
      <c r="IV65" s="15"/>
      <c r="IW65" s="15"/>
      <c r="IX65" s="15"/>
      <c r="IY65" s="206"/>
      <c r="IZ65" s="15"/>
      <c r="JA65" s="15"/>
      <c r="JB65" s="15"/>
      <c r="JC65" s="15"/>
      <c r="JD65" s="15"/>
      <c r="JE65" s="15"/>
      <c r="JF65" s="15"/>
      <c r="JG65" s="15"/>
      <c r="JH65" s="15"/>
      <c r="JI65" s="15"/>
      <c r="JJ65" s="15"/>
      <c r="JK65" s="15"/>
      <c r="JL65" s="15"/>
      <c r="JM65" s="15"/>
      <c r="JN65" s="15"/>
      <c r="JO65" s="15"/>
      <c r="JP65" s="15"/>
      <c r="JQ65" s="15"/>
      <c r="JR65" s="15"/>
      <c r="JS65" s="15"/>
      <c r="JT65" s="15"/>
      <c r="JU65" s="16"/>
      <c r="JV65" s="43"/>
      <c r="JW65" s="45"/>
      <c r="JX65" s="149"/>
      <c r="JY65" s="150"/>
    </row>
    <row r="66" spans="8:285" ht="18" customHeight="1" x14ac:dyDescent="0.2">
      <c r="H66" s="4"/>
      <c r="S66" s="42"/>
      <c r="T66" s="43"/>
      <c r="U66" s="14"/>
      <c r="V66" s="15"/>
      <c r="W66" s="15"/>
      <c r="X66" s="15"/>
      <c r="Y66" s="15"/>
      <c r="Z66" s="14"/>
      <c r="AA66" s="15"/>
      <c r="AB66" s="15"/>
      <c r="AC66" s="15"/>
      <c r="AD66" s="16"/>
      <c r="AF66" s="14"/>
      <c r="BC66" s="13"/>
      <c r="BE66" s="160"/>
      <c r="BF66" s="161"/>
      <c r="BG66" s="162"/>
      <c r="BH66" s="162"/>
      <c r="BI66" s="162"/>
      <c r="BJ66" s="161"/>
      <c r="BX66" s="12"/>
      <c r="BZ66" s="176"/>
      <c r="CA66" s="43"/>
      <c r="CB66" s="45"/>
      <c r="CF66" s="11"/>
      <c r="CG66" s="181"/>
      <c r="CL66" s="170"/>
      <c r="CM66" s="171"/>
      <c r="CN66" s="171"/>
      <c r="CO66" s="172"/>
      <c r="CP66" s="12"/>
      <c r="CQ66" s="171"/>
      <c r="CR66" s="171"/>
      <c r="CS66" s="171"/>
      <c r="CT66" s="171"/>
      <c r="CV66" s="171"/>
      <c r="CW66" s="171"/>
      <c r="CX66" s="171"/>
      <c r="CY66" s="171"/>
      <c r="CZ66" s="13"/>
      <c r="DF66" s="145"/>
      <c r="DV66" s="12"/>
      <c r="DW66" s="13"/>
      <c r="FF66" s="42"/>
      <c r="FG66" s="43"/>
      <c r="FH66" s="12"/>
      <c r="FJ66" s="97"/>
      <c r="FL66" s="12"/>
      <c r="GT66" s="13"/>
      <c r="GU66" s="43"/>
      <c r="GV66" s="45"/>
      <c r="GW66" s="149"/>
      <c r="GX66" s="150"/>
      <c r="IG66" s="42"/>
      <c r="IH66" s="43"/>
      <c r="II66" s="43"/>
      <c r="IJ66" s="43"/>
      <c r="IK66" s="43"/>
      <c r="IL66" s="43"/>
      <c r="IM66" s="43"/>
      <c r="IN66" s="43"/>
      <c r="IO66" s="43"/>
      <c r="IP66" s="43"/>
      <c r="IQ66" s="43"/>
      <c r="IR66" s="43"/>
      <c r="IS66" s="43"/>
      <c r="IT66" s="43"/>
      <c r="IU66" s="43"/>
      <c r="IV66" s="43"/>
      <c r="IW66" s="43"/>
      <c r="IX66" s="43"/>
      <c r="IY66" s="43"/>
      <c r="IZ66" s="43"/>
      <c r="JA66" s="43"/>
      <c r="JB66" s="43"/>
      <c r="JC66" s="43"/>
      <c r="JD66" s="43"/>
      <c r="JE66" s="123"/>
      <c r="JF66" s="109"/>
      <c r="JG66" s="109"/>
      <c r="JH66" s="109"/>
      <c r="JI66" s="109"/>
      <c r="JJ66" s="124"/>
      <c r="JK66" s="43"/>
      <c r="JL66" s="43"/>
      <c r="JM66" s="43"/>
      <c r="JN66" s="43"/>
      <c r="JO66" s="127"/>
      <c r="JP66" s="127"/>
      <c r="JQ66" s="127"/>
      <c r="JR66" s="127"/>
      <c r="JS66" s="127"/>
      <c r="JT66" s="127"/>
      <c r="JU66" s="43"/>
      <c r="JV66" s="43"/>
      <c r="JW66" s="45"/>
      <c r="JX66" s="149"/>
      <c r="JY66" s="150"/>
    </row>
    <row r="67" spans="8:285" ht="18" customHeight="1" x14ac:dyDescent="0.2">
      <c r="H67" s="4"/>
      <c r="S67" s="42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1"/>
      <c r="AF67" s="41"/>
      <c r="AG67" s="41"/>
      <c r="AH67" s="44"/>
      <c r="BC67" s="13"/>
      <c r="BE67" s="160"/>
      <c r="BF67" s="161"/>
      <c r="BG67" s="162"/>
      <c r="BH67" s="162"/>
      <c r="BI67" s="162"/>
      <c r="BJ67" s="161"/>
      <c r="BX67" s="12"/>
      <c r="BZ67" s="177"/>
      <c r="CA67" s="43"/>
      <c r="CB67" s="45"/>
      <c r="CG67" s="11"/>
      <c r="CH67" s="181"/>
      <c r="CI67" s="15"/>
      <c r="CJ67" s="15"/>
      <c r="CK67" s="15"/>
      <c r="CL67" s="14"/>
      <c r="CM67" s="15"/>
      <c r="CN67" s="15"/>
      <c r="CO67" s="16"/>
      <c r="CP67" s="14"/>
      <c r="CQ67" s="15"/>
      <c r="CR67" s="15"/>
      <c r="CS67" s="15"/>
      <c r="CT67" s="15"/>
      <c r="CU67" s="15"/>
      <c r="CV67" s="15"/>
      <c r="CW67" s="15"/>
      <c r="CX67" s="15"/>
      <c r="CY67" s="15"/>
      <c r="CZ67" s="16"/>
      <c r="DA67" s="15"/>
      <c r="DB67" s="15"/>
      <c r="DC67" s="15"/>
      <c r="DD67" s="15"/>
      <c r="DE67" s="16"/>
      <c r="DF67" s="183"/>
      <c r="DV67" s="12"/>
      <c r="DW67" s="13"/>
      <c r="FF67" s="42"/>
      <c r="FG67" s="43"/>
      <c r="FH67" s="12"/>
      <c r="FL67" s="12"/>
      <c r="GT67" s="13"/>
      <c r="GU67" s="43"/>
      <c r="GV67" s="45"/>
      <c r="GW67" s="149"/>
      <c r="GX67" s="150"/>
      <c r="IG67" s="46"/>
      <c r="IH67" s="47"/>
      <c r="II67" s="47"/>
      <c r="IJ67" s="47"/>
      <c r="IK67" s="47"/>
      <c r="IL67" s="43"/>
      <c r="IM67" s="47"/>
      <c r="IN67" s="43"/>
      <c r="IO67" s="47"/>
      <c r="IP67" s="43"/>
      <c r="IQ67" s="43"/>
      <c r="IR67" s="43"/>
      <c r="IS67" s="43"/>
      <c r="IT67" s="43"/>
      <c r="IU67" s="43"/>
      <c r="IV67" s="43"/>
      <c r="IW67" s="43"/>
      <c r="IX67" s="43"/>
      <c r="IY67" s="43"/>
      <c r="IZ67" s="43"/>
      <c r="JA67" s="43"/>
      <c r="JB67" s="43"/>
      <c r="JC67" s="43"/>
      <c r="JD67" s="43"/>
      <c r="JE67" s="40"/>
      <c r="JF67" s="41"/>
      <c r="JG67" s="41"/>
      <c r="JH67" s="41"/>
      <c r="JI67" s="41"/>
      <c r="JJ67" s="44"/>
      <c r="JK67" s="43"/>
      <c r="JL67" s="43"/>
      <c r="JM67" s="43"/>
      <c r="JN67" s="43"/>
      <c r="JO67" s="127"/>
      <c r="JP67" s="127"/>
      <c r="JQ67" s="127"/>
      <c r="JR67" s="127"/>
      <c r="JS67" s="127"/>
      <c r="JT67" s="127"/>
      <c r="JU67" s="43"/>
      <c r="JV67" s="43"/>
      <c r="JW67" s="45"/>
      <c r="JX67" s="152"/>
      <c r="JY67" s="153"/>
    </row>
    <row r="68" spans="8:285" ht="18" customHeight="1" x14ac:dyDescent="0.2">
      <c r="H68" s="4"/>
      <c r="S68" s="46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3"/>
      <c r="AE68" s="43"/>
      <c r="AF68" s="43"/>
      <c r="AG68" s="43"/>
      <c r="AH68" s="45"/>
      <c r="BC68" s="13"/>
      <c r="BE68" s="160"/>
      <c r="BF68" s="161"/>
      <c r="BG68" s="163"/>
      <c r="BH68" s="163"/>
      <c r="BI68" s="163"/>
      <c r="BJ68" s="164"/>
      <c r="BX68" s="12"/>
      <c r="BZ68" s="177"/>
      <c r="CA68" s="43"/>
      <c r="CB68" s="45"/>
      <c r="CL68" s="18"/>
      <c r="DV68" s="12"/>
      <c r="DW68" s="13"/>
      <c r="FF68" s="42"/>
      <c r="FG68" s="43"/>
      <c r="FH68" s="12"/>
      <c r="FK68" s="13"/>
      <c r="FL68" s="12"/>
      <c r="GT68" s="13"/>
      <c r="GU68" s="43"/>
      <c r="GV68" s="45"/>
      <c r="GW68" s="149"/>
      <c r="GX68" s="150"/>
      <c r="ID68" s="146"/>
      <c r="IE68" s="147"/>
      <c r="IF68" s="146"/>
      <c r="IG68" s="168"/>
      <c r="IH68" s="146"/>
      <c r="II68" s="147"/>
      <c r="IJ68" s="147"/>
      <c r="IK68" s="147"/>
      <c r="IL68" s="147"/>
      <c r="IM68" s="147"/>
      <c r="IN68" s="147"/>
      <c r="IO68" s="147"/>
      <c r="IP68" s="147"/>
      <c r="IQ68" s="147"/>
      <c r="IR68" s="147"/>
      <c r="IS68" s="147"/>
      <c r="IT68" s="147"/>
      <c r="IU68" s="147"/>
      <c r="IV68" s="147"/>
      <c r="IW68" s="147"/>
      <c r="IX68" s="147"/>
      <c r="IY68" s="147"/>
      <c r="IZ68" s="147"/>
      <c r="JA68" s="147"/>
      <c r="JB68" s="147"/>
      <c r="JC68" s="147"/>
      <c r="JD68" s="147"/>
      <c r="JE68" s="147"/>
      <c r="JF68" s="147"/>
      <c r="JG68" s="148"/>
      <c r="JH68" s="147"/>
      <c r="JI68" s="147"/>
      <c r="JJ68" s="147"/>
      <c r="JK68" s="147"/>
      <c r="JL68" s="147"/>
      <c r="JM68" s="147"/>
      <c r="JN68" s="147"/>
      <c r="JO68" s="147"/>
      <c r="JP68" s="147"/>
      <c r="JQ68" s="147"/>
      <c r="JR68" s="147"/>
      <c r="JS68" s="147"/>
      <c r="JT68" s="147"/>
      <c r="JU68" s="147"/>
      <c r="JV68" s="147"/>
      <c r="JW68" s="147"/>
      <c r="JX68" s="146"/>
      <c r="JY68" s="147"/>
    </row>
    <row r="69" spans="8:285" ht="18" customHeight="1" x14ac:dyDescent="0.2">
      <c r="H69" s="4"/>
      <c r="AB69" s="10"/>
      <c r="AC69" s="10"/>
      <c r="AD69" s="10"/>
      <c r="AE69" s="10"/>
      <c r="AF69" s="11"/>
      <c r="AG69" s="46"/>
      <c r="AH69" s="48"/>
      <c r="BC69" s="13"/>
      <c r="BE69" s="160"/>
      <c r="BF69" s="161"/>
      <c r="BG69" s="158"/>
      <c r="BH69" s="158"/>
      <c r="BI69" s="158"/>
      <c r="BJ69" s="159"/>
      <c r="BX69" s="12"/>
      <c r="BZ69" s="177"/>
      <c r="CA69" s="43"/>
      <c r="CB69" s="45"/>
      <c r="CL69" s="19"/>
      <c r="DV69" s="12"/>
      <c r="DW69" s="13"/>
      <c r="FF69" s="42"/>
      <c r="FG69" s="43"/>
      <c r="FH69" s="14"/>
      <c r="FI69" s="15"/>
      <c r="FJ69" s="15"/>
      <c r="FK69" s="16"/>
      <c r="FL69" s="15"/>
      <c r="FM69" s="15"/>
      <c r="FN69" s="15"/>
      <c r="FO69" s="15"/>
      <c r="FP69" s="15"/>
      <c r="FQ69" s="15"/>
      <c r="FR69" s="15"/>
      <c r="FS69" s="15"/>
      <c r="FT69" s="15"/>
      <c r="FU69" s="15"/>
      <c r="FV69" s="15"/>
      <c r="FW69" s="15"/>
      <c r="FX69" s="15"/>
      <c r="FY69" s="15"/>
      <c r="FZ69" s="15"/>
      <c r="GA69" s="15"/>
      <c r="GB69" s="15"/>
      <c r="GC69" s="15"/>
      <c r="GD69" s="15"/>
      <c r="GE69" s="15"/>
      <c r="GF69" s="15"/>
      <c r="GG69" s="15"/>
      <c r="GH69" s="15"/>
      <c r="GI69" s="15"/>
      <c r="GJ69" s="15"/>
      <c r="GK69" s="15"/>
      <c r="GL69" s="15"/>
      <c r="GM69" s="15"/>
      <c r="GN69" s="15"/>
      <c r="GO69" s="15"/>
      <c r="GP69" s="15"/>
      <c r="GQ69" s="15"/>
      <c r="GR69" s="15"/>
      <c r="GS69" s="15"/>
      <c r="GT69" s="16"/>
      <c r="GU69" s="43"/>
      <c r="GV69" s="45"/>
      <c r="GW69" s="149"/>
      <c r="GX69" s="150"/>
      <c r="ID69" s="149"/>
      <c r="IE69" s="150"/>
      <c r="IF69" s="149"/>
      <c r="IG69" s="170"/>
      <c r="IH69" s="149"/>
      <c r="II69" s="150"/>
      <c r="IJ69" s="150"/>
      <c r="IK69" s="150"/>
      <c r="IL69" s="150"/>
      <c r="IM69" s="150"/>
      <c r="IN69" s="150"/>
      <c r="IO69" s="150"/>
      <c r="IP69" s="150"/>
      <c r="IQ69" s="150"/>
      <c r="IR69" s="150"/>
      <c r="IS69" s="150"/>
      <c r="IT69" s="150"/>
      <c r="IU69" s="150"/>
      <c r="IV69" s="150"/>
      <c r="IW69" s="150"/>
      <c r="IX69" s="150"/>
      <c r="IY69" s="150"/>
      <c r="IZ69" s="150"/>
      <c r="JA69" s="150"/>
      <c r="JB69" s="150"/>
      <c r="JC69" s="150"/>
      <c r="JD69" s="150"/>
      <c r="JE69" s="150"/>
      <c r="JF69" s="150"/>
      <c r="JG69" s="151"/>
      <c r="JH69" s="150"/>
      <c r="JI69" s="150"/>
      <c r="JJ69" s="150"/>
      <c r="JK69" s="150"/>
      <c r="JL69" s="150"/>
      <c r="JM69" s="150"/>
      <c r="JN69" s="150"/>
      <c r="JO69" s="150"/>
      <c r="JP69" s="150"/>
      <c r="JQ69" s="150"/>
      <c r="JR69" s="150"/>
      <c r="JS69" s="150"/>
      <c r="JT69" s="150"/>
      <c r="JU69" s="150"/>
      <c r="JV69" s="150"/>
      <c r="JW69" s="150"/>
      <c r="JX69" s="149"/>
      <c r="JY69" s="150"/>
    </row>
    <row r="70" spans="8:285" ht="18" customHeight="1" x14ac:dyDescent="0.2">
      <c r="H70" s="4"/>
      <c r="AF70" s="13"/>
      <c r="AG70" s="108"/>
      <c r="AH70" s="42"/>
      <c r="AI70" s="12"/>
      <c r="BC70" s="13"/>
      <c r="BE70" s="160"/>
      <c r="BF70" s="161"/>
      <c r="BG70" s="162"/>
      <c r="BH70" s="162"/>
      <c r="BI70" s="162"/>
      <c r="BJ70" s="161"/>
      <c r="BX70" s="12"/>
      <c r="BZ70" s="177"/>
      <c r="CA70" s="43"/>
      <c r="CB70" s="45"/>
      <c r="DV70" s="14"/>
      <c r="DW70" s="16"/>
      <c r="FF70" s="42"/>
      <c r="FG70" s="43"/>
      <c r="FH70" s="43"/>
      <c r="FI70" s="43"/>
      <c r="FJ70" s="43"/>
      <c r="FK70" s="43"/>
      <c r="FL70" s="43"/>
      <c r="FM70" s="43"/>
      <c r="FN70" s="43"/>
      <c r="FO70" s="43"/>
      <c r="FP70" s="43"/>
      <c r="FQ70" s="43"/>
      <c r="FR70" s="43"/>
      <c r="FS70" s="43"/>
      <c r="FT70" s="43"/>
      <c r="FU70" s="43"/>
      <c r="FV70" s="43"/>
      <c r="FW70" s="43"/>
      <c r="FX70" s="43"/>
      <c r="FY70" s="43"/>
      <c r="FZ70" s="43"/>
      <c r="GA70" s="43"/>
      <c r="GB70" s="43"/>
      <c r="GC70" s="43"/>
      <c r="GD70" s="123"/>
      <c r="GE70" s="109"/>
      <c r="GF70" s="109"/>
      <c r="GG70" s="109"/>
      <c r="GH70" s="109"/>
      <c r="GI70" s="124"/>
      <c r="GJ70" s="43"/>
      <c r="GK70" s="43"/>
      <c r="GL70" s="43"/>
      <c r="GM70" s="43"/>
      <c r="GN70" s="127"/>
      <c r="GO70" s="127"/>
      <c r="GP70" s="127"/>
      <c r="GQ70" s="127"/>
      <c r="GR70" s="127"/>
      <c r="GS70" s="127"/>
      <c r="GT70" s="43"/>
      <c r="GU70" s="43"/>
      <c r="GV70" s="45"/>
      <c r="GW70" s="149"/>
      <c r="GX70" s="150"/>
    </row>
    <row r="71" spans="8:285" ht="18" customHeight="1" x14ac:dyDescent="0.2">
      <c r="H71" s="4"/>
      <c r="AF71" s="13"/>
      <c r="AG71" s="108"/>
      <c r="AH71" s="42"/>
      <c r="AI71" s="12"/>
      <c r="BC71" s="13"/>
      <c r="BE71" s="160"/>
      <c r="BF71" s="161"/>
      <c r="BG71" s="162"/>
      <c r="BH71" s="162"/>
      <c r="BI71" s="162"/>
      <c r="BJ71" s="161"/>
      <c r="BX71" s="12"/>
      <c r="BZ71" s="178"/>
      <c r="CA71" s="43"/>
      <c r="CB71" s="45"/>
      <c r="DW71" s="5"/>
      <c r="FF71" s="46"/>
      <c r="FG71" s="47"/>
      <c r="FH71" s="47"/>
      <c r="FI71" s="47"/>
      <c r="FJ71" s="47"/>
      <c r="FK71" s="43"/>
      <c r="FL71" s="47"/>
      <c r="FM71" s="43"/>
      <c r="FN71" s="47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0"/>
      <c r="GE71" s="41"/>
      <c r="GF71" s="41"/>
      <c r="GG71" s="41"/>
      <c r="GH71" s="41"/>
      <c r="GI71" s="44"/>
      <c r="GJ71" s="43"/>
      <c r="GK71" s="43"/>
      <c r="GL71" s="43"/>
      <c r="GM71" s="43"/>
      <c r="GN71" s="127"/>
      <c r="GO71" s="127"/>
      <c r="GP71" s="127"/>
      <c r="GQ71" s="127"/>
      <c r="GR71" s="127"/>
      <c r="GS71" s="127"/>
      <c r="GT71" s="43"/>
      <c r="GU71" s="43"/>
      <c r="GV71" s="45"/>
      <c r="GW71" s="152"/>
      <c r="GX71" s="153"/>
    </row>
    <row r="72" spans="8:285" ht="18" customHeight="1" x14ac:dyDescent="0.2">
      <c r="H72" s="4"/>
      <c r="AF72" s="13"/>
      <c r="AG72" s="108"/>
      <c r="AH72" s="42"/>
      <c r="AI72" s="12"/>
      <c r="BC72" s="13"/>
      <c r="BE72" s="160"/>
      <c r="BF72" s="161"/>
      <c r="BG72" s="162"/>
      <c r="BH72" s="162"/>
      <c r="BI72" s="162"/>
      <c r="BJ72" s="161"/>
      <c r="BX72" s="14"/>
      <c r="BY72" s="15"/>
      <c r="BZ72" s="16"/>
      <c r="CA72" s="43"/>
      <c r="CB72" s="45"/>
      <c r="DW72" s="5"/>
      <c r="FC72" s="146"/>
      <c r="FD72" s="147"/>
      <c r="FE72" s="146"/>
      <c r="FF72" s="168"/>
      <c r="FG72" s="146"/>
      <c r="FH72" s="147"/>
      <c r="FI72" s="147"/>
      <c r="FJ72" s="147"/>
      <c r="FK72" s="147"/>
      <c r="FL72" s="147"/>
      <c r="FM72" s="147"/>
      <c r="FN72" s="147"/>
      <c r="FO72" s="147"/>
      <c r="FP72" s="147"/>
      <c r="FQ72" s="147"/>
      <c r="FR72" s="147"/>
      <c r="FS72" s="147"/>
      <c r="FT72" s="147"/>
      <c r="FU72" s="147"/>
      <c r="FV72" s="147"/>
      <c r="FW72" s="147"/>
      <c r="FX72" s="147"/>
      <c r="FY72" s="147"/>
      <c r="FZ72" s="147"/>
      <c r="GA72" s="147"/>
      <c r="GB72" s="147"/>
      <c r="GC72" s="147"/>
      <c r="GD72" s="147"/>
      <c r="GE72" s="147"/>
      <c r="GF72" s="148"/>
      <c r="GG72" s="147"/>
      <c r="GH72" s="147"/>
      <c r="GI72" s="147"/>
      <c r="GJ72" s="147"/>
      <c r="GK72" s="147"/>
      <c r="GL72" s="147"/>
      <c r="GM72" s="147"/>
      <c r="GN72" s="147"/>
      <c r="GO72" s="147"/>
      <c r="GP72" s="147"/>
      <c r="GQ72" s="147"/>
      <c r="GR72" s="147"/>
      <c r="GS72" s="147"/>
      <c r="GT72" s="147"/>
      <c r="GU72" s="147"/>
      <c r="GV72" s="147"/>
      <c r="GW72" s="146"/>
      <c r="GX72" s="147"/>
    </row>
    <row r="73" spans="8:285" ht="18" customHeight="1" x14ac:dyDescent="0.2">
      <c r="H73" s="4"/>
      <c r="AG73" s="108"/>
      <c r="AH73" s="42"/>
      <c r="AI73" s="12"/>
      <c r="BC73" s="13"/>
      <c r="BE73" s="160"/>
      <c r="BF73" s="161"/>
      <c r="BG73" s="162"/>
      <c r="BH73" s="162"/>
      <c r="BI73" s="162"/>
      <c r="BJ73" s="161"/>
      <c r="BZ73" s="13"/>
      <c r="CA73" s="43"/>
      <c r="CB73" s="45"/>
      <c r="DW73" s="5"/>
      <c r="FC73" s="149"/>
      <c r="FD73" s="150"/>
      <c r="FE73" s="149"/>
      <c r="FF73" s="170"/>
      <c r="FG73" s="149"/>
      <c r="FH73" s="150"/>
      <c r="FI73" s="150"/>
      <c r="FJ73" s="150"/>
      <c r="FK73" s="150"/>
      <c r="FL73" s="150"/>
      <c r="FM73" s="150"/>
      <c r="FN73" s="150"/>
      <c r="FO73" s="150"/>
      <c r="FP73" s="150"/>
      <c r="FQ73" s="150"/>
      <c r="FR73" s="150"/>
      <c r="FS73" s="150"/>
      <c r="FT73" s="150"/>
      <c r="FU73" s="150"/>
      <c r="FV73" s="150"/>
      <c r="FW73" s="150"/>
      <c r="FX73" s="150"/>
      <c r="FY73" s="150"/>
      <c r="FZ73" s="150"/>
      <c r="GA73" s="150"/>
      <c r="GB73" s="150"/>
      <c r="GC73" s="150"/>
      <c r="GD73" s="150"/>
      <c r="GE73" s="150"/>
      <c r="GF73" s="151"/>
      <c r="GG73" s="150"/>
      <c r="GH73" s="150"/>
      <c r="GI73" s="150"/>
      <c r="GJ73" s="150"/>
      <c r="GK73" s="150"/>
      <c r="GL73" s="150"/>
      <c r="GM73" s="150"/>
      <c r="GN73" s="150"/>
      <c r="GO73" s="150"/>
      <c r="GP73" s="150"/>
      <c r="GQ73" s="150"/>
      <c r="GR73" s="150"/>
      <c r="GS73" s="150"/>
      <c r="GT73" s="150"/>
      <c r="GU73" s="150"/>
      <c r="GV73" s="150"/>
      <c r="GW73" s="149"/>
      <c r="GX73" s="150"/>
    </row>
    <row r="74" spans="8:285" ht="18" customHeight="1" x14ac:dyDescent="0.2">
      <c r="H74" s="4"/>
      <c r="AF74" s="13"/>
      <c r="AG74" s="108"/>
      <c r="AH74" s="42"/>
      <c r="AI74" s="12"/>
      <c r="BC74" s="13"/>
      <c r="BE74" s="165"/>
      <c r="BF74" s="166"/>
      <c r="BG74" s="166"/>
      <c r="BH74" s="166"/>
      <c r="BI74" s="166"/>
      <c r="BJ74" s="167"/>
      <c r="BZ74" s="13"/>
      <c r="CA74" s="43"/>
      <c r="CB74" s="45"/>
      <c r="DW74" s="5"/>
    </row>
    <row r="75" spans="8:285" ht="18" customHeight="1" x14ac:dyDescent="0.2">
      <c r="H75" s="4"/>
      <c r="AF75" s="13"/>
      <c r="AG75" s="126"/>
      <c r="AH75" s="46"/>
      <c r="AI75" s="12"/>
      <c r="BC75" s="13"/>
      <c r="BE75" s="12"/>
      <c r="BG75" s="13"/>
      <c r="BZ75" s="13"/>
      <c r="CA75" s="43"/>
      <c r="CB75" s="45"/>
      <c r="DW75" s="5"/>
    </row>
    <row r="76" spans="8:285" ht="18" customHeight="1" x14ac:dyDescent="0.2">
      <c r="H76" s="4"/>
      <c r="AF76" s="13"/>
      <c r="AG76" s="43"/>
      <c r="AH76" s="43"/>
      <c r="AI76" s="14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6"/>
      <c r="BE76" s="12"/>
      <c r="BG76" s="13"/>
      <c r="BZ76" s="13"/>
      <c r="CA76" s="43"/>
      <c r="CB76" s="45"/>
      <c r="CC76" s="146"/>
      <c r="CD76" s="147"/>
      <c r="CE76" s="147"/>
      <c r="CF76" s="147"/>
      <c r="CG76" s="147"/>
      <c r="CH76" s="147"/>
      <c r="CI76" s="147"/>
      <c r="CJ76" s="147"/>
      <c r="CK76" s="147"/>
      <c r="CL76" s="147"/>
      <c r="CM76" s="147"/>
      <c r="CN76" s="147"/>
      <c r="CO76" s="147"/>
      <c r="CP76" s="147"/>
      <c r="CQ76" s="147"/>
      <c r="CR76" s="147"/>
      <c r="CS76" s="147"/>
      <c r="CT76" s="147"/>
      <c r="CU76" s="147"/>
      <c r="CV76" s="148"/>
      <c r="DW76" s="5"/>
    </row>
    <row r="77" spans="8:285" ht="18" customHeight="1" x14ac:dyDescent="0.2">
      <c r="H77" s="4"/>
      <c r="AF77" s="13"/>
      <c r="AG77" s="42"/>
      <c r="AH77" s="43"/>
      <c r="AI77" s="12"/>
      <c r="BE77" s="14"/>
      <c r="BF77" s="15"/>
      <c r="BG77" s="16"/>
      <c r="BZ77" s="13"/>
      <c r="CA77" s="43"/>
      <c r="CB77" s="45"/>
      <c r="CC77" s="149"/>
      <c r="CD77" s="150"/>
      <c r="CE77" s="150"/>
      <c r="CF77" s="150"/>
      <c r="CG77" s="150"/>
      <c r="CH77" s="150"/>
      <c r="CI77" s="150"/>
      <c r="CJ77" s="150"/>
      <c r="CK77" s="150"/>
      <c r="CL77" s="150"/>
      <c r="CM77" s="150"/>
      <c r="CN77" s="150"/>
      <c r="CO77" s="150"/>
      <c r="CP77" s="150"/>
      <c r="CQ77" s="150"/>
      <c r="CR77" s="150"/>
      <c r="CS77" s="150"/>
      <c r="CT77" s="150"/>
      <c r="CU77" s="150"/>
      <c r="CV77" s="151"/>
      <c r="DW77" s="5"/>
    </row>
    <row r="78" spans="8:285" ht="18" customHeight="1" x14ac:dyDescent="0.2">
      <c r="H78" s="4"/>
      <c r="AF78" s="13"/>
      <c r="AG78" s="43"/>
      <c r="AH78" s="43"/>
      <c r="AI78" s="9"/>
      <c r="AJ78" s="10"/>
      <c r="AK78" s="10"/>
      <c r="AL78" s="10"/>
      <c r="AM78" s="9"/>
      <c r="AN78" s="10"/>
      <c r="AO78" s="10"/>
      <c r="AP78" s="10"/>
      <c r="AQ78" s="10"/>
      <c r="AR78" s="11"/>
      <c r="AS78" s="10"/>
      <c r="AT78" s="10"/>
      <c r="AU78" s="10"/>
      <c r="AV78" s="139"/>
      <c r="AW78" s="52"/>
      <c r="AX78" s="52"/>
      <c r="AY78" s="52"/>
      <c r="AZ78" s="52"/>
      <c r="BA78" s="52"/>
      <c r="BB78" s="52"/>
      <c r="BC78" s="52"/>
      <c r="BD78" s="18"/>
      <c r="BZ78" s="13"/>
      <c r="CA78" s="43"/>
      <c r="CB78" s="45"/>
      <c r="CC78" s="184"/>
      <c r="CD78" s="185"/>
      <c r="CE78" s="185"/>
      <c r="CF78" s="185"/>
      <c r="CG78" s="185"/>
      <c r="CH78" s="185"/>
      <c r="CI78" s="185"/>
      <c r="CJ78" s="185"/>
      <c r="CK78" s="185"/>
      <c r="CL78" s="185"/>
      <c r="CM78" s="185"/>
      <c r="CN78" s="185"/>
      <c r="CO78" s="185"/>
      <c r="CP78" s="185"/>
      <c r="CQ78" s="185"/>
      <c r="CR78" s="185"/>
      <c r="CS78" s="146"/>
      <c r="CT78" s="148"/>
      <c r="CU78" s="150"/>
      <c r="CV78" s="151"/>
      <c r="DW78" s="5"/>
    </row>
    <row r="79" spans="8:285" ht="18" customHeight="1" thickBot="1" x14ac:dyDescent="0.25">
      <c r="H79" s="4"/>
      <c r="AG79" s="42"/>
      <c r="AH79" s="43"/>
      <c r="AI79" s="12"/>
      <c r="AM79" s="14"/>
      <c r="AN79" s="15"/>
      <c r="AO79" s="15"/>
      <c r="AP79" s="15"/>
      <c r="AQ79" s="15"/>
      <c r="AR79" s="16"/>
      <c r="AV79" s="140"/>
      <c r="AW79" s="51"/>
      <c r="AX79" s="51"/>
      <c r="AY79" s="51"/>
      <c r="AZ79" s="51"/>
      <c r="BA79" s="51"/>
      <c r="BB79" s="51"/>
      <c r="BC79" s="51"/>
      <c r="BD79" s="18"/>
      <c r="BZ79" s="13"/>
      <c r="CA79" s="43"/>
      <c r="CB79" s="45"/>
      <c r="CC79" s="170"/>
      <c r="CD79" s="171"/>
      <c r="CE79" s="171"/>
      <c r="CF79" s="171"/>
      <c r="CG79" s="171"/>
      <c r="CH79" s="171"/>
      <c r="CI79" s="171"/>
      <c r="CJ79" s="171"/>
      <c r="CK79" s="171"/>
      <c r="CL79" s="171"/>
      <c r="CM79" s="171"/>
      <c r="CN79" s="171"/>
      <c r="CO79" s="171"/>
      <c r="CP79" s="171"/>
      <c r="CQ79" s="171"/>
      <c r="CR79" s="171"/>
      <c r="CS79" s="152"/>
      <c r="CT79" s="154"/>
      <c r="CU79" s="150"/>
      <c r="CV79" s="151"/>
      <c r="DW79" s="5"/>
      <c r="EA79" s="17"/>
      <c r="EB79" s="197"/>
      <c r="EC79" s="197"/>
      <c r="ED79" s="197"/>
      <c r="EE79" s="197"/>
      <c r="EF79" s="197"/>
      <c r="EG79" s="197"/>
      <c r="EH79" s="197"/>
      <c r="EI79" s="197"/>
      <c r="EJ79" s="197"/>
      <c r="EK79" s="197"/>
      <c r="EL79" s="197"/>
      <c r="EM79" s="197"/>
      <c r="EN79" s="197"/>
      <c r="EO79" s="197"/>
      <c r="EP79" s="197"/>
      <c r="EQ79" s="197"/>
      <c r="ER79" s="197"/>
      <c r="ES79" s="197"/>
      <c r="ET79" s="197"/>
      <c r="EU79" s="197"/>
      <c r="EV79" s="197"/>
      <c r="EW79" s="197"/>
      <c r="EX79" s="197"/>
      <c r="EY79" s="197"/>
      <c r="EZ79" s="197"/>
      <c r="FA79" s="197"/>
      <c r="FB79" s="197"/>
      <c r="FC79" s="197"/>
      <c r="FD79" s="197"/>
      <c r="FE79" s="197"/>
      <c r="FF79" s="197"/>
      <c r="FG79" s="197"/>
      <c r="FH79" s="197"/>
      <c r="FI79" s="197"/>
      <c r="FJ79" s="197"/>
      <c r="FK79" s="197"/>
      <c r="FL79" s="197"/>
      <c r="FM79" s="197"/>
      <c r="FN79" s="197"/>
      <c r="FO79" s="197"/>
      <c r="FP79" s="197"/>
      <c r="FQ79" s="197"/>
      <c r="FR79" s="197"/>
      <c r="FS79" s="197"/>
      <c r="FT79" s="197"/>
      <c r="FU79" s="197"/>
      <c r="FV79" s="197"/>
      <c r="FW79" s="197"/>
      <c r="FX79" s="197"/>
      <c r="FY79" s="197"/>
      <c r="FZ79" s="197"/>
      <c r="GA79" s="197"/>
      <c r="GB79" s="197"/>
      <c r="GC79" s="197"/>
      <c r="GD79" s="197"/>
      <c r="GE79" s="197"/>
      <c r="GF79" s="197"/>
      <c r="GG79" s="197"/>
      <c r="GH79" s="197"/>
      <c r="GI79" s="197"/>
      <c r="GJ79" s="17"/>
    </row>
    <row r="80" spans="8:285" ht="18" customHeight="1" thickTop="1" x14ac:dyDescent="0.2">
      <c r="H80" s="4"/>
      <c r="AG80" s="42"/>
      <c r="AH80" s="43"/>
      <c r="AI80" s="12"/>
      <c r="AV80" s="140"/>
      <c r="AW80" s="51"/>
      <c r="AX80" s="51"/>
      <c r="AY80" s="51"/>
      <c r="AZ80" s="51"/>
      <c r="BA80" s="51"/>
      <c r="BB80" s="51"/>
      <c r="BC80" s="51"/>
      <c r="BD80" s="18"/>
      <c r="BZ80" s="13"/>
      <c r="CA80" s="43"/>
      <c r="CB80" s="45"/>
      <c r="CC80" s="146"/>
      <c r="CD80" s="147"/>
      <c r="CE80" s="147"/>
      <c r="CF80" s="147"/>
      <c r="CG80" s="147"/>
      <c r="CH80" s="147"/>
      <c r="CI80" s="147"/>
      <c r="CJ80" s="147"/>
      <c r="CK80" s="147"/>
      <c r="CL80" s="147"/>
      <c r="CM80" s="147"/>
      <c r="CN80" s="147"/>
      <c r="CO80" s="147"/>
      <c r="CP80" s="147"/>
      <c r="CQ80" s="147"/>
      <c r="CR80" s="148"/>
      <c r="CS80" s="172"/>
      <c r="CT80" s="151"/>
      <c r="CU80" s="150"/>
      <c r="CV80" s="151"/>
      <c r="DW80" s="5"/>
      <c r="EA80" s="18"/>
      <c r="EB80" s="193"/>
      <c r="EC80" s="193"/>
      <c r="ED80" s="193"/>
      <c r="EE80" s="193"/>
      <c r="EF80" s="193"/>
      <c r="EG80" s="193"/>
      <c r="EH80" s="193"/>
      <c r="EI80" s="193"/>
      <c r="EJ80" s="193"/>
      <c r="EK80" s="193"/>
      <c r="EL80" s="193"/>
      <c r="EM80" s="193"/>
      <c r="EN80" s="193"/>
      <c r="EO80" s="193"/>
      <c r="EP80" s="193"/>
      <c r="EQ80" s="193"/>
      <c r="ER80" s="193"/>
      <c r="ES80" s="193"/>
      <c r="ET80" s="193"/>
      <c r="EU80" s="193"/>
      <c r="EV80" s="193"/>
      <c r="EW80" s="193"/>
      <c r="EX80" s="193"/>
      <c r="EY80" s="193"/>
      <c r="EZ80" s="193"/>
      <c r="FA80" s="193"/>
      <c r="FB80" s="193"/>
      <c r="FC80" s="193"/>
      <c r="FD80" s="193"/>
      <c r="FE80" s="193"/>
      <c r="FF80" s="193"/>
      <c r="FG80" s="193"/>
      <c r="FH80" s="193"/>
      <c r="FI80" s="193"/>
      <c r="FJ80" s="193"/>
      <c r="FK80" s="193"/>
      <c r="FL80" s="193"/>
      <c r="FM80" s="193"/>
      <c r="FN80" s="193"/>
      <c r="FO80" s="193"/>
      <c r="FP80" s="193"/>
      <c r="FQ80" s="193"/>
      <c r="FR80" s="193"/>
      <c r="FS80" s="193"/>
      <c r="FT80" s="193"/>
      <c r="FU80" s="193"/>
      <c r="FV80" s="193"/>
      <c r="FW80" s="193"/>
      <c r="FX80" s="193"/>
      <c r="FY80" s="193"/>
      <c r="FZ80" s="193"/>
      <c r="GA80" s="193"/>
      <c r="GB80" s="193"/>
      <c r="GC80" s="193"/>
      <c r="GD80" s="193"/>
      <c r="GE80" s="193"/>
      <c r="GF80" s="193"/>
      <c r="GG80" s="193"/>
      <c r="GH80" s="193"/>
      <c r="GI80" s="193"/>
      <c r="GJ80" s="18"/>
    </row>
    <row r="81" spans="8:288" ht="18" customHeight="1" x14ac:dyDescent="0.2">
      <c r="H81" s="4"/>
      <c r="AG81" s="42"/>
      <c r="AH81" s="43"/>
      <c r="AI81" s="12"/>
      <c r="AV81" s="140"/>
      <c r="AW81" s="51"/>
      <c r="AX81" s="51"/>
      <c r="AY81" s="51"/>
      <c r="AZ81" s="51"/>
      <c r="BA81" s="51"/>
      <c r="BB81" s="51"/>
      <c r="BC81" s="51"/>
      <c r="BD81" s="18"/>
      <c r="BZ81" s="13"/>
      <c r="CA81" s="43"/>
      <c r="CB81" s="45"/>
      <c r="CC81" s="149"/>
      <c r="CD81" s="150"/>
      <c r="CE81" s="150"/>
      <c r="CF81" s="150"/>
      <c r="CG81" s="150"/>
      <c r="CH81" s="150"/>
      <c r="CI81" s="150"/>
      <c r="CJ81" s="150"/>
      <c r="CK81" s="150"/>
      <c r="CL81" s="150"/>
      <c r="CM81" s="150"/>
      <c r="CN81" s="150"/>
      <c r="CO81" s="150"/>
      <c r="CP81" s="150"/>
      <c r="CQ81" s="150"/>
      <c r="CR81" s="151"/>
      <c r="CS81" s="172"/>
      <c r="CT81" s="151"/>
      <c r="CU81" s="150"/>
      <c r="CV81" s="151"/>
      <c r="DW81" s="5"/>
      <c r="EA81" s="18"/>
      <c r="GJ81" s="18"/>
    </row>
    <row r="82" spans="8:288" ht="18" customHeight="1" x14ac:dyDescent="0.2">
      <c r="H82" s="4"/>
      <c r="AG82" s="42"/>
      <c r="AH82" s="43"/>
      <c r="AI82" s="12"/>
      <c r="AM82" s="9"/>
      <c r="AN82" s="10"/>
      <c r="AO82" s="10"/>
      <c r="AP82" s="10"/>
      <c r="AQ82" s="10"/>
      <c r="AR82" s="10"/>
      <c r="AS82" s="10"/>
      <c r="AT82" s="10"/>
      <c r="AU82" s="10"/>
      <c r="AV82" s="139"/>
      <c r="AW82" s="52"/>
      <c r="AX82" s="52"/>
      <c r="AY82" s="52"/>
      <c r="AZ82" s="52"/>
      <c r="BA82" s="52"/>
      <c r="BB82" s="52"/>
      <c r="BC82" s="52"/>
      <c r="BD82" s="17"/>
      <c r="BZ82" s="13"/>
      <c r="CA82" s="43"/>
      <c r="CB82" s="45"/>
      <c r="CC82" s="149"/>
      <c r="CD82" s="150"/>
      <c r="CE82" s="150"/>
      <c r="CF82" s="150"/>
      <c r="CG82" s="150"/>
      <c r="CH82" s="150"/>
      <c r="CI82" s="150"/>
      <c r="CJ82" s="150"/>
      <c r="CK82" s="150"/>
      <c r="CL82" s="150"/>
      <c r="CM82" s="150"/>
      <c r="CN82" s="150"/>
      <c r="CO82" s="150"/>
      <c r="CP82" s="150"/>
      <c r="CQ82" s="150"/>
      <c r="CR82" s="151"/>
      <c r="CS82" s="172"/>
      <c r="CT82" s="151"/>
      <c r="CU82" s="150"/>
      <c r="CV82" s="151"/>
      <c r="DW82" s="5"/>
      <c r="EA82" s="18"/>
      <c r="EB82" s="9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1"/>
      <c r="GJ82" s="18"/>
    </row>
    <row r="83" spans="8:288" ht="18" customHeight="1" x14ac:dyDescent="0.2">
      <c r="H83" s="4"/>
      <c r="AG83" s="125"/>
      <c r="AH83" s="125"/>
      <c r="AI83" s="12"/>
      <c r="AM83" s="12"/>
      <c r="AV83" s="140"/>
      <c r="AW83" s="51"/>
      <c r="AX83" s="51"/>
      <c r="AY83" s="51"/>
      <c r="AZ83" s="51"/>
      <c r="BA83" s="51"/>
      <c r="BB83" s="51"/>
      <c r="BC83" s="51"/>
      <c r="BD83" s="18"/>
      <c r="BZ83" s="13"/>
      <c r="CA83" s="125"/>
      <c r="CB83" s="125"/>
      <c r="CC83" s="149"/>
      <c r="CD83" s="150"/>
      <c r="CE83" s="150"/>
      <c r="CF83" s="150"/>
      <c r="CG83" s="150"/>
      <c r="CH83" s="150"/>
      <c r="CI83" s="150"/>
      <c r="CJ83" s="150"/>
      <c r="CK83" s="150"/>
      <c r="CL83" s="150"/>
      <c r="CM83" s="150"/>
      <c r="CN83" s="150"/>
      <c r="CO83" s="150"/>
      <c r="CP83" s="150"/>
      <c r="CQ83" s="150"/>
      <c r="CR83" s="151"/>
      <c r="CS83" s="172"/>
      <c r="CT83" s="151"/>
      <c r="CU83" s="150"/>
      <c r="CV83" s="151"/>
      <c r="DW83" s="5"/>
      <c r="EA83" s="18"/>
      <c r="EB83" s="12"/>
      <c r="GI83" s="13"/>
      <c r="GJ83" s="18"/>
    </row>
    <row r="84" spans="8:288" ht="18" customHeight="1" x14ac:dyDescent="0.2">
      <c r="H84" s="4"/>
      <c r="AG84" s="108"/>
      <c r="AH84" s="108"/>
      <c r="AI84" s="12"/>
      <c r="AJ84" s="168"/>
      <c r="AK84" s="169"/>
      <c r="AM84" s="12"/>
      <c r="AV84" s="140"/>
      <c r="AW84" s="51"/>
      <c r="AX84" s="51"/>
      <c r="AY84" s="51"/>
      <c r="AZ84" s="51"/>
      <c r="BA84" s="51"/>
      <c r="BB84" s="51"/>
      <c r="BC84" s="51"/>
      <c r="BD84" s="18"/>
      <c r="BZ84" s="13"/>
      <c r="CA84" s="108"/>
      <c r="CB84" s="108"/>
      <c r="CC84" s="149"/>
      <c r="CD84" s="150"/>
      <c r="CE84" s="150"/>
      <c r="CF84" s="150"/>
      <c r="CG84" s="150"/>
      <c r="CH84" s="150"/>
      <c r="CI84" s="150"/>
      <c r="CJ84" s="150"/>
      <c r="CK84" s="150"/>
      <c r="CL84" s="150"/>
      <c r="CM84" s="150"/>
      <c r="CN84" s="150"/>
      <c r="CO84" s="150"/>
      <c r="CP84" s="150"/>
      <c r="CQ84" s="150"/>
      <c r="CR84" s="151"/>
      <c r="CS84" s="172"/>
      <c r="CT84" s="186"/>
      <c r="CU84" s="147"/>
      <c r="CV84" s="148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9"/>
      <c r="DW84" s="11"/>
      <c r="EA84" s="18"/>
      <c r="EB84" s="12"/>
      <c r="GI84" s="13"/>
      <c r="GJ84" s="18"/>
    </row>
    <row r="85" spans="8:288" ht="18" customHeight="1" x14ac:dyDescent="0.2">
      <c r="H85" s="4"/>
      <c r="AG85" s="108"/>
      <c r="AH85" s="108"/>
      <c r="AI85" s="12"/>
      <c r="AJ85" s="170"/>
      <c r="AK85" s="172"/>
      <c r="AM85" s="12"/>
      <c r="AV85" s="140"/>
      <c r="AW85" s="51"/>
      <c r="AX85" s="51"/>
      <c r="AY85" s="51"/>
      <c r="AZ85" s="51"/>
      <c r="BA85" s="51"/>
      <c r="BB85" s="51"/>
      <c r="BC85" s="51"/>
      <c r="BD85" s="18"/>
      <c r="BZ85" s="13"/>
      <c r="CA85" s="108"/>
      <c r="CB85" s="108"/>
      <c r="CC85" s="149"/>
      <c r="CD85" s="150"/>
      <c r="CE85" s="150"/>
      <c r="CF85" s="150"/>
      <c r="CG85" s="150"/>
      <c r="CH85" s="150"/>
      <c r="CI85" s="150"/>
      <c r="CJ85" s="150"/>
      <c r="CK85" s="150"/>
      <c r="CL85" s="150"/>
      <c r="CM85" s="150"/>
      <c r="CN85" s="150"/>
      <c r="CO85" s="150"/>
      <c r="CP85" s="150"/>
      <c r="CQ85" s="150"/>
      <c r="CR85" s="151"/>
      <c r="CS85" s="172"/>
      <c r="CT85" s="187"/>
      <c r="CU85" s="150"/>
      <c r="CV85" s="151"/>
      <c r="DV85" s="12"/>
      <c r="DW85" s="13"/>
      <c r="DZ85" s="20"/>
      <c r="EA85" s="21"/>
      <c r="EB85" s="21"/>
      <c r="EC85" s="21"/>
      <c r="ED85" s="21"/>
      <c r="EE85" s="21"/>
      <c r="EF85" s="21"/>
      <c r="EG85" s="21"/>
      <c r="EH85" s="21"/>
      <c r="EI85" s="21"/>
      <c r="EJ85" s="21"/>
      <c r="EK85" s="21"/>
      <c r="EL85" s="21"/>
      <c r="EM85" s="21"/>
      <c r="EN85" s="21"/>
      <c r="EO85" s="21"/>
      <c r="EP85" s="21"/>
      <c r="EQ85" s="21"/>
      <c r="ER85" s="21"/>
      <c r="ES85" s="21"/>
      <c r="ET85" s="21"/>
      <c r="EU85" s="21"/>
      <c r="EV85" s="21"/>
      <c r="EW85" s="21"/>
      <c r="EX85" s="21"/>
      <c r="EY85" s="21"/>
      <c r="EZ85" s="21"/>
      <c r="FA85" s="21"/>
      <c r="FB85" s="21"/>
      <c r="FC85" s="21"/>
      <c r="FD85" s="21"/>
      <c r="FE85" s="21"/>
      <c r="FF85" s="21"/>
      <c r="FG85" s="21"/>
      <c r="FH85" s="21"/>
      <c r="FI85" s="21"/>
      <c r="FJ85" s="21"/>
      <c r="FK85" s="21"/>
      <c r="FL85" s="21"/>
      <c r="FM85" s="21"/>
      <c r="FN85" s="21"/>
      <c r="FO85" s="21"/>
      <c r="FP85" s="21"/>
      <c r="FQ85" s="21"/>
      <c r="FR85" s="21"/>
      <c r="FS85" s="21"/>
      <c r="FT85" s="21"/>
      <c r="FU85" s="21"/>
      <c r="FV85" s="21"/>
      <c r="FW85" s="21"/>
      <c r="FX85" s="21"/>
      <c r="FY85" s="21"/>
      <c r="FZ85" s="21"/>
      <c r="GA85" s="21"/>
      <c r="GB85" s="21"/>
      <c r="GC85" s="21"/>
      <c r="GD85" s="21"/>
      <c r="GE85" s="21"/>
      <c r="GF85" s="21"/>
      <c r="GG85" s="21"/>
      <c r="GH85" s="21"/>
      <c r="GI85" s="21"/>
      <c r="GJ85" s="21"/>
      <c r="GK85" s="22"/>
    </row>
    <row r="86" spans="8:288" ht="18" customHeight="1" x14ac:dyDescent="0.2">
      <c r="H86" s="4"/>
      <c r="AG86" s="108"/>
      <c r="AH86" s="108"/>
      <c r="AI86" s="12"/>
      <c r="AJ86" s="170"/>
      <c r="AK86" s="172"/>
      <c r="AM86" s="12"/>
      <c r="AV86" s="140"/>
      <c r="AW86" s="51"/>
      <c r="AX86" s="51"/>
      <c r="AY86" s="51"/>
      <c r="AZ86" s="51"/>
      <c r="BA86" s="51"/>
      <c r="BB86" s="51"/>
      <c r="BC86" s="51"/>
      <c r="BD86" s="18"/>
      <c r="BZ86" s="13"/>
      <c r="CA86" s="108"/>
      <c r="CB86" s="108"/>
      <c r="CC86" s="149"/>
      <c r="CD86" s="150"/>
      <c r="CE86" s="150"/>
      <c r="CF86" s="150"/>
      <c r="CG86" s="150"/>
      <c r="CH86" s="150"/>
      <c r="CI86" s="150"/>
      <c r="CJ86" s="150"/>
      <c r="CK86" s="150"/>
      <c r="CL86" s="150"/>
      <c r="CM86" s="150"/>
      <c r="CN86" s="150"/>
      <c r="CO86" s="150"/>
      <c r="CP86" s="150"/>
      <c r="CQ86" s="150"/>
      <c r="CR86" s="151"/>
      <c r="CS86" s="172"/>
      <c r="CT86" s="187"/>
      <c r="CU86" s="150"/>
      <c r="CV86" s="151"/>
      <c r="DV86" s="12"/>
      <c r="DW86" s="13"/>
      <c r="EA86" s="12"/>
      <c r="EB86" s="13"/>
      <c r="EL86" s="189"/>
      <c r="EW86" s="18"/>
      <c r="EX86" s="12"/>
      <c r="FH86" s="9"/>
      <c r="FI86" s="11"/>
      <c r="FQ86" s="13"/>
      <c r="FR86" s="18"/>
      <c r="FS86" s="12"/>
      <c r="GI86" s="12"/>
      <c r="GJ86" s="13"/>
    </row>
    <row r="87" spans="8:288" ht="18" customHeight="1" x14ac:dyDescent="0.2">
      <c r="H87" s="4"/>
      <c r="AG87" s="108"/>
      <c r="AH87" s="108"/>
      <c r="AI87" s="12"/>
      <c r="AJ87" s="173"/>
      <c r="AK87" s="174"/>
      <c r="AM87" s="12"/>
      <c r="AV87" s="140"/>
      <c r="AW87" s="51"/>
      <c r="AX87" s="51"/>
      <c r="AY87" s="51"/>
      <c r="AZ87" s="51"/>
      <c r="BA87" s="51"/>
      <c r="BB87" s="51"/>
      <c r="BC87" s="51"/>
      <c r="BD87" s="18"/>
      <c r="BZ87" s="13"/>
      <c r="CA87" s="108"/>
      <c r="CB87" s="108"/>
      <c r="CC87" s="149"/>
      <c r="CD87" s="150"/>
      <c r="CE87" s="150"/>
      <c r="CF87" s="150"/>
      <c r="CG87" s="150"/>
      <c r="CH87" s="150"/>
      <c r="CI87" s="150"/>
      <c r="CJ87" s="150"/>
      <c r="CK87" s="150"/>
      <c r="CL87" s="150"/>
      <c r="CM87" s="150"/>
      <c r="CN87" s="150"/>
      <c r="CO87" s="150"/>
      <c r="CP87" s="150"/>
      <c r="CQ87" s="150"/>
      <c r="CR87" s="151"/>
      <c r="CS87" s="172"/>
      <c r="CT87" s="187"/>
      <c r="CU87" s="150"/>
      <c r="CV87" s="151"/>
      <c r="DV87" s="12"/>
      <c r="DW87" s="13"/>
      <c r="EA87" s="12"/>
      <c r="EB87" s="13"/>
      <c r="EL87" s="190"/>
      <c r="EW87" s="18"/>
      <c r="EX87" s="12"/>
      <c r="FH87" s="12"/>
      <c r="FI87" s="13"/>
      <c r="FQ87" s="13"/>
      <c r="FR87" s="18"/>
      <c r="FS87" s="12"/>
      <c r="GI87" s="12"/>
      <c r="GJ87" s="13"/>
    </row>
    <row r="88" spans="8:288" ht="18" customHeight="1" x14ac:dyDescent="0.2">
      <c r="H88" s="4"/>
      <c r="AG88" s="126"/>
      <c r="AH88" s="126"/>
      <c r="AI88" s="12"/>
      <c r="AM88" s="12"/>
      <c r="AV88" s="140"/>
      <c r="AW88" s="51"/>
      <c r="AX88" s="51"/>
      <c r="AY88" s="51"/>
      <c r="AZ88" s="51"/>
      <c r="BA88" s="51"/>
      <c r="BB88" s="51"/>
      <c r="BC88" s="51"/>
      <c r="BD88" s="18"/>
      <c r="BZ88" s="13"/>
      <c r="CA88" s="126"/>
      <c r="CB88" s="126"/>
      <c r="CC88" s="149"/>
      <c r="CD88" s="150"/>
      <c r="CE88" s="150"/>
      <c r="CF88" s="150"/>
      <c r="CG88" s="150"/>
      <c r="CH88" s="150"/>
      <c r="CI88" s="150"/>
      <c r="CJ88" s="150"/>
      <c r="CK88" s="150"/>
      <c r="CL88" s="150"/>
      <c r="CM88" s="150"/>
      <c r="CN88" s="150"/>
      <c r="CO88" s="150"/>
      <c r="CP88" s="150"/>
      <c r="CQ88" s="150"/>
      <c r="CR88" s="151"/>
      <c r="CS88" s="172"/>
      <c r="CT88" s="187"/>
      <c r="CU88" s="150"/>
      <c r="CV88" s="151"/>
      <c r="DV88" s="12"/>
      <c r="DW88" s="13"/>
      <c r="EA88" s="12"/>
      <c r="EB88" s="13"/>
      <c r="EL88" s="190"/>
      <c r="EW88" s="18"/>
      <c r="EX88" s="12"/>
      <c r="FH88" s="12"/>
      <c r="FI88" s="13"/>
      <c r="FQ88" s="13"/>
      <c r="FR88" s="18"/>
      <c r="FS88" s="12"/>
      <c r="GI88" s="12"/>
      <c r="GJ88" s="13"/>
    </row>
    <row r="89" spans="8:288" ht="18" customHeight="1" x14ac:dyDescent="0.2">
      <c r="H89" s="4"/>
      <c r="AG89" s="42"/>
      <c r="AH89" s="43"/>
      <c r="AI89" s="12"/>
      <c r="AM89" s="14"/>
      <c r="AN89" s="15"/>
      <c r="AO89" s="15"/>
      <c r="AP89" s="15"/>
      <c r="AQ89" s="15"/>
      <c r="AR89" s="15"/>
      <c r="AS89" s="15"/>
      <c r="AT89" s="15"/>
      <c r="AU89" s="15"/>
      <c r="AV89" s="203"/>
      <c r="AW89" s="54"/>
      <c r="AX89" s="54"/>
      <c r="AY89" s="54"/>
      <c r="AZ89" s="54"/>
      <c r="BA89" s="54"/>
      <c r="BB89" s="54"/>
      <c r="BC89" s="54"/>
      <c r="BD89" s="19"/>
      <c r="BZ89" s="13"/>
      <c r="CA89" s="43"/>
      <c r="CB89" s="45"/>
      <c r="CC89" s="149"/>
      <c r="CD89" s="150"/>
      <c r="CE89" s="150"/>
      <c r="CF89" s="150"/>
      <c r="CG89" s="150"/>
      <c r="CH89" s="150"/>
      <c r="CI89" s="150"/>
      <c r="CJ89" s="150"/>
      <c r="CK89" s="150"/>
      <c r="CL89" s="150"/>
      <c r="CM89" s="150"/>
      <c r="CN89" s="150"/>
      <c r="CO89" s="150"/>
      <c r="CP89" s="150"/>
      <c r="CQ89" s="150"/>
      <c r="CR89" s="151"/>
      <c r="CS89" s="172"/>
      <c r="CT89" s="187"/>
      <c r="CU89" s="150"/>
      <c r="CV89" s="151"/>
      <c r="DV89" s="12"/>
      <c r="DW89" s="13"/>
      <c r="EA89" s="12"/>
      <c r="EB89" s="13"/>
      <c r="EL89" s="190"/>
      <c r="EW89" s="18"/>
      <c r="EX89" s="12"/>
      <c r="FH89" s="12"/>
      <c r="FI89" s="13"/>
      <c r="FQ89" s="13"/>
      <c r="FR89" s="18"/>
      <c r="FS89" s="12"/>
      <c r="GI89" s="12"/>
      <c r="GJ89" s="13"/>
    </row>
    <row r="90" spans="8:288" ht="18" customHeight="1" x14ac:dyDescent="0.2">
      <c r="H90" s="4"/>
      <c r="AG90" s="42"/>
      <c r="AH90" s="43"/>
      <c r="AI90" s="12"/>
      <c r="AV90" s="140"/>
      <c r="AW90" s="51"/>
      <c r="AX90" s="51"/>
      <c r="AY90" s="51"/>
      <c r="AZ90" s="51"/>
      <c r="BA90" s="51"/>
      <c r="BB90" s="51"/>
      <c r="BC90" s="51"/>
      <c r="BD90" s="18"/>
      <c r="BZ90" s="13"/>
      <c r="CA90" s="43"/>
      <c r="CB90" s="45"/>
      <c r="CC90" s="149"/>
      <c r="CD90" s="150"/>
      <c r="CE90" s="150"/>
      <c r="CF90" s="150"/>
      <c r="CG90" s="150"/>
      <c r="CH90" s="150"/>
      <c r="CI90" s="150"/>
      <c r="CJ90" s="150"/>
      <c r="CK90" s="150"/>
      <c r="CL90" s="150"/>
      <c r="CM90" s="150"/>
      <c r="CN90" s="150"/>
      <c r="CO90" s="150"/>
      <c r="CP90" s="150"/>
      <c r="CQ90" s="150"/>
      <c r="CR90" s="151"/>
      <c r="CS90" s="172"/>
      <c r="CT90" s="187"/>
      <c r="CU90" s="150"/>
      <c r="CV90" s="151"/>
      <c r="DV90" s="12"/>
      <c r="DW90" s="13"/>
      <c r="EA90" s="12"/>
      <c r="EB90" s="13"/>
      <c r="EL90" s="190"/>
      <c r="EW90" s="18"/>
      <c r="EX90" s="12"/>
      <c r="FH90" s="12"/>
      <c r="FI90" s="13"/>
      <c r="FQ90" s="13"/>
      <c r="FR90" s="18"/>
      <c r="FS90" s="12"/>
      <c r="GI90" s="12"/>
      <c r="GJ90" s="13"/>
    </row>
    <row r="91" spans="8:288" ht="18" customHeight="1" x14ac:dyDescent="0.2">
      <c r="H91" s="4"/>
      <c r="AG91" s="42"/>
      <c r="AH91" s="43"/>
      <c r="AI91" s="12"/>
      <c r="AV91" s="140"/>
      <c r="AW91" s="51"/>
      <c r="AX91" s="51"/>
      <c r="AY91" s="51"/>
      <c r="AZ91" s="51"/>
      <c r="BA91" s="51"/>
      <c r="BB91" s="51"/>
      <c r="BC91" s="51"/>
      <c r="BD91" s="18"/>
      <c r="BZ91" s="13"/>
      <c r="CA91" s="43"/>
      <c r="CB91" s="45"/>
      <c r="CC91" s="149"/>
      <c r="CD91" s="150"/>
      <c r="CE91" s="150"/>
      <c r="CF91" s="150"/>
      <c r="CG91" s="150"/>
      <c r="CH91" s="150"/>
      <c r="CI91" s="150"/>
      <c r="CJ91" s="150"/>
      <c r="CK91" s="150"/>
      <c r="CL91" s="150"/>
      <c r="CM91" s="150"/>
      <c r="CN91" s="150"/>
      <c r="CO91" s="150"/>
      <c r="CP91" s="150"/>
      <c r="CQ91" s="150"/>
      <c r="CR91" s="151"/>
      <c r="CS91" s="172"/>
      <c r="CT91" s="188"/>
      <c r="CU91" s="153"/>
      <c r="CV91" s="154"/>
      <c r="CW91" s="15"/>
      <c r="CX91" s="15"/>
      <c r="CY91" s="15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4"/>
      <c r="DW91" s="16"/>
      <c r="EA91" s="12"/>
      <c r="EB91" s="13"/>
      <c r="EL91" s="190"/>
      <c r="EW91" s="18"/>
      <c r="EX91" s="12"/>
      <c r="FH91" s="12"/>
      <c r="FI91" s="13"/>
      <c r="FQ91" s="13"/>
      <c r="FR91" s="18"/>
      <c r="FS91" s="12"/>
      <c r="GI91" s="12"/>
      <c r="GJ91" s="13"/>
    </row>
    <row r="92" spans="8:288" ht="18" customHeight="1" x14ac:dyDescent="0.2">
      <c r="H92" s="4"/>
      <c r="AG92" s="42"/>
      <c r="AH92" s="43"/>
      <c r="AI92" s="12"/>
      <c r="AM92" s="9"/>
      <c r="AN92" s="10"/>
      <c r="AO92" s="10"/>
      <c r="AP92" s="10"/>
      <c r="AQ92" s="10"/>
      <c r="AR92" s="11"/>
      <c r="AV92" s="140"/>
      <c r="AW92" s="51"/>
      <c r="AX92" s="51"/>
      <c r="AY92" s="51"/>
      <c r="AZ92" s="51"/>
      <c r="BA92" s="51"/>
      <c r="BB92" s="51"/>
      <c r="BC92" s="51"/>
      <c r="BD92" s="18"/>
      <c r="BZ92" s="13"/>
      <c r="CA92" s="43"/>
      <c r="CB92" s="45"/>
      <c r="CC92" s="149"/>
      <c r="CD92" s="150"/>
      <c r="CE92" s="150"/>
      <c r="CF92" s="150"/>
      <c r="CG92" s="150"/>
      <c r="CH92" s="150"/>
      <c r="CI92" s="150"/>
      <c r="CJ92" s="150"/>
      <c r="CK92" s="150"/>
      <c r="CL92" s="150"/>
      <c r="CM92" s="150"/>
      <c r="CN92" s="150"/>
      <c r="CO92" s="150"/>
      <c r="CP92" s="150"/>
      <c r="CQ92" s="150"/>
      <c r="CR92" s="151"/>
      <c r="CS92" s="172"/>
      <c r="CT92" s="151"/>
      <c r="CU92" s="150"/>
      <c r="CV92" s="151"/>
      <c r="DW92" s="5"/>
      <c r="EA92" s="12"/>
      <c r="EB92" s="13"/>
      <c r="EL92" s="191"/>
      <c r="EW92" s="18"/>
      <c r="EX92" s="12"/>
      <c r="FH92" s="12"/>
      <c r="FI92" s="13"/>
      <c r="FQ92" s="13"/>
      <c r="FR92" s="18"/>
      <c r="FS92" s="12"/>
      <c r="GI92" s="12"/>
      <c r="GJ92" s="13"/>
      <c r="JI92" s="9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1"/>
    </row>
    <row r="93" spans="8:288" ht="18" customHeight="1" x14ac:dyDescent="0.2">
      <c r="H93" s="4"/>
      <c r="AG93" s="42"/>
      <c r="AH93" s="43"/>
      <c r="AI93" s="14"/>
      <c r="AJ93" s="15"/>
      <c r="AK93" s="15"/>
      <c r="AL93" s="15"/>
      <c r="AM93" s="14"/>
      <c r="AN93" s="15"/>
      <c r="AO93" s="15"/>
      <c r="AP93" s="15"/>
      <c r="AQ93" s="15"/>
      <c r="AR93" s="16"/>
      <c r="AS93" s="15"/>
      <c r="AT93" s="15"/>
      <c r="AU93" s="15"/>
      <c r="AV93" s="203"/>
      <c r="AW93" s="54"/>
      <c r="AX93" s="54"/>
      <c r="AY93" s="54"/>
      <c r="AZ93" s="54"/>
      <c r="BA93" s="54"/>
      <c r="BB93" s="54"/>
      <c r="BC93" s="54"/>
      <c r="BD93" s="19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6"/>
      <c r="CA93" s="43"/>
      <c r="CB93" s="45"/>
      <c r="CC93" s="149"/>
      <c r="CD93" s="150"/>
      <c r="CE93" s="150"/>
      <c r="CF93" s="150"/>
      <c r="CG93" s="150"/>
      <c r="CH93" s="150"/>
      <c r="CI93" s="150"/>
      <c r="CJ93" s="150"/>
      <c r="CK93" s="150"/>
      <c r="CL93" s="150"/>
      <c r="CM93" s="150"/>
      <c r="CN93" s="150"/>
      <c r="CO93" s="150"/>
      <c r="CP93" s="150"/>
      <c r="CQ93" s="150"/>
      <c r="CR93" s="151"/>
      <c r="CS93" s="172"/>
      <c r="CT93" s="151"/>
      <c r="CU93" s="150"/>
      <c r="CV93" s="151"/>
      <c r="DW93" s="5"/>
      <c r="EA93" s="12"/>
      <c r="EB93" s="13"/>
      <c r="EL93" s="9"/>
      <c r="EM93" s="11"/>
      <c r="EW93" s="18"/>
      <c r="EX93" s="12"/>
      <c r="FH93" s="12"/>
      <c r="FI93" s="13"/>
      <c r="FQ93" s="13"/>
      <c r="FR93" s="18"/>
      <c r="FS93" s="12"/>
      <c r="GI93" s="12"/>
      <c r="GJ93" s="13"/>
      <c r="JI93" s="12"/>
      <c r="KB93" s="13"/>
    </row>
    <row r="94" spans="8:288" ht="18" customHeight="1" x14ac:dyDescent="0.2">
      <c r="H94" s="4"/>
      <c r="AG94" s="42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123"/>
      <c r="BK94" s="109"/>
      <c r="BL94" s="109"/>
      <c r="BM94" s="109"/>
      <c r="BN94" s="109"/>
      <c r="BO94" s="124"/>
      <c r="BP94" s="43"/>
      <c r="BQ94" s="43"/>
      <c r="BR94" s="43"/>
      <c r="BS94" s="43"/>
      <c r="BT94" s="127"/>
      <c r="BU94" s="127"/>
      <c r="BV94" s="127"/>
      <c r="BW94" s="127"/>
      <c r="BX94" s="127"/>
      <c r="BY94" s="127"/>
      <c r="BZ94" s="43"/>
      <c r="CA94" s="43"/>
      <c r="CB94" s="45"/>
      <c r="CC94" s="149"/>
      <c r="CD94" s="150"/>
      <c r="CE94" s="150"/>
      <c r="CF94" s="150"/>
      <c r="CG94" s="150"/>
      <c r="CH94" s="150"/>
      <c r="CI94" s="150"/>
      <c r="CJ94" s="150"/>
      <c r="CK94" s="150"/>
      <c r="CL94" s="150"/>
      <c r="CM94" s="150"/>
      <c r="CN94" s="150"/>
      <c r="CO94" s="150"/>
      <c r="CP94" s="150"/>
      <c r="CQ94" s="150"/>
      <c r="CR94" s="151"/>
      <c r="CS94" s="172"/>
      <c r="CT94" s="151"/>
      <c r="CU94" s="150"/>
      <c r="CV94" s="151"/>
      <c r="DW94" s="5"/>
      <c r="EA94" s="12"/>
      <c r="EB94" s="13"/>
      <c r="EI94" s="20"/>
      <c r="EJ94" s="21"/>
      <c r="EK94" s="21"/>
      <c r="EL94" s="20"/>
      <c r="EM94" s="22"/>
      <c r="EN94" s="21"/>
      <c r="EO94" s="21"/>
      <c r="EP94" s="22"/>
      <c r="EW94" s="18"/>
      <c r="EX94" s="12"/>
      <c r="FH94" s="12"/>
      <c r="FI94" s="13"/>
      <c r="FQ94" s="13"/>
      <c r="FR94" s="18"/>
      <c r="FS94" s="20"/>
      <c r="FT94" s="21"/>
      <c r="FU94" s="21"/>
      <c r="FV94" s="21"/>
      <c r="FW94" s="21"/>
      <c r="FX94" s="21"/>
      <c r="FY94" s="21"/>
      <c r="FZ94" s="21"/>
      <c r="GA94" s="21"/>
      <c r="GB94" s="21"/>
      <c r="GC94" s="21"/>
      <c r="GD94" s="21"/>
      <c r="GE94" s="21"/>
      <c r="GF94" s="21"/>
      <c r="GG94" s="21"/>
      <c r="GH94" s="22"/>
      <c r="GI94" s="12"/>
      <c r="GJ94" s="13"/>
      <c r="JI94" s="12"/>
      <c r="KB94" s="13"/>
    </row>
    <row r="95" spans="8:288" ht="18" customHeight="1" x14ac:dyDescent="0.2">
      <c r="H95" s="4"/>
      <c r="AG95" s="46"/>
      <c r="AH95" s="47"/>
      <c r="AI95" s="47"/>
      <c r="AJ95" s="47"/>
      <c r="AK95" s="47"/>
      <c r="AL95" s="47"/>
      <c r="AM95" s="47"/>
      <c r="AN95" s="47"/>
      <c r="AO95" s="47"/>
      <c r="AP95" s="47"/>
      <c r="AQ95" s="43"/>
      <c r="AR95" s="47"/>
      <c r="AS95" s="43"/>
      <c r="AT95" s="47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0"/>
      <c r="BK95" s="41"/>
      <c r="BL95" s="41"/>
      <c r="BM95" s="41"/>
      <c r="BN95" s="41"/>
      <c r="BO95" s="44"/>
      <c r="BP95" s="43"/>
      <c r="BQ95" s="43"/>
      <c r="BR95" s="43"/>
      <c r="BS95" s="43"/>
      <c r="BT95" s="127"/>
      <c r="BU95" s="127"/>
      <c r="BV95" s="127"/>
      <c r="BW95" s="127"/>
      <c r="BX95" s="127"/>
      <c r="BY95" s="127"/>
      <c r="BZ95" s="43"/>
      <c r="CA95" s="43"/>
      <c r="CB95" s="45"/>
      <c r="CC95" s="152"/>
      <c r="CD95" s="153"/>
      <c r="CE95" s="153"/>
      <c r="CF95" s="153"/>
      <c r="CG95" s="153"/>
      <c r="CH95" s="153"/>
      <c r="CI95" s="153"/>
      <c r="CJ95" s="153"/>
      <c r="CK95" s="153"/>
      <c r="CL95" s="153"/>
      <c r="CM95" s="153"/>
      <c r="CN95" s="153"/>
      <c r="CO95" s="153"/>
      <c r="CP95" s="153"/>
      <c r="CQ95" s="153"/>
      <c r="CR95" s="154"/>
      <c r="CS95" s="172"/>
      <c r="CT95" s="151"/>
      <c r="CU95" s="150"/>
      <c r="CV95" s="151"/>
      <c r="DW95" s="5"/>
      <c r="EA95" s="12"/>
      <c r="EB95" s="13"/>
      <c r="EW95" s="18"/>
      <c r="EX95" s="12"/>
      <c r="FH95" s="12"/>
      <c r="FI95" s="13"/>
      <c r="FQ95" s="13"/>
      <c r="FR95" s="18"/>
      <c r="FS95" s="12"/>
      <c r="GI95" s="12"/>
      <c r="GJ95" s="13"/>
      <c r="JI95" s="12"/>
      <c r="KB95" s="13"/>
    </row>
    <row r="96" spans="8:288" ht="18" customHeight="1" thickBot="1" x14ac:dyDescent="0.25">
      <c r="H96" s="4"/>
      <c r="AQ96" s="10"/>
      <c r="AS96" s="146"/>
      <c r="AT96" s="147"/>
      <c r="AU96" s="146"/>
      <c r="AV96" s="168"/>
      <c r="AW96" s="146"/>
      <c r="AX96" s="147"/>
      <c r="AY96" s="147"/>
      <c r="AZ96" s="147"/>
      <c r="BA96" s="147"/>
      <c r="BB96" s="147"/>
      <c r="BC96" s="147"/>
      <c r="BD96" s="147"/>
      <c r="BE96" s="147"/>
      <c r="BF96" s="147"/>
      <c r="BG96" s="147"/>
      <c r="BH96" s="147"/>
      <c r="BI96" s="147"/>
      <c r="BJ96" s="147"/>
      <c r="BK96" s="147"/>
      <c r="BL96" s="148"/>
      <c r="BM96" s="147"/>
      <c r="BN96" s="147"/>
      <c r="BO96" s="147"/>
      <c r="BP96" s="147"/>
      <c r="BQ96" s="147"/>
      <c r="BR96" s="147"/>
      <c r="BS96" s="147"/>
      <c r="BT96" s="147"/>
      <c r="BU96" s="147"/>
      <c r="BV96" s="147"/>
      <c r="BW96" s="147"/>
      <c r="BX96" s="147"/>
      <c r="BY96" s="147"/>
      <c r="BZ96" s="147"/>
      <c r="CA96" s="147"/>
      <c r="CB96" s="147"/>
      <c r="CC96" s="146"/>
      <c r="CD96" s="147"/>
      <c r="CE96" s="147"/>
      <c r="CF96" s="147"/>
      <c r="CG96" s="147"/>
      <c r="CH96" s="147"/>
      <c r="CI96" s="147"/>
      <c r="CJ96" s="147"/>
      <c r="CK96" s="147"/>
      <c r="CL96" s="147"/>
      <c r="CM96" s="147"/>
      <c r="CN96" s="147"/>
      <c r="CO96" s="147"/>
      <c r="CP96" s="147"/>
      <c r="CQ96" s="147"/>
      <c r="CR96" s="148"/>
      <c r="CS96" s="172"/>
      <c r="CT96" s="151"/>
      <c r="CU96" s="150"/>
      <c r="CV96" s="151"/>
      <c r="DW96" s="5"/>
      <c r="EA96" s="12"/>
      <c r="EB96" s="13"/>
      <c r="EW96" s="18"/>
      <c r="EX96" s="12"/>
      <c r="FH96" s="12"/>
      <c r="FI96" s="13"/>
      <c r="FQ96" s="13"/>
      <c r="FR96" s="18"/>
      <c r="FS96" s="9"/>
      <c r="FT96" s="11"/>
      <c r="GG96" s="9"/>
      <c r="GH96" s="11"/>
      <c r="GI96" s="12"/>
      <c r="GJ96" s="13"/>
      <c r="JI96" s="12"/>
      <c r="KB96" s="13"/>
    </row>
    <row r="97" spans="8:288" ht="18" customHeight="1" thickTop="1" x14ac:dyDescent="0.2">
      <c r="H97" s="4"/>
      <c r="AS97" s="149"/>
      <c r="AT97" s="150"/>
      <c r="AU97" s="149"/>
      <c r="AV97" s="170"/>
      <c r="AW97" s="149"/>
      <c r="AX97" s="150"/>
      <c r="AY97" s="150"/>
      <c r="AZ97" s="150"/>
      <c r="BA97" s="150"/>
      <c r="BB97" s="150"/>
      <c r="BC97" s="150"/>
      <c r="BD97" s="150"/>
      <c r="BE97" s="150"/>
      <c r="BF97" s="150"/>
      <c r="BG97" s="150"/>
      <c r="BH97" s="150"/>
      <c r="BI97" s="150"/>
      <c r="BJ97" s="150"/>
      <c r="BK97" s="150"/>
      <c r="BL97" s="151"/>
      <c r="BM97" s="150"/>
      <c r="BN97" s="150"/>
      <c r="BO97" s="150"/>
      <c r="BP97" s="150"/>
      <c r="BQ97" s="150"/>
      <c r="BR97" s="150"/>
      <c r="BS97" s="150"/>
      <c r="BT97" s="150"/>
      <c r="BU97" s="150"/>
      <c r="BV97" s="150"/>
      <c r="BW97" s="150"/>
      <c r="BX97" s="150"/>
      <c r="BY97" s="150"/>
      <c r="BZ97" s="150"/>
      <c r="CA97" s="150"/>
      <c r="CB97" s="150"/>
      <c r="CC97" s="149"/>
      <c r="CD97" s="150"/>
      <c r="CE97" s="150"/>
      <c r="CF97" s="150"/>
      <c r="CG97" s="150"/>
      <c r="CH97" s="150"/>
      <c r="CI97" s="150"/>
      <c r="CJ97" s="150"/>
      <c r="CK97" s="150"/>
      <c r="CL97" s="150"/>
      <c r="CM97" s="150"/>
      <c r="CN97" s="150"/>
      <c r="CO97" s="150"/>
      <c r="CP97" s="150"/>
      <c r="CQ97" s="150"/>
      <c r="CR97" s="151"/>
      <c r="CS97" s="172"/>
      <c r="CT97" s="151"/>
      <c r="CU97" s="150"/>
      <c r="CV97" s="151"/>
      <c r="DW97" s="5"/>
      <c r="EA97" s="12"/>
      <c r="EB97" s="13"/>
      <c r="EP97" s="192"/>
      <c r="EQ97" s="193"/>
      <c r="ER97" s="201"/>
      <c r="ES97" s="193"/>
      <c r="ET97" s="193"/>
      <c r="EU97" s="194"/>
      <c r="EW97" s="24"/>
      <c r="EX97" s="12"/>
      <c r="FH97" s="12"/>
      <c r="FI97" s="13"/>
      <c r="FK97" s="192"/>
      <c r="FL97" s="193"/>
      <c r="FM97" s="201"/>
      <c r="FN97" s="193"/>
      <c r="FO97" s="193"/>
      <c r="FP97" s="194"/>
      <c r="FQ97" s="13"/>
      <c r="FR97" s="18"/>
      <c r="FS97" s="12"/>
      <c r="FT97" s="13"/>
      <c r="FX97" s="192"/>
      <c r="FY97" s="193"/>
      <c r="FZ97" s="201"/>
      <c r="GA97" s="193"/>
      <c r="GB97" s="193"/>
      <c r="GC97" s="194"/>
      <c r="GG97" s="12"/>
      <c r="GH97" s="13"/>
      <c r="GI97" s="12"/>
      <c r="GJ97" s="13"/>
      <c r="JI97" s="12"/>
      <c r="KB97" s="13"/>
    </row>
    <row r="98" spans="8:288" ht="18" customHeight="1" x14ac:dyDescent="0.2">
      <c r="H98" s="4"/>
      <c r="AS98" s="149"/>
      <c r="AT98" s="150"/>
      <c r="AU98" s="149"/>
      <c r="AV98" s="170"/>
      <c r="AW98" s="149"/>
      <c r="AX98" s="150"/>
      <c r="AY98" s="150"/>
      <c r="AZ98" s="150"/>
      <c r="BA98" s="150"/>
      <c r="BB98" s="150"/>
      <c r="BC98" s="150"/>
      <c r="BD98" s="150"/>
      <c r="BE98" s="150"/>
      <c r="BF98" s="150"/>
      <c r="BG98" s="150"/>
      <c r="BH98" s="150"/>
      <c r="BI98" s="150"/>
      <c r="BJ98" s="150"/>
      <c r="BK98" s="150"/>
      <c r="BL98" s="151"/>
      <c r="BM98" s="150"/>
      <c r="BN98" s="150"/>
      <c r="BO98" s="150"/>
      <c r="BP98" s="150"/>
      <c r="BQ98" s="150"/>
      <c r="BR98" s="150"/>
      <c r="BS98" s="150"/>
      <c r="BT98" s="150"/>
      <c r="BU98" s="150"/>
      <c r="BV98" s="150"/>
      <c r="BW98" s="150"/>
      <c r="BX98" s="150"/>
      <c r="BY98" s="150"/>
      <c r="BZ98" s="150"/>
      <c r="CA98" s="150"/>
      <c r="CB98" s="150"/>
      <c r="CC98" s="149"/>
      <c r="CD98" s="150"/>
      <c r="CE98" s="150"/>
      <c r="CF98" s="150"/>
      <c r="CG98" s="150"/>
      <c r="CH98" s="150"/>
      <c r="CI98" s="150"/>
      <c r="CJ98" s="150"/>
      <c r="CK98" s="150"/>
      <c r="CL98" s="150"/>
      <c r="CM98" s="150"/>
      <c r="CN98" s="150"/>
      <c r="CO98" s="150"/>
      <c r="CP98" s="150"/>
      <c r="CQ98" s="150"/>
      <c r="CR98" s="151"/>
      <c r="CS98" s="172"/>
      <c r="CT98" s="151"/>
      <c r="CU98" s="150"/>
      <c r="CV98" s="151"/>
      <c r="DW98" s="5"/>
      <c r="EA98" s="12"/>
      <c r="EB98" s="13"/>
      <c r="EP98" s="195"/>
      <c r="ER98" s="13"/>
      <c r="EU98" s="190"/>
      <c r="EW98" s="24"/>
      <c r="EX98" s="12"/>
      <c r="EY98" s="9"/>
      <c r="EZ98" s="10"/>
      <c r="FA98" s="10"/>
      <c r="FB98" s="10"/>
      <c r="FC98" s="11"/>
      <c r="FH98" s="12"/>
      <c r="FI98" s="13"/>
      <c r="FK98" s="195"/>
      <c r="FM98" s="13"/>
      <c r="FP98" s="190"/>
      <c r="FQ98" s="13"/>
      <c r="FR98" s="18"/>
      <c r="FS98" s="12"/>
      <c r="FT98" s="13"/>
      <c r="FX98" s="195"/>
      <c r="FZ98" s="13"/>
      <c r="GC98" s="190"/>
      <c r="GG98" s="12"/>
      <c r="GH98" s="13"/>
      <c r="GI98" s="12"/>
      <c r="GJ98" s="13"/>
      <c r="HA98" s="9"/>
      <c r="HB98" s="11"/>
      <c r="JI98" s="12"/>
      <c r="KB98" s="13"/>
    </row>
    <row r="99" spans="8:288" ht="18" customHeight="1" x14ac:dyDescent="0.2">
      <c r="H99" s="4"/>
      <c r="AS99" s="149"/>
      <c r="AT99" s="150"/>
      <c r="AU99" s="149"/>
      <c r="AV99" s="170"/>
      <c r="AW99" s="149"/>
      <c r="AX99" s="150"/>
      <c r="AY99" s="150"/>
      <c r="AZ99" s="150"/>
      <c r="BA99" s="150"/>
      <c r="BB99" s="150"/>
      <c r="BC99" s="150"/>
      <c r="BD99" s="150"/>
      <c r="BE99" s="150"/>
      <c r="BF99" s="150"/>
      <c r="BG99" s="150"/>
      <c r="BH99" s="150"/>
      <c r="BI99" s="150"/>
      <c r="BJ99" s="150"/>
      <c r="BK99" s="150"/>
      <c r="BL99" s="151"/>
      <c r="BM99" s="150"/>
      <c r="BN99" s="150"/>
      <c r="BO99" s="150"/>
      <c r="BP99" s="150"/>
      <c r="BQ99" s="150"/>
      <c r="BR99" s="150"/>
      <c r="BS99" s="150"/>
      <c r="BT99" s="150"/>
      <c r="BU99" s="150"/>
      <c r="BV99" s="150"/>
      <c r="BW99" s="150"/>
      <c r="BX99" s="150"/>
      <c r="BY99" s="150"/>
      <c r="BZ99" s="150"/>
      <c r="CA99" s="150"/>
      <c r="CB99" s="150"/>
      <c r="CC99" s="149"/>
      <c r="CD99" s="150"/>
      <c r="CE99" s="150"/>
      <c r="CF99" s="150"/>
      <c r="CG99" s="150"/>
      <c r="CH99" s="150"/>
      <c r="CI99" s="150"/>
      <c r="CJ99" s="150"/>
      <c r="CK99" s="150"/>
      <c r="CL99" s="150"/>
      <c r="CM99" s="150"/>
      <c r="CN99" s="150"/>
      <c r="CO99" s="150"/>
      <c r="CP99" s="150"/>
      <c r="CQ99" s="150"/>
      <c r="CR99" s="151"/>
      <c r="CS99" s="172"/>
      <c r="CT99" s="151"/>
      <c r="CU99" s="150"/>
      <c r="CV99" s="151"/>
      <c r="DW99" s="5"/>
      <c r="EA99" s="12"/>
      <c r="EB99" s="13"/>
      <c r="EP99" s="202"/>
      <c r="EQ99" s="15"/>
      <c r="ER99" s="16"/>
      <c r="EU99" s="190"/>
      <c r="EW99" s="24"/>
      <c r="EX99" s="12"/>
      <c r="EY99" s="12"/>
      <c r="FC99" s="13"/>
      <c r="FH99" s="12"/>
      <c r="FI99" s="13"/>
      <c r="FK99" s="202"/>
      <c r="FL99" s="15"/>
      <c r="FM99" s="16"/>
      <c r="FP99" s="190"/>
      <c r="FQ99" s="13"/>
      <c r="FR99" s="18"/>
      <c r="FS99" s="14"/>
      <c r="FT99" s="16"/>
      <c r="FX99" s="202"/>
      <c r="FY99" s="15"/>
      <c r="FZ99" s="16"/>
      <c r="GC99" s="190"/>
      <c r="GG99" s="14"/>
      <c r="GH99" s="16"/>
      <c r="GI99" s="12"/>
      <c r="GJ99" s="13"/>
      <c r="HA99" s="12"/>
      <c r="HB99" s="13"/>
      <c r="JI99" s="12"/>
      <c r="KB99" s="13"/>
    </row>
    <row r="100" spans="8:288" ht="18" customHeight="1" x14ac:dyDescent="0.2">
      <c r="H100" s="4"/>
      <c r="AS100" s="149"/>
      <c r="AT100" s="150"/>
      <c r="AU100" s="149"/>
      <c r="AV100" s="170"/>
      <c r="AW100" s="149"/>
      <c r="AX100" s="150"/>
      <c r="AY100" s="150"/>
      <c r="AZ100" s="150"/>
      <c r="BA100" s="150"/>
      <c r="BB100" s="150"/>
      <c r="BC100" s="150"/>
      <c r="BD100" s="150"/>
      <c r="BE100" s="150"/>
      <c r="BF100" s="150"/>
      <c r="BG100" s="150"/>
      <c r="BH100" s="150"/>
      <c r="BI100" s="150"/>
      <c r="BJ100" s="150"/>
      <c r="BK100" s="150"/>
      <c r="BL100" s="151"/>
      <c r="BM100" s="150"/>
      <c r="BN100" s="150"/>
      <c r="BO100" s="150"/>
      <c r="BP100" s="150"/>
      <c r="BQ100" s="150"/>
      <c r="BR100" s="150"/>
      <c r="BS100" s="150"/>
      <c r="BT100" s="150"/>
      <c r="BU100" s="150"/>
      <c r="BV100" s="150"/>
      <c r="BW100" s="150"/>
      <c r="BX100" s="150"/>
      <c r="BY100" s="150"/>
      <c r="BZ100" s="150"/>
      <c r="CA100" s="150"/>
      <c r="CB100" s="150"/>
      <c r="CC100" s="149"/>
      <c r="CD100" s="150"/>
      <c r="CE100" s="150"/>
      <c r="CF100" s="150"/>
      <c r="CG100" s="150"/>
      <c r="CH100" s="150"/>
      <c r="CI100" s="150"/>
      <c r="CJ100" s="150"/>
      <c r="CK100" s="150"/>
      <c r="CL100" s="150"/>
      <c r="CM100" s="150"/>
      <c r="CN100" s="150"/>
      <c r="CO100" s="150"/>
      <c r="CP100" s="150"/>
      <c r="CQ100" s="150"/>
      <c r="CR100" s="151"/>
      <c r="CS100" s="172"/>
      <c r="CT100" s="151"/>
      <c r="CU100" s="150"/>
      <c r="CV100" s="151"/>
      <c r="DW100" s="5"/>
      <c r="EA100" s="12"/>
      <c r="EB100" s="13"/>
      <c r="EP100" s="195"/>
      <c r="ES100" s="9"/>
      <c r="ET100" s="10"/>
      <c r="EU100" s="189"/>
      <c r="EW100" s="24"/>
      <c r="EX100" s="12"/>
      <c r="EY100" s="12"/>
      <c r="FC100" s="13"/>
      <c r="FH100" s="12"/>
      <c r="FI100" s="13"/>
      <c r="FK100" s="195"/>
      <c r="FN100" s="9"/>
      <c r="FO100" s="10"/>
      <c r="FP100" s="189"/>
      <c r="FQ100" s="13"/>
      <c r="FR100" s="18"/>
      <c r="FS100" s="12"/>
      <c r="FX100" s="195"/>
      <c r="GA100" s="9"/>
      <c r="GB100" s="10"/>
      <c r="GC100" s="189"/>
      <c r="GI100" s="12"/>
      <c r="GJ100" s="13"/>
      <c r="HA100" s="12"/>
      <c r="HB100" s="13"/>
      <c r="JI100" s="12"/>
      <c r="KB100" s="13"/>
    </row>
    <row r="101" spans="8:288" ht="18" customHeight="1" x14ac:dyDescent="0.2">
      <c r="H101" s="4"/>
      <c r="AS101" s="149"/>
      <c r="AT101" s="150"/>
      <c r="AU101" s="149"/>
      <c r="AV101" s="170"/>
      <c r="AW101" s="149"/>
      <c r="AX101" s="150"/>
      <c r="AY101" s="150"/>
      <c r="AZ101" s="150"/>
      <c r="BA101" s="150"/>
      <c r="BB101" s="150"/>
      <c r="BC101" s="150"/>
      <c r="BD101" s="150"/>
      <c r="BE101" s="150"/>
      <c r="BF101" s="150"/>
      <c r="BG101" s="150"/>
      <c r="BH101" s="150"/>
      <c r="BI101" s="150"/>
      <c r="BJ101" s="150"/>
      <c r="BK101" s="150"/>
      <c r="BL101" s="151"/>
      <c r="BM101" s="150"/>
      <c r="BN101" s="150"/>
      <c r="BO101" s="150"/>
      <c r="BP101" s="150"/>
      <c r="BQ101" s="150"/>
      <c r="BR101" s="150"/>
      <c r="BS101" s="150"/>
      <c r="BT101" s="150"/>
      <c r="BU101" s="150"/>
      <c r="BV101" s="150"/>
      <c r="BW101" s="150"/>
      <c r="BX101" s="150"/>
      <c r="BY101" s="150"/>
      <c r="BZ101" s="150"/>
      <c r="CA101" s="150"/>
      <c r="CB101" s="150"/>
      <c r="CC101" s="149"/>
      <c r="CD101" s="150"/>
      <c r="CE101" s="150"/>
      <c r="CF101" s="150"/>
      <c r="CG101" s="150"/>
      <c r="CH101" s="150"/>
      <c r="CI101" s="150"/>
      <c r="CJ101" s="150"/>
      <c r="CK101" s="150"/>
      <c r="CL101" s="150"/>
      <c r="CM101" s="150"/>
      <c r="CN101" s="150"/>
      <c r="CO101" s="150"/>
      <c r="CP101" s="150"/>
      <c r="CQ101" s="150"/>
      <c r="CR101" s="151"/>
      <c r="CS101" s="172"/>
      <c r="CT101" s="151"/>
      <c r="CU101" s="150"/>
      <c r="CV101" s="151"/>
      <c r="DW101" s="5"/>
      <c r="EA101" s="12"/>
      <c r="EB101" s="13"/>
      <c r="EP101" s="195"/>
      <c r="ES101" s="12"/>
      <c r="EU101" s="190"/>
      <c r="EW101" s="24"/>
      <c r="EX101" s="12"/>
      <c r="EY101" s="14"/>
      <c r="EZ101" s="15"/>
      <c r="FA101" s="15"/>
      <c r="FB101" s="15"/>
      <c r="FC101" s="16"/>
      <c r="FH101" s="12"/>
      <c r="FI101" s="13"/>
      <c r="FK101" s="195"/>
      <c r="FN101" s="12"/>
      <c r="FP101" s="190"/>
      <c r="FQ101" s="13"/>
      <c r="FR101" s="18"/>
      <c r="FS101" s="12"/>
      <c r="FX101" s="195"/>
      <c r="GA101" s="12"/>
      <c r="GC101" s="190"/>
      <c r="GI101" s="12"/>
      <c r="GJ101" s="13"/>
      <c r="HA101" s="12"/>
      <c r="HB101" s="13"/>
      <c r="JI101" s="12"/>
      <c r="KB101" s="13"/>
    </row>
    <row r="102" spans="8:288" ht="18" customHeight="1" thickBot="1" x14ac:dyDescent="0.25">
      <c r="H102" s="4"/>
      <c r="AS102" s="149"/>
      <c r="AT102" s="150"/>
      <c r="AU102" s="149"/>
      <c r="AV102" s="170"/>
      <c r="AW102" s="149"/>
      <c r="AX102" s="150"/>
      <c r="AY102" s="150"/>
      <c r="AZ102" s="150"/>
      <c r="BA102" s="150"/>
      <c r="BB102" s="150"/>
      <c r="BC102" s="150"/>
      <c r="BD102" s="150"/>
      <c r="BE102" s="150"/>
      <c r="BF102" s="150"/>
      <c r="BG102" s="150"/>
      <c r="BH102" s="150"/>
      <c r="BI102" s="150"/>
      <c r="BJ102" s="150"/>
      <c r="BK102" s="150"/>
      <c r="BL102" s="151"/>
      <c r="BM102" s="150"/>
      <c r="BN102" s="150"/>
      <c r="BO102" s="150"/>
      <c r="BP102" s="150"/>
      <c r="BQ102" s="150"/>
      <c r="BR102" s="150"/>
      <c r="BS102" s="150"/>
      <c r="BT102" s="150"/>
      <c r="BU102" s="150"/>
      <c r="BV102" s="150"/>
      <c r="BW102" s="150"/>
      <c r="BX102" s="150"/>
      <c r="BY102" s="150"/>
      <c r="BZ102" s="150"/>
      <c r="CA102" s="150"/>
      <c r="CB102" s="150"/>
      <c r="CC102" s="149"/>
      <c r="CD102" s="150"/>
      <c r="CE102" s="150"/>
      <c r="CF102" s="150"/>
      <c r="CG102" s="150"/>
      <c r="CH102" s="150"/>
      <c r="CI102" s="150"/>
      <c r="CJ102" s="150"/>
      <c r="CK102" s="150"/>
      <c r="CL102" s="150"/>
      <c r="CM102" s="150"/>
      <c r="CN102" s="150"/>
      <c r="CO102" s="150"/>
      <c r="CP102" s="150"/>
      <c r="CQ102" s="150"/>
      <c r="CR102" s="151"/>
      <c r="CS102" s="172"/>
      <c r="CT102" s="151"/>
      <c r="CU102" s="150"/>
      <c r="CV102" s="151"/>
      <c r="DW102" s="5"/>
      <c r="EA102" s="12"/>
      <c r="EB102" s="13"/>
      <c r="EP102" s="196"/>
      <c r="EQ102" s="197"/>
      <c r="ER102" s="197"/>
      <c r="ES102" s="199"/>
      <c r="ET102" s="197"/>
      <c r="EU102" s="198"/>
      <c r="EW102" s="24"/>
      <c r="EX102" s="199"/>
      <c r="EY102" s="197"/>
      <c r="EZ102" s="197"/>
      <c r="FA102" s="197"/>
      <c r="FB102" s="197"/>
      <c r="FC102" s="197"/>
      <c r="FD102" s="197"/>
      <c r="FE102" s="197"/>
      <c r="FF102" s="197"/>
      <c r="FG102" s="200"/>
      <c r="FH102" s="12"/>
      <c r="FI102" s="13"/>
      <c r="FK102" s="196"/>
      <c r="FL102" s="197"/>
      <c r="FM102" s="197"/>
      <c r="FN102" s="199"/>
      <c r="FO102" s="197"/>
      <c r="FP102" s="198"/>
      <c r="FQ102" s="13"/>
      <c r="FR102" s="18"/>
      <c r="FS102" s="12"/>
      <c r="FX102" s="196"/>
      <c r="FY102" s="197"/>
      <c r="FZ102" s="197"/>
      <c r="GA102" s="199"/>
      <c r="GB102" s="197"/>
      <c r="GC102" s="198"/>
      <c r="GI102" s="12"/>
      <c r="GJ102" s="13"/>
      <c r="HA102" s="12"/>
      <c r="HB102" s="13"/>
      <c r="JI102" s="12"/>
      <c r="KB102" s="13"/>
    </row>
    <row r="103" spans="8:288" ht="18" customHeight="1" thickTop="1" thickBot="1" x14ac:dyDescent="0.25">
      <c r="H103" s="4"/>
      <c r="AS103" s="149"/>
      <c r="AT103" s="150"/>
      <c r="AU103" s="149"/>
      <c r="AV103" s="170"/>
      <c r="AW103" s="149"/>
      <c r="AX103" s="150"/>
      <c r="AY103" s="150"/>
      <c r="AZ103" s="150"/>
      <c r="BA103" s="150"/>
      <c r="BB103" s="150"/>
      <c r="BC103" s="150"/>
      <c r="BD103" s="150"/>
      <c r="BE103" s="150"/>
      <c r="BF103" s="150"/>
      <c r="BG103" s="150"/>
      <c r="BH103" s="150"/>
      <c r="BI103" s="150"/>
      <c r="BJ103" s="150"/>
      <c r="BK103" s="150"/>
      <c r="BL103" s="151"/>
      <c r="BM103" s="150"/>
      <c r="BN103" s="150"/>
      <c r="BO103" s="150"/>
      <c r="BP103" s="150"/>
      <c r="BQ103" s="150"/>
      <c r="BR103" s="150"/>
      <c r="BS103" s="150"/>
      <c r="BT103" s="150"/>
      <c r="BU103" s="150"/>
      <c r="BV103" s="150"/>
      <c r="BW103" s="150"/>
      <c r="BX103" s="150"/>
      <c r="BY103" s="150"/>
      <c r="BZ103" s="150"/>
      <c r="CA103" s="150"/>
      <c r="CB103" s="150"/>
      <c r="CC103" s="149"/>
      <c r="CD103" s="150"/>
      <c r="CE103" s="150"/>
      <c r="CF103" s="150"/>
      <c r="CG103" s="150"/>
      <c r="CH103" s="150"/>
      <c r="CI103" s="150"/>
      <c r="CJ103" s="150"/>
      <c r="CK103" s="150"/>
      <c r="CL103" s="150"/>
      <c r="CM103" s="150"/>
      <c r="CN103" s="150"/>
      <c r="CO103" s="150"/>
      <c r="CP103" s="150"/>
      <c r="CQ103" s="150"/>
      <c r="CR103" s="151"/>
      <c r="CS103" s="172"/>
      <c r="CT103" s="151"/>
      <c r="CU103" s="150"/>
      <c r="CV103" s="151"/>
      <c r="DW103" s="5"/>
      <c r="EA103" s="12"/>
      <c r="EB103" s="13"/>
      <c r="EW103" s="24"/>
      <c r="EX103" s="12"/>
      <c r="FH103" s="12"/>
      <c r="FI103" s="13"/>
      <c r="FQ103" s="13"/>
      <c r="FR103" s="18"/>
      <c r="FS103" s="199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200"/>
      <c r="GI103" s="12"/>
      <c r="GJ103" s="13"/>
      <c r="HA103" s="12"/>
      <c r="HB103" s="13"/>
      <c r="JI103" s="12"/>
      <c r="KB103" s="13"/>
    </row>
    <row r="104" spans="8:288" ht="18" customHeight="1" thickTop="1" x14ac:dyDescent="0.2">
      <c r="H104" s="4"/>
      <c r="AS104" s="149"/>
      <c r="AT104" s="150"/>
      <c r="AU104" s="149"/>
      <c r="AV104" s="170"/>
      <c r="AW104" s="149"/>
      <c r="AX104" s="150"/>
      <c r="AY104" s="150"/>
      <c r="AZ104" s="150"/>
      <c r="BA104" s="150"/>
      <c r="BB104" s="150"/>
      <c r="BC104" s="150"/>
      <c r="BD104" s="150"/>
      <c r="BE104" s="150"/>
      <c r="BF104" s="150"/>
      <c r="BG104" s="150"/>
      <c r="BH104" s="150"/>
      <c r="BI104" s="150"/>
      <c r="BJ104" s="150"/>
      <c r="BK104" s="150"/>
      <c r="BL104" s="151"/>
      <c r="BM104" s="150"/>
      <c r="BN104" s="150"/>
      <c r="BO104" s="150"/>
      <c r="BP104" s="150"/>
      <c r="BQ104" s="150"/>
      <c r="BR104" s="150"/>
      <c r="BS104" s="150"/>
      <c r="BT104" s="150"/>
      <c r="BU104" s="150"/>
      <c r="BV104" s="150"/>
      <c r="BW104" s="150"/>
      <c r="BX104" s="150"/>
      <c r="BY104" s="150"/>
      <c r="BZ104" s="150"/>
      <c r="CA104" s="150"/>
      <c r="CB104" s="150"/>
      <c r="CC104" s="149"/>
      <c r="CD104" s="150"/>
      <c r="CE104" s="150"/>
      <c r="CF104" s="150"/>
      <c r="CG104" s="150"/>
      <c r="CH104" s="150"/>
      <c r="CI104" s="150"/>
      <c r="CJ104" s="150"/>
      <c r="CK104" s="150"/>
      <c r="CL104" s="150"/>
      <c r="CM104" s="150"/>
      <c r="CN104" s="150"/>
      <c r="CO104" s="150"/>
      <c r="CP104" s="150"/>
      <c r="CQ104" s="150"/>
      <c r="CR104" s="151"/>
      <c r="CS104" s="172"/>
      <c r="CT104" s="151"/>
      <c r="CU104" s="150"/>
      <c r="CV104" s="151"/>
      <c r="DW104" s="5"/>
      <c r="EA104" s="12"/>
      <c r="EB104" s="13"/>
      <c r="EW104" s="24"/>
      <c r="EX104" s="12"/>
      <c r="EZ104" s="20"/>
      <c r="FA104" s="21"/>
      <c r="FB104" s="22"/>
      <c r="FH104" s="12"/>
      <c r="FI104" s="13"/>
      <c r="FQ104" s="13"/>
      <c r="FR104" s="18"/>
      <c r="FS104" s="12"/>
      <c r="FW104" s="12"/>
      <c r="GD104" s="13"/>
      <c r="GH104" s="13"/>
      <c r="GI104" s="12"/>
      <c r="GJ104" s="13"/>
      <c r="HA104" s="17"/>
      <c r="HB104" s="13"/>
      <c r="JI104" s="12"/>
      <c r="KB104" s="13"/>
    </row>
    <row r="105" spans="8:288" ht="18" customHeight="1" x14ac:dyDescent="0.2">
      <c r="H105" s="4"/>
      <c r="AS105" s="149"/>
      <c r="AT105" s="150"/>
      <c r="AU105" s="149"/>
      <c r="AV105" s="170"/>
      <c r="AW105" s="149"/>
      <c r="AX105" s="150"/>
      <c r="AY105" s="150"/>
      <c r="AZ105" s="150"/>
      <c r="BA105" s="150"/>
      <c r="BB105" s="150"/>
      <c r="BC105" s="150"/>
      <c r="BD105" s="150"/>
      <c r="BE105" s="150"/>
      <c r="BF105" s="150"/>
      <c r="BG105" s="150"/>
      <c r="BH105" s="150"/>
      <c r="BI105" s="150"/>
      <c r="BJ105" s="150"/>
      <c r="BK105" s="150"/>
      <c r="BL105" s="151"/>
      <c r="BM105" s="150"/>
      <c r="BN105" s="150"/>
      <c r="BO105" s="150"/>
      <c r="BP105" s="150"/>
      <c r="BQ105" s="150"/>
      <c r="BR105" s="150"/>
      <c r="BS105" s="150"/>
      <c r="BT105" s="150"/>
      <c r="BU105" s="150"/>
      <c r="BV105" s="150"/>
      <c r="BW105" s="150"/>
      <c r="BX105" s="150"/>
      <c r="BY105" s="150"/>
      <c r="BZ105" s="150"/>
      <c r="CA105" s="150"/>
      <c r="CB105" s="150"/>
      <c r="CC105" s="149"/>
      <c r="CD105" s="150"/>
      <c r="CE105" s="150"/>
      <c r="CF105" s="150"/>
      <c r="CG105" s="150"/>
      <c r="CH105" s="150"/>
      <c r="CI105" s="150"/>
      <c r="CJ105" s="150"/>
      <c r="CK105" s="150"/>
      <c r="CL105" s="150"/>
      <c r="CM105" s="150"/>
      <c r="CN105" s="150"/>
      <c r="CO105" s="150"/>
      <c r="CP105" s="150"/>
      <c r="CQ105" s="150"/>
      <c r="CR105" s="151"/>
      <c r="CS105" s="172"/>
      <c r="CT105" s="151"/>
      <c r="CU105" s="150"/>
      <c r="CV105" s="151"/>
      <c r="DW105" s="5"/>
      <c r="EA105" s="12"/>
      <c r="EB105" s="13"/>
      <c r="EW105" s="24"/>
      <c r="EX105" s="12"/>
      <c r="FA105" s="131"/>
      <c r="FH105" s="12"/>
      <c r="FI105" s="13"/>
      <c r="FQ105" s="13"/>
      <c r="FR105" s="12"/>
      <c r="FS105" s="12"/>
      <c r="FW105" s="12"/>
      <c r="GD105" s="13"/>
      <c r="GE105" s="9"/>
      <c r="GF105" s="10"/>
      <c r="GG105" s="10"/>
      <c r="GH105" s="11"/>
      <c r="GI105" s="12"/>
      <c r="GJ105" s="13"/>
      <c r="HA105" s="18"/>
      <c r="HB105" s="13"/>
      <c r="JI105" s="12"/>
      <c r="KB105" s="13"/>
    </row>
    <row r="106" spans="8:288" ht="18" customHeight="1" x14ac:dyDescent="0.2">
      <c r="H106" s="4"/>
      <c r="AS106" s="149"/>
      <c r="AT106" s="150"/>
      <c r="AU106" s="149"/>
      <c r="AV106" s="170"/>
      <c r="AW106" s="149"/>
      <c r="AX106" s="150"/>
      <c r="AY106" s="150"/>
      <c r="AZ106" s="150"/>
      <c r="BA106" s="150"/>
      <c r="BB106" s="150"/>
      <c r="BC106" s="150"/>
      <c r="BD106" s="150"/>
      <c r="BE106" s="150"/>
      <c r="BF106" s="150"/>
      <c r="BG106" s="150"/>
      <c r="BH106" s="150"/>
      <c r="BI106" s="150"/>
      <c r="BJ106" s="150"/>
      <c r="BK106" s="150"/>
      <c r="BL106" s="151"/>
      <c r="BM106" s="150"/>
      <c r="BN106" s="150"/>
      <c r="BO106" s="150"/>
      <c r="BP106" s="150"/>
      <c r="BQ106" s="150"/>
      <c r="BR106" s="150"/>
      <c r="BS106" s="150"/>
      <c r="BT106" s="150"/>
      <c r="BU106" s="150"/>
      <c r="BV106" s="150"/>
      <c r="BW106" s="150"/>
      <c r="BX106" s="150"/>
      <c r="BY106" s="150"/>
      <c r="BZ106" s="150"/>
      <c r="CA106" s="150"/>
      <c r="CB106" s="150"/>
      <c r="CC106" s="149"/>
      <c r="CD106" s="150"/>
      <c r="CE106" s="150"/>
      <c r="CF106" s="150"/>
      <c r="CG106" s="150"/>
      <c r="CH106" s="150"/>
      <c r="CI106" s="150"/>
      <c r="CJ106" s="150"/>
      <c r="CK106" s="150"/>
      <c r="CL106" s="150"/>
      <c r="CM106" s="150"/>
      <c r="CN106" s="150"/>
      <c r="CO106" s="150"/>
      <c r="CP106" s="150"/>
      <c r="CQ106" s="150"/>
      <c r="CR106" s="151"/>
      <c r="CS106" s="172"/>
      <c r="CT106" s="151"/>
      <c r="CU106" s="150"/>
      <c r="CV106" s="151"/>
      <c r="DW106" s="5"/>
      <c r="EA106" s="12"/>
      <c r="EB106" s="13"/>
      <c r="EC106" s="9"/>
      <c r="ED106" s="10"/>
      <c r="EE106" s="10"/>
      <c r="EF106" s="10"/>
      <c r="EG106" s="10"/>
      <c r="EH106" s="10"/>
      <c r="EI106" s="10"/>
      <c r="EJ106" s="10"/>
      <c r="EK106" s="10"/>
      <c r="EL106" s="10"/>
      <c r="EM106" s="10"/>
      <c r="EN106" s="11"/>
      <c r="EW106" s="24"/>
      <c r="EX106" s="12"/>
      <c r="FH106" s="12"/>
      <c r="FI106" s="13"/>
      <c r="FQ106" s="13"/>
      <c r="FR106" s="12"/>
      <c r="FS106" s="12"/>
      <c r="FW106" s="12"/>
      <c r="GD106" s="13"/>
      <c r="GE106" s="14"/>
      <c r="GF106" s="15"/>
      <c r="GG106" s="15"/>
      <c r="GH106" s="16"/>
      <c r="GI106" s="12"/>
      <c r="GJ106" s="13"/>
      <c r="GL106" s="131"/>
      <c r="GW106" s="131"/>
      <c r="HA106" s="18"/>
      <c r="HB106" s="13"/>
      <c r="JI106" s="12"/>
      <c r="KB106" s="13"/>
    </row>
    <row r="107" spans="8:288" ht="18" customHeight="1" x14ac:dyDescent="0.2">
      <c r="H107" s="4"/>
      <c r="AS107" s="149"/>
      <c r="AT107" s="150"/>
      <c r="AU107" s="149"/>
      <c r="AV107" s="170"/>
      <c r="AW107" s="149"/>
      <c r="AX107" s="150"/>
      <c r="AY107" s="150"/>
      <c r="AZ107" s="150"/>
      <c r="BA107" s="150"/>
      <c r="BB107" s="150"/>
      <c r="BC107" s="150"/>
      <c r="BD107" s="150"/>
      <c r="BE107" s="150"/>
      <c r="BF107" s="150"/>
      <c r="BG107" s="150"/>
      <c r="BH107" s="150"/>
      <c r="BI107" s="150"/>
      <c r="BJ107" s="150"/>
      <c r="BK107" s="150"/>
      <c r="BL107" s="151"/>
      <c r="BM107" s="150"/>
      <c r="BN107" s="150"/>
      <c r="BO107" s="150"/>
      <c r="BP107" s="150"/>
      <c r="BQ107" s="150"/>
      <c r="BR107" s="150"/>
      <c r="BS107" s="150"/>
      <c r="BT107" s="150"/>
      <c r="BU107" s="150"/>
      <c r="BV107" s="150"/>
      <c r="BW107" s="150"/>
      <c r="BX107" s="150"/>
      <c r="BY107" s="150"/>
      <c r="BZ107" s="150"/>
      <c r="CA107" s="150"/>
      <c r="CB107" s="150"/>
      <c r="CC107" s="149"/>
      <c r="CD107" s="150"/>
      <c r="CE107" s="150"/>
      <c r="CF107" s="150"/>
      <c r="CG107" s="150"/>
      <c r="CH107" s="150"/>
      <c r="CI107" s="150"/>
      <c r="CJ107" s="150"/>
      <c r="CK107" s="150"/>
      <c r="CL107" s="150"/>
      <c r="CM107" s="150"/>
      <c r="CN107" s="150"/>
      <c r="CO107" s="150"/>
      <c r="CP107" s="150"/>
      <c r="CQ107" s="150"/>
      <c r="CR107" s="151"/>
      <c r="CS107" s="172"/>
      <c r="CT107" s="151"/>
      <c r="CU107" s="150"/>
      <c r="CV107" s="151"/>
      <c r="DW107" s="5"/>
      <c r="EA107" s="12"/>
      <c r="EC107" s="9"/>
      <c r="ED107" s="10"/>
      <c r="EE107" s="10"/>
      <c r="EF107" s="10"/>
      <c r="EG107" s="10"/>
      <c r="EH107" s="10"/>
      <c r="EI107" s="10"/>
      <c r="EJ107" s="10"/>
      <c r="EK107" s="10"/>
      <c r="EL107" s="10"/>
      <c r="EM107" s="10"/>
      <c r="EN107" s="11"/>
      <c r="EW107" s="24"/>
      <c r="EX107" s="12"/>
      <c r="FD107" s="9"/>
      <c r="FE107" s="11"/>
      <c r="FH107" s="12"/>
      <c r="FI107" s="13"/>
      <c r="FQ107" s="13"/>
      <c r="FR107" s="12"/>
      <c r="FS107" s="12"/>
      <c r="FW107" s="12"/>
      <c r="GD107" s="13"/>
      <c r="GE107" s="9"/>
      <c r="GF107" s="10"/>
      <c r="GG107" s="10"/>
      <c r="GH107" s="11"/>
      <c r="GI107" s="12"/>
      <c r="GJ107" s="13"/>
      <c r="GL107" s="9"/>
      <c r="GM107" s="10"/>
      <c r="GN107" s="10"/>
      <c r="GO107" s="10"/>
      <c r="GP107" s="10"/>
      <c r="GQ107" s="10"/>
      <c r="GR107" s="10"/>
      <c r="GS107" s="10"/>
      <c r="GT107" s="10"/>
      <c r="GU107" s="10"/>
      <c r="GV107" s="10"/>
      <c r="GW107" s="11"/>
      <c r="HA107" s="18"/>
      <c r="HB107" s="13"/>
      <c r="JI107" s="12"/>
      <c r="KB107" s="13"/>
    </row>
    <row r="108" spans="8:288" ht="18" customHeight="1" x14ac:dyDescent="0.2">
      <c r="H108" s="4"/>
      <c r="AS108" s="149"/>
      <c r="AT108" s="150"/>
      <c r="AU108" s="149"/>
      <c r="AV108" s="170"/>
      <c r="AW108" s="149"/>
      <c r="AX108" s="150"/>
      <c r="AY108" s="150"/>
      <c r="AZ108" s="150"/>
      <c r="BA108" s="150"/>
      <c r="BB108" s="150"/>
      <c r="BC108" s="150"/>
      <c r="BD108" s="150"/>
      <c r="BE108" s="150"/>
      <c r="BF108" s="150"/>
      <c r="BG108" s="150"/>
      <c r="BH108" s="150"/>
      <c r="BI108" s="150"/>
      <c r="BJ108" s="150"/>
      <c r="BK108" s="150"/>
      <c r="BL108" s="151"/>
      <c r="BM108" s="150"/>
      <c r="BN108" s="150"/>
      <c r="BO108" s="150"/>
      <c r="BP108" s="150"/>
      <c r="BQ108" s="150"/>
      <c r="BR108" s="150"/>
      <c r="BS108" s="150"/>
      <c r="BT108" s="150"/>
      <c r="BU108" s="150"/>
      <c r="BV108" s="150"/>
      <c r="BW108" s="150"/>
      <c r="BX108" s="150"/>
      <c r="BY108" s="150"/>
      <c r="BZ108" s="150"/>
      <c r="CA108" s="150"/>
      <c r="CB108" s="150"/>
      <c r="CC108" s="149"/>
      <c r="CD108" s="150"/>
      <c r="CE108" s="150"/>
      <c r="CF108" s="150"/>
      <c r="CG108" s="150"/>
      <c r="CH108" s="150"/>
      <c r="CI108" s="150"/>
      <c r="CJ108" s="150"/>
      <c r="CK108" s="150"/>
      <c r="CL108" s="150"/>
      <c r="CM108" s="150"/>
      <c r="CN108" s="150"/>
      <c r="CO108" s="150"/>
      <c r="CP108" s="150"/>
      <c r="CQ108" s="150"/>
      <c r="CR108" s="151"/>
      <c r="CS108" s="172"/>
      <c r="CT108" s="151"/>
      <c r="CU108" s="150"/>
      <c r="CV108" s="151"/>
      <c r="DW108" s="5"/>
      <c r="EA108" s="12"/>
      <c r="EC108" s="12"/>
      <c r="EN108" s="13"/>
      <c r="EW108" s="24"/>
      <c r="EX108" s="12"/>
      <c r="FD108" s="12"/>
      <c r="FE108" s="13"/>
      <c r="FH108" s="12"/>
      <c r="FI108" s="13"/>
      <c r="FQ108" s="13"/>
      <c r="FR108" s="12"/>
      <c r="FS108" s="12"/>
      <c r="FW108" s="12"/>
      <c r="GD108" s="13"/>
      <c r="GE108" s="14"/>
      <c r="GF108" s="15"/>
      <c r="GG108" s="15"/>
      <c r="GH108" s="16"/>
      <c r="GI108" s="12"/>
      <c r="GJ108" s="13"/>
      <c r="GL108" s="12"/>
      <c r="GM108" s="9"/>
      <c r="GN108" s="10"/>
      <c r="GO108" s="10"/>
      <c r="GP108" s="10"/>
      <c r="GQ108" s="10"/>
      <c r="GR108" s="10"/>
      <c r="GS108" s="10"/>
      <c r="GT108" s="10"/>
      <c r="GU108" s="10"/>
      <c r="GV108" s="11"/>
      <c r="GW108" s="13"/>
      <c r="HA108" s="18"/>
      <c r="HB108" s="13"/>
      <c r="JI108" s="12"/>
      <c r="KB108" s="13"/>
    </row>
    <row r="109" spans="8:288" ht="18" customHeight="1" x14ac:dyDescent="0.2">
      <c r="H109" s="4"/>
      <c r="AS109" s="149"/>
      <c r="AT109" s="150"/>
      <c r="AU109" s="149"/>
      <c r="AV109" s="170"/>
      <c r="AW109" s="149"/>
      <c r="AX109" s="150"/>
      <c r="AY109" s="150"/>
      <c r="AZ109" s="150"/>
      <c r="BA109" s="150"/>
      <c r="BB109" s="150"/>
      <c r="BC109" s="150"/>
      <c r="BD109" s="150"/>
      <c r="BE109" s="150"/>
      <c r="BF109" s="150"/>
      <c r="BG109" s="150"/>
      <c r="BH109" s="150"/>
      <c r="BI109" s="150"/>
      <c r="BJ109" s="150"/>
      <c r="BK109" s="150"/>
      <c r="BL109" s="151"/>
      <c r="BM109" s="150"/>
      <c r="BN109" s="150"/>
      <c r="BO109" s="150"/>
      <c r="BP109" s="150"/>
      <c r="BQ109" s="150"/>
      <c r="BR109" s="150"/>
      <c r="BS109" s="150"/>
      <c r="BT109" s="150"/>
      <c r="BU109" s="150"/>
      <c r="BV109" s="150"/>
      <c r="BW109" s="150"/>
      <c r="BX109" s="150"/>
      <c r="BY109" s="150"/>
      <c r="BZ109" s="150"/>
      <c r="CA109" s="150"/>
      <c r="CB109" s="150"/>
      <c r="CC109" s="149"/>
      <c r="CD109" s="150"/>
      <c r="CE109" s="150"/>
      <c r="CF109" s="150"/>
      <c r="CG109" s="150"/>
      <c r="CH109" s="150"/>
      <c r="CI109" s="150"/>
      <c r="CJ109" s="150"/>
      <c r="CK109" s="150"/>
      <c r="CL109" s="150"/>
      <c r="CM109" s="150"/>
      <c r="CN109" s="150"/>
      <c r="CO109" s="150"/>
      <c r="CP109" s="150"/>
      <c r="CQ109" s="150"/>
      <c r="CR109" s="151"/>
      <c r="CS109" s="172"/>
      <c r="CT109" s="151"/>
      <c r="CU109" s="150"/>
      <c r="CV109" s="151"/>
      <c r="DW109" s="5"/>
      <c r="EA109" s="12"/>
      <c r="EC109" s="14"/>
      <c r="ED109" s="20"/>
      <c r="EE109" s="21"/>
      <c r="EF109" s="21"/>
      <c r="EG109" s="21"/>
      <c r="EH109" s="21"/>
      <c r="EI109" s="21"/>
      <c r="EJ109" s="21"/>
      <c r="EK109" s="21"/>
      <c r="EL109" s="21"/>
      <c r="EM109" s="22"/>
      <c r="EN109" s="16"/>
      <c r="EO109" s="15"/>
      <c r="EP109" s="15"/>
      <c r="EQ109" s="15"/>
      <c r="ER109" s="15"/>
      <c r="ES109" s="15"/>
      <c r="ET109" s="15"/>
      <c r="EU109" s="15"/>
      <c r="EV109" s="15"/>
      <c r="EW109" s="25"/>
      <c r="EX109" s="14"/>
      <c r="EY109" s="15"/>
      <c r="EZ109" s="15"/>
      <c r="FA109" s="15"/>
      <c r="FB109" s="15"/>
      <c r="FC109" s="15"/>
      <c r="FD109" s="14"/>
      <c r="FE109" s="16"/>
      <c r="FF109" s="15"/>
      <c r="FG109" s="15"/>
      <c r="FH109" s="14"/>
      <c r="FI109" s="16"/>
      <c r="FJ109" s="15"/>
      <c r="FK109" s="15"/>
      <c r="FL109" s="15"/>
      <c r="FM109" s="15"/>
      <c r="FN109" s="15"/>
      <c r="FO109" s="15"/>
      <c r="FP109" s="15"/>
      <c r="FQ109" s="16"/>
      <c r="FR109" s="14"/>
      <c r="FS109" s="20"/>
      <c r="FT109" s="21"/>
      <c r="FU109" s="21"/>
      <c r="FV109" s="22"/>
      <c r="FW109" s="14"/>
      <c r="FX109" s="15"/>
      <c r="FY109" s="15"/>
      <c r="FZ109" s="15"/>
      <c r="GA109" s="15"/>
      <c r="GB109" s="15"/>
      <c r="GC109" s="15"/>
      <c r="GD109" s="16"/>
      <c r="GE109" s="15"/>
      <c r="GF109" s="15"/>
      <c r="GG109" s="15"/>
      <c r="GH109" s="16"/>
      <c r="GI109" s="12"/>
      <c r="GJ109" s="13"/>
      <c r="GL109" s="14"/>
      <c r="GM109" s="14"/>
      <c r="GN109" s="15"/>
      <c r="GO109" s="15"/>
      <c r="GP109" s="15"/>
      <c r="GQ109" s="15"/>
      <c r="GR109" s="15"/>
      <c r="GS109" s="15"/>
      <c r="GT109" s="15"/>
      <c r="GU109" s="15"/>
      <c r="GV109" s="16"/>
      <c r="GW109" s="16"/>
      <c r="HA109" s="19"/>
      <c r="HB109" s="13"/>
      <c r="JI109" s="12"/>
      <c r="KB109" s="13"/>
    </row>
    <row r="110" spans="8:288" ht="18" customHeight="1" x14ac:dyDescent="0.2">
      <c r="H110" s="4"/>
      <c r="AS110" s="149"/>
      <c r="AT110" s="150"/>
      <c r="AU110" s="149"/>
      <c r="AV110" s="170"/>
      <c r="AW110" s="149"/>
      <c r="AX110" s="150"/>
      <c r="AY110" s="150"/>
      <c r="AZ110" s="150"/>
      <c r="BA110" s="150"/>
      <c r="BB110" s="150"/>
      <c r="BC110" s="150"/>
      <c r="BD110" s="150"/>
      <c r="BE110" s="150"/>
      <c r="BF110" s="150"/>
      <c r="BG110" s="150"/>
      <c r="BH110" s="150"/>
      <c r="BI110" s="150"/>
      <c r="BJ110" s="150"/>
      <c r="BK110" s="150"/>
      <c r="BL110" s="151"/>
      <c r="BM110" s="150"/>
      <c r="BN110" s="150"/>
      <c r="BO110" s="150"/>
      <c r="BP110" s="150"/>
      <c r="BQ110" s="150"/>
      <c r="BR110" s="150"/>
      <c r="BS110" s="150"/>
      <c r="BT110" s="150"/>
      <c r="BU110" s="150"/>
      <c r="BV110" s="150"/>
      <c r="BW110" s="150"/>
      <c r="BX110" s="150"/>
      <c r="BY110" s="150"/>
      <c r="BZ110" s="150"/>
      <c r="CA110" s="150"/>
      <c r="CB110" s="150"/>
      <c r="CC110" s="149"/>
      <c r="CD110" s="150"/>
      <c r="CE110" s="150"/>
      <c r="CF110" s="150"/>
      <c r="CG110" s="150"/>
      <c r="CH110" s="150"/>
      <c r="CI110" s="150"/>
      <c r="CJ110" s="150"/>
      <c r="CK110" s="150"/>
      <c r="CL110" s="150"/>
      <c r="CM110" s="150"/>
      <c r="CN110" s="150"/>
      <c r="CO110" s="150"/>
      <c r="CP110" s="150"/>
      <c r="CQ110" s="150"/>
      <c r="CR110" s="151"/>
      <c r="CS110" s="172"/>
      <c r="CT110" s="151"/>
      <c r="CU110" s="150"/>
      <c r="CV110" s="151"/>
      <c r="DW110" s="5"/>
      <c r="EA110" s="12"/>
      <c r="EB110" s="13"/>
      <c r="EO110" s="10"/>
      <c r="EP110" s="10"/>
      <c r="EQ110" s="10"/>
      <c r="ER110" s="10"/>
      <c r="ES110" s="10"/>
      <c r="ET110" s="10"/>
      <c r="EU110" s="10"/>
      <c r="EV110" s="10"/>
      <c r="EW110" s="10"/>
      <c r="EX110" s="10"/>
      <c r="EY110" s="10"/>
      <c r="EZ110" s="10"/>
      <c r="FA110" s="10"/>
      <c r="FB110" s="10"/>
      <c r="FC110" s="10"/>
      <c r="FD110" s="10"/>
      <c r="FE110" s="10"/>
      <c r="FF110" s="10"/>
      <c r="FG110" s="10"/>
      <c r="FH110" s="10"/>
      <c r="FI110" s="10"/>
      <c r="FJ110" s="10"/>
      <c r="FK110" s="10"/>
      <c r="FL110" s="10"/>
      <c r="FM110" s="10"/>
      <c r="FN110" s="10"/>
      <c r="FO110" s="10"/>
      <c r="FP110" s="10"/>
      <c r="FQ110" s="10"/>
      <c r="FR110" s="10"/>
      <c r="GI110" s="12"/>
      <c r="GJ110" s="13"/>
      <c r="GK110" s="9"/>
      <c r="GL110" s="10"/>
      <c r="GM110" s="10"/>
      <c r="GN110" s="10"/>
      <c r="GO110" s="10"/>
      <c r="GP110" s="10"/>
      <c r="GQ110" s="10"/>
      <c r="GR110" s="10"/>
      <c r="GS110" s="10"/>
      <c r="GT110" s="10"/>
      <c r="GU110" s="10"/>
      <c r="GV110" s="10"/>
      <c r="GW110" s="10"/>
      <c r="GX110" s="10"/>
      <c r="GY110" s="10"/>
      <c r="GZ110" s="10"/>
      <c r="HA110" s="11"/>
      <c r="HB110" s="13"/>
      <c r="JI110" s="12"/>
      <c r="KB110" s="13"/>
    </row>
    <row r="111" spans="8:288" ht="18" customHeight="1" x14ac:dyDescent="0.2">
      <c r="H111" s="4"/>
      <c r="AS111" s="149"/>
      <c r="AT111" s="150"/>
      <c r="AU111" s="149"/>
      <c r="AV111" s="170"/>
      <c r="AW111" s="152"/>
      <c r="AX111" s="153"/>
      <c r="AY111" s="153"/>
      <c r="AZ111" s="153"/>
      <c r="BA111" s="153"/>
      <c r="BB111" s="153"/>
      <c r="BC111" s="153"/>
      <c r="BD111" s="153"/>
      <c r="BE111" s="153"/>
      <c r="BF111" s="153"/>
      <c r="BG111" s="153"/>
      <c r="BH111" s="153"/>
      <c r="BI111" s="153"/>
      <c r="BJ111" s="153"/>
      <c r="BK111" s="153"/>
      <c r="BL111" s="154"/>
      <c r="BM111" s="153"/>
      <c r="BN111" s="153"/>
      <c r="BO111" s="153"/>
      <c r="BP111" s="153"/>
      <c r="BQ111" s="153"/>
      <c r="BR111" s="153"/>
      <c r="BS111" s="153"/>
      <c r="BT111" s="150"/>
      <c r="BU111" s="150"/>
      <c r="BV111" s="153"/>
      <c r="BW111" s="153"/>
      <c r="BX111" s="153"/>
      <c r="BY111" s="153"/>
      <c r="BZ111" s="153"/>
      <c r="CA111" s="153"/>
      <c r="CB111" s="153"/>
      <c r="CC111" s="152"/>
      <c r="CD111" s="153"/>
      <c r="CE111" s="153"/>
      <c r="CF111" s="153"/>
      <c r="CG111" s="153"/>
      <c r="CH111" s="153"/>
      <c r="CI111" s="153"/>
      <c r="CJ111" s="153"/>
      <c r="CK111" s="153"/>
      <c r="CL111" s="153"/>
      <c r="CM111" s="153"/>
      <c r="CN111" s="153"/>
      <c r="CO111" s="153"/>
      <c r="CP111" s="153"/>
      <c r="CQ111" s="153"/>
      <c r="CR111" s="154"/>
      <c r="CS111" s="172"/>
      <c r="CT111" s="151"/>
      <c r="CU111" s="150"/>
      <c r="CV111" s="151"/>
      <c r="DW111" s="5"/>
      <c r="EA111" s="12"/>
      <c r="EB111" s="13"/>
      <c r="GI111" s="12"/>
      <c r="GK111" s="12"/>
      <c r="HA111" s="13"/>
      <c r="HB111" s="13"/>
      <c r="JI111" s="14"/>
      <c r="JJ111" s="15"/>
      <c r="JK111" s="15"/>
      <c r="JL111" s="15"/>
      <c r="JM111" s="15"/>
      <c r="JN111" s="15"/>
      <c r="JO111" s="15"/>
      <c r="JP111" s="15"/>
      <c r="JQ111" s="15"/>
      <c r="JR111" s="15"/>
      <c r="JS111" s="15"/>
      <c r="JT111" s="15"/>
      <c r="JU111" s="15"/>
      <c r="JV111" s="15"/>
      <c r="JW111" s="15"/>
      <c r="JX111" s="15"/>
      <c r="JY111" s="15"/>
      <c r="JZ111" s="15"/>
      <c r="KA111" s="15"/>
      <c r="KB111" s="16"/>
    </row>
    <row r="112" spans="8:288" ht="18" customHeight="1" x14ac:dyDescent="0.2">
      <c r="H112" s="4"/>
      <c r="AS112" s="149"/>
      <c r="AT112" s="150"/>
      <c r="AU112" s="146"/>
      <c r="AV112" s="148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75"/>
      <c r="BI112" s="175"/>
      <c r="BJ112" s="175"/>
      <c r="BK112" s="175"/>
      <c r="BL112" s="175"/>
      <c r="BM112" s="175"/>
      <c r="BN112" s="175"/>
      <c r="BO112" s="175"/>
      <c r="BP112" s="175"/>
      <c r="BQ112" s="175"/>
      <c r="BR112" s="175"/>
      <c r="BS112" s="175"/>
      <c r="BT112" s="146"/>
      <c r="BU112" s="148"/>
      <c r="BV112" s="175"/>
      <c r="BW112" s="175"/>
      <c r="BX112" s="175"/>
      <c r="BY112" s="175"/>
      <c r="BZ112" s="175"/>
      <c r="CA112" s="175"/>
      <c r="CB112" s="175"/>
      <c r="CC112" s="175"/>
      <c r="CD112" s="175"/>
      <c r="CE112" s="175"/>
      <c r="CF112" s="175"/>
      <c r="CG112" s="175"/>
      <c r="CH112" s="175"/>
      <c r="CI112" s="175"/>
      <c r="CJ112" s="175"/>
      <c r="CK112" s="175"/>
      <c r="CL112" s="175"/>
      <c r="CM112" s="175"/>
      <c r="CN112" s="175"/>
      <c r="CO112" s="175"/>
      <c r="CP112" s="175"/>
      <c r="CQ112" s="175"/>
      <c r="CR112" s="175"/>
      <c r="CS112" s="146"/>
      <c r="CT112" s="148"/>
      <c r="CU112" s="150"/>
      <c r="CV112" s="151"/>
      <c r="DW112" s="5"/>
      <c r="EA112" s="12"/>
      <c r="EB112" s="13"/>
      <c r="GI112" s="12"/>
      <c r="GK112" s="12"/>
      <c r="HA112" s="13"/>
      <c r="HB112" s="13"/>
    </row>
    <row r="113" spans="8:217" ht="18" customHeight="1" thickBot="1" x14ac:dyDescent="0.25">
      <c r="H113" s="4"/>
      <c r="AS113" s="149"/>
      <c r="AT113" s="150"/>
      <c r="AU113" s="152"/>
      <c r="AV113" s="154"/>
      <c r="AW113" s="153"/>
      <c r="AX113" s="153"/>
      <c r="AY113" s="153"/>
      <c r="AZ113" s="153"/>
      <c r="BA113" s="153"/>
      <c r="BB113" s="153"/>
      <c r="BC113" s="153"/>
      <c r="BD113" s="153"/>
      <c r="BE113" s="153"/>
      <c r="BF113" s="153"/>
      <c r="BG113" s="153"/>
      <c r="BH113" s="153"/>
      <c r="BI113" s="153"/>
      <c r="BJ113" s="153"/>
      <c r="BK113" s="153"/>
      <c r="BL113" s="153"/>
      <c r="BM113" s="153"/>
      <c r="BN113" s="153"/>
      <c r="BO113" s="153"/>
      <c r="BP113" s="153"/>
      <c r="BQ113" s="153"/>
      <c r="BR113" s="153"/>
      <c r="BS113" s="153"/>
      <c r="BT113" s="152"/>
      <c r="BU113" s="154"/>
      <c r="BV113" s="153"/>
      <c r="BW113" s="153"/>
      <c r="BX113" s="153"/>
      <c r="BY113" s="153"/>
      <c r="BZ113" s="153"/>
      <c r="CA113" s="153"/>
      <c r="CB113" s="153"/>
      <c r="CC113" s="153"/>
      <c r="CD113" s="153"/>
      <c r="CE113" s="153"/>
      <c r="CF113" s="153"/>
      <c r="CG113" s="153"/>
      <c r="CH113" s="153"/>
      <c r="CI113" s="153"/>
      <c r="CJ113" s="153"/>
      <c r="CK113" s="153"/>
      <c r="CL113" s="153"/>
      <c r="CM113" s="153"/>
      <c r="CN113" s="153"/>
      <c r="CO113" s="153"/>
      <c r="CP113" s="153"/>
      <c r="CQ113" s="153"/>
      <c r="CR113" s="153"/>
      <c r="CS113" s="152"/>
      <c r="CT113" s="154"/>
      <c r="CU113" s="150"/>
      <c r="CV113" s="151"/>
      <c r="DW113" s="5"/>
      <c r="DY113" s="7"/>
      <c r="DZ113" s="7"/>
      <c r="EA113" s="12"/>
      <c r="EB113" s="13"/>
      <c r="EC113" s="7"/>
      <c r="ED113" s="7"/>
      <c r="EE113" s="7"/>
      <c r="EF113" s="7"/>
      <c r="EG113" s="7"/>
      <c r="EH113" s="7"/>
      <c r="EI113" s="7"/>
      <c r="EJ113" s="7"/>
      <c r="EK113" s="7"/>
      <c r="EL113" s="7"/>
      <c r="EM113" s="7"/>
      <c r="EN113" s="7"/>
      <c r="EO113" s="7"/>
      <c r="EP113" s="7"/>
      <c r="EQ113" s="7"/>
      <c r="ER113" s="7"/>
      <c r="ES113" s="7"/>
      <c r="ET113" s="7"/>
      <c r="EU113" s="7"/>
      <c r="EV113" s="7"/>
      <c r="EW113" s="7"/>
      <c r="EX113" s="7"/>
      <c r="EY113" s="7"/>
      <c r="EZ113" s="7"/>
      <c r="FA113" s="7"/>
      <c r="FB113" s="7"/>
      <c r="FC113" s="7"/>
      <c r="FD113" s="7"/>
      <c r="FE113" s="7"/>
      <c r="FF113" s="7"/>
      <c r="FG113" s="7"/>
      <c r="FH113" s="7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12"/>
      <c r="GK113" s="179"/>
      <c r="GL113" s="7"/>
      <c r="GM113" s="7"/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7"/>
      <c r="HA113" s="180"/>
      <c r="HB113" s="180"/>
      <c r="HC113" s="7"/>
      <c r="HD113" s="7"/>
      <c r="HE113" s="7"/>
      <c r="HF113" s="7"/>
      <c r="HG113" s="7"/>
      <c r="HH113" s="7"/>
      <c r="HI113" s="7"/>
    </row>
    <row r="114" spans="8:217" ht="18" customHeight="1" x14ac:dyDescent="0.2">
      <c r="H114" s="4"/>
      <c r="AS114" s="149"/>
      <c r="AT114" s="150"/>
      <c r="AU114" s="150"/>
      <c r="AV114" s="150"/>
      <c r="AW114" s="150"/>
      <c r="AX114" s="150"/>
      <c r="AY114" s="150"/>
      <c r="AZ114" s="150"/>
      <c r="BA114" s="150"/>
      <c r="BB114" s="150"/>
      <c r="BC114" s="150"/>
      <c r="BD114" s="150"/>
      <c r="BE114" s="150"/>
      <c r="BF114" s="150"/>
      <c r="BG114" s="150"/>
      <c r="BH114" s="150"/>
      <c r="BI114" s="150"/>
      <c r="BJ114" s="150"/>
      <c r="BK114" s="150"/>
      <c r="BL114" s="150"/>
      <c r="BM114" s="150"/>
      <c r="BN114" s="150"/>
      <c r="BO114" s="150"/>
      <c r="BP114" s="150"/>
      <c r="BQ114" s="150"/>
      <c r="BR114" s="150"/>
      <c r="BS114" s="150"/>
      <c r="BT114" s="150"/>
      <c r="BU114" s="150"/>
      <c r="BV114" s="150"/>
      <c r="BW114" s="150"/>
      <c r="BX114" s="150"/>
      <c r="BY114" s="150"/>
      <c r="BZ114" s="150"/>
      <c r="CA114" s="150"/>
      <c r="CB114" s="150"/>
      <c r="CC114" s="150"/>
      <c r="CD114" s="150"/>
      <c r="CE114" s="150"/>
      <c r="CF114" s="150"/>
      <c r="CG114" s="150"/>
      <c r="CH114" s="150"/>
      <c r="CI114" s="150"/>
      <c r="CJ114" s="150"/>
      <c r="CK114" s="150"/>
      <c r="CL114" s="150"/>
      <c r="CM114" s="150"/>
      <c r="CN114" s="150"/>
      <c r="CO114" s="150"/>
      <c r="CP114" s="150"/>
      <c r="CQ114" s="150"/>
      <c r="CR114" s="150"/>
      <c r="CS114" s="150"/>
      <c r="CT114" s="150"/>
      <c r="CU114" s="150"/>
      <c r="CV114" s="151"/>
      <c r="DW114" s="5"/>
      <c r="EA114" s="12"/>
      <c r="EB114" s="13"/>
      <c r="GI114" s="12"/>
      <c r="GJ114" s="13"/>
    </row>
    <row r="115" spans="8:217" ht="18" customHeight="1" x14ac:dyDescent="0.2">
      <c r="H115" s="4"/>
      <c r="AS115" s="152"/>
      <c r="AT115" s="153"/>
      <c r="AU115" s="153"/>
      <c r="AV115" s="153"/>
      <c r="AW115" s="153"/>
      <c r="AX115" s="153"/>
      <c r="AY115" s="153"/>
      <c r="AZ115" s="153"/>
      <c r="BA115" s="153"/>
      <c r="BB115" s="153"/>
      <c r="BC115" s="153"/>
      <c r="BD115" s="153"/>
      <c r="BE115" s="153"/>
      <c r="BF115" s="153"/>
      <c r="BG115" s="153"/>
      <c r="BH115" s="153"/>
      <c r="BI115" s="153"/>
      <c r="BJ115" s="153"/>
      <c r="BK115" s="153"/>
      <c r="BL115" s="153"/>
      <c r="BM115" s="153"/>
      <c r="BN115" s="153"/>
      <c r="BO115" s="153"/>
      <c r="BP115" s="153"/>
      <c r="BQ115" s="153"/>
      <c r="BR115" s="153"/>
      <c r="BS115" s="153"/>
      <c r="BT115" s="153"/>
      <c r="BU115" s="153"/>
      <c r="BV115" s="153"/>
      <c r="BW115" s="153"/>
      <c r="BX115" s="153"/>
      <c r="BY115" s="153"/>
      <c r="BZ115" s="153"/>
      <c r="CA115" s="153"/>
      <c r="CB115" s="153"/>
      <c r="CC115" s="153"/>
      <c r="CD115" s="153"/>
      <c r="CE115" s="153"/>
      <c r="CF115" s="153"/>
      <c r="CG115" s="153"/>
      <c r="CH115" s="153"/>
      <c r="CI115" s="153"/>
      <c r="CJ115" s="153"/>
      <c r="CK115" s="153"/>
      <c r="CL115" s="153"/>
      <c r="CM115" s="153"/>
      <c r="CN115" s="153"/>
      <c r="CO115" s="153"/>
      <c r="CP115" s="153"/>
      <c r="CQ115" s="153"/>
      <c r="CR115" s="153"/>
      <c r="CS115" s="153"/>
      <c r="CT115" s="153"/>
      <c r="CU115" s="153"/>
      <c r="CV115" s="154"/>
      <c r="DW115" s="5"/>
      <c r="EA115" s="12"/>
      <c r="EB115" s="13"/>
      <c r="GI115" s="12"/>
      <c r="GJ115" s="13"/>
    </row>
    <row r="116" spans="8:217" ht="18" customHeight="1" x14ac:dyDescent="0.2">
      <c r="H116" s="4"/>
      <c r="DW116" s="5"/>
      <c r="EA116" s="12"/>
      <c r="EB116" s="13"/>
      <c r="GI116" s="12"/>
      <c r="GJ116" s="13"/>
    </row>
    <row r="117" spans="8:217" ht="18" customHeight="1" x14ac:dyDescent="0.2">
      <c r="H117" s="4"/>
      <c r="DW117" s="5"/>
      <c r="EA117" s="14"/>
      <c r="EB117" s="16"/>
      <c r="GI117" s="14"/>
      <c r="GJ117" s="16"/>
    </row>
    <row r="118" spans="8:217" ht="18" customHeight="1" x14ac:dyDescent="0.2">
      <c r="H118" s="4"/>
      <c r="DW118" s="5"/>
    </row>
    <row r="119" spans="8:217" ht="18" customHeight="1" x14ac:dyDescent="0.2">
      <c r="H119" s="4"/>
      <c r="DW119" s="5"/>
    </row>
    <row r="120" spans="8:217" ht="18" customHeight="1" x14ac:dyDescent="0.2">
      <c r="H120" s="4"/>
      <c r="DW120" s="5"/>
    </row>
    <row r="121" spans="8:217" ht="18" customHeight="1" x14ac:dyDescent="0.2">
      <c r="H121" s="4"/>
      <c r="DW121" s="5"/>
    </row>
    <row r="122" spans="8:217" ht="18" customHeight="1" x14ac:dyDescent="0.2">
      <c r="H122" s="4"/>
      <c r="DW122" s="5"/>
    </row>
    <row r="123" spans="8:217" ht="18" customHeight="1" x14ac:dyDescent="0.2">
      <c r="H123" s="4"/>
      <c r="DW123" s="5"/>
    </row>
    <row r="124" spans="8:217" ht="18" customHeight="1" x14ac:dyDescent="0.2">
      <c r="H124" s="4"/>
      <c r="DW124" s="5"/>
    </row>
    <row r="125" spans="8:217" ht="18" customHeight="1" thickBot="1" x14ac:dyDescent="0.25">
      <c r="H125" s="6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8"/>
    </row>
    <row r="142" spans="158:434" ht="18" customHeight="1" x14ac:dyDescent="0.2">
      <c r="LH142" s="15"/>
      <c r="LI142" s="15"/>
      <c r="LJ142" s="15"/>
      <c r="LK142" s="15"/>
      <c r="LL142" s="15"/>
      <c r="LM142" s="15"/>
    </row>
    <row r="143" spans="158:434" ht="18" customHeight="1" x14ac:dyDescent="0.2">
      <c r="IB143" s="9"/>
      <c r="IC143" s="10"/>
      <c r="ID143" s="10"/>
      <c r="IE143" s="10"/>
      <c r="IF143" s="10"/>
      <c r="IG143" s="10"/>
      <c r="IH143" s="10"/>
      <c r="II143" s="10"/>
      <c r="IJ143" s="10"/>
      <c r="IK143" s="10"/>
      <c r="IL143" s="10"/>
      <c r="IM143" s="10"/>
      <c r="IN143" s="10"/>
      <c r="IO143" s="10"/>
      <c r="IP143" s="10"/>
      <c r="IQ143" s="10"/>
      <c r="IR143" s="10"/>
      <c r="IS143" s="10"/>
      <c r="IT143" s="10"/>
      <c r="IU143" s="10"/>
      <c r="IV143" s="10"/>
      <c r="IW143" s="10"/>
      <c r="IX143" s="10"/>
      <c r="IY143" s="10"/>
      <c r="IZ143" s="10"/>
      <c r="JA143" s="10"/>
      <c r="JB143" s="10"/>
      <c r="JC143" s="10"/>
      <c r="JD143" s="10"/>
      <c r="JE143" s="10"/>
      <c r="JF143" s="10"/>
      <c r="JG143" s="10"/>
      <c r="JH143" s="10"/>
      <c r="JI143" s="10"/>
      <c r="JJ143" s="10"/>
      <c r="JK143" s="10"/>
      <c r="JL143" s="10"/>
      <c r="JM143" s="10"/>
      <c r="JN143" s="10"/>
      <c r="JO143" s="10"/>
      <c r="JP143" s="10"/>
      <c r="JQ143" s="10"/>
      <c r="JR143" s="10"/>
      <c r="JS143" s="10"/>
      <c r="JT143" s="10"/>
      <c r="JU143" s="10"/>
      <c r="JV143" s="10"/>
      <c r="JW143" s="10"/>
      <c r="JX143" s="10"/>
      <c r="JY143" s="10"/>
      <c r="JZ143" s="10"/>
      <c r="KA143" s="10"/>
      <c r="KB143" s="10"/>
      <c r="KC143" s="12"/>
      <c r="KM143" s="9"/>
      <c r="KN143" s="10"/>
      <c r="KO143" s="10"/>
      <c r="KP143" s="10"/>
      <c r="KQ143" s="10"/>
      <c r="KR143" s="10"/>
      <c r="KS143" s="10"/>
      <c r="KT143" s="10"/>
      <c r="KU143" s="10"/>
      <c r="KV143" s="10"/>
      <c r="KW143" s="10"/>
      <c r="KX143" s="10"/>
      <c r="KY143" s="10"/>
      <c r="KZ143" s="10"/>
      <c r="LA143" s="10"/>
      <c r="LB143" s="10"/>
      <c r="LC143" s="10"/>
      <c r="LD143" s="10"/>
      <c r="LE143" s="10"/>
      <c r="LF143" s="10"/>
      <c r="LG143" s="10"/>
      <c r="LH143" s="10"/>
      <c r="LI143" s="10"/>
      <c r="LJ143" s="10"/>
      <c r="LK143" s="10"/>
      <c r="LL143" s="10"/>
      <c r="LM143" s="10"/>
      <c r="LN143" s="10"/>
      <c r="LO143" s="10"/>
      <c r="LP143" s="10"/>
      <c r="LQ143" s="10"/>
      <c r="LR143" s="10"/>
      <c r="LS143" s="10"/>
      <c r="LT143" s="10"/>
      <c r="LU143" s="10"/>
      <c r="LV143" s="10"/>
      <c r="LW143" s="10"/>
      <c r="LX143" s="10"/>
      <c r="LY143" s="10"/>
      <c r="LZ143" s="10"/>
      <c r="MA143" s="11"/>
    </row>
    <row r="144" spans="158:434" ht="18" customHeight="1" x14ac:dyDescent="0.2">
      <c r="FB144" s="15"/>
      <c r="FC144" s="15"/>
      <c r="FD144" s="15"/>
      <c r="FE144" s="15"/>
      <c r="FF144" s="15"/>
      <c r="FG144" s="15"/>
      <c r="FH144" s="15"/>
      <c r="FI144" s="15"/>
      <c r="IB144" s="12"/>
      <c r="KC144" s="12"/>
      <c r="KM144" s="12"/>
      <c r="MA144" s="13"/>
      <c r="NV144" s="9"/>
      <c r="NW144" s="10"/>
      <c r="NX144" s="10"/>
      <c r="NY144" s="10"/>
      <c r="NZ144" s="10"/>
      <c r="OA144" s="10"/>
      <c r="OB144" s="10"/>
      <c r="OC144" s="10"/>
      <c r="OD144" s="10"/>
      <c r="OE144" s="10"/>
      <c r="OF144" s="10"/>
      <c r="OG144" s="10"/>
      <c r="OH144" s="10"/>
      <c r="OI144" s="10"/>
      <c r="OJ144" s="10"/>
      <c r="OK144" s="10"/>
      <c r="OL144" s="10"/>
      <c r="OM144" s="10"/>
      <c r="ON144" s="10"/>
      <c r="OO144" s="10"/>
      <c r="OP144" s="10"/>
      <c r="OQ144" s="10"/>
      <c r="OR144" s="10"/>
      <c r="OS144" s="10"/>
      <c r="OT144" s="10"/>
      <c r="OU144" s="10"/>
      <c r="OV144" s="10"/>
      <c r="OW144" s="10"/>
      <c r="OX144" s="10"/>
      <c r="OY144" s="10"/>
      <c r="OZ144" s="10"/>
      <c r="PA144" s="10"/>
      <c r="PB144" s="10"/>
      <c r="PC144" s="10"/>
      <c r="PD144" s="10"/>
      <c r="PE144" s="10"/>
      <c r="PF144" s="10"/>
      <c r="PG144" s="10"/>
      <c r="PH144" s="10"/>
      <c r="PI144" s="10"/>
      <c r="PJ144" s="10"/>
      <c r="PK144" s="10"/>
      <c r="PL144" s="10"/>
      <c r="PM144" s="10"/>
      <c r="PN144" s="10"/>
      <c r="PO144" s="10"/>
      <c r="PP144" s="10"/>
      <c r="PQ144" s="10"/>
      <c r="PR144" s="11"/>
    </row>
    <row r="145" spans="32:434" ht="18" customHeight="1" x14ac:dyDescent="0.2">
      <c r="EH145" s="40"/>
      <c r="EI145" s="41"/>
      <c r="EJ145" s="41"/>
      <c r="EK145" s="41"/>
      <c r="EL145" s="41"/>
      <c r="EM145" s="41"/>
      <c r="EN145" s="41"/>
      <c r="EO145" s="41"/>
      <c r="EP145" s="41"/>
      <c r="EQ145" s="41"/>
      <c r="ER145" s="41"/>
      <c r="ES145" s="41"/>
      <c r="ET145" s="41"/>
      <c r="EU145" s="41"/>
      <c r="EV145" s="41"/>
      <c r="EW145" s="41"/>
      <c r="EX145" s="41"/>
      <c r="EY145" s="41"/>
      <c r="EZ145" s="41"/>
      <c r="FA145" s="41"/>
      <c r="FB145" s="43"/>
      <c r="FC145" s="123"/>
      <c r="FD145" s="109"/>
      <c r="FE145" s="109"/>
      <c r="FF145" s="109"/>
      <c r="FG145" s="109"/>
      <c r="FH145" s="124"/>
      <c r="FI145" s="43"/>
      <c r="FJ145" s="41"/>
      <c r="FK145" s="41"/>
      <c r="FL145" s="41"/>
      <c r="FM145" s="41"/>
      <c r="FN145" s="41"/>
      <c r="FO145" s="41"/>
      <c r="FP145" s="41"/>
      <c r="FQ145" s="41"/>
      <c r="FR145" s="41"/>
      <c r="FS145" s="41"/>
      <c r="FT145" s="41"/>
      <c r="FU145" s="41"/>
      <c r="FV145" s="44"/>
      <c r="IB145" s="12"/>
      <c r="ID145" s="9"/>
      <c r="IE145" s="10"/>
      <c r="IF145" s="10"/>
      <c r="IG145" s="10"/>
      <c r="IH145" s="11"/>
      <c r="II145" s="9"/>
      <c r="IJ145" s="10"/>
      <c r="IK145" s="10"/>
      <c r="IL145" s="10"/>
      <c r="IM145" s="11"/>
      <c r="IN145" s="9"/>
      <c r="IO145" s="10"/>
      <c r="IP145" s="10"/>
      <c r="IQ145" s="10"/>
      <c r="IR145" s="10"/>
      <c r="IS145" s="10"/>
      <c r="IT145" s="10"/>
      <c r="IU145" s="11"/>
      <c r="IV145" s="17"/>
      <c r="IW145" s="9"/>
      <c r="IX145" s="10"/>
      <c r="IY145" s="10"/>
      <c r="IZ145" s="10"/>
      <c r="JA145" s="11"/>
      <c r="JB145" s="10"/>
      <c r="JC145" s="10"/>
      <c r="JD145" s="10"/>
      <c r="JE145" s="10"/>
      <c r="JF145" s="11"/>
      <c r="JG145" s="11"/>
      <c r="JH145" s="10"/>
      <c r="JI145" s="10"/>
      <c r="JJ145" s="10"/>
      <c r="JK145" s="10"/>
      <c r="JL145" s="10"/>
      <c r="JM145" s="10"/>
      <c r="JN145" s="10"/>
      <c r="JO145" s="10"/>
      <c r="JP145" s="10"/>
      <c r="JQ145" s="10"/>
      <c r="JR145" s="10"/>
      <c r="JS145" s="10"/>
      <c r="JT145" s="10"/>
      <c r="JU145" s="10"/>
      <c r="JV145" s="10"/>
      <c r="JW145" s="10"/>
      <c r="JX145" s="10"/>
      <c r="JY145" s="10"/>
      <c r="JZ145" s="11"/>
      <c r="KC145" s="12"/>
      <c r="KM145" s="12"/>
      <c r="KO145" s="9"/>
      <c r="KP145" s="10"/>
      <c r="KQ145" s="10"/>
      <c r="KR145" s="10"/>
      <c r="KS145" s="10"/>
      <c r="KT145" s="10"/>
      <c r="KU145" s="10"/>
      <c r="KV145" s="10"/>
      <c r="KW145" s="10"/>
      <c r="KX145" s="10"/>
      <c r="KY145" s="10"/>
      <c r="KZ145" s="10"/>
      <c r="LA145" s="10"/>
      <c r="LB145" s="10"/>
      <c r="LC145" s="10"/>
      <c r="LD145" s="10"/>
      <c r="LE145" s="10"/>
      <c r="LF145" s="10"/>
      <c r="LG145" s="10"/>
      <c r="LH145" s="10"/>
      <c r="LI145" s="10"/>
      <c r="LJ145" s="10"/>
      <c r="LK145" s="10"/>
      <c r="LL145" s="10"/>
      <c r="LM145" s="10"/>
      <c r="LN145" s="11"/>
      <c r="LO145" s="11"/>
      <c r="LP145" s="10"/>
      <c r="LQ145" s="10"/>
      <c r="LR145" s="10"/>
      <c r="LS145" s="10"/>
      <c r="LT145" s="11"/>
      <c r="LU145" s="10"/>
      <c r="LV145" s="10"/>
      <c r="LW145" s="10"/>
      <c r="LX145" s="10"/>
      <c r="LY145" s="11"/>
      <c r="MA145" s="13"/>
      <c r="NV145" s="12"/>
      <c r="PR145" s="13"/>
    </row>
    <row r="146" spans="32:434" ht="18" customHeight="1" x14ac:dyDescent="0.2">
      <c r="EH146" s="42"/>
      <c r="EI146" s="43"/>
      <c r="EJ146" s="43"/>
      <c r="EK146" s="43"/>
      <c r="EL146" s="43"/>
      <c r="EM146" s="43"/>
      <c r="EN146" s="43"/>
      <c r="EO146" s="43"/>
      <c r="EP146" s="43"/>
      <c r="EQ146" s="43"/>
      <c r="ER146" s="43"/>
      <c r="ES146" s="43"/>
      <c r="ET146" s="43"/>
      <c r="EU146" s="43"/>
      <c r="EV146" s="43"/>
      <c r="EW146" s="43"/>
      <c r="EX146" s="43"/>
      <c r="EY146" s="43"/>
      <c r="EZ146" s="43"/>
      <c r="FA146" s="43"/>
      <c r="FB146" s="43"/>
      <c r="FC146" s="40"/>
      <c r="FD146" s="41"/>
      <c r="FE146" s="41"/>
      <c r="FF146" s="41"/>
      <c r="FG146" s="41"/>
      <c r="FH146" s="44"/>
      <c r="FI146" s="43"/>
      <c r="FJ146" s="43"/>
      <c r="FK146" s="43"/>
      <c r="FL146" s="43"/>
      <c r="FM146" s="43"/>
      <c r="FN146" s="43"/>
      <c r="FO146" s="43"/>
      <c r="FP146" s="43"/>
      <c r="FQ146" s="43"/>
      <c r="FR146" s="43"/>
      <c r="FS146" s="43"/>
      <c r="FT146" s="43"/>
      <c r="FU146" s="43"/>
      <c r="FV146" s="45"/>
      <c r="IB146" s="12"/>
      <c r="ID146" s="12"/>
      <c r="IH146" s="13"/>
      <c r="II146" s="12"/>
      <c r="IM146" s="13"/>
      <c r="IN146" s="12"/>
      <c r="IU146" s="13"/>
      <c r="IV146" s="18"/>
      <c r="IW146" s="12"/>
      <c r="JA146" s="13"/>
      <c r="JF146" s="13"/>
      <c r="JG146" s="13"/>
      <c r="JZ146" s="13"/>
      <c r="KC146" s="12"/>
      <c r="KM146" s="12"/>
      <c r="KO146" s="12"/>
      <c r="LN146" s="13"/>
      <c r="LO146" s="13"/>
      <c r="LT146" s="13"/>
      <c r="LY146" s="13"/>
      <c r="MA146" s="13"/>
      <c r="NV146" s="12"/>
      <c r="NX146" s="9"/>
      <c r="NY146" s="10"/>
      <c r="NZ146" s="10"/>
      <c r="OA146" s="10"/>
      <c r="OB146" s="10"/>
      <c r="OC146" s="10"/>
      <c r="OD146" s="10"/>
      <c r="OE146" s="10"/>
      <c r="OF146" s="10"/>
      <c r="OG146" s="10"/>
      <c r="OH146" s="10"/>
      <c r="OI146" s="10"/>
      <c r="OJ146" s="10"/>
      <c r="OK146" s="10"/>
      <c r="OL146" s="10"/>
      <c r="OM146" s="10"/>
      <c r="ON146" s="10"/>
      <c r="OO146" s="10"/>
      <c r="OP146" s="10"/>
      <c r="OQ146" s="11"/>
      <c r="OR146" s="10"/>
      <c r="OS146" s="9"/>
      <c r="OT146" s="10"/>
      <c r="OU146" s="10"/>
      <c r="OV146" s="10"/>
      <c r="OW146" s="10"/>
      <c r="OX146" s="10"/>
      <c r="OY146" s="10"/>
      <c r="OZ146" s="10"/>
      <c r="PA146" s="10"/>
      <c r="PB146" s="11"/>
      <c r="PC146" s="11"/>
      <c r="PD146" s="10"/>
      <c r="PE146" s="10"/>
      <c r="PF146" s="10"/>
      <c r="PG146" s="10"/>
      <c r="PH146" s="10"/>
      <c r="PI146" s="10"/>
      <c r="PJ146" s="10"/>
      <c r="PK146" s="10"/>
      <c r="PL146" s="10"/>
      <c r="PM146" s="10"/>
      <c r="PN146" s="10"/>
      <c r="PO146" s="10"/>
      <c r="PP146" s="11"/>
      <c r="PR146" s="13"/>
    </row>
    <row r="147" spans="32:434" ht="18" customHeight="1" x14ac:dyDescent="0.2">
      <c r="EH147" s="42"/>
      <c r="EI147" s="43"/>
      <c r="EJ147" s="9"/>
      <c r="EK147" s="10"/>
      <c r="EL147" s="10"/>
      <c r="EM147" s="10"/>
      <c r="EN147" s="10"/>
      <c r="EO147" s="10"/>
      <c r="EP147" s="10"/>
      <c r="EQ147" s="10"/>
      <c r="ER147" s="10"/>
      <c r="ES147" s="10"/>
      <c r="ET147" s="10"/>
      <c r="EU147" s="10"/>
      <c r="EV147" s="10"/>
      <c r="EW147" s="10"/>
      <c r="EX147" s="10"/>
      <c r="EY147" s="10"/>
      <c r="EZ147" s="10"/>
      <c r="FA147" s="10"/>
      <c r="FB147" s="10"/>
      <c r="FC147" s="10"/>
      <c r="FD147" s="10"/>
      <c r="FE147" s="10"/>
      <c r="FF147" s="10"/>
      <c r="FG147" s="10"/>
      <c r="FH147" s="10"/>
      <c r="FI147" s="11"/>
      <c r="FJ147" s="11"/>
      <c r="FK147" s="10"/>
      <c r="FL147" s="10"/>
      <c r="FM147" s="10"/>
      <c r="FN147" s="10"/>
      <c r="FO147" s="11"/>
      <c r="FP147" s="10"/>
      <c r="FQ147" s="10"/>
      <c r="FR147" s="10"/>
      <c r="FS147" s="10"/>
      <c r="FT147" s="11"/>
      <c r="FU147" s="43"/>
      <c r="FV147" s="45"/>
      <c r="IB147" s="12"/>
      <c r="ID147" s="12"/>
      <c r="IH147" s="13"/>
      <c r="II147" s="12"/>
      <c r="IM147" s="13"/>
      <c r="IN147" s="12"/>
      <c r="IU147" s="13"/>
      <c r="IV147" s="18"/>
      <c r="IW147" s="12"/>
      <c r="JA147" s="13"/>
      <c r="JF147" s="13"/>
      <c r="JG147" s="13"/>
      <c r="JZ147" s="13"/>
      <c r="KC147" s="12"/>
      <c r="KM147" s="12"/>
      <c r="KO147" s="12"/>
      <c r="LN147" s="13"/>
      <c r="LO147" s="13"/>
      <c r="LT147" s="13"/>
      <c r="LY147" s="13"/>
      <c r="MA147" s="13"/>
      <c r="NV147" s="12"/>
      <c r="NX147" s="12"/>
      <c r="OQ147" s="13"/>
      <c r="OS147" s="12"/>
      <c r="PB147" s="13"/>
      <c r="PC147" s="90"/>
      <c r="PP147" s="13"/>
      <c r="PR147" s="13"/>
    </row>
    <row r="148" spans="32:434" ht="18" customHeight="1" x14ac:dyDescent="0.2">
      <c r="EH148" s="42"/>
      <c r="EI148" s="43"/>
      <c r="EJ148" s="12"/>
      <c r="FI148" s="13"/>
      <c r="FJ148" s="13"/>
      <c r="FO148" s="13"/>
      <c r="FT148" s="13"/>
      <c r="FU148" s="43"/>
      <c r="FV148" s="45"/>
      <c r="IB148" s="12"/>
      <c r="ID148" s="12"/>
      <c r="IH148" s="13"/>
      <c r="II148" s="12"/>
      <c r="IM148" s="13"/>
      <c r="IN148" s="12"/>
      <c r="IU148" s="13"/>
      <c r="IV148" s="18"/>
      <c r="IW148" s="12"/>
      <c r="JA148" s="13"/>
      <c r="JF148" s="13"/>
      <c r="JG148" s="13"/>
      <c r="JZ148" s="13"/>
      <c r="KC148" s="12"/>
      <c r="KM148" s="12"/>
      <c r="KO148" s="12"/>
      <c r="LN148" s="13"/>
      <c r="LO148" s="13"/>
      <c r="LT148" s="13"/>
      <c r="LY148" s="13"/>
      <c r="MA148" s="13"/>
      <c r="NV148" s="12"/>
      <c r="NX148" s="12"/>
      <c r="OQ148" s="13"/>
      <c r="OS148" s="12"/>
      <c r="PB148" s="13"/>
      <c r="PC148" s="90"/>
      <c r="PP148" s="13"/>
      <c r="PR148" s="13"/>
    </row>
    <row r="149" spans="32:434" ht="18" customHeight="1" x14ac:dyDescent="0.2">
      <c r="EH149" s="42"/>
      <c r="EI149" s="43"/>
      <c r="EJ149" s="12"/>
      <c r="FI149" s="13"/>
      <c r="FJ149" s="13"/>
      <c r="FO149" s="13"/>
      <c r="FT149" s="13"/>
      <c r="FU149" s="43"/>
      <c r="FV149" s="45"/>
      <c r="IB149" s="12"/>
      <c r="ID149" s="14"/>
      <c r="IE149" s="15"/>
      <c r="IF149" s="15"/>
      <c r="IG149" s="15"/>
      <c r="IH149" s="16"/>
      <c r="II149" s="14"/>
      <c r="IJ149" s="15"/>
      <c r="IK149" s="15"/>
      <c r="IL149" s="15"/>
      <c r="IM149" s="16"/>
      <c r="IN149" s="12"/>
      <c r="IU149" s="13"/>
      <c r="IV149" s="18"/>
      <c r="IW149" s="14"/>
      <c r="IX149" s="15"/>
      <c r="IY149" s="15"/>
      <c r="IZ149" s="15"/>
      <c r="JA149" s="16"/>
      <c r="JB149" s="15"/>
      <c r="JC149" s="15"/>
      <c r="JD149" s="15"/>
      <c r="JE149" s="15"/>
      <c r="JF149" s="16"/>
      <c r="JG149" s="13"/>
      <c r="JZ149" s="13"/>
      <c r="KC149" s="12"/>
      <c r="KM149" s="12"/>
      <c r="KO149" s="12"/>
      <c r="LN149" s="13"/>
      <c r="LO149" s="13"/>
      <c r="LP149" s="15"/>
      <c r="LQ149" s="15"/>
      <c r="LR149" s="15"/>
      <c r="LS149" s="15"/>
      <c r="LT149" s="16"/>
      <c r="LU149" s="15"/>
      <c r="LV149" s="15"/>
      <c r="LW149" s="15"/>
      <c r="LX149" s="15"/>
      <c r="LY149" s="16"/>
      <c r="MA149" s="13"/>
      <c r="NV149" s="12"/>
      <c r="NX149" s="12"/>
      <c r="OQ149" s="13"/>
      <c r="OS149" s="12"/>
      <c r="PB149" s="13"/>
      <c r="PC149" s="90"/>
      <c r="PP149" s="13"/>
      <c r="PR149" s="13"/>
    </row>
    <row r="150" spans="32:434" ht="18" customHeight="1" x14ac:dyDescent="0.2">
      <c r="EH150" s="42"/>
      <c r="EI150" s="43"/>
      <c r="EJ150" s="12"/>
      <c r="FI150" s="13"/>
      <c r="FJ150" s="13"/>
      <c r="FO150" s="13"/>
      <c r="FT150" s="13"/>
      <c r="FU150" s="43"/>
      <c r="FV150" s="45"/>
      <c r="IB150" s="12"/>
      <c r="ID150" s="12"/>
      <c r="IN150" s="12"/>
      <c r="IU150" s="13"/>
      <c r="IV150" s="18"/>
      <c r="JF150" s="13"/>
      <c r="JG150" s="13"/>
      <c r="JZ150" s="13"/>
      <c r="KC150" s="12"/>
      <c r="KM150" s="12"/>
      <c r="KO150" s="12"/>
      <c r="LN150" s="13"/>
      <c r="LO150" s="13"/>
      <c r="LY150" s="11"/>
      <c r="MA150" s="13"/>
      <c r="NV150" s="12"/>
      <c r="NX150" s="12"/>
      <c r="OQ150" s="13"/>
      <c r="OS150" s="12"/>
      <c r="PB150" s="13"/>
      <c r="PC150" s="90"/>
      <c r="PP150" s="13"/>
      <c r="PR150" s="13"/>
    </row>
    <row r="151" spans="32:434" ht="18" customHeight="1" x14ac:dyDescent="0.2">
      <c r="EH151" s="42"/>
      <c r="EI151" s="43"/>
      <c r="EJ151" s="12"/>
      <c r="FI151" s="13"/>
      <c r="FJ151" s="13"/>
      <c r="FK151" s="15"/>
      <c r="FL151" s="15"/>
      <c r="FM151" s="15"/>
      <c r="FN151" s="15"/>
      <c r="FO151" s="16"/>
      <c r="FP151" s="15"/>
      <c r="FQ151" s="15"/>
      <c r="FR151" s="15"/>
      <c r="FS151" s="15"/>
      <c r="FT151" s="16"/>
      <c r="FU151" s="43"/>
      <c r="FV151" s="45"/>
      <c r="IB151" s="12"/>
      <c r="ID151" s="12"/>
      <c r="IN151" s="12"/>
      <c r="IU151" s="13"/>
      <c r="IV151" s="18"/>
      <c r="JF151" s="13"/>
      <c r="JG151" s="13"/>
      <c r="JZ151" s="13"/>
      <c r="KC151" s="12"/>
      <c r="KM151" s="12"/>
      <c r="KO151" s="12"/>
      <c r="LN151" s="13"/>
      <c r="LO151" s="13"/>
      <c r="LY151" s="13"/>
      <c r="MA151" s="13"/>
      <c r="NV151" s="12"/>
      <c r="NX151" s="12"/>
      <c r="OQ151" s="13"/>
      <c r="OS151" s="12"/>
      <c r="PB151" s="13"/>
      <c r="PC151" s="90"/>
      <c r="PP151" s="13"/>
      <c r="PR151" s="13"/>
    </row>
    <row r="152" spans="32:434" ht="18" customHeight="1" x14ac:dyDescent="0.2">
      <c r="AF152" s="40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4"/>
      <c r="EH152" s="42"/>
      <c r="EI152" s="43"/>
      <c r="EJ152" s="12"/>
      <c r="FI152" s="13"/>
      <c r="FJ152" s="13"/>
      <c r="FT152" s="11"/>
      <c r="FU152" s="43"/>
      <c r="FV152" s="45"/>
      <c r="IB152" s="12"/>
      <c r="ID152" s="12"/>
      <c r="IN152" s="12"/>
      <c r="IU152" s="13"/>
      <c r="IV152" s="18"/>
      <c r="JF152" s="13"/>
      <c r="JG152" s="13"/>
      <c r="JZ152" s="13"/>
      <c r="KC152" s="12"/>
      <c r="KM152" s="12"/>
      <c r="KO152" s="12"/>
      <c r="LN152" s="13"/>
      <c r="LO152" s="13"/>
      <c r="LY152" s="13"/>
      <c r="MA152" s="13"/>
      <c r="NV152" s="12"/>
      <c r="NX152" s="12"/>
      <c r="OQ152" s="13"/>
      <c r="OS152" s="12"/>
      <c r="PB152" s="13"/>
      <c r="PC152" s="13"/>
      <c r="PP152" s="13"/>
      <c r="PR152" s="13"/>
    </row>
    <row r="153" spans="32:434" ht="18" customHeight="1" x14ac:dyDescent="0.2">
      <c r="AF153" s="42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  <c r="BS153" s="43"/>
      <c r="BT153" s="43"/>
      <c r="BU153" s="43"/>
      <c r="BV153" s="43"/>
      <c r="BW153" s="43"/>
      <c r="BX153" s="43"/>
      <c r="BY153" s="43"/>
      <c r="BZ153" s="43"/>
      <c r="CA153" s="43"/>
      <c r="CB153" s="43"/>
      <c r="CC153" s="4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5"/>
      <c r="EH153" s="42"/>
      <c r="EI153" s="43"/>
      <c r="EJ153" s="12"/>
      <c r="FI153" s="13"/>
      <c r="FJ153" s="13"/>
      <c r="FT153" s="13"/>
      <c r="FU153" s="43"/>
      <c r="FV153" s="45"/>
      <c r="IB153" s="12"/>
      <c r="ID153" s="12"/>
      <c r="IN153" s="12"/>
      <c r="IU153" s="13"/>
      <c r="IV153" s="18"/>
      <c r="JF153" s="13"/>
      <c r="JG153" s="13"/>
      <c r="JZ153" s="13"/>
      <c r="KC153" s="12"/>
      <c r="KM153" s="12"/>
      <c r="KO153" s="12"/>
      <c r="LN153" s="13"/>
      <c r="LO153" s="13"/>
      <c r="LY153" s="13"/>
      <c r="MA153" s="13"/>
      <c r="MC153" s="15"/>
      <c r="ME153" s="15"/>
      <c r="MG153" s="15"/>
      <c r="MI153" s="15"/>
      <c r="MK153" s="15"/>
      <c r="ML153" s="15"/>
      <c r="MM153" s="15"/>
      <c r="MN153" s="15"/>
      <c r="MO153" s="15"/>
      <c r="MP153" s="15"/>
      <c r="MQ153" s="15"/>
      <c r="MR153" s="15"/>
      <c r="MS153" s="15"/>
      <c r="MT153" s="15"/>
      <c r="MU153" s="15"/>
      <c r="MV153" s="15"/>
      <c r="MW153" s="15"/>
      <c r="MX153" s="15"/>
      <c r="NV153" s="12"/>
      <c r="NX153" s="12"/>
      <c r="OQ153" s="13"/>
      <c r="OS153" s="12"/>
      <c r="PB153" s="13"/>
      <c r="PC153" s="13"/>
      <c r="PP153" s="13"/>
      <c r="PR153" s="13"/>
    </row>
    <row r="154" spans="32:434" ht="18" customHeight="1" x14ac:dyDescent="0.2">
      <c r="AF154" s="42"/>
      <c r="AG154" s="43"/>
      <c r="AH154" s="9"/>
      <c r="AI154" s="10"/>
      <c r="AJ154" s="10"/>
      <c r="AK154" s="10"/>
      <c r="AL154" s="10"/>
      <c r="AM154" s="9"/>
      <c r="AN154" s="10"/>
      <c r="AO154" s="10"/>
      <c r="AP154" s="10"/>
      <c r="AQ154" s="10"/>
      <c r="AR154" s="9"/>
      <c r="AS154" s="10"/>
      <c r="AT154" s="10"/>
      <c r="AU154" s="10"/>
      <c r="AV154" s="10"/>
      <c r="AW154" s="10"/>
      <c r="AX154" s="10"/>
      <c r="AY154" s="11"/>
      <c r="AZ154" s="10"/>
      <c r="BA154" s="9"/>
      <c r="BB154" s="10"/>
      <c r="BC154" s="10"/>
      <c r="BD154" s="10"/>
      <c r="BE154" s="11"/>
      <c r="BF154" s="10"/>
      <c r="BG154" s="10"/>
      <c r="BH154" s="10"/>
      <c r="BI154" s="10"/>
      <c r="BJ154" s="11"/>
      <c r="BK154" s="11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1"/>
      <c r="CL154" s="43"/>
      <c r="CM154" s="45"/>
      <c r="EH154" s="42"/>
      <c r="EI154" s="43"/>
      <c r="EJ154" s="12"/>
      <c r="FI154" s="13"/>
      <c r="FJ154" s="13"/>
      <c r="FT154" s="13"/>
      <c r="FU154" s="43"/>
      <c r="FV154" s="45"/>
      <c r="IB154" s="12"/>
      <c r="ID154" s="14"/>
      <c r="IE154" s="15"/>
      <c r="IF154" s="15"/>
      <c r="IG154" s="15"/>
      <c r="IH154" s="15"/>
      <c r="II154" s="15"/>
      <c r="IJ154" s="15"/>
      <c r="IK154" s="15"/>
      <c r="IL154" s="15"/>
      <c r="IM154" s="15"/>
      <c r="IN154" s="14"/>
      <c r="IO154" s="15"/>
      <c r="IP154" s="15"/>
      <c r="IQ154" s="15"/>
      <c r="IR154" s="15"/>
      <c r="IS154" s="15"/>
      <c r="IT154" s="15"/>
      <c r="IU154" s="16"/>
      <c r="IV154" s="19"/>
      <c r="IW154" s="15"/>
      <c r="IX154" s="15"/>
      <c r="IY154" s="15"/>
      <c r="IZ154" s="15"/>
      <c r="JA154" s="15"/>
      <c r="JB154" s="15"/>
      <c r="JC154" s="15"/>
      <c r="JD154" s="15"/>
      <c r="JE154" s="15"/>
      <c r="JF154" s="16"/>
      <c r="JG154" s="16"/>
      <c r="JZ154" s="13"/>
      <c r="KC154" s="12"/>
      <c r="KM154" s="12"/>
      <c r="KO154" s="12"/>
      <c r="LN154" s="13"/>
      <c r="LO154" s="13"/>
      <c r="LY154" s="16"/>
      <c r="LZ154" s="12"/>
      <c r="MB154" s="10"/>
      <c r="MD154" s="10"/>
      <c r="MF154" s="10"/>
      <c r="MH154" s="10"/>
      <c r="MJ154" s="10"/>
      <c r="MO154" s="20"/>
      <c r="MP154" s="21"/>
      <c r="MQ154" s="21"/>
      <c r="MR154" s="21"/>
      <c r="MS154" s="21"/>
      <c r="MT154" s="22"/>
      <c r="MX154" s="11"/>
      <c r="NV154" s="12"/>
      <c r="NX154" s="12"/>
      <c r="OQ154" s="13"/>
      <c r="OS154" s="12"/>
      <c r="PB154" s="13"/>
      <c r="PC154" s="13"/>
      <c r="PP154" s="13"/>
      <c r="PR154" s="13"/>
    </row>
    <row r="155" spans="32:434" ht="18" customHeight="1" x14ac:dyDescent="0.2">
      <c r="AF155" s="42"/>
      <c r="AG155" s="43"/>
      <c r="AH155" s="12"/>
      <c r="AM155" s="12"/>
      <c r="AR155" s="12"/>
      <c r="AY155" s="13"/>
      <c r="BA155" s="12"/>
      <c r="BE155" s="13"/>
      <c r="BJ155" s="13"/>
      <c r="BK155" s="13"/>
      <c r="CK155" s="13"/>
      <c r="CL155" s="43"/>
      <c r="CM155" s="45"/>
      <c r="EH155" s="42"/>
      <c r="EI155" s="43"/>
      <c r="EJ155" s="12"/>
      <c r="FI155" s="13"/>
      <c r="FJ155" s="13"/>
      <c r="FT155" s="13"/>
      <c r="FU155" s="43"/>
      <c r="FV155" s="45"/>
      <c r="FX155" s="15"/>
      <c r="FZ155" s="15"/>
      <c r="GB155" s="15"/>
      <c r="GD155" s="15"/>
      <c r="GF155" s="15"/>
      <c r="GG155" s="15"/>
      <c r="GH155" s="15"/>
      <c r="GI155" s="15"/>
      <c r="GJ155" s="15"/>
      <c r="GK155" s="15"/>
      <c r="GL155" s="15"/>
      <c r="GM155" s="15"/>
      <c r="GN155" s="15"/>
      <c r="GO155" s="15"/>
      <c r="GP155" s="15"/>
      <c r="GQ155" s="15"/>
      <c r="IB155" s="12"/>
      <c r="ID155" s="14"/>
      <c r="IE155" s="15"/>
      <c r="IF155" s="15"/>
      <c r="IG155" s="15"/>
      <c r="IH155" s="15"/>
      <c r="II155" s="15"/>
      <c r="IJ155" s="15"/>
      <c r="IK155" s="15"/>
      <c r="IL155" s="15"/>
      <c r="IM155" s="15"/>
      <c r="IN155" s="15"/>
      <c r="IO155" s="15"/>
      <c r="IP155" s="15"/>
      <c r="IQ155" s="15"/>
      <c r="IR155" s="15"/>
      <c r="IS155" s="15"/>
      <c r="IT155" s="15"/>
      <c r="IU155" s="15"/>
      <c r="IV155" s="15"/>
      <c r="IW155" s="15"/>
      <c r="IX155" s="15"/>
      <c r="IY155" s="15"/>
      <c r="IZ155" s="15"/>
      <c r="JA155" s="15"/>
      <c r="JB155" s="15"/>
      <c r="JC155" s="15"/>
      <c r="JD155" s="15"/>
      <c r="JE155" s="15"/>
      <c r="JF155" s="15"/>
      <c r="JG155" s="16"/>
      <c r="JZ155" s="13"/>
      <c r="KC155" s="12"/>
      <c r="KM155" s="12"/>
      <c r="KO155" s="12"/>
      <c r="LN155" s="13"/>
      <c r="LO155" s="13"/>
      <c r="LP155" s="10"/>
      <c r="LQ155" s="92"/>
      <c r="LR155" s="92"/>
      <c r="LS155" s="92"/>
      <c r="LT155" s="92"/>
      <c r="LU155" s="92"/>
      <c r="LV155" s="10"/>
      <c r="LW155" s="10"/>
      <c r="LX155" s="10"/>
      <c r="LY155" s="15"/>
      <c r="LZ155" s="14"/>
      <c r="MA155" s="15"/>
      <c r="MC155" s="15"/>
      <c r="ME155" s="15"/>
      <c r="MG155" s="15"/>
      <c r="MI155" s="15"/>
      <c r="MK155" s="15"/>
      <c r="ML155" s="15"/>
      <c r="MM155" s="15"/>
      <c r="MN155" s="15"/>
      <c r="MO155" s="20"/>
      <c r="MP155" s="21"/>
      <c r="MQ155" s="21"/>
      <c r="MR155" s="21"/>
      <c r="MS155" s="21"/>
      <c r="MT155" s="22"/>
      <c r="MX155" s="13"/>
      <c r="NV155" s="12"/>
      <c r="NX155" s="12"/>
      <c r="OQ155" s="13"/>
      <c r="OS155" s="14"/>
      <c r="OT155" s="15"/>
      <c r="OU155" s="15"/>
      <c r="OV155" s="15"/>
      <c r="OW155" s="15"/>
      <c r="OX155" s="15"/>
      <c r="OY155" s="15"/>
      <c r="OZ155" s="15"/>
      <c r="PA155" s="15"/>
      <c r="PB155" s="16"/>
      <c r="PC155" s="13"/>
      <c r="PP155" s="13"/>
      <c r="PR155" s="13"/>
    </row>
    <row r="156" spans="32:434" ht="18" customHeight="1" x14ac:dyDescent="0.2">
      <c r="AF156" s="42"/>
      <c r="AG156" s="43"/>
      <c r="AH156" s="12"/>
      <c r="AM156" s="12"/>
      <c r="AR156" s="12"/>
      <c r="AY156" s="13"/>
      <c r="BA156" s="12"/>
      <c r="BE156" s="13"/>
      <c r="BJ156" s="13"/>
      <c r="BK156" s="13"/>
      <c r="CK156" s="13"/>
      <c r="CL156" s="43"/>
      <c r="CM156" s="45"/>
      <c r="EH156" s="42"/>
      <c r="EI156" s="43"/>
      <c r="EJ156" s="12"/>
      <c r="FI156" s="13"/>
      <c r="FJ156" s="13"/>
      <c r="FT156" s="16"/>
      <c r="FU156" s="42"/>
      <c r="FV156" s="43"/>
      <c r="FW156" s="41"/>
      <c r="FX156" s="43"/>
      <c r="FY156" s="41"/>
      <c r="FZ156" s="43"/>
      <c r="GA156" s="41"/>
      <c r="GB156" s="43"/>
      <c r="GC156" s="41"/>
      <c r="GD156" s="43"/>
      <c r="GE156" s="41"/>
      <c r="GF156" s="43"/>
      <c r="GG156" s="43"/>
      <c r="GH156" s="123"/>
      <c r="GI156" s="109"/>
      <c r="GJ156" s="109"/>
      <c r="GK156" s="109"/>
      <c r="GL156" s="109"/>
      <c r="GM156" s="124"/>
      <c r="GN156" s="43"/>
      <c r="GO156" s="43"/>
      <c r="GP156" s="43"/>
      <c r="GQ156" s="44"/>
      <c r="IB156" s="12"/>
      <c r="ID156" s="12"/>
      <c r="JA156" s="13"/>
      <c r="JC156" s="12" t="s">
        <v>45</v>
      </c>
      <c r="JZ156" s="13"/>
      <c r="KC156" s="12"/>
      <c r="KM156" s="12"/>
      <c r="KO156" s="12"/>
      <c r="LN156" s="13"/>
      <c r="LO156" s="13"/>
      <c r="LP156" s="10"/>
      <c r="LQ156" s="10"/>
      <c r="LR156" s="10"/>
      <c r="LS156" s="10"/>
      <c r="LT156" s="10"/>
      <c r="LU156" s="10"/>
      <c r="LV156" s="10"/>
      <c r="LW156" s="10"/>
      <c r="LX156" s="17"/>
      <c r="LY156" t="s">
        <v>45</v>
      </c>
      <c r="LZ156" s="10"/>
      <c r="MA156" s="10"/>
      <c r="MB156" s="10"/>
      <c r="MC156" s="10"/>
      <c r="MD156" s="10"/>
      <c r="ME156" s="10"/>
      <c r="MF156" s="10"/>
      <c r="MG156" s="10"/>
      <c r="MH156" s="10"/>
      <c r="MI156" s="10"/>
      <c r="MJ156" s="10"/>
      <c r="MK156" s="10"/>
      <c r="ML156" s="10"/>
      <c r="MM156" s="10"/>
      <c r="MN156" s="10"/>
      <c r="MO156" s="10"/>
      <c r="MP156" s="10"/>
      <c r="MQ156" s="10"/>
      <c r="MR156" s="10"/>
      <c r="MS156" s="10"/>
      <c r="MT156" s="10"/>
      <c r="MU156" s="10"/>
      <c r="MV156" s="11"/>
      <c r="MX156" s="13"/>
      <c r="NV156" s="12"/>
      <c r="NX156" s="12"/>
      <c r="OQ156" s="13"/>
      <c r="OS156" s="14"/>
      <c r="OT156" s="15"/>
      <c r="OU156" s="15"/>
      <c r="OV156" s="15"/>
      <c r="OW156" s="15"/>
      <c r="OX156" s="15"/>
      <c r="OY156" s="15"/>
      <c r="OZ156" s="15"/>
      <c r="PA156" s="15"/>
      <c r="PB156" s="15"/>
      <c r="PC156" s="16"/>
      <c r="PP156" s="13"/>
      <c r="PR156" s="13"/>
    </row>
    <row r="157" spans="32:434" ht="18" customHeight="1" x14ac:dyDescent="0.2">
      <c r="AF157" s="42"/>
      <c r="AG157" s="43"/>
      <c r="AH157" s="12"/>
      <c r="AM157" s="12"/>
      <c r="AR157" s="12"/>
      <c r="AY157" s="13"/>
      <c r="BA157" s="12"/>
      <c r="BE157" s="13"/>
      <c r="BJ157" s="13"/>
      <c r="BK157" s="13"/>
      <c r="CK157" s="13"/>
      <c r="CL157" s="43"/>
      <c r="CM157" s="45"/>
      <c r="EH157" s="42"/>
      <c r="EI157" s="43"/>
      <c r="EJ157" s="12"/>
      <c r="FI157" s="13"/>
      <c r="FJ157" s="13"/>
      <c r="FK157" s="10"/>
      <c r="FL157" s="10"/>
      <c r="FM157" s="92"/>
      <c r="FN157" s="92"/>
      <c r="FO157" s="92"/>
      <c r="FP157" s="92"/>
      <c r="FQ157" s="92"/>
      <c r="FR157" s="10"/>
      <c r="FS157" s="10"/>
      <c r="FT157" s="15"/>
      <c r="FU157" s="46"/>
      <c r="FV157" s="47"/>
      <c r="FW157" s="43"/>
      <c r="FX157" s="47"/>
      <c r="FY157" s="43"/>
      <c r="FZ157" s="47"/>
      <c r="GA157" s="43"/>
      <c r="GB157" s="47"/>
      <c r="GC157" s="43"/>
      <c r="GD157" s="47"/>
      <c r="GE157" s="43"/>
      <c r="GF157" s="47"/>
      <c r="GG157" s="47"/>
      <c r="GH157" s="123"/>
      <c r="GI157" s="109"/>
      <c r="GJ157" s="109"/>
      <c r="GK157" s="109"/>
      <c r="GL157" s="109"/>
      <c r="GM157" s="124"/>
      <c r="GN157" s="43"/>
      <c r="GO157" s="43"/>
      <c r="GP157" s="43"/>
      <c r="GQ157" s="45"/>
      <c r="IB157" s="12"/>
      <c r="ID157" s="12"/>
      <c r="JA157" s="13"/>
      <c r="JC157" s="12"/>
      <c r="JZ157" s="13"/>
      <c r="KC157" s="12"/>
      <c r="KM157" s="12"/>
      <c r="KO157" s="12"/>
      <c r="LN157" s="13"/>
      <c r="LO157" s="13"/>
      <c r="LX157" s="18"/>
      <c r="MV157" s="13"/>
      <c r="MX157" s="13"/>
      <c r="NV157" s="12"/>
      <c r="NX157" s="12"/>
      <c r="OQ157" s="13"/>
      <c r="OS157" s="12"/>
      <c r="PP157" s="13"/>
      <c r="PR157" s="13"/>
    </row>
    <row r="158" spans="32:434" ht="18" customHeight="1" x14ac:dyDescent="0.2">
      <c r="AF158" s="42"/>
      <c r="AG158" s="43"/>
      <c r="AH158" s="14"/>
      <c r="AI158" s="15"/>
      <c r="AJ158" s="15"/>
      <c r="AK158" s="15"/>
      <c r="AL158" s="15"/>
      <c r="AM158" s="14"/>
      <c r="AN158" s="15"/>
      <c r="AO158" s="15"/>
      <c r="AP158" s="15"/>
      <c r="AQ158" s="15"/>
      <c r="AR158" s="12"/>
      <c r="AY158" s="13"/>
      <c r="BA158" s="14"/>
      <c r="BB158" s="15"/>
      <c r="BC158" s="15"/>
      <c r="BD158" s="15"/>
      <c r="BE158" s="16"/>
      <c r="BF158" s="15"/>
      <c r="BG158" s="15"/>
      <c r="BH158" s="15"/>
      <c r="BI158" s="15"/>
      <c r="BJ158" s="16"/>
      <c r="BK158" s="90"/>
      <c r="CK158" s="13"/>
      <c r="CL158" s="43"/>
      <c r="CM158" s="45"/>
      <c r="EG158" s="13"/>
      <c r="EH158" s="43"/>
      <c r="EI158" s="45"/>
      <c r="FI158" s="13"/>
      <c r="FJ158" s="13"/>
      <c r="FK158" s="10"/>
      <c r="FL158" s="10"/>
      <c r="FM158" s="10"/>
      <c r="FN158" s="10"/>
      <c r="FO158" s="10"/>
      <c r="FP158" s="10"/>
      <c r="FQ158" s="10"/>
      <c r="FR158" s="10"/>
      <c r="FS158" s="10"/>
      <c r="FT158" t="s">
        <v>45</v>
      </c>
      <c r="FU158" s="10"/>
      <c r="FV158" s="10"/>
      <c r="FW158" s="10"/>
      <c r="FX158" s="10"/>
      <c r="FY158" s="10"/>
      <c r="FZ158" s="10"/>
      <c r="GA158" s="10"/>
      <c r="GB158" s="10"/>
      <c r="GC158" s="10"/>
      <c r="GD158" s="10"/>
      <c r="GE158" s="10"/>
      <c r="GF158" s="10"/>
      <c r="GG158" s="10"/>
      <c r="GH158" s="10"/>
      <c r="GI158" s="10"/>
      <c r="GJ158" s="10"/>
      <c r="GK158" s="10"/>
      <c r="GL158" s="10"/>
      <c r="GM158" s="10"/>
      <c r="GN158" s="10"/>
      <c r="GO158" s="11"/>
      <c r="GP158" s="43"/>
      <c r="GQ158" s="45"/>
      <c r="IB158" s="12"/>
      <c r="ID158" s="12"/>
      <c r="JA158" s="13"/>
      <c r="JC158" s="12"/>
      <c r="JZ158" s="13"/>
      <c r="KC158" s="12"/>
      <c r="KM158" s="12"/>
      <c r="KO158" s="12"/>
      <c r="LN158" s="13"/>
      <c r="LO158" s="13"/>
      <c r="LX158" s="18"/>
      <c r="MV158" s="13"/>
      <c r="MX158" s="13"/>
      <c r="NV158" s="12"/>
      <c r="NX158" s="12"/>
      <c r="OQ158" s="13"/>
      <c r="OS158" s="12"/>
      <c r="PP158" s="13"/>
      <c r="PR158" s="13"/>
    </row>
    <row r="159" spans="32:434" ht="18" customHeight="1" x14ac:dyDescent="0.2">
      <c r="AF159" s="42"/>
      <c r="AG159" s="43"/>
      <c r="AH159" s="12"/>
      <c r="AR159" s="12"/>
      <c r="AY159" s="13"/>
      <c r="BA159" s="12"/>
      <c r="BJ159" s="13"/>
      <c r="BK159" s="90"/>
      <c r="CK159" s="13"/>
      <c r="CL159" s="43"/>
      <c r="CM159" s="45"/>
      <c r="EG159" s="13"/>
      <c r="EH159" s="43"/>
      <c r="EI159" s="45"/>
      <c r="FI159" s="13"/>
      <c r="FJ159" s="13"/>
      <c r="GO159" s="13"/>
      <c r="GP159" s="43"/>
      <c r="GQ159" s="45"/>
      <c r="IB159" s="12"/>
      <c r="ID159" s="12"/>
      <c r="JA159" s="13"/>
      <c r="JC159" s="12"/>
      <c r="JZ159" s="13"/>
      <c r="KC159" s="12"/>
      <c r="KM159" s="12"/>
      <c r="KO159" s="12"/>
      <c r="LN159" s="13"/>
      <c r="LO159" s="13"/>
      <c r="LX159" s="18"/>
      <c r="MV159" s="13"/>
      <c r="MX159" s="13"/>
      <c r="NV159" s="12"/>
      <c r="NX159" s="12"/>
      <c r="OQ159" s="13"/>
      <c r="OS159" s="12"/>
      <c r="PP159" s="13"/>
      <c r="PR159" s="13"/>
    </row>
    <row r="160" spans="32:434" ht="18" customHeight="1" x14ac:dyDescent="0.2">
      <c r="AF160" s="42"/>
      <c r="AG160" s="43"/>
      <c r="AH160" s="12"/>
      <c r="AR160" s="12"/>
      <c r="AY160" s="13"/>
      <c r="BA160" s="12"/>
      <c r="BJ160" s="13"/>
      <c r="BK160" s="90"/>
      <c r="CK160" s="13"/>
      <c r="CL160" s="43"/>
      <c r="CM160" s="45"/>
      <c r="EG160" s="13"/>
      <c r="EH160" s="125"/>
      <c r="EI160" s="125"/>
      <c r="FI160" s="13"/>
      <c r="FJ160" s="90"/>
      <c r="GO160" s="13"/>
      <c r="GP160" s="43"/>
      <c r="GQ160" s="45"/>
      <c r="IB160" s="12"/>
      <c r="ID160" s="12"/>
      <c r="JA160" s="13"/>
      <c r="JC160" s="12"/>
      <c r="JZ160" s="13"/>
      <c r="KC160" s="12"/>
      <c r="KM160" s="12"/>
      <c r="KO160" s="12"/>
      <c r="LN160" s="13"/>
      <c r="LO160" s="13"/>
      <c r="LX160" s="18"/>
      <c r="MV160" s="13"/>
      <c r="MX160" s="13"/>
      <c r="NV160" s="12"/>
      <c r="NX160" s="12"/>
      <c r="OQ160" s="13"/>
      <c r="OS160" s="12"/>
      <c r="PP160" s="13"/>
      <c r="PR160" s="13"/>
    </row>
    <row r="161" spans="32:434" ht="18" customHeight="1" x14ac:dyDescent="0.2">
      <c r="AF161" s="42"/>
      <c r="AG161" s="43"/>
      <c r="AH161" s="12"/>
      <c r="AR161" s="12"/>
      <c r="AY161" s="13"/>
      <c r="BA161" s="12"/>
      <c r="BJ161" s="13"/>
      <c r="BK161" s="90"/>
      <c r="CK161" s="13"/>
      <c r="CL161" s="43"/>
      <c r="CM161" s="45"/>
      <c r="EG161" s="13"/>
      <c r="EH161" s="108"/>
      <c r="EI161" s="108"/>
      <c r="FI161" s="13"/>
      <c r="FJ161" s="90"/>
      <c r="GO161" s="13"/>
      <c r="GP161" s="43"/>
      <c r="GQ161" s="45"/>
      <c r="IB161" s="12"/>
      <c r="ID161" s="12"/>
      <c r="JA161" s="210"/>
      <c r="JB161" s="211"/>
      <c r="JC161" s="12"/>
      <c r="JZ161" s="13"/>
      <c r="KC161" s="12"/>
      <c r="KM161" s="12"/>
      <c r="KO161" s="12"/>
      <c r="LN161" s="13"/>
      <c r="LO161" s="13"/>
      <c r="LX161" s="18"/>
      <c r="MV161" s="13"/>
      <c r="MX161" s="13"/>
      <c r="NV161" s="12"/>
      <c r="NX161" s="12"/>
      <c r="OQ161" s="13"/>
      <c r="OR161" s="127"/>
      <c r="OS161" s="12"/>
      <c r="PP161" s="13"/>
      <c r="PR161" s="13"/>
    </row>
    <row r="162" spans="32:434" ht="18" customHeight="1" x14ac:dyDescent="0.2">
      <c r="AF162" s="42"/>
      <c r="AG162" s="43"/>
      <c r="AH162" s="12"/>
      <c r="AR162" s="12"/>
      <c r="AY162" s="13"/>
      <c r="BA162" s="12"/>
      <c r="BJ162" s="13"/>
      <c r="BK162" s="90"/>
      <c r="CK162" s="13"/>
      <c r="CL162" s="43"/>
      <c r="CM162" s="45"/>
      <c r="EG162" s="13"/>
      <c r="EH162" s="108"/>
      <c r="EI162" s="108"/>
      <c r="FI162" s="13"/>
      <c r="FJ162" s="90"/>
      <c r="GO162" s="13"/>
      <c r="GP162" s="43"/>
      <c r="GQ162" s="45"/>
      <c r="IB162" s="12"/>
      <c r="ID162" s="12"/>
      <c r="JA162" s="13"/>
      <c r="JC162" s="12"/>
      <c r="JZ162" s="13"/>
      <c r="KC162" s="12"/>
      <c r="KM162" s="12"/>
      <c r="KO162" s="12"/>
      <c r="LN162" s="13"/>
      <c r="LO162" s="13"/>
      <c r="LX162" s="18"/>
      <c r="MV162" s="13"/>
      <c r="MX162" s="13"/>
      <c r="NV162" s="12"/>
      <c r="NX162" s="12"/>
      <c r="OQ162" s="13"/>
      <c r="OR162" s="127"/>
      <c r="OS162" s="12"/>
      <c r="PP162" s="13"/>
      <c r="PR162" s="13"/>
    </row>
    <row r="163" spans="32:434" ht="18" customHeight="1" x14ac:dyDescent="0.2">
      <c r="AF163" s="42"/>
      <c r="AG163" s="43"/>
      <c r="AH163" s="14"/>
      <c r="AI163" s="15"/>
      <c r="AJ163" s="15"/>
      <c r="AK163" s="15"/>
      <c r="AL163" s="15"/>
      <c r="AM163" s="15"/>
      <c r="AN163" s="15"/>
      <c r="AO163" s="15"/>
      <c r="AP163" s="15"/>
      <c r="AQ163" s="15"/>
      <c r="AR163" s="14"/>
      <c r="AS163" s="15"/>
      <c r="AT163" s="15"/>
      <c r="AU163" s="15"/>
      <c r="AV163" s="15"/>
      <c r="AW163" s="15"/>
      <c r="AX163" s="15"/>
      <c r="AY163" s="16"/>
      <c r="AZ163" s="15"/>
      <c r="BA163" s="14"/>
      <c r="BB163" s="15"/>
      <c r="BC163" s="15"/>
      <c r="BD163" s="15"/>
      <c r="BE163" s="15"/>
      <c r="BF163" s="15"/>
      <c r="BG163" s="15"/>
      <c r="BH163" s="15"/>
      <c r="BI163" s="15"/>
      <c r="BJ163" s="16"/>
      <c r="BK163" s="13"/>
      <c r="CK163" s="13"/>
      <c r="CL163" s="43"/>
      <c r="CM163" s="45"/>
      <c r="EG163" s="13"/>
      <c r="EH163" s="108"/>
      <c r="EI163" s="108"/>
      <c r="FI163" s="13"/>
      <c r="FJ163" s="90"/>
      <c r="GO163" s="13"/>
      <c r="GP163" s="43"/>
      <c r="GQ163" s="45"/>
      <c r="IB163" s="12"/>
      <c r="ID163" s="12"/>
      <c r="JA163" s="13"/>
      <c r="JC163" s="12"/>
      <c r="JZ163" s="13"/>
      <c r="KC163" s="12"/>
      <c r="KM163" s="12"/>
      <c r="KO163" s="12"/>
      <c r="LN163" s="13"/>
      <c r="LO163" s="13"/>
      <c r="LX163" s="18"/>
      <c r="MV163" s="13"/>
      <c r="MX163" s="13"/>
      <c r="NV163" s="12"/>
      <c r="NX163" s="12"/>
      <c r="OQ163" s="13"/>
      <c r="OR163" s="127"/>
      <c r="OS163" s="12"/>
      <c r="PP163" s="13"/>
      <c r="PR163" s="13"/>
    </row>
    <row r="164" spans="32:434" ht="18" customHeight="1" x14ac:dyDescent="0.2">
      <c r="AF164" s="42"/>
      <c r="AG164" s="43"/>
      <c r="AH164" s="14"/>
      <c r="AI164" s="100"/>
      <c r="AJ164" s="100"/>
      <c r="AK164" s="100"/>
      <c r="AL164" s="100"/>
      <c r="AM164" s="100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6"/>
      <c r="CK164" s="13"/>
      <c r="CL164" s="43"/>
      <c r="CM164" s="45"/>
      <c r="EG164" s="13"/>
      <c r="EH164" s="108"/>
      <c r="EI164" s="108"/>
      <c r="EQ164" s="9"/>
      <c r="ER164" s="10"/>
      <c r="ES164" s="10"/>
      <c r="ET164" s="10"/>
      <c r="EU164" s="10"/>
      <c r="EV164" s="10"/>
      <c r="EW164" s="10"/>
      <c r="EX164" s="10"/>
      <c r="EY164" s="10"/>
      <c r="EZ164" s="11"/>
      <c r="FI164" s="13"/>
      <c r="FJ164" s="90"/>
      <c r="GO164" s="13"/>
      <c r="GP164" s="43"/>
      <c r="GQ164" s="45"/>
      <c r="IB164" s="12"/>
      <c r="ID164" s="12"/>
      <c r="JA164" s="13"/>
      <c r="JC164" s="12"/>
      <c r="JZ164" s="13"/>
      <c r="KC164" s="12"/>
      <c r="KM164" s="12"/>
      <c r="KO164" s="12"/>
      <c r="LN164" s="13"/>
      <c r="LO164" s="13"/>
      <c r="LX164" s="18"/>
      <c r="MV164" s="13"/>
      <c r="MX164" s="13"/>
      <c r="NV164" s="12"/>
      <c r="NX164" s="12"/>
      <c r="OQ164" s="13"/>
      <c r="OR164" s="127"/>
      <c r="OS164" s="12"/>
      <c r="PP164" s="13"/>
      <c r="PR164" s="13"/>
    </row>
    <row r="165" spans="32:434" ht="18" customHeight="1" x14ac:dyDescent="0.2">
      <c r="AF165" s="42"/>
      <c r="AG165" s="43"/>
      <c r="AH165" s="9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9"/>
      <c r="BA165" s="9"/>
      <c r="BB165" s="10"/>
      <c r="BC165" s="10"/>
      <c r="BD165" s="10"/>
      <c r="BE165" s="10"/>
      <c r="BF165" s="10"/>
      <c r="BG165" s="10"/>
      <c r="BH165" s="10"/>
      <c r="BI165" s="10"/>
      <c r="BJ165" s="11"/>
      <c r="BK165" s="11"/>
      <c r="CK165" s="13"/>
      <c r="CL165" s="43"/>
      <c r="CM165" s="45"/>
      <c r="EG165" s="13"/>
      <c r="EH165" s="126"/>
      <c r="EI165" s="126"/>
      <c r="EQ165" s="12"/>
      <c r="EZ165" s="13"/>
      <c r="FI165" s="13"/>
      <c r="FJ165" s="90"/>
      <c r="GO165" s="13"/>
      <c r="GP165" s="43"/>
      <c r="GQ165" s="45"/>
      <c r="IB165" s="12"/>
      <c r="ID165" s="12"/>
      <c r="JA165" s="13"/>
      <c r="JC165" s="12"/>
      <c r="JZ165" s="13"/>
      <c r="KC165" s="12"/>
      <c r="KM165" s="12"/>
      <c r="KO165" s="12"/>
      <c r="LN165" s="13"/>
      <c r="LO165" s="13"/>
      <c r="LX165" s="18"/>
      <c r="MV165" s="13"/>
      <c r="MX165" s="13"/>
      <c r="NV165" s="12"/>
      <c r="NX165" s="12"/>
      <c r="OQ165" s="13"/>
      <c r="OR165" s="127"/>
      <c r="OS165" s="12"/>
      <c r="PP165" s="13"/>
      <c r="PR165" s="13"/>
    </row>
    <row r="166" spans="32:434" ht="18" customHeight="1" x14ac:dyDescent="0.2">
      <c r="AF166" s="42"/>
      <c r="AG166" s="43"/>
      <c r="AH166" s="12"/>
      <c r="AZ166" s="12"/>
      <c r="BA166" s="12"/>
      <c r="BJ166" s="13"/>
      <c r="BK166" s="90"/>
      <c r="CK166" s="13"/>
      <c r="CL166" s="43"/>
      <c r="CM166" s="45"/>
      <c r="EH166" s="42"/>
      <c r="EI166" s="43"/>
      <c r="EJ166" s="14"/>
      <c r="EK166" s="15"/>
      <c r="EL166" s="15"/>
      <c r="EM166" s="15"/>
      <c r="EN166" s="15"/>
      <c r="EO166" s="15"/>
      <c r="EP166" s="15"/>
      <c r="EQ166" s="14"/>
      <c r="ER166" s="15"/>
      <c r="ES166" s="15"/>
      <c r="ET166" s="15"/>
      <c r="EU166" s="15"/>
      <c r="EV166" s="15"/>
      <c r="EW166" s="15"/>
      <c r="EX166" s="15"/>
      <c r="EY166" s="15"/>
      <c r="EZ166" s="16"/>
      <c r="FA166" s="15"/>
      <c r="FB166" s="15"/>
      <c r="FC166" s="15"/>
      <c r="FD166" s="15"/>
      <c r="FE166" s="15"/>
      <c r="FF166" s="15"/>
      <c r="FG166" s="15"/>
      <c r="FH166" s="15"/>
      <c r="FI166" s="16"/>
      <c r="FJ166" s="13"/>
      <c r="FS166" s="15"/>
      <c r="GO166" s="13"/>
      <c r="GP166" s="43"/>
      <c r="GQ166" s="45"/>
      <c r="IB166" s="12"/>
      <c r="ID166" s="12"/>
      <c r="JA166" s="13"/>
      <c r="JC166" s="12"/>
      <c r="JZ166" s="13"/>
      <c r="KC166" s="12"/>
      <c r="KM166" s="12"/>
      <c r="KO166" s="12"/>
      <c r="LN166" s="13"/>
      <c r="LO166" s="13"/>
      <c r="LX166" s="18"/>
      <c r="MV166" s="13"/>
      <c r="MX166" s="13"/>
      <c r="NV166" s="12"/>
      <c r="NX166" s="12"/>
      <c r="OQ166" s="13"/>
      <c r="OR166" s="127"/>
      <c r="OS166" s="12"/>
      <c r="PP166" s="13"/>
      <c r="PR166" s="13"/>
    </row>
    <row r="167" spans="32:434" ht="18" customHeight="1" x14ac:dyDescent="0.2">
      <c r="AF167" s="42"/>
      <c r="AG167" s="43"/>
      <c r="AH167" s="12"/>
      <c r="AZ167" s="12"/>
      <c r="BA167" s="12"/>
      <c r="BJ167" s="13"/>
      <c r="BK167" s="90"/>
      <c r="CK167" s="13"/>
      <c r="CL167" s="43"/>
      <c r="CM167" s="45"/>
      <c r="EH167" s="42"/>
      <c r="EI167" s="43"/>
      <c r="EJ167" s="14"/>
      <c r="EK167" s="100"/>
      <c r="EL167" s="100"/>
      <c r="EM167" s="100"/>
      <c r="EN167" s="100"/>
      <c r="EO167" s="100"/>
      <c r="EP167" s="15"/>
      <c r="EQ167" s="15"/>
      <c r="ER167" s="15"/>
      <c r="ES167" s="15"/>
      <c r="ET167" s="15"/>
      <c r="EU167" s="15"/>
      <c r="EV167" s="15"/>
      <c r="EW167" s="15"/>
      <c r="EX167" s="15"/>
      <c r="EY167" s="15"/>
      <c r="EZ167" s="15"/>
      <c r="FA167" s="15"/>
      <c r="FB167" s="15"/>
      <c r="FC167" s="15"/>
      <c r="FD167" s="15"/>
      <c r="FE167" s="15"/>
      <c r="FF167" s="15"/>
      <c r="FG167" s="15"/>
      <c r="FH167" s="15"/>
      <c r="FI167" s="15"/>
      <c r="FJ167" s="16"/>
      <c r="FK167" s="207"/>
      <c r="FL167" s="207"/>
      <c r="FM167" s="207"/>
      <c r="FN167" s="207"/>
      <c r="FO167" s="207"/>
      <c r="FP167" s="207"/>
      <c r="FQ167" s="207"/>
      <c r="FR167" s="207"/>
      <c r="FS167" s="209"/>
      <c r="GO167" s="13"/>
      <c r="GP167" s="43"/>
      <c r="GQ167" s="45"/>
      <c r="IB167" s="12"/>
      <c r="ID167" s="12"/>
      <c r="JA167" s="13"/>
      <c r="JC167" s="12"/>
      <c r="JZ167" s="13"/>
      <c r="KC167" s="12"/>
      <c r="KM167" s="12"/>
      <c r="KO167" s="12"/>
      <c r="LN167" s="13"/>
      <c r="LO167" s="13"/>
      <c r="LX167" s="18"/>
      <c r="MV167" s="13"/>
      <c r="MX167" s="13"/>
      <c r="NV167" s="12"/>
      <c r="NX167" s="14"/>
      <c r="NY167" s="15"/>
      <c r="NZ167" s="15"/>
      <c r="OA167" s="15"/>
      <c r="OB167" s="15"/>
      <c r="OC167" s="15"/>
      <c r="OD167" s="15"/>
      <c r="OE167" s="15"/>
      <c r="OF167" s="15"/>
      <c r="OG167" s="15"/>
      <c r="OH167" s="15"/>
      <c r="OI167" s="15"/>
      <c r="OJ167" s="15"/>
      <c r="OK167" s="15"/>
      <c r="OL167" s="15"/>
      <c r="OM167" s="15"/>
      <c r="ON167" s="15"/>
      <c r="OO167" s="15"/>
      <c r="OP167" s="15"/>
      <c r="OQ167" s="16"/>
      <c r="OS167" s="12"/>
      <c r="PP167" s="13"/>
      <c r="PR167" s="13"/>
    </row>
    <row r="168" spans="32:434" ht="18" customHeight="1" x14ac:dyDescent="0.2">
      <c r="AF168" s="42"/>
      <c r="AG168" s="43"/>
      <c r="AH168" s="12"/>
      <c r="AZ168" s="12"/>
      <c r="BA168" s="12"/>
      <c r="BJ168" s="13"/>
      <c r="BK168" s="90"/>
      <c r="CK168" s="13"/>
      <c r="CL168" s="43"/>
      <c r="CM168" s="45"/>
      <c r="EH168" s="42"/>
      <c r="EI168" s="43"/>
      <c r="EJ168" s="12"/>
      <c r="ET168" s="9"/>
      <c r="EU168" s="10"/>
      <c r="EV168" s="10"/>
      <c r="EW168" s="10"/>
      <c r="EX168" s="10"/>
      <c r="EY168" s="10"/>
      <c r="EZ168" s="10"/>
      <c r="FA168" s="11"/>
      <c r="FC168" s="12"/>
      <c r="FR168" s="13"/>
      <c r="FS168" s="49"/>
      <c r="FT168" s="12"/>
      <c r="GO168" s="13"/>
      <c r="GP168" s="43"/>
      <c r="GQ168" s="45"/>
      <c r="IB168" s="12"/>
      <c r="ID168" s="12"/>
      <c r="JA168" s="13"/>
      <c r="JC168" s="12"/>
      <c r="JZ168" s="13"/>
      <c r="KC168" s="12"/>
      <c r="KM168" s="12"/>
      <c r="KO168" s="12"/>
      <c r="LN168" s="13"/>
      <c r="LO168" s="13"/>
      <c r="LX168" s="19"/>
      <c r="MV168" s="13"/>
      <c r="MX168" s="13"/>
      <c r="NV168" s="12"/>
      <c r="NX168" s="12"/>
      <c r="NY168" s="127"/>
      <c r="NZ168" s="127"/>
      <c r="OA168" s="127"/>
      <c r="OB168" s="127"/>
      <c r="OC168" s="127"/>
      <c r="OS168" s="12"/>
      <c r="PP168" s="13"/>
      <c r="PR168" s="13"/>
    </row>
    <row r="169" spans="32:434" ht="18" customHeight="1" x14ac:dyDescent="0.2">
      <c r="AF169" s="42"/>
      <c r="AG169" s="43"/>
      <c r="AH169" s="12"/>
      <c r="AZ169" s="12"/>
      <c r="BA169" s="12"/>
      <c r="BJ169" s="13"/>
      <c r="BK169" s="90"/>
      <c r="CK169" s="13"/>
      <c r="CL169" s="43"/>
      <c r="CM169" s="45"/>
      <c r="EH169" s="42"/>
      <c r="EI169" s="43"/>
      <c r="EJ169" s="12"/>
      <c r="ET169" s="12"/>
      <c r="FA169" s="13"/>
      <c r="FC169" s="12"/>
      <c r="FR169" s="13"/>
      <c r="FS169" s="208"/>
      <c r="GO169" s="13"/>
      <c r="GP169" s="43"/>
      <c r="GQ169" s="45"/>
      <c r="IB169" s="12"/>
      <c r="ID169" s="12"/>
      <c r="JA169" s="13"/>
      <c r="JC169" s="12"/>
      <c r="JZ169" s="13"/>
      <c r="KC169" s="12"/>
      <c r="KM169" s="12"/>
      <c r="KO169" s="20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1"/>
      <c r="LK169" s="21"/>
      <c r="LL169" s="21"/>
      <c r="LM169" s="21"/>
      <c r="LN169" s="21"/>
      <c r="LO169" s="21"/>
      <c r="LP169" s="21"/>
      <c r="LQ169" s="21"/>
      <c r="LR169" s="21"/>
      <c r="LS169" s="21"/>
      <c r="LT169" s="21"/>
      <c r="LU169" s="21"/>
      <c r="LV169" s="21"/>
      <c r="LW169" s="21"/>
      <c r="LX169" s="22"/>
      <c r="MV169" s="13"/>
      <c r="MX169" s="13"/>
      <c r="NV169" s="12"/>
      <c r="NX169" s="9"/>
      <c r="NY169" s="10"/>
      <c r="NZ169" s="10"/>
      <c r="OA169" s="10"/>
      <c r="OB169" s="10"/>
      <c r="OC169" s="10"/>
      <c r="OD169" s="10"/>
      <c r="OE169" s="10"/>
      <c r="OF169" s="10"/>
      <c r="OG169" s="10"/>
      <c r="OH169" s="10"/>
      <c r="OI169" s="10"/>
      <c r="OJ169" s="10"/>
      <c r="OK169" s="10"/>
      <c r="OL169" s="10"/>
      <c r="OM169" s="10"/>
      <c r="ON169" s="10"/>
      <c r="OO169" s="10"/>
      <c r="OP169" s="10"/>
      <c r="OQ169" s="11"/>
      <c r="OS169" s="12"/>
      <c r="PP169" s="13"/>
      <c r="PR169" s="13"/>
    </row>
    <row r="170" spans="32:434" ht="18" customHeight="1" x14ac:dyDescent="0.2">
      <c r="AF170" s="42"/>
      <c r="AG170" s="43"/>
      <c r="AH170" s="12"/>
      <c r="AZ170" s="12"/>
      <c r="BA170" s="12"/>
      <c r="BJ170" s="13"/>
      <c r="BK170" s="90"/>
      <c r="CK170" s="13"/>
      <c r="CL170" s="43"/>
      <c r="CM170" s="43"/>
      <c r="CN170" s="9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1"/>
      <c r="EH170" s="42"/>
      <c r="EI170" s="43"/>
      <c r="EJ170" s="12"/>
      <c r="ET170" s="12"/>
      <c r="FA170" s="13"/>
      <c r="FC170" s="12"/>
      <c r="FR170" s="13"/>
      <c r="FS170" s="208"/>
      <c r="FT170" s="9"/>
      <c r="FU170" s="10"/>
      <c r="FV170" s="10"/>
      <c r="FW170" s="10"/>
      <c r="FX170" s="10"/>
      <c r="FY170" s="11"/>
      <c r="GO170" s="13"/>
      <c r="GP170" s="43"/>
      <c r="GQ170" s="45"/>
      <c r="IB170" s="12"/>
      <c r="ID170" s="12"/>
      <c r="JA170" s="13"/>
      <c r="JC170" s="12"/>
      <c r="JZ170" s="13"/>
      <c r="KC170" s="12"/>
      <c r="KM170" s="12"/>
      <c r="KO170" s="12"/>
      <c r="KY170" s="12"/>
      <c r="LF170" s="13"/>
      <c r="LH170" s="12"/>
      <c r="LW170" s="13"/>
      <c r="LY170" s="12"/>
      <c r="MV170" s="13"/>
      <c r="MX170" s="13"/>
      <c r="NV170" s="12"/>
      <c r="NX170" s="12"/>
      <c r="OQ170" s="13"/>
      <c r="OS170" s="12"/>
      <c r="PP170" s="13"/>
      <c r="PR170" s="13"/>
    </row>
    <row r="171" spans="32:434" ht="18" customHeight="1" x14ac:dyDescent="0.2">
      <c r="AF171" s="42"/>
      <c r="AG171" s="43"/>
      <c r="AH171" s="12"/>
      <c r="AZ171" s="12"/>
      <c r="BA171" s="12"/>
      <c r="BJ171" s="13"/>
      <c r="BK171" s="90"/>
      <c r="CK171" s="13"/>
      <c r="CL171" s="43"/>
      <c r="CM171" s="43"/>
      <c r="CN171" s="12"/>
      <c r="DG171" s="13"/>
      <c r="EH171" s="42"/>
      <c r="EI171" s="43"/>
      <c r="EJ171" s="12"/>
      <c r="ET171" s="12"/>
      <c r="FA171" s="13"/>
      <c r="FC171" s="12"/>
      <c r="FR171" s="13"/>
      <c r="FS171" s="208"/>
      <c r="FT171" s="12"/>
      <c r="FY171" s="13"/>
      <c r="GO171" s="13"/>
      <c r="GP171" s="43"/>
      <c r="GQ171" s="45"/>
      <c r="IB171" s="12"/>
      <c r="ID171" s="12"/>
      <c r="JA171" s="13"/>
      <c r="JC171" s="12"/>
      <c r="JZ171" s="13"/>
      <c r="KC171" s="12"/>
      <c r="KM171" s="12"/>
      <c r="KO171" s="12"/>
      <c r="KY171" s="12"/>
      <c r="LF171" s="13"/>
      <c r="LH171" s="9"/>
      <c r="LI171" s="11"/>
      <c r="LW171" s="13"/>
      <c r="LX171" s="13"/>
      <c r="MV171" s="13"/>
      <c r="MX171" s="13"/>
      <c r="NV171" s="12"/>
      <c r="NX171" s="12"/>
      <c r="OQ171" s="13"/>
      <c r="OS171" s="12"/>
      <c r="PP171" s="13"/>
      <c r="PR171" s="13"/>
    </row>
    <row r="172" spans="32:434" ht="18" customHeight="1" x14ac:dyDescent="0.2">
      <c r="AF172" s="42"/>
      <c r="AG172" s="43"/>
      <c r="AH172" s="12"/>
      <c r="AZ172" s="12"/>
      <c r="BA172" s="14"/>
      <c r="BB172" s="15"/>
      <c r="BC172" s="15"/>
      <c r="BD172" s="15"/>
      <c r="BE172" s="15"/>
      <c r="BF172" s="15"/>
      <c r="BG172" s="15"/>
      <c r="BH172" s="15"/>
      <c r="BI172" s="15"/>
      <c r="BJ172" s="16"/>
      <c r="BK172" s="13"/>
      <c r="CK172" s="13"/>
      <c r="CL172" s="43"/>
      <c r="CM172" s="43"/>
      <c r="CN172" s="12"/>
      <c r="DG172" s="13"/>
      <c r="EH172" s="42"/>
      <c r="EI172" s="43"/>
      <c r="EJ172" s="12"/>
      <c r="ET172" s="12"/>
      <c r="FA172" s="13"/>
      <c r="FC172" s="9"/>
      <c r="FD172" s="11"/>
      <c r="FG172" s="9"/>
      <c r="FH172" s="10"/>
      <c r="FI172" s="10"/>
      <c r="FJ172" s="10"/>
      <c r="FK172" s="10"/>
      <c r="FL172" s="10"/>
      <c r="FM172" s="10"/>
      <c r="FN172" s="11"/>
      <c r="FR172" s="13"/>
      <c r="FS172" s="208"/>
      <c r="FT172" s="12"/>
      <c r="FY172" s="13"/>
      <c r="GM172" s="9"/>
      <c r="GN172" s="10"/>
      <c r="GO172" s="11"/>
      <c r="GP172" s="43"/>
      <c r="GQ172" s="45"/>
      <c r="IB172" s="12"/>
      <c r="ID172" s="12"/>
      <c r="JA172" s="13"/>
      <c r="JC172" s="12"/>
      <c r="JZ172" s="13"/>
      <c r="KC172" s="12"/>
      <c r="KM172" s="12"/>
      <c r="KO172" s="12"/>
      <c r="KY172" s="12"/>
      <c r="LF172" s="13"/>
      <c r="LH172" s="12"/>
      <c r="LI172" s="13"/>
      <c r="LW172" s="13"/>
      <c r="LX172" s="13"/>
      <c r="LY172" s="9"/>
      <c r="LZ172" s="10"/>
      <c r="MA172" s="10"/>
      <c r="MB172" s="10"/>
      <c r="MC172" s="10"/>
      <c r="MD172" s="11"/>
      <c r="MV172" s="13"/>
      <c r="MX172" s="13"/>
      <c r="NV172" s="12"/>
      <c r="NX172" s="12"/>
      <c r="OQ172" s="13"/>
      <c r="OS172" s="12"/>
      <c r="PP172" s="13"/>
      <c r="PR172" s="13"/>
    </row>
    <row r="173" spans="32:434" ht="18" customHeight="1" x14ac:dyDescent="0.2">
      <c r="AF173" s="42"/>
      <c r="AG173" s="43"/>
      <c r="AH173" s="12"/>
      <c r="AZ173" s="14"/>
      <c r="BA173" s="15"/>
      <c r="BB173" s="15"/>
      <c r="BC173" s="15"/>
      <c r="BD173" s="15"/>
      <c r="BE173" s="15"/>
      <c r="BF173" s="15"/>
      <c r="BG173" s="15"/>
      <c r="BH173" s="15"/>
      <c r="BI173" s="15"/>
      <c r="BJ173" s="16"/>
      <c r="BK173" s="13"/>
      <c r="CK173" s="13"/>
      <c r="CL173" s="43"/>
      <c r="CM173" s="43"/>
      <c r="CN173" s="12"/>
      <c r="DG173" s="13"/>
      <c r="EH173" s="42"/>
      <c r="EI173" s="43"/>
      <c r="EJ173" s="9"/>
      <c r="EK173" s="10"/>
      <c r="EL173" s="10"/>
      <c r="EM173" s="10"/>
      <c r="EN173" s="10"/>
      <c r="EO173" s="9"/>
      <c r="EP173" s="10"/>
      <c r="EQ173" s="10"/>
      <c r="ER173" s="10"/>
      <c r="ES173" s="11"/>
      <c r="ET173" s="12"/>
      <c r="FA173" s="13"/>
      <c r="FC173" s="12"/>
      <c r="FD173" s="33"/>
      <c r="FE173" s="32"/>
      <c r="FG173" s="12"/>
      <c r="FN173" s="13"/>
      <c r="FR173" s="13"/>
      <c r="FS173" s="208"/>
      <c r="FT173" s="12"/>
      <c r="FY173" s="13"/>
      <c r="GM173" s="12"/>
      <c r="GO173" s="176"/>
      <c r="GP173" s="43"/>
      <c r="GQ173" s="45"/>
      <c r="IB173" s="12"/>
      <c r="ID173" s="12"/>
      <c r="JA173" s="13"/>
      <c r="JC173" s="12"/>
      <c r="JZ173" s="13"/>
      <c r="KC173" s="12"/>
      <c r="KM173" s="12"/>
      <c r="KO173" s="12"/>
      <c r="KY173" s="12"/>
      <c r="LF173" s="13"/>
      <c r="LH173" s="12"/>
      <c r="LI173" s="13"/>
      <c r="LW173" s="13"/>
      <c r="LX173" s="13"/>
      <c r="LY173" s="12"/>
      <c r="MD173" s="13"/>
      <c r="MV173" s="13"/>
      <c r="MX173" s="13"/>
      <c r="NV173" s="12"/>
      <c r="NX173" s="12"/>
      <c r="OQ173" s="13"/>
      <c r="OS173" s="12"/>
      <c r="PP173" s="13"/>
      <c r="PR173" s="13"/>
    </row>
    <row r="174" spans="32:434" ht="18" customHeight="1" x14ac:dyDescent="0.2">
      <c r="AF174" s="42"/>
      <c r="AG174" s="43"/>
      <c r="AH174" s="12"/>
      <c r="BJ174" s="13"/>
      <c r="BK174" s="13"/>
      <c r="CK174" s="13"/>
      <c r="CL174" s="43"/>
      <c r="CM174" s="43"/>
      <c r="CN174" s="9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1"/>
      <c r="DG174" s="13"/>
      <c r="EH174" s="42"/>
      <c r="EI174" s="43"/>
      <c r="EJ174" s="12"/>
      <c r="EO174" s="12"/>
      <c r="ES174" s="13"/>
      <c r="ET174" s="12"/>
      <c r="FA174" s="13"/>
      <c r="FC174" s="12"/>
      <c r="FD174" s="33"/>
      <c r="FE174" s="32"/>
      <c r="FG174" s="12"/>
      <c r="FN174" s="13"/>
      <c r="FR174" s="13"/>
      <c r="FS174" s="208"/>
      <c r="FT174" s="12"/>
      <c r="FY174" s="13"/>
      <c r="GM174" s="12"/>
      <c r="GO174" s="177"/>
      <c r="GP174" s="43"/>
      <c r="GQ174" s="45"/>
      <c r="IB174" s="12"/>
      <c r="ID174" s="12"/>
      <c r="JA174" s="13"/>
      <c r="JC174" s="12"/>
      <c r="JZ174" s="13"/>
      <c r="KC174" s="12"/>
      <c r="KM174" s="12"/>
      <c r="KO174" s="12"/>
      <c r="KY174" s="12"/>
      <c r="LF174" s="13"/>
      <c r="LH174" s="12"/>
      <c r="LI174" s="13"/>
      <c r="LL174" s="9"/>
      <c r="LM174" s="10"/>
      <c r="LN174" s="10"/>
      <c r="LO174" s="10"/>
      <c r="LP174" s="10"/>
      <c r="LQ174" s="10"/>
      <c r="LR174" s="10"/>
      <c r="LS174" s="11"/>
      <c r="LW174" s="13"/>
      <c r="LX174" s="13"/>
      <c r="LY174" s="12"/>
      <c r="MD174" s="13"/>
      <c r="MV174" s="13"/>
      <c r="MX174" s="13"/>
      <c r="NV174" s="12"/>
      <c r="NX174" s="12"/>
      <c r="OQ174" s="13"/>
      <c r="OS174" s="12"/>
      <c r="PP174" s="13"/>
      <c r="PR174" s="13"/>
    </row>
    <row r="175" spans="32:434" ht="18" customHeight="1" x14ac:dyDescent="0.2">
      <c r="AF175" s="42"/>
      <c r="AG175" s="43"/>
      <c r="AH175" s="12"/>
      <c r="BJ175" s="13"/>
      <c r="BK175" s="13"/>
      <c r="BL175" s="9"/>
      <c r="BM175" s="11"/>
      <c r="BN175" s="20"/>
      <c r="BO175" s="21"/>
      <c r="BP175" s="21"/>
      <c r="BQ175" s="22"/>
      <c r="CK175" s="13"/>
      <c r="CL175" s="43"/>
      <c r="CM175" s="43"/>
      <c r="CN175" s="12"/>
      <c r="DC175" s="13"/>
      <c r="DG175" s="13"/>
      <c r="EH175" s="42"/>
      <c r="EI175" s="43"/>
      <c r="EJ175" s="12"/>
      <c r="EO175" s="12"/>
      <c r="ES175" s="13"/>
      <c r="ET175" s="12"/>
      <c r="FA175" s="13"/>
      <c r="FC175" s="12"/>
      <c r="FD175" s="13"/>
      <c r="FG175" s="12"/>
      <c r="FN175" s="13"/>
      <c r="FR175" s="13"/>
      <c r="FS175" s="208"/>
      <c r="FT175" s="12"/>
      <c r="FY175" s="13"/>
      <c r="GM175" s="12"/>
      <c r="GO175" s="177"/>
      <c r="GP175" s="43"/>
      <c r="GQ175" s="45"/>
      <c r="IB175" s="12"/>
      <c r="ID175" s="14"/>
      <c r="IE175" s="15"/>
      <c r="IF175" s="15"/>
      <c r="IG175" s="15"/>
      <c r="IH175" s="15"/>
      <c r="II175" s="15"/>
      <c r="IJ175" s="15"/>
      <c r="IK175" s="15"/>
      <c r="IL175" s="15"/>
      <c r="IM175" s="15"/>
      <c r="IN175" s="15"/>
      <c r="IO175" s="15"/>
      <c r="IP175" s="15"/>
      <c r="IQ175" s="15"/>
      <c r="IR175" s="15"/>
      <c r="IS175" s="15"/>
      <c r="IT175" s="15"/>
      <c r="IU175" s="15"/>
      <c r="IV175" s="15"/>
      <c r="IW175" s="15"/>
      <c r="IX175" s="15"/>
      <c r="IY175" s="15"/>
      <c r="IZ175" s="15"/>
      <c r="JA175" s="16"/>
      <c r="JC175" s="12"/>
      <c r="JZ175" s="13"/>
      <c r="KC175" s="12"/>
      <c r="KM175" s="12"/>
      <c r="KO175" s="9"/>
      <c r="KP175" s="10"/>
      <c r="KQ175" s="10"/>
      <c r="KR175" s="10"/>
      <c r="KS175" s="10"/>
      <c r="KT175" s="9"/>
      <c r="KU175" s="10"/>
      <c r="KV175" s="10"/>
      <c r="KW175" s="10"/>
      <c r="KX175" s="11"/>
      <c r="KY175" s="12"/>
      <c r="LF175" s="13"/>
      <c r="LH175" s="12"/>
      <c r="LI175" s="13"/>
      <c r="LL175" s="12"/>
      <c r="LS175" s="13"/>
      <c r="LW175" s="13"/>
      <c r="LX175" s="13"/>
      <c r="LY175" s="12"/>
      <c r="MD175" s="13"/>
      <c r="MV175" s="13"/>
      <c r="MX175" s="13"/>
      <c r="NV175" s="12"/>
      <c r="NX175" s="12"/>
      <c r="OQ175" s="13"/>
      <c r="OS175" s="12"/>
      <c r="PP175" s="13"/>
      <c r="PR175" s="13"/>
    </row>
    <row r="176" spans="32:434" ht="18" customHeight="1" x14ac:dyDescent="0.2">
      <c r="AF176" s="42"/>
      <c r="AG176" s="43"/>
      <c r="AH176" s="12"/>
      <c r="BJ176" s="13"/>
      <c r="BK176" s="13"/>
      <c r="BL176" s="12"/>
      <c r="BM176" s="13"/>
      <c r="BQ176" s="13"/>
      <c r="CK176" s="13"/>
      <c r="CL176" s="43"/>
      <c r="CM176" s="43"/>
      <c r="CN176" s="12"/>
      <c r="DC176" s="13"/>
      <c r="DG176" s="13"/>
      <c r="EH176" s="42"/>
      <c r="EI176" s="43"/>
      <c r="EJ176" s="12"/>
      <c r="EO176" s="12"/>
      <c r="ES176" s="13"/>
      <c r="ET176" s="12"/>
      <c r="FA176" s="13"/>
      <c r="FC176" s="12"/>
      <c r="FD176" s="13"/>
      <c r="FG176" s="12"/>
      <c r="FN176" s="13"/>
      <c r="FR176" s="13"/>
      <c r="FS176" s="208"/>
      <c r="FT176" s="12"/>
      <c r="FY176" s="13"/>
      <c r="GM176" s="12"/>
      <c r="GO176" s="177"/>
      <c r="GP176" s="43"/>
      <c r="GQ176" s="45"/>
      <c r="IB176" s="12"/>
      <c r="ID176" s="12"/>
      <c r="JB176" s="12"/>
      <c r="JC176" s="12"/>
      <c r="JZ176" s="13"/>
      <c r="KC176" s="12"/>
      <c r="KM176" s="12"/>
      <c r="KO176" s="12"/>
      <c r="KT176" s="12"/>
      <c r="KX176" s="13"/>
      <c r="KY176" s="12"/>
      <c r="LF176" s="13"/>
      <c r="LH176" s="14"/>
      <c r="LI176" s="16"/>
      <c r="LL176" s="12"/>
      <c r="LS176" s="13"/>
      <c r="LW176" s="13"/>
      <c r="LX176" s="13"/>
      <c r="LY176" s="12"/>
      <c r="MD176" s="13"/>
      <c r="MV176" s="13"/>
      <c r="MX176" s="13"/>
      <c r="NV176" s="12"/>
      <c r="NX176" s="12"/>
      <c r="OQ176" s="13"/>
      <c r="OS176" s="12"/>
      <c r="PP176" s="13"/>
      <c r="PR176" s="13"/>
    </row>
    <row r="177" spans="32:434" ht="18" customHeight="1" x14ac:dyDescent="0.2">
      <c r="AF177" s="42"/>
      <c r="AG177" s="43"/>
      <c r="AH177" s="12"/>
      <c r="BJ177" s="13"/>
      <c r="BK177" s="13"/>
      <c r="BL177" s="12"/>
      <c r="BM177" s="13"/>
      <c r="BQ177" s="13"/>
      <c r="CK177" s="13"/>
      <c r="CL177" s="43"/>
      <c r="CM177" s="43"/>
      <c r="CN177" s="12"/>
      <c r="DC177" s="13"/>
      <c r="DG177" s="13"/>
      <c r="EH177" s="42"/>
      <c r="EI177" s="43"/>
      <c r="EJ177" s="14"/>
      <c r="EK177" s="15"/>
      <c r="EL177" s="15"/>
      <c r="EM177" s="15"/>
      <c r="EN177" s="15"/>
      <c r="EO177" s="14"/>
      <c r="EP177" s="15"/>
      <c r="EQ177" s="15"/>
      <c r="ER177" s="15"/>
      <c r="ES177" s="16"/>
      <c r="ET177" s="14"/>
      <c r="EU177" s="15"/>
      <c r="EV177" s="15"/>
      <c r="EW177" s="15"/>
      <c r="EX177" s="15"/>
      <c r="EY177" s="15"/>
      <c r="EZ177" s="15"/>
      <c r="FA177" s="16"/>
      <c r="FB177" s="15"/>
      <c r="FC177" s="14"/>
      <c r="FD177" s="16"/>
      <c r="FG177" s="12"/>
      <c r="FN177" s="13"/>
      <c r="FR177" s="13"/>
      <c r="FS177" s="208"/>
      <c r="FT177" s="12"/>
      <c r="FY177" s="13"/>
      <c r="GM177" s="12"/>
      <c r="GO177" s="177"/>
      <c r="GP177" s="43"/>
      <c r="GQ177" s="45"/>
      <c r="IB177" s="12"/>
      <c r="ID177" s="9"/>
      <c r="IE177" s="10"/>
      <c r="IF177" s="10"/>
      <c r="IG177" s="10"/>
      <c r="IH177" s="10"/>
      <c r="II177" s="10"/>
      <c r="IJ177" s="10"/>
      <c r="IK177" s="10"/>
      <c r="IL177" s="10"/>
      <c r="IM177" s="10"/>
      <c r="IN177" s="10"/>
      <c r="IO177" s="10"/>
      <c r="IP177" s="10"/>
      <c r="IQ177" s="10"/>
      <c r="IR177" s="10"/>
      <c r="IS177" s="10"/>
      <c r="IT177" s="10"/>
      <c r="IU177" s="10"/>
      <c r="IV177" s="10"/>
      <c r="IW177" s="10"/>
      <c r="IX177" s="10"/>
      <c r="IY177" s="10"/>
      <c r="IZ177" s="10"/>
      <c r="JA177" s="10"/>
      <c r="JB177" s="12"/>
      <c r="JC177" s="12"/>
      <c r="JZ177" s="13"/>
      <c r="KC177" s="12"/>
      <c r="KM177" s="12"/>
      <c r="KO177" s="12"/>
      <c r="KT177" s="12"/>
      <c r="KX177" s="13"/>
      <c r="KY177" s="12"/>
      <c r="LF177" s="13"/>
      <c r="LH177" s="12"/>
      <c r="LL177" s="12"/>
      <c r="LS177" s="13"/>
      <c r="LW177" s="13"/>
      <c r="LX177" s="13"/>
      <c r="LY177" s="12"/>
      <c r="MD177" s="13"/>
      <c r="MV177" s="13"/>
      <c r="MX177" s="13"/>
      <c r="NV177" s="12"/>
      <c r="NX177" s="12"/>
      <c r="OQ177" s="13"/>
      <c r="OS177" s="12"/>
      <c r="PP177" s="13"/>
      <c r="PR177" s="13"/>
    </row>
    <row r="178" spans="32:434" ht="18" customHeight="1" x14ac:dyDescent="0.2">
      <c r="AF178" s="42"/>
      <c r="AG178" s="43"/>
      <c r="AH178" s="12"/>
      <c r="BJ178" s="13"/>
      <c r="BK178" s="13"/>
      <c r="BL178" s="12"/>
      <c r="BM178" s="13"/>
      <c r="BQ178" s="13"/>
      <c r="CK178" s="13"/>
      <c r="CL178" s="43"/>
      <c r="CM178" s="43"/>
      <c r="CN178" s="12"/>
      <c r="DC178" s="13"/>
      <c r="DG178" s="13"/>
      <c r="EH178" s="42"/>
      <c r="EI178" s="43"/>
      <c r="EJ178" s="43"/>
      <c r="EK178" s="43"/>
      <c r="EL178" s="43"/>
      <c r="EM178" s="43"/>
      <c r="EN178" s="43"/>
      <c r="EO178" s="43"/>
      <c r="EP178" s="43"/>
      <c r="EQ178" s="43"/>
      <c r="ER178" s="43"/>
      <c r="ES178" s="43"/>
      <c r="ET178" s="43"/>
      <c r="EU178" s="43"/>
      <c r="EV178" s="41"/>
      <c r="EW178" s="41"/>
      <c r="EX178" s="41"/>
      <c r="EY178" s="41"/>
      <c r="EZ178" s="41"/>
      <c r="FA178" s="41"/>
      <c r="FB178" s="41"/>
      <c r="FC178" s="12"/>
      <c r="FG178" s="12"/>
      <c r="FN178" s="13"/>
      <c r="FR178" s="13"/>
      <c r="FS178" s="208"/>
      <c r="FT178" s="12"/>
      <c r="FY178" s="13"/>
      <c r="GM178" s="12"/>
      <c r="GO178" s="178"/>
      <c r="GP178" s="43"/>
      <c r="GQ178" s="45"/>
      <c r="IB178" s="12"/>
      <c r="ID178" s="12"/>
      <c r="JB178" s="12"/>
      <c r="JC178" s="12"/>
      <c r="JZ178" s="13"/>
      <c r="KC178" s="12"/>
      <c r="KM178" s="12"/>
      <c r="KO178" s="12"/>
      <c r="KT178" s="12"/>
      <c r="KX178" s="13"/>
      <c r="KY178" s="12"/>
      <c r="LF178" s="13"/>
      <c r="LH178" s="9"/>
      <c r="LI178" s="11"/>
      <c r="LL178" s="12"/>
      <c r="LS178" s="13"/>
      <c r="LW178" s="13"/>
      <c r="LX178" s="13"/>
      <c r="LY178" s="12"/>
      <c r="MD178" s="13"/>
      <c r="MV178" s="13"/>
      <c r="MX178" s="13"/>
      <c r="MY178" s="12"/>
      <c r="NV178" s="12"/>
      <c r="NX178" s="14"/>
      <c r="NY178" s="15"/>
      <c r="NZ178" s="15"/>
      <c r="OA178" s="15"/>
      <c r="OB178" s="15"/>
      <c r="OC178" s="15"/>
      <c r="OD178" s="15"/>
      <c r="OE178" s="15"/>
      <c r="OF178" s="15"/>
      <c r="OG178" s="15"/>
      <c r="OH178" s="15"/>
      <c r="OI178" s="15"/>
      <c r="OJ178" s="15"/>
      <c r="OK178" s="15"/>
      <c r="OL178" s="15"/>
      <c r="OM178" s="15"/>
      <c r="ON178" s="15"/>
      <c r="OO178" s="15"/>
      <c r="OP178" s="15"/>
      <c r="OQ178" s="16"/>
      <c r="OS178" s="12"/>
      <c r="PP178" s="13"/>
      <c r="PR178" s="13"/>
    </row>
    <row r="179" spans="32:434" ht="18" customHeight="1" x14ac:dyDescent="0.2">
      <c r="AF179" s="42"/>
      <c r="AG179" s="43"/>
      <c r="AH179" s="12"/>
      <c r="BJ179" s="13"/>
      <c r="BK179" s="13"/>
      <c r="BL179" s="12"/>
      <c r="BM179" s="13"/>
      <c r="BQ179" s="13"/>
      <c r="CK179" s="13"/>
      <c r="CL179" s="43"/>
      <c r="CM179" s="43"/>
      <c r="CN179" s="12"/>
      <c r="DC179" s="13"/>
      <c r="DG179" s="13"/>
      <c r="EH179" s="46"/>
      <c r="EI179" s="47"/>
      <c r="EJ179" s="47"/>
      <c r="EK179" s="47"/>
      <c r="EL179" s="47"/>
      <c r="EM179" s="47"/>
      <c r="EN179" s="47"/>
      <c r="EO179" s="47"/>
      <c r="EP179" s="47"/>
      <c r="EQ179" s="47"/>
      <c r="ER179" s="47"/>
      <c r="ES179" s="43"/>
      <c r="ET179" s="47"/>
      <c r="EU179" s="43"/>
      <c r="EV179" s="43"/>
      <c r="EW179" s="43"/>
      <c r="EX179" s="43"/>
      <c r="EY179" s="43"/>
      <c r="EZ179" s="43"/>
      <c r="FA179" s="43"/>
      <c r="FB179" s="43"/>
      <c r="FC179" s="9"/>
      <c r="FD179" s="11"/>
      <c r="FG179" s="12"/>
      <c r="FN179" s="13"/>
      <c r="FR179" s="13"/>
      <c r="FS179" s="208"/>
      <c r="FT179" s="12"/>
      <c r="FY179" s="13"/>
      <c r="GM179" s="14"/>
      <c r="GN179" s="15"/>
      <c r="GO179" s="16"/>
      <c r="GP179" s="43"/>
      <c r="GQ179" s="45"/>
      <c r="IB179" s="12"/>
      <c r="ID179" s="12"/>
      <c r="JB179" s="12"/>
      <c r="JC179" s="12"/>
      <c r="JZ179" s="13"/>
      <c r="KC179" s="12"/>
      <c r="KM179" s="12"/>
      <c r="KO179" s="14"/>
      <c r="KP179" s="15"/>
      <c r="KQ179" s="15"/>
      <c r="KR179" s="15"/>
      <c r="KS179" s="15"/>
      <c r="KT179" s="14"/>
      <c r="KU179" s="15"/>
      <c r="KV179" s="15"/>
      <c r="KW179" s="15"/>
      <c r="KX179" s="16"/>
      <c r="KY179" s="14"/>
      <c r="KZ179" s="15"/>
      <c r="LA179" s="15"/>
      <c r="LB179" s="15"/>
      <c r="LC179" s="15"/>
      <c r="LD179" s="15"/>
      <c r="LE179" s="15"/>
      <c r="LF179" s="16"/>
      <c r="LG179" s="15"/>
      <c r="LH179" s="12"/>
      <c r="LI179" s="13"/>
      <c r="LL179" s="12"/>
      <c r="LS179" s="13"/>
      <c r="LW179" s="13"/>
      <c r="LX179" s="13"/>
      <c r="LY179" s="12"/>
      <c r="MD179" s="13"/>
      <c r="MV179" s="13"/>
      <c r="MX179" s="13"/>
      <c r="MY179" s="12"/>
      <c r="NV179" s="12"/>
      <c r="NX179" s="12"/>
      <c r="OS179" s="12"/>
      <c r="PP179" s="13"/>
      <c r="PR179" s="13"/>
    </row>
    <row r="180" spans="32:434" ht="18" customHeight="1" x14ac:dyDescent="0.2">
      <c r="AF180" s="42"/>
      <c r="AG180" s="43"/>
      <c r="AH180" s="12"/>
      <c r="BJ180" s="13"/>
      <c r="BK180" s="13"/>
      <c r="BL180" s="12"/>
      <c r="BM180" s="13"/>
      <c r="BQ180" s="13"/>
      <c r="CK180" s="13"/>
      <c r="CL180" s="43"/>
      <c r="CM180" s="43"/>
      <c r="CN180" s="12"/>
      <c r="DC180" s="13"/>
      <c r="DG180" s="13"/>
      <c r="EQ180" s="10"/>
      <c r="ER180" s="10"/>
      <c r="ES180" s="10"/>
      <c r="ET180" s="10"/>
      <c r="EU180" s="10"/>
      <c r="EV180" s="10"/>
      <c r="EW180" s="10"/>
      <c r="EX180" s="10"/>
      <c r="EY180" s="10"/>
      <c r="EZ180" s="11"/>
      <c r="FA180" s="42"/>
      <c r="FB180" s="43"/>
      <c r="FC180" s="12"/>
      <c r="FD180" s="13"/>
      <c r="FG180" s="12"/>
      <c r="FN180" s="13"/>
      <c r="FR180" s="13"/>
      <c r="FS180" s="208"/>
      <c r="FT180" s="12"/>
      <c r="FY180" s="13"/>
      <c r="GO180" s="13"/>
      <c r="GP180" s="43"/>
      <c r="GQ180" s="45"/>
      <c r="IB180" s="12"/>
      <c r="ID180" s="12"/>
      <c r="JB180" s="14"/>
      <c r="JC180" s="12"/>
      <c r="JZ180" s="13"/>
      <c r="KC180" s="12"/>
      <c r="KM180" s="12"/>
      <c r="LA180" s="10"/>
      <c r="LB180" s="10"/>
      <c r="LC180" s="10"/>
      <c r="LD180" s="10"/>
      <c r="LE180" s="10"/>
      <c r="LF180" s="10"/>
      <c r="LG180" s="10"/>
      <c r="LH180" s="12"/>
      <c r="LI180" s="13"/>
      <c r="LL180" s="12"/>
      <c r="LS180" s="13"/>
      <c r="LW180" s="13"/>
      <c r="LX180" s="13"/>
      <c r="LY180" s="12"/>
      <c r="MD180" s="13"/>
      <c r="MV180" s="13"/>
      <c r="MX180" s="13"/>
      <c r="MY180" s="12"/>
      <c r="NV180" s="12"/>
      <c r="NX180" s="9"/>
      <c r="NY180" s="10"/>
      <c r="NZ180" s="10"/>
      <c r="OA180" s="10"/>
      <c r="OB180" s="10"/>
      <c r="OC180" s="10"/>
      <c r="OD180" s="10"/>
      <c r="OE180" s="10"/>
      <c r="OF180" s="10"/>
      <c r="OG180" s="10"/>
      <c r="OH180" s="10"/>
      <c r="OI180" s="10"/>
      <c r="OJ180" s="10"/>
      <c r="OK180" s="10"/>
      <c r="OL180" s="10"/>
      <c r="OM180" s="10"/>
      <c r="ON180" s="10"/>
      <c r="OO180" s="10"/>
      <c r="OP180" s="10"/>
      <c r="OQ180" s="10"/>
      <c r="OR180" s="17"/>
      <c r="OS180" s="12"/>
      <c r="PP180" s="13"/>
      <c r="PR180" s="13"/>
    </row>
    <row r="181" spans="32:434" ht="18" customHeight="1" x14ac:dyDescent="0.2">
      <c r="AF181" s="42"/>
      <c r="AG181" s="43"/>
      <c r="AH181" s="12"/>
      <c r="BJ181" s="13"/>
      <c r="BK181" s="13"/>
      <c r="BL181" s="12"/>
      <c r="BM181" s="13"/>
      <c r="BN181" s="9"/>
      <c r="BO181" s="10"/>
      <c r="BP181" s="10"/>
      <c r="BQ181" s="11"/>
      <c r="CK181" s="13"/>
      <c r="CL181" s="43"/>
      <c r="CM181" s="43"/>
      <c r="CN181" s="12"/>
      <c r="DC181" s="13"/>
      <c r="DG181" s="13"/>
      <c r="FA181" s="42"/>
      <c r="FB181" s="43"/>
      <c r="FC181" s="12"/>
      <c r="FD181" s="13"/>
      <c r="FG181" s="12"/>
      <c r="FN181" s="13"/>
      <c r="FR181" s="13"/>
      <c r="FS181" s="208"/>
      <c r="FT181" s="14"/>
      <c r="FU181" s="15"/>
      <c r="FV181" s="15"/>
      <c r="FW181" s="15"/>
      <c r="FX181" s="15"/>
      <c r="FY181" s="16"/>
      <c r="GO181" s="13"/>
      <c r="GP181" s="43"/>
      <c r="GQ181" s="45"/>
      <c r="IB181" s="12"/>
      <c r="ID181" s="12"/>
      <c r="IH181" s="9"/>
      <c r="II181" s="10"/>
      <c r="IJ181" s="10"/>
      <c r="IK181" s="10"/>
      <c r="IL181" s="10"/>
      <c r="IM181" s="10"/>
      <c r="IN181" s="10"/>
      <c r="IO181" s="10"/>
      <c r="IP181" s="10"/>
      <c r="IQ181" s="10"/>
      <c r="IR181" s="10"/>
      <c r="IS181" s="10"/>
      <c r="IT181" s="10"/>
      <c r="IU181" s="10"/>
      <c r="IV181" s="10"/>
      <c r="IW181" s="10"/>
      <c r="IX181" s="10"/>
      <c r="IY181" s="10"/>
      <c r="IZ181" s="10"/>
      <c r="JA181" s="10"/>
      <c r="JZ181" s="13"/>
      <c r="KC181" s="12"/>
      <c r="KM181" s="14"/>
      <c r="KN181" s="15"/>
      <c r="KO181" s="15"/>
      <c r="KP181" s="15"/>
      <c r="KQ181" s="15"/>
      <c r="KR181" s="15"/>
      <c r="KS181" s="15"/>
      <c r="KT181" s="15"/>
      <c r="KU181" s="15"/>
      <c r="KV181" s="15"/>
      <c r="KW181" s="15"/>
      <c r="KY181" s="15"/>
      <c r="LH181" s="12"/>
      <c r="LI181" s="13"/>
      <c r="LL181" s="12"/>
      <c r="LS181" s="13"/>
      <c r="LW181" s="13"/>
      <c r="LX181" s="13"/>
      <c r="LY181" s="12"/>
      <c r="MD181" s="13"/>
      <c r="MV181" s="13"/>
      <c r="MX181" s="13"/>
      <c r="MY181" s="12"/>
      <c r="NV181" s="12"/>
      <c r="NX181" s="12"/>
      <c r="OR181" s="18"/>
      <c r="OS181" s="12"/>
      <c r="PP181" s="13"/>
      <c r="PR181" s="13"/>
    </row>
    <row r="182" spans="32:434" ht="18" customHeight="1" x14ac:dyDescent="0.2">
      <c r="AF182" s="42"/>
      <c r="AG182" s="43"/>
      <c r="AH182" s="12"/>
      <c r="BJ182" s="13"/>
      <c r="BK182" s="13"/>
      <c r="BL182" s="12"/>
      <c r="BM182" s="13"/>
      <c r="BN182" s="12"/>
      <c r="BQ182" s="13"/>
      <c r="CK182" s="13"/>
      <c r="CL182" s="43"/>
      <c r="CM182" s="43"/>
      <c r="CN182" s="12"/>
      <c r="DC182" s="13"/>
      <c r="DG182" s="13"/>
      <c r="FA182" s="42"/>
      <c r="FB182" s="43"/>
      <c r="FC182" s="12"/>
      <c r="FD182" s="13"/>
      <c r="FG182" s="12"/>
      <c r="FN182" s="13"/>
      <c r="FR182" s="13"/>
      <c r="FS182" s="208"/>
      <c r="GO182" s="13"/>
      <c r="GP182" s="43"/>
      <c r="GQ182" s="45"/>
      <c r="IB182" s="17"/>
      <c r="IC182" s="9"/>
      <c r="ID182" s="12"/>
      <c r="IH182" s="12"/>
      <c r="JZ182" s="13"/>
      <c r="KA182" s="11"/>
      <c r="KB182" s="9"/>
      <c r="KC182" s="12"/>
      <c r="KV182" s="10"/>
      <c r="KW182" s="10"/>
      <c r="KX182" s="10"/>
      <c r="KY182" s="10"/>
      <c r="KZ182" s="10"/>
      <c r="LA182" s="10"/>
      <c r="LB182" s="10"/>
      <c r="LC182" s="10"/>
      <c r="LD182" s="10"/>
      <c r="LE182" s="11"/>
      <c r="LF182" s="12"/>
      <c r="LH182" s="12"/>
      <c r="LI182" s="13"/>
      <c r="LL182" s="12"/>
      <c r="LS182" s="13"/>
      <c r="LW182" s="13"/>
      <c r="LX182" s="13"/>
      <c r="LY182" s="12"/>
      <c r="MD182" s="13"/>
      <c r="MV182" s="13"/>
      <c r="MX182" s="13"/>
      <c r="MY182" s="12"/>
      <c r="NV182" s="12"/>
      <c r="NX182" s="12"/>
      <c r="OR182" s="18"/>
      <c r="OS182" s="12"/>
      <c r="PP182" s="13"/>
      <c r="PR182" s="13"/>
    </row>
    <row r="183" spans="32:434" ht="18" customHeight="1" x14ac:dyDescent="0.2">
      <c r="AF183" s="42"/>
      <c r="AG183" s="43"/>
      <c r="AH183" s="12"/>
      <c r="BJ183" s="13"/>
      <c r="BK183" s="13"/>
      <c r="BL183" s="12"/>
      <c r="BM183" s="13"/>
      <c r="BN183" s="12"/>
      <c r="BQ183" s="13"/>
      <c r="CK183" s="13"/>
      <c r="CL183" s="43"/>
      <c r="CM183" s="43"/>
      <c r="CN183" s="12"/>
      <c r="DC183" s="13"/>
      <c r="DG183" s="13"/>
      <c r="FA183" s="42"/>
      <c r="FB183" s="43"/>
      <c r="FC183" s="12"/>
      <c r="FD183" s="13"/>
      <c r="FG183" s="12"/>
      <c r="FN183" s="13"/>
      <c r="FR183" s="13"/>
      <c r="FS183" s="208"/>
      <c r="GO183" s="13"/>
      <c r="GP183" s="43"/>
      <c r="GQ183" s="45"/>
      <c r="IB183" s="18"/>
      <c r="IC183" s="12"/>
      <c r="ID183" s="12"/>
      <c r="IE183" s="9"/>
      <c r="IF183" s="11"/>
      <c r="IH183" s="12"/>
      <c r="JZ183" s="13"/>
      <c r="KA183" s="13"/>
      <c r="KB183" s="12"/>
      <c r="KC183" s="12"/>
      <c r="LF183" s="12"/>
      <c r="LH183" s="14"/>
      <c r="LI183" s="16"/>
      <c r="LL183" s="12"/>
      <c r="LS183" s="13"/>
      <c r="LW183" s="13"/>
      <c r="LX183" s="13"/>
      <c r="LY183" s="14"/>
      <c r="LZ183" s="15"/>
      <c r="MA183" s="15"/>
      <c r="MB183" s="15"/>
      <c r="MC183" s="15"/>
      <c r="MD183" s="16"/>
      <c r="MV183" s="13"/>
      <c r="MX183" s="13"/>
      <c r="MY183" s="12"/>
      <c r="NV183" s="12"/>
      <c r="NX183" s="12"/>
      <c r="OR183" s="19"/>
      <c r="OS183" s="12"/>
      <c r="PP183" s="13"/>
      <c r="PR183" s="13"/>
    </row>
    <row r="184" spans="32:434" ht="18" customHeight="1" x14ac:dyDescent="0.2">
      <c r="AF184" s="42"/>
      <c r="AG184" s="43"/>
      <c r="AH184" s="12"/>
      <c r="BJ184" s="13"/>
      <c r="BK184" s="13"/>
      <c r="BL184" s="12"/>
      <c r="BM184" s="13"/>
      <c r="BN184" s="12"/>
      <c r="BQ184" s="13"/>
      <c r="CK184" s="13"/>
      <c r="CL184" s="43"/>
      <c r="CM184" s="43"/>
      <c r="CN184" s="12"/>
      <c r="DC184" s="13"/>
      <c r="DG184" s="13"/>
      <c r="FA184" s="42"/>
      <c r="FB184" s="43"/>
      <c r="FC184" s="14"/>
      <c r="FD184" s="16"/>
      <c r="FG184" s="12"/>
      <c r="FN184" s="13"/>
      <c r="FR184" s="13"/>
      <c r="FS184" s="208"/>
      <c r="GO184" s="13"/>
      <c r="GP184" s="43"/>
      <c r="GQ184" s="45"/>
      <c r="IB184" s="18"/>
      <c r="IC184" s="12"/>
      <c r="ID184" s="12"/>
      <c r="IE184" s="12"/>
      <c r="IF184" s="13"/>
      <c r="IH184" s="12"/>
      <c r="JZ184" s="13"/>
      <c r="KA184" s="13"/>
      <c r="KB184" s="12"/>
      <c r="KC184" s="12"/>
      <c r="LF184" s="12"/>
      <c r="LH184" s="12"/>
      <c r="LL184" s="12"/>
      <c r="LS184" s="13"/>
      <c r="LW184" s="13"/>
      <c r="LX184" s="13"/>
      <c r="MV184" s="13"/>
      <c r="MX184" s="13"/>
      <c r="MY184" s="12"/>
      <c r="NV184" s="12"/>
      <c r="NX184" s="12"/>
      <c r="OB184" s="9"/>
      <c r="OC184" s="10"/>
      <c r="OD184" s="10"/>
      <c r="OE184" s="10"/>
      <c r="OF184" s="10"/>
      <c r="OG184" s="10"/>
      <c r="OH184" s="10"/>
      <c r="OI184" s="10"/>
      <c r="OJ184" s="10"/>
      <c r="OK184" s="10"/>
      <c r="OL184" s="10"/>
      <c r="OM184" s="10"/>
      <c r="ON184" s="10"/>
      <c r="OO184" s="10"/>
      <c r="OP184" s="10"/>
      <c r="OQ184" s="10"/>
      <c r="OR184" s="11"/>
      <c r="OS184" s="12"/>
      <c r="PP184" s="13"/>
      <c r="PR184" s="13"/>
    </row>
    <row r="185" spans="32:434" ht="18" customHeight="1" x14ac:dyDescent="0.2">
      <c r="AF185" s="42"/>
      <c r="AG185" s="43"/>
      <c r="AH185" s="12"/>
      <c r="BJ185" s="13"/>
      <c r="BK185" s="13"/>
      <c r="BL185" s="12"/>
      <c r="BM185" s="13"/>
      <c r="BN185" s="14"/>
      <c r="BO185" s="15"/>
      <c r="BP185" s="15"/>
      <c r="BQ185" s="16"/>
      <c r="CK185" s="13"/>
      <c r="CL185" s="43"/>
      <c r="CM185" s="43"/>
      <c r="CN185" s="12"/>
      <c r="DC185" s="13"/>
      <c r="DG185" s="13"/>
      <c r="FA185" s="42"/>
      <c r="FB185" s="43"/>
      <c r="FC185" s="12"/>
      <c r="FG185" s="12"/>
      <c r="FN185" s="13"/>
      <c r="FR185" s="13"/>
      <c r="FS185" s="208"/>
      <c r="GO185" s="13"/>
      <c r="GP185" s="125"/>
      <c r="GQ185" s="125"/>
      <c r="IB185" s="18"/>
      <c r="IC185" s="12"/>
      <c r="ID185" s="12"/>
      <c r="IE185" s="12"/>
      <c r="IF185" s="13"/>
      <c r="IH185" s="12"/>
      <c r="JZ185" s="13"/>
      <c r="KA185" s="13"/>
      <c r="KB185" s="12"/>
      <c r="KC185" s="12"/>
      <c r="LF185" s="12"/>
      <c r="LH185" s="12"/>
      <c r="LL185" s="12"/>
      <c r="LS185" s="13"/>
      <c r="LW185" s="13"/>
      <c r="LX185" s="13"/>
      <c r="MV185" s="13"/>
      <c r="MX185" s="13"/>
      <c r="MY185" s="12"/>
      <c r="NV185" s="12"/>
      <c r="NX185" s="12"/>
      <c r="OB185" s="12"/>
      <c r="OR185" s="13"/>
      <c r="OS185" s="12"/>
      <c r="PP185" s="13"/>
      <c r="PR185" s="13"/>
    </row>
    <row r="186" spans="32:434" ht="18" customHeight="1" x14ac:dyDescent="0.2">
      <c r="AF186" s="42"/>
      <c r="AG186" s="43"/>
      <c r="AH186" s="14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6"/>
      <c r="BK186" s="13"/>
      <c r="BL186" s="14"/>
      <c r="BM186" s="16"/>
      <c r="BN186" s="15"/>
      <c r="BO186" s="15"/>
      <c r="BP186" s="15"/>
      <c r="BQ186" s="16"/>
      <c r="CK186" s="13"/>
      <c r="CL186" s="43"/>
      <c r="CM186" s="43"/>
      <c r="CN186" s="12"/>
      <c r="DC186" s="13"/>
      <c r="DG186" s="13"/>
      <c r="FA186" s="42"/>
      <c r="FB186" s="43"/>
      <c r="FC186" s="12"/>
      <c r="FG186" s="12"/>
      <c r="FN186" s="13"/>
      <c r="FR186" s="13"/>
      <c r="FS186" s="208"/>
      <c r="GO186" s="13"/>
      <c r="GP186" s="108"/>
      <c r="GQ186" s="108"/>
      <c r="IB186" s="18"/>
      <c r="IC186" s="12"/>
      <c r="ID186" s="12"/>
      <c r="IE186" s="14"/>
      <c r="IF186" s="16"/>
      <c r="IH186" s="12"/>
      <c r="JZ186" s="13"/>
      <c r="KA186" s="13"/>
      <c r="KB186" s="12"/>
      <c r="KC186" s="12"/>
      <c r="LF186" s="12"/>
      <c r="LH186" s="12"/>
      <c r="LL186" s="12"/>
      <c r="LS186" s="13"/>
      <c r="LW186" s="13"/>
      <c r="LX186" s="13"/>
      <c r="MV186" s="13"/>
      <c r="MX186" s="13"/>
      <c r="MY186" s="12"/>
      <c r="NV186" s="12"/>
      <c r="NX186" s="12"/>
      <c r="OB186" s="12"/>
      <c r="OR186" s="13"/>
      <c r="OS186" s="12"/>
      <c r="PP186" s="13"/>
      <c r="PR186" s="13"/>
    </row>
    <row r="187" spans="32:434" ht="18" customHeight="1" x14ac:dyDescent="0.2">
      <c r="AF187" s="42"/>
      <c r="AG187" s="43"/>
      <c r="AH187" s="12"/>
      <c r="BK187" s="13"/>
      <c r="CK187" s="13"/>
      <c r="CL187" s="43"/>
      <c r="CM187" s="43"/>
      <c r="CN187" s="12"/>
      <c r="DC187" s="13"/>
      <c r="DG187" s="13"/>
      <c r="FA187" s="42"/>
      <c r="FB187" s="43"/>
      <c r="FC187" s="12"/>
      <c r="FG187" s="12"/>
      <c r="FN187" s="13"/>
      <c r="FR187" s="13"/>
      <c r="FS187" s="208"/>
      <c r="GO187" s="13"/>
      <c r="GP187" s="108"/>
      <c r="GQ187" s="108"/>
      <c r="IB187" s="19"/>
      <c r="IC187" s="14"/>
      <c r="ID187" s="12"/>
      <c r="IH187" s="12"/>
      <c r="JZ187" s="13"/>
      <c r="KA187" s="16"/>
      <c r="KB187" s="14"/>
      <c r="KC187" s="12"/>
      <c r="LF187" s="12"/>
      <c r="LH187" s="12"/>
      <c r="LL187" s="12"/>
      <c r="LS187" s="13"/>
      <c r="LW187" s="13"/>
      <c r="LX187" s="13"/>
      <c r="MV187" s="13"/>
      <c r="MX187" s="13"/>
      <c r="MY187" s="12"/>
      <c r="NV187" s="12"/>
      <c r="NX187" s="12"/>
      <c r="OB187" s="12"/>
      <c r="OR187" s="13"/>
      <c r="OS187" s="12"/>
      <c r="PP187" s="13"/>
      <c r="PR187" s="13"/>
    </row>
    <row r="188" spans="32:434" ht="18" customHeight="1" x14ac:dyDescent="0.2">
      <c r="AF188" s="42"/>
      <c r="AG188" s="43"/>
      <c r="AH188" s="9"/>
      <c r="AI188" s="10"/>
      <c r="AJ188" s="10"/>
      <c r="AK188" s="10"/>
      <c r="AL188" s="10"/>
      <c r="AM188" s="10"/>
      <c r="AN188" s="10"/>
      <c r="AO188" s="10"/>
      <c r="AP188" s="10"/>
      <c r="AQ188" s="17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7"/>
      <c r="CK188" s="13"/>
      <c r="CL188" s="43"/>
      <c r="CM188" s="43"/>
      <c r="CN188" s="12"/>
      <c r="DC188" s="13"/>
      <c r="DG188" s="13"/>
      <c r="FA188" s="42"/>
      <c r="FB188" s="43"/>
      <c r="FC188" s="12"/>
      <c r="FG188" s="12"/>
      <c r="FO188" s="10"/>
      <c r="FP188" s="10"/>
      <c r="FQ188" s="10"/>
      <c r="FR188" s="10"/>
      <c r="FS188" s="10"/>
      <c r="GO188" s="13"/>
      <c r="GP188" s="108"/>
      <c r="GQ188" s="108"/>
      <c r="IB188" s="12"/>
      <c r="ID188" s="12"/>
      <c r="IH188" s="14"/>
      <c r="II188" s="15"/>
      <c r="IJ188" s="15"/>
      <c r="IK188" s="15"/>
      <c r="IL188" s="15"/>
      <c r="IM188" s="15"/>
      <c r="IN188" s="15"/>
      <c r="IO188" s="15"/>
      <c r="IP188" s="15"/>
      <c r="IQ188" s="15"/>
      <c r="IR188" s="15"/>
      <c r="IS188" s="15"/>
      <c r="IT188" s="15"/>
      <c r="IU188" s="15"/>
      <c r="IV188" s="15"/>
      <c r="IW188" s="15"/>
      <c r="IX188" s="15"/>
      <c r="IY188" s="15"/>
      <c r="IZ188" s="15"/>
      <c r="JA188" s="15"/>
      <c r="JB188" s="15"/>
      <c r="JZ188" s="13"/>
      <c r="KC188" s="12"/>
      <c r="LF188" s="12"/>
      <c r="LH188" s="12"/>
      <c r="LL188" s="12"/>
      <c r="LT188" s="10"/>
      <c r="LU188" s="10"/>
      <c r="LV188" s="10"/>
      <c r="LW188" s="10"/>
      <c r="LX188" s="10"/>
      <c r="MV188" s="13"/>
      <c r="MX188" s="13"/>
      <c r="MY188" s="12"/>
      <c r="NV188" s="12"/>
      <c r="NX188" s="12"/>
      <c r="OB188" s="12"/>
      <c r="OR188" s="13"/>
      <c r="OS188" s="12"/>
      <c r="PP188" s="13"/>
      <c r="PR188" s="13"/>
    </row>
    <row r="189" spans="32:434" ht="18" customHeight="1" x14ac:dyDescent="0.2">
      <c r="AF189" s="42"/>
      <c r="AG189" s="43"/>
      <c r="AH189" s="12"/>
      <c r="AQ189" s="18"/>
      <c r="BK189" s="18"/>
      <c r="CK189" s="13"/>
      <c r="CL189" s="43"/>
      <c r="CM189" s="43"/>
      <c r="CN189" s="12"/>
      <c r="DC189" s="13"/>
      <c r="DG189" s="13"/>
      <c r="FA189" s="42"/>
      <c r="FB189" s="43"/>
      <c r="FC189" s="12"/>
      <c r="FE189" s="97"/>
      <c r="FG189" s="12"/>
      <c r="GO189" s="13"/>
      <c r="GP189" s="108"/>
      <c r="GQ189" s="108"/>
      <c r="IB189" s="12"/>
      <c r="ID189" s="12"/>
      <c r="JA189" s="13"/>
      <c r="JC189" s="12"/>
      <c r="JZ189" s="13"/>
      <c r="KC189" s="12"/>
      <c r="LF189" s="12"/>
      <c r="LH189" s="12"/>
      <c r="LL189" s="12"/>
      <c r="MV189" s="13"/>
      <c r="MX189" s="13"/>
      <c r="MY189" s="12"/>
      <c r="NV189" s="12"/>
      <c r="NX189" s="12"/>
      <c r="OB189" s="12"/>
      <c r="OR189" s="13"/>
      <c r="OS189" s="12"/>
      <c r="PP189" s="13"/>
      <c r="PR189" s="13"/>
    </row>
    <row r="190" spans="32:434" ht="18" customHeight="1" x14ac:dyDescent="0.2">
      <c r="AF190" s="42"/>
      <c r="AG190" s="43"/>
      <c r="AH190" s="12"/>
      <c r="AQ190" s="18"/>
      <c r="BK190" s="18"/>
      <c r="CK190" s="13"/>
      <c r="CL190" s="43"/>
      <c r="CM190" s="43"/>
      <c r="CN190" s="12"/>
      <c r="DC190" s="13"/>
      <c r="DG190" s="13"/>
      <c r="FA190" s="42"/>
      <c r="FB190" s="43"/>
      <c r="FC190" s="12"/>
      <c r="FE190" s="97"/>
      <c r="FG190" s="12"/>
      <c r="GO190" s="13"/>
      <c r="GP190" s="126"/>
      <c r="GQ190" s="126"/>
      <c r="IB190" s="12"/>
      <c r="ID190" s="12"/>
      <c r="JA190" s="13"/>
      <c r="JC190" s="12"/>
      <c r="JZ190" s="13"/>
      <c r="KC190" s="12"/>
      <c r="LF190" s="12"/>
      <c r="LH190" s="12"/>
      <c r="LL190" s="12"/>
      <c r="MV190" s="13"/>
      <c r="MX190" s="13"/>
      <c r="MY190" s="12"/>
      <c r="NV190" s="12"/>
      <c r="NX190" s="12"/>
      <c r="OB190" s="12"/>
      <c r="OR190" s="13"/>
      <c r="OS190" s="12"/>
      <c r="PP190" s="13"/>
      <c r="PR190" s="13"/>
    </row>
    <row r="191" spans="32:434" ht="18" customHeight="1" x14ac:dyDescent="0.2">
      <c r="AF191" s="42"/>
      <c r="AG191" s="43"/>
      <c r="AH191" s="12"/>
      <c r="AQ191" s="18"/>
      <c r="BK191" s="19"/>
      <c r="CK191" s="13"/>
      <c r="CL191" s="43"/>
      <c r="CM191" s="43"/>
      <c r="CN191" s="12"/>
      <c r="DC191" s="13"/>
      <c r="DG191" s="13"/>
      <c r="FA191" s="42"/>
      <c r="FB191" s="43"/>
      <c r="FC191" s="12"/>
      <c r="FE191" s="97"/>
      <c r="FG191" s="12"/>
      <c r="GO191" s="13"/>
      <c r="GP191" s="43"/>
      <c r="GQ191" s="45"/>
      <c r="IB191" s="12"/>
      <c r="ID191" s="12"/>
      <c r="JA191" s="13"/>
      <c r="JC191" s="12"/>
      <c r="JZ191" s="13"/>
      <c r="KC191" s="12"/>
      <c r="LF191" s="12"/>
      <c r="LH191" s="12"/>
      <c r="LL191" s="12"/>
      <c r="MV191" s="13"/>
      <c r="MX191" s="13"/>
      <c r="MY191" s="12"/>
      <c r="NV191" s="12"/>
      <c r="NX191" s="14"/>
      <c r="NY191" s="15"/>
      <c r="NZ191" s="15"/>
      <c r="OA191" s="15"/>
      <c r="OB191" s="14"/>
      <c r="OC191" s="15"/>
      <c r="OD191" s="15"/>
      <c r="OE191" s="15"/>
      <c r="OF191" s="15"/>
      <c r="OG191" s="15"/>
      <c r="OH191" s="15"/>
      <c r="OI191" s="15"/>
      <c r="OJ191" s="15"/>
      <c r="OK191" s="15"/>
      <c r="OL191" s="15"/>
      <c r="OM191" s="15"/>
      <c r="ON191" s="15"/>
      <c r="OO191" s="15"/>
      <c r="OP191" s="15"/>
      <c r="OQ191" s="15"/>
      <c r="OR191" s="16"/>
      <c r="OS191" s="14"/>
      <c r="OT191" s="15"/>
      <c r="OU191" s="15"/>
      <c r="OV191" s="15"/>
      <c r="OW191" s="15"/>
      <c r="OX191" s="15"/>
      <c r="OY191" s="15"/>
      <c r="OZ191" s="15"/>
      <c r="PA191" s="15"/>
      <c r="PB191" s="15"/>
      <c r="PC191" s="15"/>
      <c r="PD191" s="15"/>
      <c r="PE191" s="15"/>
      <c r="PF191" s="15"/>
      <c r="PG191" s="15"/>
      <c r="PH191" s="15"/>
      <c r="PI191" s="15"/>
      <c r="PJ191" s="15"/>
      <c r="PK191" s="15"/>
      <c r="PL191" s="15"/>
      <c r="PM191" s="15"/>
      <c r="PN191" s="15"/>
      <c r="PO191" s="15"/>
      <c r="PP191" s="16"/>
      <c r="PR191" s="13"/>
    </row>
    <row r="192" spans="32:434" ht="18" customHeight="1" x14ac:dyDescent="0.2">
      <c r="AF192" s="42"/>
      <c r="AG192" s="43"/>
      <c r="AH192" s="12"/>
      <c r="AQ192" s="18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1"/>
      <c r="CK192" s="13"/>
      <c r="CL192" s="43"/>
      <c r="CM192" s="43"/>
      <c r="CN192" s="12"/>
      <c r="DC192" s="13"/>
      <c r="DG192" s="13"/>
      <c r="FA192" s="42"/>
      <c r="FB192" s="43"/>
      <c r="FC192" s="12"/>
      <c r="FE192" s="97"/>
      <c r="FG192" s="12"/>
      <c r="GO192" s="13"/>
      <c r="GP192" s="43"/>
      <c r="GQ192" s="45"/>
      <c r="IB192" s="12"/>
      <c r="ID192" s="14"/>
      <c r="IE192" s="15"/>
      <c r="IF192" s="15"/>
      <c r="IG192" s="15"/>
      <c r="IH192" s="15"/>
      <c r="II192" s="15"/>
      <c r="IJ192" s="15"/>
      <c r="IK192" s="15"/>
      <c r="IL192" s="15"/>
      <c r="IM192" s="15"/>
      <c r="IN192" s="15"/>
      <c r="IO192" s="15"/>
      <c r="IP192" s="15"/>
      <c r="IQ192" s="15"/>
      <c r="IR192" s="15"/>
      <c r="IS192" s="15"/>
      <c r="IT192" s="15"/>
      <c r="IU192" s="15"/>
      <c r="IV192" s="15"/>
      <c r="IW192" s="15"/>
      <c r="IX192" s="15"/>
      <c r="IY192" s="15"/>
      <c r="IZ192" s="15"/>
      <c r="JA192" s="16"/>
      <c r="JB192" s="15"/>
      <c r="JC192" s="14"/>
      <c r="JD192" s="15"/>
      <c r="JE192" s="15"/>
      <c r="JF192" s="15"/>
      <c r="JG192" s="15"/>
      <c r="JH192" s="15"/>
      <c r="JI192" s="15"/>
      <c r="JJ192" s="15"/>
      <c r="JK192" s="15"/>
      <c r="JL192" s="15"/>
      <c r="JM192" s="15"/>
      <c r="JN192" s="15"/>
      <c r="JO192" s="15"/>
      <c r="JP192" s="15"/>
      <c r="JQ192" s="15"/>
      <c r="JR192" s="15"/>
      <c r="JS192" s="15"/>
      <c r="JT192" s="15"/>
      <c r="JU192" s="15"/>
      <c r="JV192" s="15"/>
      <c r="JW192" s="15"/>
      <c r="JX192" s="15"/>
      <c r="JY192" s="15"/>
      <c r="JZ192" s="16"/>
      <c r="KC192" s="12"/>
      <c r="LF192" s="12"/>
      <c r="LH192" s="12"/>
      <c r="LL192" s="12"/>
      <c r="MV192" s="13"/>
      <c r="MX192" s="13"/>
      <c r="MY192" s="12"/>
      <c r="NV192" s="12"/>
      <c r="PR192" s="13"/>
    </row>
    <row r="193" spans="32:434" ht="18" customHeight="1" x14ac:dyDescent="0.2">
      <c r="AF193" s="42"/>
      <c r="AG193" s="43"/>
      <c r="AH193" s="12"/>
      <c r="AQ193" s="24"/>
      <c r="BK193" s="13"/>
      <c r="CK193" s="13"/>
      <c r="CL193" s="43"/>
      <c r="CM193" s="43"/>
      <c r="CN193" s="12"/>
      <c r="DC193" s="13"/>
      <c r="DG193" s="13"/>
      <c r="FA193" s="42"/>
      <c r="FB193" s="43"/>
      <c r="FC193" s="12"/>
      <c r="FG193" s="12"/>
      <c r="GO193" s="13"/>
      <c r="GP193" s="43"/>
      <c r="GQ193" s="45"/>
      <c r="IB193" s="12"/>
      <c r="JF193" s="14"/>
      <c r="JG193" s="15"/>
      <c r="JH193" s="15"/>
      <c r="JI193" s="15"/>
      <c r="JJ193" s="15"/>
      <c r="JK193" s="16"/>
      <c r="KC193" s="12"/>
      <c r="LF193" s="12"/>
      <c r="LH193" s="12"/>
      <c r="LL193" s="12"/>
      <c r="MV193" s="13"/>
      <c r="MX193" s="13"/>
      <c r="MY193" s="12"/>
      <c r="NV193" s="14"/>
      <c r="NW193" s="15"/>
      <c r="NX193" s="15"/>
      <c r="NY193" s="15"/>
      <c r="NZ193" s="15"/>
      <c r="OA193" s="15"/>
      <c r="OB193" s="15"/>
      <c r="OC193" s="15"/>
      <c r="OD193" s="15"/>
      <c r="OE193" s="15"/>
      <c r="OF193" s="15"/>
      <c r="OG193" s="15"/>
      <c r="OH193" s="15"/>
      <c r="OI193" s="15"/>
      <c r="OJ193" s="15"/>
      <c r="OK193" s="15"/>
      <c r="OL193" s="15"/>
      <c r="OM193" s="15"/>
      <c r="ON193" s="15"/>
      <c r="OO193" s="15"/>
      <c r="OP193" s="15"/>
      <c r="OQ193" s="15"/>
      <c r="OR193" s="15"/>
      <c r="OS193" s="15"/>
      <c r="OT193" s="15"/>
      <c r="OU193" s="15"/>
      <c r="OV193" s="15"/>
      <c r="OW193" s="15"/>
      <c r="OX193" s="15"/>
      <c r="OY193" s="15"/>
      <c r="OZ193" s="15"/>
      <c r="PA193" s="15"/>
      <c r="PB193" s="15"/>
      <c r="PC193" s="15"/>
      <c r="PD193" s="15"/>
      <c r="PE193" s="15"/>
      <c r="PF193" s="15"/>
      <c r="PG193" s="15"/>
      <c r="PH193" s="15"/>
      <c r="PI193" s="15"/>
      <c r="PJ193" s="15"/>
      <c r="PK193" s="15"/>
      <c r="PL193" s="15"/>
      <c r="PM193" s="15"/>
      <c r="PN193" s="15"/>
      <c r="PO193" s="15"/>
      <c r="PP193" s="15"/>
      <c r="PQ193" s="15"/>
      <c r="PR193" s="16"/>
    </row>
    <row r="194" spans="32:434" ht="18" customHeight="1" x14ac:dyDescent="0.2">
      <c r="AF194" s="42"/>
      <c r="AG194" s="43"/>
      <c r="AH194" s="12"/>
      <c r="AQ194" s="24"/>
      <c r="BK194" s="13"/>
      <c r="CK194" s="13"/>
      <c r="CL194" s="43"/>
      <c r="CM194" s="43"/>
      <c r="CN194" s="12"/>
      <c r="DC194" s="13"/>
      <c r="DG194" s="13"/>
      <c r="FA194" s="42"/>
      <c r="FB194" s="43"/>
      <c r="FC194" s="12"/>
      <c r="FF194" s="13"/>
      <c r="FG194" s="12"/>
      <c r="GO194" s="13"/>
      <c r="GP194" s="43"/>
      <c r="GQ194" s="45"/>
      <c r="IB194" s="12"/>
      <c r="JF194" s="9"/>
      <c r="JG194" s="10"/>
      <c r="JH194" s="10"/>
      <c r="JI194" s="10"/>
      <c r="JJ194" s="10"/>
      <c r="JK194" s="11"/>
      <c r="KC194" s="12"/>
      <c r="LF194" s="12"/>
      <c r="LH194" s="12"/>
      <c r="LK194" s="13"/>
      <c r="LL194" s="12"/>
      <c r="MV194" s="13"/>
      <c r="MX194" s="13"/>
      <c r="MY194" s="12"/>
    </row>
    <row r="195" spans="32:434" ht="18" customHeight="1" x14ac:dyDescent="0.2">
      <c r="AF195" s="42"/>
      <c r="AG195" s="43"/>
      <c r="AH195" s="12"/>
      <c r="AQ195" s="24"/>
      <c r="BK195" s="13"/>
      <c r="CK195" s="13"/>
      <c r="CL195" s="43"/>
      <c r="CM195" s="43"/>
      <c r="CN195" s="12"/>
      <c r="DC195" s="13"/>
      <c r="DG195" s="13"/>
      <c r="FA195" s="42"/>
      <c r="FB195" s="43"/>
      <c r="FC195" s="14"/>
      <c r="FD195" s="15"/>
      <c r="FE195" s="15"/>
      <c r="FF195" s="16"/>
      <c r="FG195" s="15"/>
      <c r="FH195" s="15"/>
      <c r="FI195" s="15"/>
      <c r="FJ195" s="15"/>
      <c r="FK195" s="15"/>
      <c r="FL195" s="15"/>
      <c r="FM195" s="15"/>
      <c r="FN195" s="15"/>
      <c r="FO195" s="15"/>
      <c r="FP195" s="15"/>
      <c r="FQ195" s="15"/>
      <c r="FR195" s="15"/>
      <c r="FS195" s="15"/>
      <c r="FT195" s="15"/>
      <c r="FU195" s="15"/>
      <c r="FV195" s="15"/>
      <c r="FW195" s="15"/>
      <c r="FX195" s="15"/>
      <c r="FY195" s="15"/>
      <c r="FZ195" s="15"/>
      <c r="GA195" s="15"/>
      <c r="GB195" s="15"/>
      <c r="GC195" s="15"/>
      <c r="GD195" s="15"/>
      <c r="GE195" s="15"/>
      <c r="GF195" s="15"/>
      <c r="GG195" s="15"/>
      <c r="GH195" s="15"/>
      <c r="GI195" s="15"/>
      <c r="GJ195" s="15"/>
      <c r="GK195" s="15"/>
      <c r="GL195" s="15"/>
      <c r="GM195" s="15"/>
      <c r="GN195" s="15"/>
      <c r="GO195" s="16"/>
      <c r="GP195" s="43"/>
      <c r="GQ195" s="45"/>
      <c r="IB195" s="10"/>
      <c r="IC195" s="10"/>
      <c r="ID195" s="10"/>
      <c r="IE195" s="10"/>
      <c r="IF195" s="10"/>
      <c r="IG195" s="10"/>
      <c r="IH195" s="10"/>
      <c r="II195" s="10"/>
      <c r="IJ195" s="10"/>
      <c r="IK195" s="10"/>
      <c r="IL195" s="10"/>
      <c r="IM195" s="10"/>
      <c r="IN195" s="10"/>
      <c r="IO195" s="10"/>
      <c r="IP195" s="10"/>
      <c r="IQ195" s="10"/>
      <c r="IR195" s="10"/>
      <c r="IS195" s="10"/>
      <c r="IT195" s="10"/>
      <c r="IU195" s="10"/>
      <c r="IV195" s="10"/>
      <c r="IW195" s="10"/>
      <c r="IX195" s="10"/>
      <c r="IY195" s="10"/>
      <c r="IZ195" s="10"/>
      <c r="JA195" s="10"/>
      <c r="JB195" s="10"/>
      <c r="JC195" s="10"/>
      <c r="JD195" s="10"/>
      <c r="JE195" s="10"/>
      <c r="JF195" s="10"/>
      <c r="JG195" s="10"/>
      <c r="JH195" s="10"/>
      <c r="JI195" s="10"/>
      <c r="JJ195" s="10"/>
      <c r="JK195" s="10"/>
      <c r="JL195" s="10"/>
      <c r="JM195" s="10"/>
      <c r="JN195" s="10"/>
      <c r="JO195" s="10"/>
      <c r="JP195" s="10"/>
      <c r="JQ195" s="10"/>
      <c r="JR195" s="10"/>
      <c r="JS195" s="10"/>
      <c r="JT195" s="10"/>
      <c r="JU195" s="10"/>
      <c r="JV195" s="10"/>
      <c r="JW195" s="10"/>
      <c r="JX195" s="10"/>
      <c r="JY195" s="10"/>
      <c r="JZ195" s="10"/>
      <c r="KA195" s="10"/>
      <c r="KB195" s="10"/>
      <c r="LF195" s="12"/>
      <c r="LH195" s="14"/>
      <c r="LI195" s="15"/>
      <c r="LJ195" s="15"/>
      <c r="LK195" s="16"/>
      <c r="LL195" s="15"/>
      <c r="LM195" s="15"/>
      <c r="LN195" s="15"/>
      <c r="LO195" s="15"/>
      <c r="LP195" s="15"/>
      <c r="LQ195" s="15"/>
      <c r="LR195" s="15"/>
      <c r="LS195" s="15"/>
      <c r="LT195" s="15"/>
      <c r="LU195" s="15"/>
      <c r="LV195" s="15"/>
      <c r="LW195" s="15"/>
      <c r="LX195" s="15"/>
      <c r="LY195" s="15"/>
      <c r="LZ195" s="15"/>
      <c r="MA195" s="15"/>
      <c r="MB195" s="15"/>
      <c r="MC195" s="15"/>
      <c r="MD195" s="15"/>
      <c r="ME195" s="15"/>
      <c r="MF195" s="15"/>
      <c r="MG195" s="15"/>
      <c r="MH195" s="15"/>
      <c r="MI195" s="15"/>
      <c r="MJ195" s="15"/>
      <c r="MK195" s="15"/>
      <c r="ML195" s="15"/>
      <c r="MM195" s="15"/>
      <c r="MN195" s="15"/>
      <c r="MO195" s="15"/>
      <c r="MP195" s="15"/>
      <c r="MQ195" s="15"/>
      <c r="MR195" s="15"/>
      <c r="MS195" s="15"/>
      <c r="MT195" s="15"/>
      <c r="MU195" s="15"/>
      <c r="MV195" s="16"/>
      <c r="MX195" s="13"/>
      <c r="MY195" s="12"/>
    </row>
    <row r="196" spans="32:434" ht="18" customHeight="1" x14ac:dyDescent="0.2">
      <c r="AF196" s="42"/>
      <c r="AG196" s="43"/>
      <c r="AH196" s="12"/>
      <c r="AQ196" s="24"/>
      <c r="BK196" s="13"/>
      <c r="CK196" s="13"/>
      <c r="CL196" s="43"/>
      <c r="CM196" s="43"/>
      <c r="CN196" s="12"/>
      <c r="DC196" s="13"/>
      <c r="DG196" s="13"/>
      <c r="FA196" s="42"/>
      <c r="FB196" s="43"/>
      <c r="FC196" s="43"/>
      <c r="FD196" s="43"/>
      <c r="FE196" s="43"/>
      <c r="FF196" s="43"/>
      <c r="FG196" s="43"/>
      <c r="FH196" s="43"/>
      <c r="FI196" s="43"/>
      <c r="FJ196" s="43"/>
      <c r="FK196" s="43"/>
      <c r="FL196" s="43"/>
      <c r="FM196" s="43"/>
      <c r="FN196" s="123"/>
      <c r="FO196" s="109"/>
      <c r="FP196" s="109"/>
      <c r="FQ196" s="109"/>
      <c r="FR196" s="109"/>
      <c r="FS196" s="124"/>
      <c r="FT196" s="43"/>
      <c r="FU196" s="43"/>
      <c r="FV196" s="43"/>
      <c r="FW196" s="43"/>
      <c r="FX196" s="43"/>
      <c r="FY196" s="43"/>
      <c r="FZ196" s="43"/>
      <c r="GA196" s="43"/>
      <c r="GB196" s="43"/>
      <c r="GC196" s="43"/>
      <c r="GD196" s="43"/>
      <c r="GE196" s="43"/>
      <c r="GF196" s="43"/>
      <c r="GG196" s="43"/>
      <c r="GH196" s="43"/>
      <c r="GI196" s="127"/>
      <c r="GJ196" s="127"/>
      <c r="GK196" s="127"/>
      <c r="GL196" s="127"/>
      <c r="GM196" s="127"/>
      <c r="GN196" s="127"/>
      <c r="GO196" s="43"/>
      <c r="GP196" s="43"/>
      <c r="GQ196" s="45"/>
      <c r="LF196" s="12"/>
      <c r="MD196" s="20"/>
      <c r="ME196" s="21"/>
      <c r="MF196" s="21"/>
      <c r="MG196" s="21"/>
      <c r="MH196" s="21"/>
      <c r="MI196" s="22"/>
      <c r="MX196" s="13"/>
      <c r="MY196" s="12"/>
    </row>
    <row r="197" spans="32:434" ht="18" customHeight="1" x14ac:dyDescent="0.2">
      <c r="AF197" s="42"/>
      <c r="AG197" s="43"/>
      <c r="AH197" s="12"/>
      <c r="AQ197" s="24"/>
      <c r="BK197" s="13"/>
      <c r="CK197" s="13"/>
      <c r="CL197" s="43"/>
      <c r="CM197" s="43"/>
      <c r="CN197" s="12"/>
      <c r="DC197" s="13"/>
      <c r="DG197" s="13"/>
      <c r="FA197" s="42"/>
      <c r="FB197" s="43"/>
      <c r="FC197" s="43"/>
      <c r="FD197" s="43"/>
      <c r="FE197" s="43"/>
      <c r="FF197" s="43"/>
      <c r="FG197" s="43"/>
      <c r="FH197" s="43"/>
      <c r="FI197" s="43"/>
      <c r="FJ197" s="43"/>
      <c r="FK197" s="43"/>
      <c r="FL197" s="43"/>
      <c r="FM197" s="43"/>
      <c r="FN197" s="40"/>
      <c r="FO197" s="41"/>
      <c r="FP197" s="41"/>
      <c r="FQ197" s="41"/>
      <c r="FR197" s="41"/>
      <c r="FS197" s="44"/>
      <c r="FT197" s="43"/>
      <c r="FU197" s="43"/>
      <c r="FV197" s="43"/>
      <c r="FW197" s="43"/>
      <c r="FX197" s="43"/>
      <c r="FY197" s="43"/>
      <c r="FZ197" s="43"/>
      <c r="GA197" s="43"/>
      <c r="GB197" s="43"/>
      <c r="GC197" s="43"/>
      <c r="GD197" s="43"/>
      <c r="GE197" s="43"/>
      <c r="GF197" s="43"/>
      <c r="GG197" s="43"/>
      <c r="GH197" s="43"/>
      <c r="GI197" s="127"/>
      <c r="GJ197" s="127"/>
      <c r="GK197" s="127"/>
      <c r="GL197" s="127"/>
      <c r="GM197" s="127"/>
      <c r="GN197" s="127"/>
      <c r="GO197" s="43"/>
      <c r="GP197" s="43"/>
      <c r="GQ197" s="45"/>
      <c r="LF197" s="14"/>
      <c r="LG197" s="15"/>
      <c r="LH197" s="15"/>
      <c r="LI197" s="15"/>
      <c r="LJ197" s="15"/>
      <c r="LL197" s="15"/>
      <c r="LN197" s="15"/>
      <c r="MD197" s="9"/>
      <c r="ME197" s="10"/>
      <c r="MF197" s="10"/>
      <c r="MG197" s="10"/>
      <c r="MH197" s="10"/>
      <c r="MI197" s="11"/>
      <c r="MX197" s="13"/>
      <c r="MY197" s="12"/>
    </row>
    <row r="198" spans="32:434" ht="18" customHeight="1" x14ac:dyDescent="0.2">
      <c r="AF198" s="42"/>
      <c r="AG198" s="43"/>
      <c r="AH198" s="12"/>
      <c r="AQ198" s="24"/>
      <c r="BK198" s="13"/>
      <c r="CK198" s="13"/>
      <c r="CL198" s="43"/>
      <c r="CM198" s="43"/>
      <c r="CN198" s="12"/>
      <c r="DC198" s="13"/>
      <c r="DG198" s="13"/>
      <c r="FA198" s="10"/>
      <c r="FB198" s="10"/>
      <c r="FC198" s="10"/>
      <c r="FD198" s="10"/>
      <c r="FE198" s="10"/>
      <c r="FF198" s="10"/>
      <c r="FG198" s="10"/>
      <c r="FH198" s="10"/>
      <c r="FI198" s="10"/>
      <c r="FJ198" s="10"/>
      <c r="FK198" s="10"/>
      <c r="FL198" s="10"/>
      <c r="FM198" s="10"/>
      <c r="FN198" s="10"/>
      <c r="FO198" s="10"/>
      <c r="FP198" s="10"/>
      <c r="FQ198" s="10"/>
      <c r="FR198" s="10"/>
      <c r="FS198" s="10"/>
      <c r="FT198" s="10"/>
      <c r="FU198" s="10"/>
      <c r="FV198" s="10"/>
      <c r="FW198" s="10"/>
      <c r="FX198" s="10"/>
      <c r="FY198" s="10"/>
      <c r="FZ198" s="10"/>
      <c r="GA198" s="10"/>
      <c r="GB198" s="10"/>
      <c r="GC198" s="10"/>
      <c r="GD198" s="10"/>
      <c r="GE198" s="10"/>
      <c r="GF198" s="10"/>
      <c r="GG198" s="10"/>
      <c r="GH198" s="10"/>
      <c r="GI198" s="10"/>
      <c r="GJ198" s="10"/>
      <c r="GK198" s="10"/>
      <c r="GL198" s="10"/>
      <c r="GM198" s="10"/>
      <c r="GN198" s="10"/>
      <c r="GO198" s="10"/>
      <c r="GP198" s="10"/>
      <c r="GQ198" s="10"/>
      <c r="LF198" s="10"/>
      <c r="LG198" s="10"/>
      <c r="LH198" s="10"/>
      <c r="LI198" s="10"/>
      <c r="LJ198" s="10"/>
      <c r="LK198" s="10"/>
      <c r="LL198" s="10"/>
      <c r="LM198" s="10"/>
      <c r="LN198" s="10"/>
      <c r="LO198" s="10"/>
      <c r="LP198" s="10"/>
      <c r="LQ198" s="10"/>
      <c r="LR198" s="10"/>
      <c r="LS198" s="10"/>
      <c r="LT198" s="10"/>
      <c r="LU198" s="10"/>
      <c r="LV198" s="10"/>
      <c r="LW198" s="10"/>
      <c r="LX198" s="10"/>
      <c r="LY198" s="10"/>
      <c r="LZ198" s="10"/>
      <c r="MA198" s="10"/>
      <c r="MB198" s="10"/>
      <c r="MC198" s="10"/>
      <c r="MD198" s="10"/>
      <c r="ME198" s="10"/>
      <c r="MF198" s="10"/>
      <c r="MG198" s="10"/>
      <c r="MH198" s="10"/>
      <c r="MI198" s="10"/>
      <c r="MJ198" s="10"/>
      <c r="MK198" s="10"/>
      <c r="ML198" s="10"/>
      <c r="MM198" s="10"/>
      <c r="MN198" s="10"/>
      <c r="MO198" s="10"/>
      <c r="MP198" s="10"/>
      <c r="MQ198" s="10"/>
      <c r="MR198" s="10"/>
      <c r="MS198" s="10"/>
      <c r="MT198" s="10"/>
      <c r="MU198" s="10"/>
      <c r="MV198" s="10"/>
      <c r="MW198" s="10"/>
      <c r="MX198" s="10"/>
    </row>
    <row r="199" spans="32:434" ht="18" customHeight="1" x14ac:dyDescent="0.2">
      <c r="AF199" s="42"/>
      <c r="AG199" s="43"/>
      <c r="AH199" s="12"/>
      <c r="AQ199" s="18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6"/>
      <c r="CK199" s="13"/>
      <c r="CL199" s="43"/>
      <c r="CM199" s="43"/>
      <c r="CN199" s="12"/>
      <c r="DC199" s="13"/>
      <c r="DG199" s="13"/>
    </row>
    <row r="200" spans="32:434" ht="18" customHeight="1" x14ac:dyDescent="0.2">
      <c r="AF200" s="42"/>
      <c r="AG200" s="43"/>
      <c r="AH200" s="12"/>
      <c r="AQ200" s="18"/>
      <c r="BK200" s="13"/>
      <c r="CK200" s="13"/>
      <c r="CL200" s="43"/>
      <c r="CM200" s="43"/>
      <c r="CN200" s="12"/>
      <c r="DC200" s="13"/>
      <c r="DG200" s="13"/>
    </row>
    <row r="201" spans="32:434" ht="18" customHeight="1" x14ac:dyDescent="0.2">
      <c r="AF201" s="42"/>
      <c r="AG201" s="43"/>
      <c r="AH201" s="12"/>
      <c r="AQ201" s="18"/>
      <c r="BK201" s="13"/>
      <c r="CK201" s="13"/>
      <c r="CL201" s="43"/>
      <c r="CM201" s="43"/>
      <c r="CN201" s="12"/>
      <c r="DC201" s="13"/>
      <c r="DG201" s="13"/>
    </row>
    <row r="202" spans="32:434" ht="18" customHeight="1" x14ac:dyDescent="0.2">
      <c r="AF202" s="42"/>
      <c r="AG202" s="43"/>
      <c r="AH202" s="12"/>
      <c r="AQ202" s="18"/>
      <c r="BK202" s="13"/>
      <c r="CK202" s="13"/>
      <c r="CL202" s="43"/>
      <c r="CM202" s="43"/>
      <c r="CN202" s="12"/>
      <c r="DC202" s="13"/>
      <c r="DG202" s="13"/>
    </row>
    <row r="203" spans="32:434" ht="18" customHeight="1" x14ac:dyDescent="0.2">
      <c r="AF203" s="42"/>
      <c r="AG203" s="43"/>
      <c r="AH203" s="14"/>
      <c r="AI203" s="15"/>
      <c r="AJ203" s="15"/>
      <c r="AK203" s="15"/>
      <c r="AL203" s="15"/>
      <c r="AM203" s="15"/>
      <c r="AN203" s="15"/>
      <c r="AO203" s="15"/>
      <c r="AP203" s="15"/>
      <c r="AQ203" s="19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6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  <c r="CA203" s="15"/>
      <c r="CB203" s="15"/>
      <c r="CC203" s="15"/>
      <c r="CD203" s="15"/>
      <c r="CE203" s="15"/>
      <c r="CF203" s="15"/>
      <c r="CG203" s="15"/>
      <c r="CH203" s="15"/>
      <c r="CI203" s="15"/>
      <c r="CJ203" s="15"/>
      <c r="CK203" s="16"/>
      <c r="CL203" s="43"/>
      <c r="CM203" s="43"/>
      <c r="CN203" s="12"/>
      <c r="DC203" s="13"/>
      <c r="DG203" s="13"/>
    </row>
    <row r="204" spans="32:434" ht="18" customHeight="1" x14ac:dyDescent="0.2">
      <c r="AF204" s="42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43"/>
      <c r="CB204" s="43"/>
      <c r="CC204" s="43"/>
      <c r="CD204" s="43"/>
      <c r="CE204" s="107"/>
      <c r="CF204" s="127"/>
      <c r="CG204" s="127"/>
      <c r="CH204" s="127"/>
      <c r="CI204" s="127"/>
      <c r="CJ204" s="90"/>
      <c r="CK204" s="43"/>
      <c r="CL204" s="43"/>
      <c r="CM204" s="43"/>
      <c r="CN204" s="12"/>
      <c r="DC204" s="13"/>
      <c r="DG204" s="13"/>
    </row>
    <row r="205" spans="32:434" ht="18" customHeight="1" x14ac:dyDescent="0.2">
      <c r="AF205" s="46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7"/>
      <c r="BA205" s="47"/>
      <c r="BB205" s="47"/>
      <c r="BC205" s="47"/>
      <c r="BD205" s="47"/>
      <c r="BE205" s="47"/>
      <c r="BF205" s="47"/>
      <c r="BG205" s="47"/>
      <c r="BH205" s="47"/>
      <c r="BI205" s="47"/>
      <c r="BJ205" s="47"/>
      <c r="BK205" s="47"/>
      <c r="BL205" s="47"/>
      <c r="BM205" s="47"/>
      <c r="BN205" s="47"/>
      <c r="BO205" s="47"/>
      <c r="BP205" s="47"/>
      <c r="BQ205" s="47"/>
      <c r="BR205" s="47"/>
      <c r="BS205" s="47"/>
      <c r="BT205" s="47"/>
      <c r="BU205" s="47"/>
      <c r="BV205" s="47"/>
      <c r="BW205" s="47"/>
      <c r="BX205" s="47"/>
      <c r="BY205" s="47"/>
      <c r="BZ205" s="47"/>
      <c r="CA205" s="47"/>
      <c r="CB205" s="47"/>
      <c r="CC205" s="47"/>
      <c r="CD205" s="47"/>
      <c r="CE205" s="72"/>
      <c r="CF205" s="100"/>
      <c r="CG205" s="100"/>
      <c r="CH205" s="100"/>
      <c r="CI205" s="100"/>
      <c r="CJ205" s="73"/>
      <c r="CK205" s="47"/>
      <c r="CL205" s="47"/>
      <c r="CM205" s="47"/>
      <c r="CN205" s="12"/>
      <c r="DC205" s="13"/>
      <c r="DG205" s="13"/>
    </row>
    <row r="206" spans="32:434" ht="18" customHeight="1" x14ac:dyDescent="0.2">
      <c r="AV206" s="9"/>
      <c r="AW206" s="10"/>
      <c r="AX206" s="10"/>
      <c r="AY206" s="10"/>
      <c r="AZ206" s="9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L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1"/>
      <c r="CN206" s="9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0"/>
      <c r="DA206" s="10"/>
      <c r="DB206" s="10"/>
      <c r="DC206" s="11"/>
      <c r="DD206" s="10"/>
      <c r="DE206" s="10"/>
      <c r="DF206" s="10"/>
      <c r="DG206" s="11"/>
    </row>
    <row r="207" spans="32:434" ht="18" customHeight="1" x14ac:dyDescent="0.2">
      <c r="AV207" s="12"/>
      <c r="AZ207" s="12"/>
      <c r="CM207" s="13"/>
      <c r="CN207" s="12"/>
      <c r="DC207" s="13"/>
      <c r="DG207" s="13"/>
    </row>
    <row r="208" spans="32:434" ht="18" customHeight="1" x14ac:dyDescent="0.2">
      <c r="AV208" s="12"/>
      <c r="AZ208" s="12"/>
      <c r="CM208" s="13"/>
      <c r="CN208" s="12"/>
      <c r="DC208" s="13"/>
      <c r="DG208" s="13"/>
    </row>
    <row r="209" spans="48:111" ht="18" customHeight="1" x14ac:dyDescent="0.2">
      <c r="AV209" s="12"/>
      <c r="AZ209" s="12"/>
      <c r="CM209" s="13"/>
      <c r="CN209" s="12"/>
      <c r="DC209" s="13"/>
      <c r="DG209" s="13"/>
    </row>
    <row r="210" spans="48:111" ht="18" customHeight="1" x14ac:dyDescent="0.2">
      <c r="AV210" s="12"/>
      <c r="AZ210" s="12"/>
      <c r="CM210" s="13"/>
      <c r="CN210" s="12"/>
      <c r="DC210" s="13"/>
      <c r="DG210" s="13"/>
    </row>
    <row r="211" spans="48:111" ht="18" customHeight="1" x14ac:dyDescent="0.2">
      <c r="AV211" s="12"/>
      <c r="AZ211" s="12"/>
      <c r="CM211" s="13"/>
      <c r="CN211" s="12"/>
      <c r="DC211" s="13"/>
      <c r="DG211" s="13"/>
    </row>
    <row r="212" spans="48:111" ht="18" customHeight="1" x14ac:dyDescent="0.2">
      <c r="AV212" s="12"/>
      <c r="AZ212" s="12"/>
      <c r="CM212" s="13"/>
      <c r="CN212" s="12"/>
      <c r="DC212" s="13"/>
      <c r="DG212" s="13"/>
    </row>
    <row r="213" spans="48:111" ht="18" customHeight="1" x14ac:dyDescent="0.2">
      <c r="AV213" s="12"/>
      <c r="AZ213" s="12"/>
      <c r="CM213" s="13"/>
      <c r="CN213" s="12"/>
      <c r="DC213" s="13"/>
      <c r="DG213" s="13"/>
    </row>
    <row r="214" spans="48:111" ht="18" customHeight="1" x14ac:dyDescent="0.2">
      <c r="AV214" s="12"/>
      <c r="AZ214" s="12"/>
      <c r="CM214" s="13"/>
      <c r="CN214" s="12"/>
      <c r="DC214" s="13"/>
      <c r="DG214" s="13"/>
    </row>
    <row r="215" spans="48:111" ht="18" customHeight="1" x14ac:dyDescent="0.2">
      <c r="AV215" s="12"/>
      <c r="AZ215" s="12"/>
      <c r="CM215" s="13"/>
      <c r="CN215" s="12"/>
      <c r="DC215" s="13"/>
      <c r="DG215" s="13"/>
    </row>
    <row r="216" spans="48:111" ht="18" customHeight="1" x14ac:dyDescent="0.2">
      <c r="AV216" s="12"/>
      <c r="AZ216" s="12"/>
      <c r="CM216" s="13"/>
      <c r="CN216" s="12"/>
      <c r="DC216" s="13"/>
      <c r="DG216" s="13"/>
    </row>
    <row r="217" spans="48:111" ht="18" customHeight="1" x14ac:dyDescent="0.2">
      <c r="AV217" s="12"/>
      <c r="AZ217" s="12"/>
      <c r="CM217" s="13"/>
      <c r="CN217" s="12"/>
      <c r="DC217" s="13"/>
      <c r="DG217" s="13"/>
    </row>
    <row r="218" spans="48:111" ht="18" customHeight="1" x14ac:dyDescent="0.2">
      <c r="AV218" s="12"/>
      <c r="AZ218" s="12"/>
      <c r="CM218" s="13"/>
      <c r="CN218" s="12"/>
      <c r="DC218" s="13"/>
      <c r="DG218" s="13"/>
    </row>
    <row r="219" spans="48:111" ht="18" customHeight="1" x14ac:dyDescent="0.2">
      <c r="AV219" s="12"/>
      <c r="AZ219" s="12"/>
      <c r="CM219" s="13"/>
      <c r="CN219" s="12"/>
      <c r="DC219" s="13"/>
      <c r="DG219" s="13"/>
    </row>
    <row r="220" spans="48:111" ht="18" customHeight="1" x14ac:dyDescent="0.2">
      <c r="AV220" s="12"/>
      <c r="AZ220" s="12"/>
      <c r="CM220" s="13"/>
      <c r="CN220" s="12"/>
      <c r="DC220" s="13"/>
      <c r="DG220" s="13"/>
    </row>
    <row r="221" spans="48:111" ht="18" customHeight="1" x14ac:dyDescent="0.2">
      <c r="AV221" s="12"/>
      <c r="AZ221" s="14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  <c r="CA221" s="15"/>
      <c r="CB221" s="15"/>
      <c r="CC221" s="15"/>
      <c r="CD221" s="15"/>
      <c r="CE221" s="15"/>
      <c r="CF221" s="15"/>
      <c r="CG221" s="15"/>
      <c r="CH221" s="15"/>
      <c r="CI221" s="15"/>
      <c r="CJ221" s="15"/>
      <c r="CK221" s="15"/>
      <c r="CL221" s="15"/>
      <c r="CM221" s="16"/>
      <c r="CN221" s="14"/>
      <c r="CO221" s="15"/>
      <c r="CP221" s="15"/>
      <c r="CQ221" s="15"/>
      <c r="CR221" s="15"/>
      <c r="CS221" s="15"/>
      <c r="CT221" s="15"/>
      <c r="CU221" s="15"/>
      <c r="CV221" s="15"/>
      <c r="CW221" s="15"/>
      <c r="CX221" s="15"/>
      <c r="CY221" s="15"/>
      <c r="CZ221" s="15"/>
      <c r="DA221" s="15"/>
      <c r="DB221" s="15"/>
      <c r="DC221" s="16"/>
      <c r="DG221" s="13"/>
    </row>
    <row r="222" spans="48:111" ht="18" customHeight="1" x14ac:dyDescent="0.2">
      <c r="AV222" s="12"/>
      <c r="CM222" s="13"/>
      <c r="CN222" s="12"/>
      <c r="DG222" s="13"/>
    </row>
    <row r="223" spans="48:111" ht="18" customHeight="1" x14ac:dyDescent="0.2">
      <c r="AV223" s="12"/>
      <c r="CM223" s="13"/>
      <c r="CN223" s="12"/>
      <c r="DG223" s="13"/>
    </row>
    <row r="224" spans="48:111" ht="18" customHeight="1" x14ac:dyDescent="0.2">
      <c r="AV224" s="12"/>
      <c r="CM224" s="13"/>
      <c r="CN224" s="12"/>
      <c r="DG224" s="13"/>
    </row>
    <row r="225" spans="48:244" ht="18" customHeight="1" x14ac:dyDescent="0.2">
      <c r="AV225" s="14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  <c r="CA225" s="15"/>
      <c r="CB225" s="15"/>
      <c r="CC225" s="15"/>
      <c r="CD225" s="15"/>
      <c r="CE225" s="15"/>
      <c r="CF225" s="15"/>
      <c r="CG225" s="15"/>
      <c r="CH225" s="15"/>
      <c r="CI225" s="15"/>
      <c r="CJ225" s="15"/>
      <c r="CK225" s="15"/>
      <c r="CL225" s="15"/>
      <c r="CM225" s="16"/>
      <c r="CN225" s="14"/>
      <c r="CO225" s="15"/>
      <c r="CP225" s="15"/>
      <c r="CQ225" s="15"/>
      <c r="CR225" s="15"/>
      <c r="CS225" s="15"/>
      <c r="CT225" s="15"/>
      <c r="CU225" s="15"/>
      <c r="CV225" s="15"/>
      <c r="CW225" s="15"/>
      <c r="CX225" s="15"/>
      <c r="CY225" s="15"/>
      <c r="CZ225" s="15"/>
      <c r="DA225" s="15"/>
      <c r="DB225" s="15"/>
      <c r="DC225" s="15"/>
      <c r="DD225" s="15"/>
      <c r="DE225" s="15"/>
      <c r="DF225" s="15"/>
      <c r="DG225" s="16"/>
    </row>
    <row r="240" spans="48:244" ht="18" customHeight="1" x14ac:dyDescent="0.2">
      <c r="ET240" s="15"/>
      <c r="EU240" s="15"/>
      <c r="EV240" s="15"/>
      <c r="EW240" s="15"/>
      <c r="HN240" s="49"/>
      <c r="HO240" s="49"/>
      <c r="HP240" s="49"/>
      <c r="HQ240" s="49"/>
      <c r="HV240" s="15"/>
      <c r="HW240" s="15"/>
      <c r="HX240" s="15"/>
      <c r="HY240" s="15"/>
      <c r="IG240" s="49"/>
      <c r="IH240" s="49"/>
      <c r="II240" s="49"/>
      <c r="IJ240" s="49"/>
    </row>
    <row r="241" spans="21:273" ht="18" customHeight="1" x14ac:dyDescent="0.2">
      <c r="DY241" s="56"/>
      <c r="DZ241" s="57"/>
      <c r="EA241" s="57"/>
      <c r="EB241" s="57"/>
      <c r="EC241" s="10"/>
      <c r="ED241" s="10"/>
      <c r="EE241" s="10"/>
      <c r="EF241" s="10"/>
      <c r="EG241" s="10"/>
      <c r="EH241" s="10"/>
      <c r="EI241" s="10"/>
      <c r="EJ241" s="10"/>
      <c r="EK241" s="10"/>
      <c r="EL241" s="10"/>
      <c r="EM241" s="10"/>
      <c r="EN241" s="10"/>
      <c r="EO241" s="10"/>
      <c r="EP241" s="10"/>
      <c r="EQ241" s="57"/>
      <c r="ER241" s="57"/>
      <c r="ES241" s="57"/>
      <c r="ET241" s="57"/>
      <c r="EU241" s="10"/>
      <c r="EV241" s="10"/>
      <c r="EW241" s="10"/>
      <c r="EX241" s="10"/>
      <c r="EY241" s="10"/>
      <c r="EZ241" s="10"/>
      <c r="FA241" s="10"/>
      <c r="FB241" s="10"/>
      <c r="FC241" s="10"/>
      <c r="FD241" s="10"/>
      <c r="FE241" s="10"/>
      <c r="FF241" s="10"/>
      <c r="FG241" s="10"/>
      <c r="FH241" s="10"/>
      <c r="FI241" s="10"/>
      <c r="FJ241" s="57"/>
      <c r="FK241" s="58"/>
      <c r="HA241" s="56"/>
      <c r="HB241" s="57"/>
      <c r="HC241" s="57"/>
      <c r="HD241" s="57"/>
      <c r="HE241" s="10"/>
      <c r="HF241" s="10"/>
      <c r="HG241" s="10"/>
      <c r="HH241" s="10"/>
      <c r="HI241" s="10"/>
      <c r="HJ241" s="10"/>
      <c r="HK241" s="10"/>
      <c r="HL241" s="10"/>
      <c r="HM241" s="10"/>
      <c r="HN241" s="10"/>
      <c r="HO241" s="10"/>
      <c r="HP241" s="10"/>
      <c r="HQ241" s="10"/>
      <c r="HR241" s="10"/>
      <c r="HS241" s="57"/>
      <c r="HT241" s="57"/>
      <c r="HU241" s="57"/>
      <c r="HV241" s="57"/>
      <c r="HW241" s="10"/>
      <c r="HX241" s="10"/>
      <c r="HY241" s="10"/>
      <c r="HZ241" s="10"/>
      <c r="IA241" s="10"/>
      <c r="IB241" s="10"/>
      <c r="IC241" s="10"/>
      <c r="ID241" s="10"/>
      <c r="IE241" s="10"/>
      <c r="IF241" s="10"/>
      <c r="IG241" s="10"/>
      <c r="IH241" s="10"/>
      <c r="II241" s="10"/>
      <c r="IJ241" s="10"/>
      <c r="IK241" s="10"/>
      <c r="IL241" s="57"/>
      <c r="IM241" s="58"/>
    </row>
    <row r="242" spans="21:273" ht="18" customHeight="1" x14ac:dyDescent="0.2">
      <c r="DY242" s="96"/>
      <c r="DZ242" s="97"/>
      <c r="EA242" s="97"/>
      <c r="EB242" s="97"/>
      <c r="EQ242" s="97"/>
      <c r="ER242" s="97"/>
      <c r="ES242" s="97"/>
      <c r="ET242" s="97"/>
      <c r="FJ242" s="97"/>
      <c r="FK242" s="98"/>
      <c r="HA242" s="96"/>
      <c r="HB242" s="97"/>
      <c r="HC242" s="97"/>
      <c r="HD242" s="97"/>
      <c r="HS242" s="97"/>
      <c r="HT242" s="97"/>
      <c r="HU242" s="97"/>
      <c r="HV242" s="97"/>
      <c r="IL242" s="97"/>
      <c r="IM242" s="98"/>
    </row>
    <row r="243" spans="21:273" ht="18" customHeight="1" x14ac:dyDescent="0.2">
      <c r="AP243" s="15"/>
      <c r="AQ243" s="15"/>
      <c r="AR243" s="15"/>
      <c r="AS243" s="15"/>
      <c r="AT243" s="15"/>
      <c r="AU243" s="15"/>
      <c r="DY243" s="12"/>
      <c r="EA243" s="9"/>
      <c r="EB243" s="10"/>
      <c r="EC243" s="10"/>
      <c r="ED243" s="10"/>
      <c r="EE243" s="10"/>
      <c r="EF243" s="10"/>
      <c r="EG243" s="10"/>
      <c r="EH243" s="10"/>
      <c r="EI243" s="10"/>
      <c r="EJ243" s="10"/>
      <c r="EK243" s="10"/>
      <c r="EL243" s="10"/>
      <c r="EM243" s="10"/>
      <c r="EN243" s="10"/>
      <c r="EO243" s="10"/>
      <c r="EP243" s="10"/>
      <c r="EQ243" s="10"/>
      <c r="ER243" s="10"/>
      <c r="ES243" s="10"/>
      <c r="ET243" s="10"/>
      <c r="EU243" s="10"/>
      <c r="EV243" s="10"/>
      <c r="EW243" s="10"/>
      <c r="EX243" s="11"/>
      <c r="EY243" s="10"/>
      <c r="EZ243" s="9"/>
      <c r="FA243" s="10"/>
      <c r="FB243" s="10"/>
      <c r="FC243" s="10"/>
      <c r="FD243" s="10"/>
      <c r="FE243" s="10"/>
      <c r="FF243" s="10"/>
      <c r="FG243" s="10"/>
      <c r="FH243" s="10"/>
      <c r="FI243" s="11"/>
      <c r="FJ243" s="97"/>
      <c r="FK243" s="98"/>
      <c r="HA243" s="12"/>
      <c r="HC243" s="9"/>
      <c r="HD243" s="10"/>
      <c r="HE243" s="10"/>
      <c r="HF243" s="10"/>
      <c r="HG243" s="10"/>
      <c r="HH243" s="10"/>
      <c r="HI243" s="10"/>
      <c r="HJ243" s="10"/>
      <c r="HK243" s="10"/>
      <c r="HL243" s="10"/>
      <c r="HM243" s="10"/>
      <c r="HN243" s="10"/>
      <c r="HO243" s="10"/>
      <c r="HP243" s="10"/>
      <c r="HQ243" s="10"/>
      <c r="HR243" s="10"/>
      <c r="HS243" s="10"/>
      <c r="HT243" s="10"/>
      <c r="HU243" s="10"/>
      <c r="HV243" s="10"/>
      <c r="HW243" s="10"/>
      <c r="HX243" s="10"/>
      <c r="HY243" s="10"/>
      <c r="HZ243" s="11"/>
      <c r="IA243" s="10"/>
      <c r="IB243" s="9"/>
      <c r="IC243" s="10"/>
      <c r="ID243" s="10"/>
      <c r="IE243" s="10"/>
      <c r="IF243" s="10"/>
      <c r="IG243" s="10"/>
      <c r="IH243" s="10"/>
      <c r="II243" s="10"/>
      <c r="IJ243" s="10"/>
      <c r="IK243" s="11"/>
      <c r="IL243" s="97"/>
      <c r="IM243" s="98"/>
    </row>
    <row r="244" spans="21:273" ht="18" customHeight="1" x14ac:dyDescent="0.2">
      <c r="U244" s="9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1"/>
      <c r="DY244" s="12"/>
      <c r="EA244" s="12"/>
      <c r="EX244" s="13"/>
      <c r="EZ244" s="12"/>
      <c r="FI244" s="13"/>
      <c r="FJ244" s="97"/>
      <c r="FK244" s="98"/>
      <c r="HA244" s="12"/>
      <c r="HC244" s="12"/>
      <c r="HZ244" s="13"/>
      <c r="IB244" s="12"/>
      <c r="IK244" s="13"/>
      <c r="IL244" s="97"/>
      <c r="IM244" s="98"/>
    </row>
    <row r="245" spans="21:273" ht="18" customHeight="1" x14ac:dyDescent="0.2">
      <c r="U245" s="12"/>
      <c r="BI245" s="13"/>
      <c r="DY245" s="12"/>
      <c r="EA245" s="12"/>
      <c r="EX245" s="13"/>
      <c r="EZ245" s="12"/>
      <c r="FI245" s="13"/>
      <c r="FK245" s="13"/>
      <c r="HA245" s="12"/>
      <c r="HC245" s="12"/>
      <c r="HZ245" s="13"/>
      <c r="IB245" s="12"/>
      <c r="IK245" s="13"/>
      <c r="IM245" s="13"/>
    </row>
    <row r="246" spans="21:273" ht="18" customHeight="1" x14ac:dyDescent="0.2">
      <c r="U246" s="12"/>
      <c r="W246" s="9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1"/>
      <c r="AW246" s="11"/>
      <c r="AX246" s="10"/>
      <c r="AY246" s="10"/>
      <c r="AZ246" s="10"/>
      <c r="BA246" s="10"/>
      <c r="BB246" s="11"/>
      <c r="BC246" s="10"/>
      <c r="BD246" s="10"/>
      <c r="BE246" s="10"/>
      <c r="BF246" s="10"/>
      <c r="BG246" s="11"/>
      <c r="BI246" s="13"/>
      <c r="DY246" s="12"/>
      <c r="EA246" s="12"/>
      <c r="EX246" s="13"/>
      <c r="EZ246" s="12"/>
      <c r="FI246" s="13"/>
      <c r="FK246" s="13"/>
      <c r="HA246" s="12"/>
      <c r="HC246" s="12"/>
      <c r="HZ246" s="13"/>
      <c r="IB246" s="12"/>
      <c r="IK246" s="13"/>
      <c r="IM246" s="13"/>
    </row>
    <row r="247" spans="21:273" ht="18" customHeight="1" x14ac:dyDescent="0.2">
      <c r="U247" s="12"/>
      <c r="W247" s="12"/>
      <c r="AV247" s="13"/>
      <c r="AW247" s="13"/>
      <c r="BB247" s="13"/>
      <c r="BG247" s="13"/>
      <c r="BI247" s="13"/>
      <c r="DY247" s="12"/>
      <c r="EA247" s="12"/>
      <c r="EX247" s="13"/>
      <c r="EZ247" s="12"/>
      <c r="FI247" s="13"/>
      <c r="FK247" s="13"/>
      <c r="HA247" s="12"/>
      <c r="HC247" s="12"/>
      <c r="HZ247" s="13"/>
      <c r="IB247" s="12"/>
      <c r="IK247" s="13"/>
      <c r="IM247" s="13"/>
    </row>
    <row r="248" spans="21:273" ht="18" customHeight="1" x14ac:dyDescent="0.2">
      <c r="U248" s="12"/>
      <c r="W248" s="12"/>
      <c r="AV248" s="13"/>
      <c r="AW248" s="13"/>
      <c r="BB248" s="13"/>
      <c r="BG248" s="13"/>
      <c r="BI248" s="13"/>
      <c r="DY248" s="12"/>
      <c r="EA248" s="12"/>
      <c r="EX248" s="13"/>
      <c r="EZ248" s="12"/>
      <c r="FI248" s="13"/>
      <c r="FK248" s="13"/>
      <c r="HA248" s="12"/>
      <c r="HC248" s="12"/>
      <c r="HZ248" s="13"/>
      <c r="IB248" s="12"/>
      <c r="IK248" s="13"/>
      <c r="IM248" s="13"/>
    </row>
    <row r="249" spans="21:273" ht="18" customHeight="1" x14ac:dyDescent="0.2">
      <c r="U249" s="12"/>
      <c r="W249" s="12"/>
      <c r="AV249" s="13"/>
      <c r="AW249" s="13"/>
      <c r="BB249" s="13"/>
      <c r="BG249" s="13"/>
      <c r="BI249" s="13"/>
      <c r="DY249" s="12"/>
      <c r="EA249" s="12"/>
      <c r="EX249" s="13"/>
      <c r="EZ249" s="12"/>
      <c r="FI249" s="13"/>
      <c r="FK249" s="13"/>
      <c r="HA249" s="12"/>
      <c r="HC249" s="12"/>
      <c r="HZ249" s="13"/>
      <c r="IB249" s="12"/>
      <c r="IK249" s="13"/>
      <c r="IM249" s="13"/>
    </row>
    <row r="250" spans="21:273" ht="18" customHeight="1" x14ac:dyDescent="0.2">
      <c r="U250" s="12"/>
      <c r="W250" s="12"/>
      <c r="AV250" s="13"/>
      <c r="AW250" s="13"/>
      <c r="AX250" s="15"/>
      <c r="AY250" s="15"/>
      <c r="AZ250" s="15"/>
      <c r="BA250" s="15"/>
      <c r="BB250" s="16"/>
      <c r="BC250" s="15"/>
      <c r="BD250" s="15"/>
      <c r="BE250" s="15"/>
      <c r="BF250" s="15"/>
      <c r="BG250" s="16"/>
      <c r="BI250" s="13"/>
      <c r="DY250" s="12"/>
      <c r="EA250" s="12"/>
      <c r="EX250" s="13"/>
      <c r="EZ250" s="12"/>
      <c r="FI250" s="13"/>
      <c r="FK250" s="13"/>
      <c r="HA250" s="12"/>
      <c r="HC250" s="12"/>
      <c r="HZ250" s="13"/>
      <c r="IB250" s="12"/>
      <c r="IK250" s="13"/>
      <c r="IM250" s="13"/>
    </row>
    <row r="251" spans="21:273" ht="18" customHeight="1" x14ac:dyDescent="0.2">
      <c r="U251" s="12"/>
      <c r="W251" s="12"/>
      <c r="AV251" s="13"/>
      <c r="AW251" s="13"/>
      <c r="BG251" s="11"/>
      <c r="BI251" s="13"/>
      <c r="DY251" s="12"/>
      <c r="EA251" s="12"/>
      <c r="EX251" s="13"/>
      <c r="EZ251" s="12"/>
      <c r="FI251" s="13"/>
      <c r="FK251" s="13"/>
      <c r="FM251" s="15"/>
      <c r="FO251" s="15"/>
      <c r="FQ251" s="15"/>
      <c r="FS251" s="15"/>
      <c r="FZ251" s="15"/>
      <c r="GB251" s="15"/>
      <c r="GC251" s="15"/>
      <c r="GD251" s="15"/>
      <c r="GH251" s="15"/>
      <c r="GI251" s="15"/>
      <c r="GJ251" s="15"/>
      <c r="GK251" s="15"/>
      <c r="HA251" s="12"/>
      <c r="HC251" s="12"/>
      <c r="HZ251" s="13"/>
      <c r="IB251" s="12"/>
      <c r="IK251" s="13"/>
      <c r="IM251" s="13"/>
      <c r="IO251" s="15"/>
      <c r="IQ251" s="15"/>
      <c r="IS251" s="15"/>
      <c r="IU251" s="15"/>
      <c r="IV251" s="49"/>
      <c r="IW251" s="49"/>
      <c r="IX251" s="49"/>
      <c r="IY251" s="49"/>
      <c r="IZ251" s="49"/>
      <c r="JA251" s="49"/>
      <c r="JB251" s="15"/>
      <c r="JD251" s="15"/>
      <c r="JE251" s="15"/>
      <c r="JF251" s="15"/>
      <c r="JJ251" s="15"/>
      <c r="JK251" s="15"/>
      <c r="JL251" s="15"/>
      <c r="JM251" s="15"/>
    </row>
    <row r="252" spans="21:273" ht="18" customHeight="1" x14ac:dyDescent="0.2">
      <c r="U252" s="12"/>
      <c r="W252" s="12"/>
      <c r="AV252" s="13"/>
      <c r="AW252" s="13"/>
      <c r="BG252" s="13"/>
      <c r="BI252" s="13"/>
      <c r="DY252" s="12"/>
      <c r="EA252" s="12"/>
      <c r="EX252" s="13"/>
      <c r="EZ252" s="14"/>
      <c r="FA252" s="15"/>
      <c r="FB252" s="15"/>
      <c r="FC252" s="15"/>
      <c r="FD252" s="15"/>
      <c r="FE252" s="15"/>
      <c r="FF252" s="15"/>
      <c r="FG252" s="15"/>
      <c r="FH252" s="15"/>
      <c r="FI252" s="16"/>
      <c r="FL252" s="10"/>
      <c r="FN252" s="10"/>
      <c r="FP252" s="10"/>
      <c r="FR252" s="10"/>
      <c r="FT252" s="10"/>
      <c r="FU252" s="10"/>
      <c r="FV252" s="10"/>
      <c r="FW252" s="10"/>
      <c r="FX252" s="10"/>
      <c r="FY252" s="10"/>
      <c r="GA252" s="57"/>
      <c r="GB252" s="97"/>
      <c r="GC252" s="97"/>
      <c r="GD252" s="97"/>
      <c r="GE252" s="10"/>
      <c r="GF252" s="10"/>
      <c r="GG252" s="10"/>
      <c r="GK252" s="11"/>
      <c r="HA252" s="12"/>
      <c r="HC252" s="12"/>
      <c r="HZ252" s="13"/>
      <c r="IB252" s="14"/>
      <c r="IC252" s="15"/>
      <c r="ID252" s="15"/>
      <c r="IE252" s="15"/>
      <c r="IF252" s="15"/>
      <c r="IG252" s="15"/>
      <c r="IH252" s="15"/>
      <c r="II252" s="15"/>
      <c r="IJ252" s="15"/>
      <c r="IK252" s="16"/>
      <c r="IN252" s="10"/>
      <c r="IP252" s="10"/>
      <c r="IR252" s="10"/>
      <c r="IT252" s="10"/>
      <c r="IV252" s="10"/>
      <c r="IW252" s="10"/>
      <c r="IX252" s="10"/>
      <c r="IY252" s="10"/>
      <c r="IZ252" s="10"/>
      <c r="JA252" s="10"/>
      <c r="JC252" s="57"/>
      <c r="JD252" s="97"/>
      <c r="JE252" s="97"/>
      <c r="JF252" s="97"/>
      <c r="JG252" s="10"/>
      <c r="JH252" s="10"/>
      <c r="JI252" s="10"/>
      <c r="JM252" s="11"/>
    </row>
    <row r="253" spans="21:273" ht="18" customHeight="1" x14ac:dyDescent="0.2">
      <c r="U253" s="12"/>
      <c r="W253" s="12"/>
      <c r="AV253" s="13"/>
      <c r="AW253" s="13"/>
      <c r="BG253" s="13"/>
      <c r="BI253" s="13"/>
      <c r="DY253" s="12"/>
      <c r="EA253" s="12"/>
      <c r="EX253" s="13"/>
      <c r="EY253" s="13"/>
      <c r="FI253" s="15"/>
      <c r="FJ253" s="14"/>
      <c r="FK253" s="15"/>
      <c r="FM253" s="15"/>
      <c r="FO253" s="15"/>
      <c r="FQ253" s="15"/>
      <c r="FS253" s="15"/>
      <c r="FZ253" s="15"/>
      <c r="GA253" s="97"/>
      <c r="GB253" s="60"/>
      <c r="GC253" s="60"/>
      <c r="GD253" s="60"/>
      <c r="GK253" s="13"/>
      <c r="HA253" s="12"/>
      <c r="HC253" s="12"/>
      <c r="HZ253" s="13"/>
      <c r="IA253" s="13"/>
      <c r="IC253" s="127"/>
      <c r="ID253" s="127"/>
      <c r="IE253" s="127"/>
      <c r="IF253" s="127"/>
      <c r="IG253" s="127"/>
      <c r="IK253" s="15"/>
      <c r="IL253" s="14"/>
      <c r="IM253" s="15"/>
      <c r="IO253" s="15"/>
      <c r="IQ253" s="15"/>
      <c r="IS253" s="15"/>
      <c r="IU253" s="15"/>
      <c r="JB253" s="15"/>
      <c r="JC253" s="97"/>
      <c r="JD253" s="60"/>
      <c r="JE253" s="60"/>
      <c r="JF253" s="60"/>
      <c r="JM253" s="13"/>
    </row>
    <row r="254" spans="21:273" ht="18" customHeight="1" x14ac:dyDescent="0.2">
      <c r="U254" s="12"/>
      <c r="W254" s="12"/>
      <c r="AV254" s="13"/>
      <c r="AW254" s="13"/>
      <c r="BG254" s="13"/>
      <c r="BI254" s="13"/>
      <c r="BK254" s="15"/>
      <c r="BM254" s="15"/>
      <c r="BO254" s="15"/>
      <c r="BQ254" s="15"/>
      <c r="BS254" s="15"/>
      <c r="BT254" s="15"/>
      <c r="BU254" s="15"/>
      <c r="BV254" s="15"/>
      <c r="BW254" s="15"/>
      <c r="BX254" s="15"/>
      <c r="BY254" s="15"/>
      <c r="BZ254" s="15"/>
      <c r="CA254" s="15"/>
      <c r="CB254" s="15"/>
      <c r="CC254" s="15"/>
      <c r="CD254" s="15"/>
      <c r="CE254" s="15"/>
      <c r="CF254" s="15"/>
      <c r="DY254" s="12"/>
      <c r="EA254" s="12"/>
      <c r="EX254" s="13"/>
      <c r="EY254" s="13"/>
      <c r="EZ254" s="10"/>
      <c r="FA254" s="10"/>
      <c r="FB254" s="10"/>
      <c r="FC254" s="10"/>
      <c r="FD254" s="10"/>
      <c r="FE254" s="10"/>
      <c r="FF254" s="10"/>
      <c r="FG254" s="10"/>
      <c r="FH254" s="10"/>
      <c r="FI254" s="10"/>
      <c r="FJ254" s="10"/>
      <c r="FK254" s="10"/>
      <c r="FL254" s="10"/>
      <c r="FM254" s="10"/>
      <c r="FN254" s="10"/>
      <c r="FO254" s="10"/>
      <c r="FP254" s="10"/>
      <c r="FQ254" s="10"/>
      <c r="FR254" s="10"/>
      <c r="FS254" s="10"/>
      <c r="FT254" s="10"/>
      <c r="FU254" s="10"/>
      <c r="FV254" s="10"/>
      <c r="FW254" s="10"/>
      <c r="FX254" s="10"/>
      <c r="FY254" s="10"/>
      <c r="FZ254" s="10"/>
      <c r="GA254" s="10"/>
      <c r="GB254" s="10"/>
      <c r="GC254" s="10"/>
      <c r="GD254" s="10"/>
      <c r="GE254" s="10"/>
      <c r="GF254" s="10"/>
      <c r="GG254" s="10"/>
      <c r="GH254" s="10"/>
      <c r="GI254" s="11"/>
      <c r="GK254" s="13"/>
      <c r="HA254" s="12"/>
      <c r="HC254" s="12"/>
      <c r="HZ254" s="13"/>
      <c r="IA254" s="13"/>
      <c r="IB254" s="10"/>
      <c r="IC254" s="10"/>
      <c r="ID254" s="10"/>
      <c r="IE254" s="10"/>
      <c r="IF254" s="10"/>
      <c r="IG254" s="10"/>
      <c r="IH254" s="10"/>
      <c r="II254" s="10"/>
      <c r="IJ254" s="10"/>
      <c r="IK254" s="10"/>
      <c r="IL254" s="10"/>
      <c r="IM254" s="10"/>
      <c r="IN254" s="10"/>
      <c r="IO254" s="10"/>
      <c r="IP254" s="10"/>
      <c r="IQ254" s="10"/>
      <c r="IR254" s="10"/>
      <c r="IS254" s="10"/>
      <c r="IT254" s="10"/>
      <c r="IU254" s="10"/>
      <c r="IV254" s="10"/>
      <c r="IW254" s="10"/>
      <c r="IX254" s="10"/>
      <c r="IY254" s="10"/>
      <c r="IZ254" s="10"/>
      <c r="JA254" s="10"/>
      <c r="JB254" s="10"/>
      <c r="JC254" s="10"/>
      <c r="JD254" s="10"/>
      <c r="JE254" s="10"/>
      <c r="JF254" s="10"/>
      <c r="JG254" s="10"/>
      <c r="JH254" s="10"/>
      <c r="JI254" s="10"/>
      <c r="JJ254" s="10"/>
      <c r="JK254" s="11"/>
      <c r="JM254" s="13"/>
    </row>
    <row r="255" spans="21:273" ht="18" customHeight="1" x14ac:dyDescent="0.2">
      <c r="U255" s="12"/>
      <c r="W255" s="12"/>
      <c r="AV255" s="13"/>
      <c r="AW255" s="13"/>
      <c r="BG255" s="16"/>
      <c r="BH255" s="12"/>
      <c r="BJ255" s="10"/>
      <c r="BL255" s="10"/>
      <c r="BN255" s="10"/>
      <c r="BP255" s="10"/>
      <c r="BR255" s="10"/>
      <c r="BW255" s="20"/>
      <c r="BX255" s="21"/>
      <c r="BY255" s="21"/>
      <c r="BZ255" s="21"/>
      <c r="CA255" s="21"/>
      <c r="CB255" s="22"/>
      <c r="CF255" s="11"/>
      <c r="DY255" s="12"/>
      <c r="EA255" s="12"/>
      <c r="EX255" s="13"/>
      <c r="EY255" s="13"/>
      <c r="GI255" s="13"/>
      <c r="GK255" s="13"/>
      <c r="HA255" s="12"/>
      <c r="HC255" s="12"/>
      <c r="HZ255" s="13"/>
      <c r="IA255" s="13"/>
      <c r="JK255" s="13"/>
      <c r="JM255" s="13"/>
    </row>
    <row r="256" spans="21:273" ht="18" customHeight="1" x14ac:dyDescent="0.2">
      <c r="U256" s="12"/>
      <c r="W256" s="12"/>
      <c r="AV256" s="13"/>
      <c r="AW256" s="13"/>
      <c r="AX256" s="10"/>
      <c r="AY256" s="10"/>
      <c r="AZ256" s="10"/>
      <c r="BA256" s="10"/>
      <c r="BB256" s="10"/>
      <c r="BC256" s="10"/>
      <c r="BD256" s="10"/>
      <c r="BE256" s="10"/>
      <c r="BF256" s="10"/>
      <c r="BG256" s="15"/>
      <c r="BH256" s="14"/>
      <c r="BI256" s="15"/>
      <c r="BK256" s="15"/>
      <c r="BM256" s="15"/>
      <c r="BO256" s="15"/>
      <c r="BQ256" s="15"/>
      <c r="BS256" s="15"/>
      <c r="BT256" s="15"/>
      <c r="BU256" s="15"/>
      <c r="BV256" s="15"/>
      <c r="BW256" s="20"/>
      <c r="BX256" s="21"/>
      <c r="BY256" s="21"/>
      <c r="BZ256" s="21"/>
      <c r="CA256" s="21"/>
      <c r="CB256" s="22"/>
      <c r="CF256" s="13"/>
      <c r="DY256" s="12"/>
      <c r="EA256" s="12"/>
      <c r="EX256" s="13"/>
      <c r="EY256" s="13"/>
      <c r="GI256" s="13"/>
      <c r="GK256" s="13"/>
      <c r="HA256" s="12"/>
      <c r="HC256" s="12"/>
      <c r="HZ256" s="13"/>
      <c r="IA256" s="13"/>
      <c r="JK256" s="13"/>
      <c r="JM256" s="13"/>
    </row>
    <row r="257" spans="21:273" ht="18" customHeight="1" x14ac:dyDescent="0.2">
      <c r="U257" s="12"/>
      <c r="W257" s="12"/>
      <c r="AV257" s="13"/>
      <c r="AW257" s="13"/>
      <c r="AX257" s="10"/>
      <c r="AY257" s="10"/>
      <c r="AZ257" s="10"/>
      <c r="BA257" s="10"/>
      <c r="BB257" s="10"/>
      <c r="BC257" s="10"/>
      <c r="BD257" s="10"/>
      <c r="BE257" s="10"/>
      <c r="BF257" s="10"/>
      <c r="BG257" t="s">
        <v>45</v>
      </c>
      <c r="BH257" s="10"/>
      <c r="BI257" s="10"/>
      <c r="BJ257" s="10"/>
      <c r="BK257" s="10"/>
      <c r="BL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1"/>
      <c r="CF257" s="13"/>
      <c r="DY257" s="12"/>
      <c r="EA257" s="12"/>
      <c r="EX257" s="13"/>
      <c r="EY257" s="13"/>
      <c r="GI257" s="13"/>
      <c r="GK257" s="13"/>
      <c r="HA257" s="12"/>
      <c r="HC257" s="12"/>
      <c r="HZ257" s="13"/>
      <c r="IA257" s="13"/>
      <c r="JK257" s="13"/>
      <c r="JM257" s="13"/>
    </row>
    <row r="258" spans="21:273" ht="18" customHeight="1" x14ac:dyDescent="0.2">
      <c r="U258" s="12"/>
      <c r="W258" s="12"/>
      <c r="AV258" s="13"/>
      <c r="AW258" s="13"/>
      <c r="CD258" s="13"/>
      <c r="CF258" s="13"/>
      <c r="DY258" s="12"/>
      <c r="EA258" s="12"/>
      <c r="EX258" s="13"/>
      <c r="EY258" s="13"/>
      <c r="GI258" s="13"/>
      <c r="GK258" s="13"/>
      <c r="HA258" s="12"/>
      <c r="HC258" s="12"/>
      <c r="HZ258" s="13"/>
      <c r="IA258" s="13"/>
      <c r="JK258" s="13"/>
      <c r="JM258" s="13"/>
    </row>
    <row r="259" spans="21:273" ht="18" customHeight="1" x14ac:dyDescent="0.2">
      <c r="U259" s="12"/>
      <c r="W259" s="12"/>
      <c r="AV259" s="13"/>
      <c r="AW259" s="13"/>
      <c r="CD259" s="13"/>
      <c r="CF259" s="13"/>
      <c r="DY259" s="12"/>
      <c r="EA259" s="12"/>
      <c r="EX259" s="13"/>
      <c r="EY259" s="13"/>
      <c r="GI259" s="13"/>
      <c r="GK259" s="13"/>
      <c r="GZ259" s="49"/>
      <c r="HA259" s="12"/>
      <c r="HC259" s="12"/>
      <c r="HZ259" s="13"/>
      <c r="IA259" s="13"/>
      <c r="JK259" s="13"/>
      <c r="JM259" s="13"/>
    </row>
    <row r="260" spans="21:273" ht="18" customHeight="1" x14ac:dyDescent="0.2">
      <c r="U260" s="12"/>
      <c r="W260" s="12"/>
      <c r="AV260" s="13"/>
      <c r="AW260" s="13"/>
      <c r="CD260" s="13"/>
      <c r="CF260" s="13"/>
      <c r="DY260" s="12"/>
      <c r="EA260" s="12"/>
      <c r="EX260" s="13"/>
      <c r="EY260" s="13"/>
      <c r="GI260" s="13"/>
      <c r="GK260" s="13"/>
      <c r="GZ260" s="49"/>
      <c r="HA260" s="12"/>
      <c r="HC260" s="12"/>
      <c r="HZ260" s="13"/>
      <c r="IA260" s="90"/>
      <c r="JK260" s="13"/>
      <c r="JM260" s="13"/>
    </row>
    <row r="261" spans="21:273" ht="18" customHeight="1" x14ac:dyDescent="0.2">
      <c r="U261" s="12"/>
      <c r="W261" s="12"/>
      <c r="AV261" s="13"/>
      <c r="AW261" s="13"/>
      <c r="CD261" s="13"/>
      <c r="CF261" s="13"/>
      <c r="DY261" s="12"/>
      <c r="EA261" s="12"/>
      <c r="EX261" s="13"/>
      <c r="EY261" s="13"/>
      <c r="GI261" s="13"/>
      <c r="GK261" s="13"/>
      <c r="GZ261" s="49"/>
      <c r="HA261" s="12"/>
      <c r="HC261" s="12"/>
      <c r="HZ261" s="13"/>
      <c r="IA261" s="90"/>
      <c r="JK261" s="13"/>
      <c r="JM261" s="13"/>
    </row>
    <row r="262" spans="21:273" ht="18" customHeight="1" x14ac:dyDescent="0.2">
      <c r="U262" s="12"/>
      <c r="W262" s="12"/>
      <c r="AV262" s="13"/>
      <c r="AW262" s="13"/>
      <c r="CD262" s="13"/>
      <c r="CF262" s="13"/>
      <c r="DY262" s="12"/>
      <c r="EA262" s="12"/>
      <c r="EX262" s="13"/>
      <c r="EY262" s="13"/>
      <c r="GI262" s="13"/>
      <c r="GK262" s="13"/>
      <c r="GZ262" s="49"/>
      <c r="HA262" s="12"/>
      <c r="HC262" s="12"/>
      <c r="HZ262" s="13"/>
      <c r="IA262" s="90"/>
      <c r="JK262" s="13"/>
      <c r="JM262" s="13"/>
    </row>
    <row r="263" spans="21:273" ht="18" customHeight="1" x14ac:dyDescent="0.2">
      <c r="U263" s="12"/>
      <c r="W263" s="12"/>
      <c r="AV263" s="13"/>
      <c r="AW263" s="13"/>
      <c r="CD263" s="13"/>
      <c r="CF263" s="13"/>
      <c r="DY263" s="12"/>
      <c r="EA263" s="12"/>
      <c r="EX263" s="13"/>
      <c r="EY263" s="13"/>
      <c r="GI263" s="13"/>
      <c r="GK263" s="13"/>
      <c r="GZ263" s="49"/>
      <c r="HA263" s="12"/>
      <c r="HC263" s="12"/>
      <c r="HZ263" s="13"/>
      <c r="IA263" s="90"/>
      <c r="JK263" s="13"/>
      <c r="JM263" s="13"/>
    </row>
    <row r="264" spans="21:273" ht="18" customHeight="1" x14ac:dyDescent="0.2">
      <c r="U264" s="12"/>
      <c r="W264" s="12"/>
      <c r="AV264" s="13"/>
      <c r="AW264" s="13"/>
      <c r="CD264" s="13"/>
      <c r="CF264" s="13"/>
      <c r="DY264" s="12"/>
      <c r="EA264" s="12"/>
      <c r="EX264" s="13"/>
      <c r="EY264" s="13"/>
      <c r="GI264" s="13"/>
      <c r="GK264" s="13"/>
      <c r="HA264" s="12"/>
      <c r="HC264" s="12"/>
      <c r="HZ264" s="13"/>
      <c r="IA264" s="90"/>
      <c r="JK264" s="13"/>
      <c r="JM264" s="13"/>
    </row>
    <row r="265" spans="21:273" ht="18" customHeight="1" x14ac:dyDescent="0.2">
      <c r="U265" s="12"/>
      <c r="W265" s="12"/>
      <c r="AV265" s="13"/>
      <c r="AW265" s="13"/>
      <c r="CD265" s="13"/>
      <c r="CF265" s="13"/>
      <c r="DY265" s="12"/>
      <c r="EA265" s="12"/>
      <c r="EX265" s="13"/>
      <c r="EY265" s="13"/>
      <c r="GI265" s="13"/>
      <c r="GK265" s="13"/>
      <c r="HA265" s="12"/>
      <c r="HC265" s="12"/>
      <c r="HZ265" s="13"/>
      <c r="IA265" s="90"/>
      <c r="JK265" s="13"/>
      <c r="JM265" s="13"/>
    </row>
    <row r="266" spans="21:273" ht="18" customHeight="1" x14ac:dyDescent="0.2">
      <c r="U266" s="12"/>
      <c r="W266" s="12"/>
      <c r="AV266" s="13"/>
      <c r="AW266" s="13"/>
      <c r="CD266" s="13"/>
      <c r="CF266" s="13"/>
      <c r="DY266" s="12"/>
      <c r="EA266" s="14"/>
      <c r="EB266" s="15"/>
      <c r="EC266" s="15"/>
      <c r="EX266" s="13"/>
      <c r="EY266" s="13"/>
      <c r="GI266" s="13"/>
      <c r="GK266" s="13"/>
      <c r="HA266" s="12"/>
      <c r="HC266" s="14"/>
      <c r="HD266" s="15"/>
      <c r="HE266" s="15"/>
      <c r="HZ266" s="13"/>
      <c r="IA266" s="13"/>
      <c r="JK266" s="13"/>
      <c r="JM266" s="13"/>
    </row>
    <row r="267" spans="21:273" ht="18" customHeight="1" x14ac:dyDescent="0.2">
      <c r="U267" s="12"/>
      <c r="W267" s="12"/>
      <c r="AV267" s="13"/>
      <c r="AW267" s="13"/>
      <c r="CD267" s="13"/>
      <c r="CF267" s="13"/>
      <c r="DY267" s="96"/>
      <c r="DZ267" s="97"/>
      <c r="EA267" s="9"/>
      <c r="EB267" s="92"/>
      <c r="EC267" s="92"/>
      <c r="ED267" s="92"/>
      <c r="EE267" s="92"/>
      <c r="EF267" s="92"/>
      <c r="EG267" s="10"/>
      <c r="EH267" s="10"/>
      <c r="EI267" s="10"/>
      <c r="EJ267" s="10"/>
      <c r="EK267" s="10"/>
      <c r="EL267" s="10"/>
      <c r="EM267" s="10"/>
      <c r="EN267" s="10"/>
      <c r="EO267" s="10"/>
      <c r="EP267" s="10"/>
      <c r="EQ267" s="10"/>
      <c r="ER267" s="10"/>
      <c r="ES267" s="57"/>
      <c r="ET267" s="212"/>
      <c r="EU267" s="21"/>
      <c r="EV267" s="21"/>
      <c r="EW267" s="21"/>
      <c r="EX267" s="21"/>
      <c r="EY267" s="21"/>
      <c r="EZ267" s="21"/>
      <c r="FA267" s="21"/>
      <c r="FB267" s="21"/>
      <c r="FC267" s="21"/>
      <c r="FD267" s="21"/>
      <c r="FE267" s="21"/>
      <c r="FF267" s="21"/>
      <c r="FG267" s="21"/>
      <c r="FH267" s="21"/>
      <c r="FI267" s="21"/>
      <c r="FJ267" s="212"/>
      <c r="FK267" s="213"/>
      <c r="GI267" s="13"/>
      <c r="GJ267" s="97"/>
      <c r="GK267" s="98"/>
      <c r="HA267" s="96"/>
      <c r="HB267" s="97"/>
      <c r="HC267" s="9"/>
      <c r="HD267" s="92"/>
      <c r="HE267" s="92"/>
      <c r="HF267" s="92"/>
      <c r="HG267" s="92"/>
      <c r="HH267" s="92"/>
      <c r="HI267" s="10"/>
      <c r="HJ267" s="10"/>
      <c r="HK267" s="10"/>
      <c r="HL267" s="10"/>
      <c r="HM267" s="10"/>
      <c r="HN267" s="10"/>
      <c r="HO267" s="10"/>
      <c r="HP267" s="10"/>
      <c r="HQ267" s="10"/>
      <c r="HR267" s="10"/>
      <c r="HS267" s="10"/>
      <c r="HT267" s="10"/>
      <c r="HU267" s="57"/>
      <c r="HV267" s="212"/>
      <c r="HW267" s="21"/>
      <c r="HX267" s="21"/>
      <c r="HY267" s="21"/>
      <c r="HZ267" s="21"/>
      <c r="IA267" s="21"/>
      <c r="IB267" s="21"/>
      <c r="IC267" s="21"/>
      <c r="ID267" s="21"/>
      <c r="IE267" s="21"/>
      <c r="IF267" s="21"/>
      <c r="IG267" s="21"/>
      <c r="IH267" s="21"/>
      <c r="II267" s="21"/>
      <c r="IJ267" s="21"/>
      <c r="IK267" s="21"/>
      <c r="IL267" s="212"/>
      <c r="IM267" s="213"/>
      <c r="JK267" s="13"/>
      <c r="JL267" s="97"/>
      <c r="JM267" s="98"/>
    </row>
    <row r="268" spans="21:273" ht="18" customHeight="1" x14ac:dyDescent="0.2">
      <c r="U268" s="12"/>
      <c r="W268" s="12"/>
      <c r="AV268" s="13"/>
      <c r="AW268" s="13"/>
      <c r="CD268" s="13"/>
      <c r="CF268" s="13"/>
      <c r="DY268" s="96"/>
      <c r="DZ268" s="97"/>
      <c r="EA268" s="9"/>
      <c r="EB268" s="10"/>
      <c r="EC268" s="10"/>
      <c r="ED268" s="10"/>
      <c r="EE268" s="10"/>
      <c r="EF268" s="10"/>
      <c r="EG268" s="10"/>
      <c r="EH268" s="10"/>
      <c r="EI268" s="10"/>
      <c r="EJ268" s="10"/>
      <c r="EK268" s="10"/>
      <c r="EL268" s="10"/>
      <c r="EM268" s="10"/>
      <c r="EN268" s="10"/>
      <c r="EO268" s="10"/>
      <c r="EP268" s="10"/>
      <c r="EQ268" s="10"/>
      <c r="ER268" s="10"/>
      <c r="ES268" s="58"/>
      <c r="ET268" s="97"/>
      <c r="EU268" s="12"/>
      <c r="FJ268" s="98"/>
      <c r="FK268" s="97"/>
      <c r="FL268" s="12"/>
      <c r="GI268" s="13"/>
      <c r="GJ268" s="97"/>
      <c r="GK268" s="98"/>
      <c r="HA268" s="96"/>
      <c r="HB268" s="97"/>
      <c r="HC268" s="9"/>
      <c r="HD268" s="10"/>
      <c r="HE268" s="10"/>
      <c r="HF268" s="10"/>
      <c r="HG268" s="10"/>
      <c r="HH268" s="10"/>
      <c r="HI268" s="10"/>
      <c r="HJ268" s="10"/>
      <c r="HK268" s="10"/>
      <c r="HL268" s="10"/>
      <c r="HM268" s="10"/>
      <c r="HN268" s="10"/>
      <c r="HO268" s="10"/>
      <c r="HP268" s="10"/>
      <c r="HQ268" s="10"/>
      <c r="HR268" s="10"/>
      <c r="HS268" s="10"/>
      <c r="HT268" s="10"/>
      <c r="HU268" s="58"/>
      <c r="HV268" s="97"/>
      <c r="HW268" s="12"/>
      <c r="IL268" s="98"/>
      <c r="IM268" s="97"/>
      <c r="IN268" s="12"/>
      <c r="JK268" s="13"/>
      <c r="JL268" s="97"/>
      <c r="JM268" s="98"/>
    </row>
    <row r="269" spans="21:273" ht="18" customHeight="1" x14ac:dyDescent="0.2">
      <c r="U269" s="12"/>
      <c r="W269" s="12"/>
      <c r="AV269" s="13"/>
      <c r="AW269" s="13"/>
      <c r="CD269" s="13"/>
      <c r="CF269" s="13"/>
      <c r="DY269" s="96"/>
      <c r="DZ269" s="97"/>
      <c r="EA269" s="12"/>
      <c r="ES269" s="98"/>
      <c r="ET269" s="97"/>
      <c r="EU269" s="12"/>
      <c r="FJ269" s="98"/>
      <c r="FK269" s="98"/>
      <c r="GI269" s="13"/>
      <c r="GJ269" s="97"/>
      <c r="GK269" s="98"/>
      <c r="HA269" s="96"/>
      <c r="HB269" s="97"/>
      <c r="HC269" s="12"/>
      <c r="HU269" s="98"/>
      <c r="HV269" s="97"/>
      <c r="HW269" s="12"/>
      <c r="IL269" s="98"/>
      <c r="IM269" s="98"/>
      <c r="JK269" s="13"/>
      <c r="JL269" s="97"/>
      <c r="JM269" s="98"/>
    </row>
    <row r="270" spans="21:273" ht="18" customHeight="1" x14ac:dyDescent="0.2">
      <c r="U270" s="12"/>
      <c r="W270" s="20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2"/>
      <c r="CD270" s="13"/>
      <c r="CF270" s="13"/>
      <c r="DY270" s="96"/>
      <c r="DZ270" s="97"/>
      <c r="EA270" s="12"/>
      <c r="ES270" s="98"/>
      <c r="ET270" s="97"/>
      <c r="EU270" s="12"/>
      <c r="FJ270" s="98"/>
      <c r="FK270" s="98"/>
      <c r="GI270" s="13"/>
      <c r="GJ270" s="97"/>
      <c r="GK270" s="98"/>
      <c r="GZ270" s="49"/>
      <c r="HA270" s="96"/>
      <c r="HB270" s="97"/>
      <c r="HC270" s="12"/>
      <c r="HU270" s="98"/>
      <c r="HV270" s="97"/>
      <c r="HW270" s="12"/>
      <c r="IL270" s="98"/>
      <c r="IM270" s="98"/>
      <c r="JK270" s="13"/>
      <c r="JL270" s="97"/>
      <c r="JM270" s="98"/>
    </row>
    <row r="271" spans="21:273" ht="18" customHeight="1" x14ac:dyDescent="0.2">
      <c r="U271" s="12"/>
      <c r="W271" s="12"/>
      <c r="AG271" s="12"/>
      <c r="AN271" s="13"/>
      <c r="AP271" s="12"/>
      <c r="BE271" s="13"/>
      <c r="BG271" s="12"/>
      <c r="CD271" s="13"/>
      <c r="CF271" s="13"/>
      <c r="DY271" s="12"/>
      <c r="EA271" s="12"/>
      <c r="ES271" s="13"/>
      <c r="EU271" s="12"/>
      <c r="FJ271" s="13"/>
      <c r="FK271" s="13"/>
      <c r="GI271" s="13"/>
      <c r="GK271" s="13"/>
      <c r="GZ271" s="49"/>
      <c r="HA271" s="12"/>
      <c r="HC271" s="12"/>
      <c r="HU271" s="13"/>
      <c r="HW271" s="12"/>
      <c r="IL271" s="13"/>
      <c r="IM271" s="13"/>
      <c r="JK271" s="13"/>
      <c r="JM271" s="13"/>
    </row>
    <row r="272" spans="21:273" ht="18" customHeight="1" x14ac:dyDescent="0.2">
      <c r="U272" s="12"/>
      <c r="W272" s="12"/>
      <c r="AG272" s="12"/>
      <c r="AN272" s="13"/>
      <c r="AP272" s="9"/>
      <c r="AQ272" s="11"/>
      <c r="BE272" s="13"/>
      <c r="BF272" s="13"/>
      <c r="CD272" s="13"/>
      <c r="CF272" s="13"/>
      <c r="DY272" s="12"/>
      <c r="EA272" s="12"/>
      <c r="ES272" s="13"/>
      <c r="EU272" s="12"/>
      <c r="EY272" s="9"/>
      <c r="EZ272" s="10"/>
      <c r="FA272" s="10"/>
      <c r="FB272" s="10"/>
      <c r="FC272" s="10"/>
      <c r="FD272" s="10"/>
      <c r="FE272" s="10"/>
      <c r="FF272" s="11"/>
      <c r="FJ272" s="13"/>
      <c r="FK272" s="13"/>
      <c r="GI272" s="13"/>
      <c r="GK272" s="13"/>
      <c r="GZ272" s="49"/>
      <c r="HA272" s="12"/>
      <c r="HC272" s="12"/>
      <c r="HU272" s="13"/>
      <c r="HW272" s="12"/>
      <c r="IA272" s="9"/>
      <c r="IB272" s="10"/>
      <c r="IC272" s="10"/>
      <c r="ID272" s="10"/>
      <c r="IE272" s="10"/>
      <c r="IF272" s="10"/>
      <c r="IG272" s="10"/>
      <c r="IH272" s="11"/>
      <c r="IL272" s="13"/>
      <c r="IM272" s="13"/>
      <c r="JK272" s="13"/>
      <c r="JM272" s="13"/>
    </row>
    <row r="273" spans="21:274" ht="18" customHeight="1" x14ac:dyDescent="0.2">
      <c r="U273" s="12"/>
      <c r="W273" s="12"/>
      <c r="AG273" s="12"/>
      <c r="AN273" s="13"/>
      <c r="AP273" s="12"/>
      <c r="AQ273" s="13"/>
      <c r="BE273" s="13"/>
      <c r="BF273" s="13"/>
      <c r="BG273" s="9"/>
      <c r="BH273" s="10"/>
      <c r="BI273" s="10"/>
      <c r="BJ273" s="10"/>
      <c r="BK273" s="10"/>
      <c r="BL273" s="11"/>
      <c r="CD273" s="13"/>
      <c r="CF273" s="13"/>
      <c r="DY273" s="12"/>
      <c r="EA273" s="12"/>
      <c r="ES273" s="13"/>
      <c r="EU273" s="12"/>
      <c r="EY273" s="12"/>
      <c r="FF273" s="13"/>
      <c r="FJ273" s="13"/>
      <c r="FK273" s="13"/>
      <c r="GI273" s="13"/>
      <c r="GK273" s="13"/>
      <c r="GZ273" s="49"/>
      <c r="HA273" s="12"/>
      <c r="HC273" s="12"/>
      <c r="HU273" s="13"/>
      <c r="HW273" s="12"/>
      <c r="IA273" s="12"/>
      <c r="IH273" s="13"/>
      <c r="IL273" s="13"/>
      <c r="IM273" s="13"/>
      <c r="JK273" s="13"/>
      <c r="JM273" s="13"/>
    </row>
    <row r="274" spans="21:274" ht="18" customHeight="1" x14ac:dyDescent="0.2">
      <c r="U274" s="12"/>
      <c r="W274" s="12"/>
      <c r="AG274" s="12"/>
      <c r="AN274" s="13"/>
      <c r="AP274" s="12"/>
      <c r="AQ274" s="13"/>
      <c r="BE274" s="13"/>
      <c r="BF274" s="13"/>
      <c r="BG274" s="12"/>
      <c r="BL274" s="13"/>
      <c r="CD274" s="13"/>
      <c r="CF274" s="13"/>
      <c r="DY274" s="12"/>
      <c r="EA274" s="12"/>
      <c r="ES274" s="13"/>
      <c r="EU274" s="12"/>
      <c r="EY274" s="12"/>
      <c r="FF274" s="13"/>
      <c r="FJ274" s="13"/>
      <c r="FK274" s="13"/>
      <c r="GI274" s="13"/>
      <c r="GK274" s="13"/>
      <c r="HA274" s="12"/>
      <c r="HC274" s="12"/>
      <c r="HU274" s="13"/>
      <c r="HW274" s="12"/>
      <c r="IA274" s="12"/>
      <c r="IH274" s="13"/>
      <c r="IL274" s="13"/>
      <c r="IM274" s="13"/>
      <c r="JK274" s="13"/>
      <c r="JM274" s="13"/>
    </row>
    <row r="275" spans="21:274" ht="18" customHeight="1" x14ac:dyDescent="0.2">
      <c r="U275" s="12"/>
      <c r="W275" s="12"/>
      <c r="AG275" s="12"/>
      <c r="AN275" s="13"/>
      <c r="AP275" s="12"/>
      <c r="AQ275" s="13"/>
      <c r="AT275" s="9"/>
      <c r="AU275" s="10"/>
      <c r="AV275" s="10"/>
      <c r="AW275" s="10"/>
      <c r="AX275" s="10"/>
      <c r="AY275" s="10"/>
      <c r="AZ275" s="10"/>
      <c r="BA275" s="11"/>
      <c r="BE275" s="13"/>
      <c r="BF275" s="13"/>
      <c r="BG275" s="12"/>
      <c r="BL275" s="13"/>
      <c r="CD275" s="13"/>
      <c r="CF275" s="13"/>
      <c r="DY275" s="12"/>
      <c r="EA275" s="12"/>
      <c r="ES275" s="13"/>
      <c r="EU275" s="12"/>
      <c r="EY275" s="12"/>
      <c r="FF275" s="13"/>
      <c r="FJ275" s="13"/>
      <c r="FK275" s="13"/>
      <c r="GI275" s="13"/>
      <c r="GK275" s="13"/>
      <c r="HA275" s="12"/>
      <c r="HC275" s="12"/>
      <c r="HU275" s="13"/>
      <c r="HW275" s="12"/>
      <c r="IA275" s="12"/>
      <c r="IH275" s="13"/>
      <c r="IL275" s="13"/>
      <c r="IM275" s="13"/>
      <c r="JK275" s="13"/>
      <c r="JM275" s="13"/>
    </row>
    <row r="276" spans="21:274" ht="18" customHeight="1" x14ac:dyDescent="0.2">
      <c r="U276" s="12"/>
      <c r="W276" s="9"/>
      <c r="X276" s="10"/>
      <c r="Y276" s="10"/>
      <c r="Z276" s="10"/>
      <c r="AA276" s="10"/>
      <c r="AB276" s="9"/>
      <c r="AC276" s="10"/>
      <c r="AD276" s="10"/>
      <c r="AE276" s="10"/>
      <c r="AF276" s="11"/>
      <c r="AG276" s="12"/>
      <c r="AN276" s="13"/>
      <c r="AP276" s="12"/>
      <c r="AQ276" s="13"/>
      <c r="AT276" s="12"/>
      <c r="BA276" s="13"/>
      <c r="BE276" s="13"/>
      <c r="BF276" s="13"/>
      <c r="BG276" s="12"/>
      <c r="BL276" s="13"/>
      <c r="CD276" s="13"/>
      <c r="CF276" s="13"/>
      <c r="DY276" s="12"/>
      <c r="EA276" s="12"/>
      <c r="ES276" s="13"/>
      <c r="EU276" s="12"/>
      <c r="EY276" s="12"/>
      <c r="FF276" s="13"/>
      <c r="FJ276" s="13"/>
      <c r="FK276" s="13"/>
      <c r="GI276" s="13"/>
      <c r="GK276" s="13"/>
      <c r="GL276" s="12"/>
      <c r="HA276" s="12"/>
      <c r="HC276" s="12"/>
      <c r="HU276" s="13"/>
      <c r="HW276" s="12"/>
      <c r="IA276" s="12"/>
      <c r="IH276" s="13"/>
      <c r="IL276" s="13"/>
      <c r="IM276" s="13"/>
      <c r="JK276" s="13"/>
      <c r="JM276" s="13"/>
      <c r="JN276" s="12"/>
    </row>
    <row r="277" spans="21:274" ht="18" customHeight="1" x14ac:dyDescent="0.2">
      <c r="U277" s="12"/>
      <c r="W277" s="12"/>
      <c r="AB277" s="12"/>
      <c r="AF277" s="13"/>
      <c r="AG277" s="12"/>
      <c r="AN277" s="13"/>
      <c r="AP277" s="14"/>
      <c r="AQ277" s="16"/>
      <c r="AT277" s="12"/>
      <c r="BA277" s="13"/>
      <c r="BE277" s="13"/>
      <c r="BF277" s="13"/>
      <c r="BG277" s="12"/>
      <c r="BL277" s="13"/>
      <c r="CD277" s="13"/>
      <c r="CF277" s="13"/>
      <c r="DY277" s="12"/>
      <c r="EA277" s="14"/>
      <c r="EB277" s="15"/>
      <c r="EC277" s="15"/>
      <c r="ED277" s="15"/>
      <c r="EE277" s="15"/>
      <c r="EF277" s="15"/>
      <c r="EG277" s="15"/>
      <c r="EH277" s="15"/>
      <c r="EI277" s="15"/>
      <c r="EJ277" s="15"/>
      <c r="EK277" s="15"/>
      <c r="EL277" s="15"/>
      <c r="EM277" s="15"/>
      <c r="EN277" s="15"/>
      <c r="EO277" s="15"/>
      <c r="EP277" s="15"/>
      <c r="EQ277" s="15"/>
      <c r="ER277" s="15"/>
      <c r="ES277" s="16"/>
      <c r="ET277" s="15"/>
      <c r="EU277" s="12"/>
      <c r="EY277" s="12"/>
      <c r="FF277" s="13"/>
      <c r="FJ277" s="13"/>
      <c r="FK277" s="13"/>
      <c r="GI277" s="13"/>
      <c r="GK277" s="13"/>
      <c r="GL277" s="12"/>
      <c r="HA277" s="12"/>
      <c r="HC277" s="14"/>
      <c r="HD277" s="15"/>
      <c r="HE277" s="15"/>
      <c r="HF277" s="15"/>
      <c r="HG277" s="15"/>
      <c r="HH277" s="15"/>
      <c r="HI277" s="15"/>
      <c r="HJ277" s="15"/>
      <c r="HK277" s="15"/>
      <c r="HL277" s="15"/>
      <c r="HM277" s="15"/>
      <c r="HN277" s="15"/>
      <c r="HO277" s="15"/>
      <c r="HP277" s="15"/>
      <c r="HQ277" s="15"/>
      <c r="HR277" s="15"/>
      <c r="HS277" s="15"/>
      <c r="HT277" s="15"/>
      <c r="HU277" s="16"/>
      <c r="HV277" s="15"/>
      <c r="HW277" s="12"/>
      <c r="IA277" s="12"/>
      <c r="IH277" s="13"/>
      <c r="IL277" s="13"/>
      <c r="IM277" s="13"/>
      <c r="JK277" s="13"/>
      <c r="JM277" s="13"/>
      <c r="JN277" s="12"/>
    </row>
    <row r="278" spans="21:274" ht="18" customHeight="1" x14ac:dyDescent="0.2">
      <c r="U278" s="12"/>
      <c r="W278" s="12"/>
      <c r="AB278" s="12"/>
      <c r="AF278" s="13"/>
      <c r="AG278" s="12"/>
      <c r="AN278" s="13"/>
      <c r="AP278" s="12"/>
      <c r="AT278" s="12"/>
      <c r="BA278" s="13"/>
      <c r="BE278" s="13"/>
      <c r="BF278" s="13"/>
      <c r="BG278" s="12"/>
      <c r="BL278" s="13"/>
      <c r="CD278" s="13"/>
      <c r="CF278" s="13"/>
      <c r="DY278" s="12"/>
      <c r="EE278" s="97"/>
      <c r="EF278" s="97"/>
      <c r="EG278" s="97"/>
      <c r="EH278" s="97"/>
      <c r="ET278" s="10"/>
      <c r="EU278" s="12"/>
      <c r="EY278" s="12"/>
      <c r="FF278" s="13"/>
      <c r="FJ278" s="13"/>
      <c r="FK278" s="13"/>
      <c r="GI278" s="13"/>
      <c r="GK278" s="13"/>
      <c r="GL278" s="12"/>
      <c r="HA278" s="12"/>
      <c r="HG278" s="97"/>
      <c r="HH278" s="97"/>
      <c r="HI278" s="97"/>
      <c r="HJ278" s="97"/>
      <c r="HV278" s="10"/>
      <c r="HW278" s="12"/>
      <c r="IA278" s="12"/>
      <c r="IH278" s="13"/>
      <c r="IL278" s="13"/>
      <c r="IM278" s="13"/>
      <c r="JK278" s="13"/>
      <c r="JM278" s="13"/>
      <c r="JN278" s="12"/>
    </row>
    <row r="279" spans="21:274" ht="18" customHeight="1" x14ac:dyDescent="0.2">
      <c r="U279" s="12"/>
      <c r="W279" s="12"/>
      <c r="AB279" s="12"/>
      <c r="AF279" s="13"/>
      <c r="AG279" s="12"/>
      <c r="AN279" s="13"/>
      <c r="AP279" s="9"/>
      <c r="AQ279" s="11"/>
      <c r="AT279" s="12"/>
      <c r="BA279" s="13"/>
      <c r="BE279" s="13"/>
      <c r="BF279" s="13"/>
      <c r="BG279" s="12"/>
      <c r="BL279" s="13"/>
      <c r="CD279" s="13"/>
      <c r="CF279" s="13"/>
      <c r="CG279" s="12"/>
      <c r="DY279" s="14"/>
      <c r="DZ279" s="15"/>
      <c r="EA279" s="15"/>
      <c r="EB279" s="15"/>
      <c r="EC279" s="15"/>
      <c r="ED279" s="15"/>
      <c r="EE279" s="60"/>
      <c r="EF279" s="60"/>
      <c r="EG279" s="97"/>
      <c r="EH279" s="60"/>
      <c r="EU279" s="12"/>
      <c r="EY279" s="12"/>
      <c r="FF279" s="13"/>
      <c r="FJ279" s="13"/>
      <c r="FK279" s="13"/>
      <c r="GI279" s="13"/>
      <c r="GK279" s="13"/>
      <c r="GL279" s="12"/>
      <c r="HA279" s="14"/>
      <c r="HB279" s="15"/>
      <c r="HC279" s="15"/>
      <c r="HD279" s="15"/>
      <c r="HE279" s="15"/>
      <c r="HF279" s="15"/>
      <c r="HG279" s="60"/>
      <c r="HH279" s="60"/>
      <c r="HI279" s="97"/>
      <c r="HJ279" s="60"/>
      <c r="HW279" s="12"/>
      <c r="IA279" s="12"/>
      <c r="IH279" s="13"/>
      <c r="IL279" s="13"/>
      <c r="IM279" s="13"/>
      <c r="JK279" s="13"/>
      <c r="JM279" s="13"/>
      <c r="JN279" s="12"/>
    </row>
    <row r="280" spans="21:274" ht="18" customHeight="1" x14ac:dyDescent="0.2">
      <c r="U280" s="12"/>
      <c r="W280" s="14"/>
      <c r="X280" s="15"/>
      <c r="Y280" s="15"/>
      <c r="Z280" s="15"/>
      <c r="AA280" s="15"/>
      <c r="AB280" s="14"/>
      <c r="AC280" s="15"/>
      <c r="AD280" s="15"/>
      <c r="AE280" s="15"/>
      <c r="AF280" s="16"/>
      <c r="AG280" s="14"/>
      <c r="AH280" s="15"/>
      <c r="AI280" s="15"/>
      <c r="AJ280" s="15"/>
      <c r="AK280" s="15"/>
      <c r="AL280" s="15"/>
      <c r="AM280" s="15"/>
      <c r="AN280" s="16"/>
      <c r="AO280" s="15"/>
      <c r="AP280" s="12"/>
      <c r="AQ280" s="13"/>
      <c r="AT280" s="12"/>
      <c r="BA280" s="13"/>
      <c r="BE280" s="13"/>
      <c r="BF280" s="13"/>
      <c r="BG280" s="12"/>
      <c r="BL280" s="13"/>
      <c r="CD280" s="13"/>
      <c r="CF280" s="13"/>
      <c r="CG280" s="12"/>
      <c r="EE280" s="10"/>
      <c r="EF280" s="10"/>
      <c r="EG280" s="10"/>
      <c r="EH280" s="10"/>
      <c r="EI280" s="10"/>
      <c r="EJ280" s="10"/>
      <c r="EK280" s="10"/>
      <c r="EL280" s="10"/>
      <c r="EM280" s="10"/>
      <c r="EN280" s="10"/>
      <c r="EO280" s="10"/>
      <c r="EP280" s="10"/>
      <c r="EQ280" s="10"/>
      <c r="ER280" s="11"/>
      <c r="ES280" s="12"/>
      <c r="EU280" s="12"/>
      <c r="EY280" s="12"/>
      <c r="FF280" s="13"/>
      <c r="FJ280" s="13"/>
      <c r="FK280" s="13"/>
      <c r="GI280" s="13"/>
      <c r="GK280" s="13"/>
      <c r="GL280" s="12"/>
      <c r="HG280" s="10"/>
      <c r="HH280" s="10"/>
      <c r="HI280" s="10"/>
      <c r="HJ280" s="10"/>
      <c r="HK280" s="10"/>
      <c r="HL280" s="10"/>
      <c r="HM280" s="10"/>
      <c r="HN280" s="10"/>
      <c r="HO280" s="10"/>
      <c r="HP280" s="10"/>
      <c r="HQ280" s="10"/>
      <c r="HR280" s="10"/>
      <c r="HS280" s="10"/>
      <c r="HT280" s="11"/>
      <c r="HU280" s="12"/>
      <c r="HW280" s="12"/>
      <c r="IA280" s="12"/>
      <c r="IH280" s="13"/>
      <c r="IL280" s="13"/>
      <c r="IM280" s="13"/>
      <c r="JK280" s="13"/>
      <c r="JM280" s="13"/>
      <c r="JN280" s="12"/>
    </row>
    <row r="281" spans="21:274" ht="18" customHeight="1" x14ac:dyDescent="0.2">
      <c r="U281" s="12"/>
      <c r="AI281" s="10"/>
      <c r="AJ281" s="10"/>
      <c r="AK281" s="10"/>
      <c r="AL281" s="10"/>
      <c r="AM281" s="10"/>
      <c r="AN281" s="10"/>
      <c r="AO281" s="10"/>
      <c r="AP281" s="12"/>
      <c r="AQ281" s="13"/>
      <c r="AT281" s="12"/>
      <c r="BA281" s="13"/>
      <c r="BE281" s="13"/>
      <c r="BF281" s="13"/>
      <c r="BG281" s="12"/>
      <c r="BL281" s="13"/>
      <c r="CD281" s="13"/>
      <c r="CF281" s="13"/>
      <c r="CG281" s="12"/>
      <c r="ES281" s="12"/>
      <c r="EU281" s="12"/>
      <c r="EY281" s="12"/>
      <c r="FF281" s="13"/>
      <c r="FJ281" s="13"/>
      <c r="FK281" s="13"/>
      <c r="GI281" s="13"/>
      <c r="GK281" s="13"/>
      <c r="GL281" s="12"/>
      <c r="HU281" s="12"/>
      <c r="HW281" s="12"/>
      <c r="IA281" s="12"/>
      <c r="IH281" s="13"/>
      <c r="IL281" s="13"/>
      <c r="IM281" s="13"/>
      <c r="JK281" s="13"/>
      <c r="JM281" s="13"/>
      <c r="JN281" s="12"/>
    </row>
    <row r="282" spans="21:274" ht="18" customHeight="1" x14ac:dyDescent="0.2">
      <c r="U282" s="14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G282" s="15"/>
      <c r="AP282" s="12"/>
      <c r="AQ282" s="13"/>
      <c r="AT282" s="12"/>
      <c r="BA282" s="13"/>
      <c r="BE282" s="13"/>
      <c r="BF282" s="13"/>
      <c r="BG282" s="12"/>
      <c r="BL282" s="13"/>
      <c r="CD282" s="13"/>
      <c r="CF282" s="13"/>
      <c r="CG282" s="12"/>
      <c r="ES282" s="12"/>
      <c r="EU282" s="12"/>
      <c r="EY282" s="12"/>
      <c r="FF282" s="13"/>
      <c r="FJ282" s="13"/>
      <c r="FK282" s="13"/>
      <c r="GI282" s="13"/>
      <c r="GK282" s="13"/>
      <c r="GL282" s="12"/>
      <c r="HU282" s="12"/>
      <c r="HW282" s="12"/>
      <c r="IA282" s="12"/>
      <c r="IH282" s="13"/>
      <c r="IL282" s="13"/>
      <c r="IM282" s="13"/>
      <c r="JK282" s="13"/>
      <c r="JM282" s="13"/>
      <c r="JN282" s="12"/>
    </row>
    <row r="283" spans="21:274" ht="18" customHeight="1" x14ac:dyDescent="0.2">
      <c r="AD283" s="10"/>
      <c r="AE283" s="10"/>
      <c r="AF283" s="10"/>
      <c r="AG283" s="10"/>
      <c r="AH283" s="10"/>
      <c r="AI283" s="10"/>
      <c r="AJ283" s="10"/>
      <c r="AK283" s="10"/>
      <c r="AL283" s="10"/>
      <c r="AM283" s="11"/>
      <c r="AN283" s="12"/>
      <c r="AP283" s="12"/>
      <c r="AQ283" s="13"/>
      <c r="AT283" s="12"/>
      <c r="BA283" s="13"/>
      <c r="BE283" s="13"/>
      <c r="BF283" s="13"/>
      <c r="BG283" s="12"/>
      <c r="BL283" s="13"/>
      <c r="CD283" s="13"/>
      <c r="CF283" s="13"/>
      <c r="CG283" s="12"/>
      <c r="ES283" s="12"/>
      <c r="EU283" s="12"/>
      <c r="EY283" s="12"/>
      <c r="FF283" s="13"/>
      <c r="FJ283" s="13"/>
      <c r="FK283" s="13"/>
      <c r="GI283" s="13"/>
      <c r="GK283" s="13"/>
      <c r="GL283" s="12"/>
      <c r="HU283" s="12"/>
      <c r="HW283" s="12"/>
      <c r="IA283" s="12"/>
      <c r="IH283" s="13"/>
      <c r="IL283" s="13"/>
      <c r="IM283" s="13"/>
      <c r="JK283" s="13"/>
      <c r="JM283" s="13"/>
      <c r="JN283" s="12"/>
    </row>
    <row r="284" spans="21:274" ht="18" customHeight="1" x14ac:dyDescent="0.2">
      <c r="AN284" s="12"/>
      <c r="AP284" s="14"/>
      <c r="AQ284" s="16"/>
      <c r="AT284" s="12"/>
      <c r="BA284" s="13"/>
      <c r="BE284" s="13"/>
      <c r="BF284" s="13"/>
      <c r="BG284" s="14"/>
      <c r="BH284" s="15"/>
      <c r="BI284" s="15"/>
      <c r="BJ284" s="15"/>
      <c r="BK284" s="15"/>
      <c r="BL284" s="16"/>
      <c r="CD284" s="13"/>
      <c r="CF284" s="13"/>
      <c r="CG284" s="12"/>
      <c r="ES284" s="12"/>
      <c r="EU284" s="12"/>
      <c r="EY284" s="12"/>
      <c r="FF284" s="13"/>
      <c r="FJ284" s="13"/>
      <c r="FK284" s="13"/>
      <c r="GI284" s="13"/>
      <c r="GK284" s="13"/>
      <c r="GL284" s="12"/>
      <c r="HU284" s="12"/>
      <c r="HW284" s="12"/>
      <c r="IA284" s="12"/>
      <c r="IH284" s="13"/>
      <c r="IL284" s="13"/>
      <c r="IM284" s="13"/>
      <c r="JK284" s="13"/>
      <c r="JM284" s="13"/>
      <c r="JN284" s="12"/>
    </row>
    <row r="285" spans="21:274" ht="18" customHeight="1" x14ac:dyDescent="0.2">
      <c r="AN285" s="12"/>
      <c r="AP285" s="12"/>
      <c r="AT285" s="12"/>
      <c r="BA285" s="13"/>
      <c r="BE285" s="13"/>
      <c r="BF285" s="13"/>
      <c r="CD285" s="13"/>
      <c r="CF285" s="13"/>
      <c r="CG285" s="12"/>
      <c r="ES285" s="12"/>
      <c r="EU285" s="12"/>
      <c r="EY285" s="12"/>
      <c r="FF285" s="13"/>
      <c r="FJ285" s="13"/>
      <c r="FK285" s="13"/>
      <c r="GI285" s="13"/>
      <c r="GK285" s="13"/>
      <c r="GL285" s="12"/>
      <c r="HT285" s="49"/>
      <c r="HU285" s="12"/>
      <c r="HW285" s="12"/>
      <c r="IA285" s="12"/>
      <c r="IH285" s="13"/>
      <c r="IL285" s="13"/>
      <c r="IM285" s="13"/>
      <c r="JK285" s="13"/>
      <c r="JM285" s="13"/>
      <c r="JN285" s="214"/>
    </row>
    <row r="286" spans="21:274" ht="18" customHeight="1" x14ac:dyDescent="0.2">
      <c r="AN286" s="12"/>
      <c r="AP286" s="12"/>
      <c r="AT286" s="12"/>
      <c r="BA286" s="13"/>
      <c r="BE286" s="13"/>
      <c r="BF286" s="13"/>
      <c r="CD286" s="13"/>
      <c r="CF286" s="13"/>
      <c r="CG286" s="12"/>
      <c r="ES286" s="12"/>
      <c r="EU286" s="12"/>
      <c r="EY286" s="12"/>
      <c r="FG286" s="10"/>
      <c r="FH286" s="10"/>
      <c r="FI286" s="10"/>
      <c r="FJ286" s="10"/>
      <c r="FK286" s="10"/>
      <c r="GI286" s="13"/>
      <c r="GK286" s="13"/>
      <c r="GL286" s="12"/>
      <c r="HT286" s="49"/>
      <c r="HU286" s="12"/>
      <c r="HW286" s="12"/>
      <c r="IA286" s="12"/>
      <c r="II286" s="10"/>
      <c r="IJ286" s="10"/>
      <c r="IK286" s="10"/>
      <c r="IL286" s="10"/>
      <c r="IM286" s="10"/>
      <c r="JK286" s="13"/>
      <c r="JM286" s="13"/>
      <c r="JN286" s="214"/>
    </row>
    <row r="287" spans="21:274" ht="18" customHeight="1" x14ac:dyDescent="0.2">
      <c r="AN287" s="12"/>
      <c r="AP287" s="12"/>
      <c r="AT287" s="12"/>
      <c r="BA287" s="13"/>
      <c r="BE287" s="13"/>
      <c r="BF287" s="13"/>
      <c r="CD287" s="13"/>
      <c r="CF287" s="13"/>
      <c r="CG287" s="12"/>
      <c r="ES287" s="12"/>
      <c r="EU287" s="12"/>
      <c r="EY287" s="12"/>
      <c r="GI287" s="13"/>
      <c r="GK287" s="13"/>
      <c r="GL287" s="12"/>
      <c r="HT287" s="49"/>
      <c r="HU287" s="12"/>
      <c r="HW287" s="12"/>
      <c r="IA287" s="12"/>
      <c r="JK287" s="13"/>
      <c r="JM287" s="13"/>
      <c r="JN287" s="214"/>
    </row>
    <row r="288" spans="21:274" ht="18" customHeight="1" x14ac:dyDescent="0.2">
      <c r="AN288" s="12"/>
      <c r="AP288" s="12"/>
      <c r="AT288" s="12"/>
      <c r="BA288" s="13"/>
      <c r="BE288" s="13"/>
      <c r="BF288" s="13"/>
      <c r="CD288" s="13"/>
      <c r="CF288" s="13"/>
      <c r="CG288" s="12"/>
      <c r="ES288" s="12"/>
      <c r="EU288" s="12"/>
      <c r="EY288" s="12"/>
      <c r="GI288" s="13"/>
      <c r="GK288" s="13"/>
      <c r="GL288" s="12"/>
      <c r="HT288" s="49"/>
      <c r="HU288" s="12"/>
      <c r="HW288" s="12"/>
      <c r="IA288" s="12"/>
      <c r="JK288" s="13"/>
      <c r="JM288" s="13"/>
      <c r="JN288" s="214"/>
    </row>
    <row r="289" spans="40:274" ht="18" customHeight="1" x14ac:dyDescent="0.2">
      <c r="AN289" s="12"/>
      <c r="AP289" s="12"/>
      <c r="AT289" s="12"/>
      <c r="BB289" s="10"/>
      <c r="BC289" s="10"/>
      <c r="BD289" s="10"/>
      <c r="BE289" s="10"/>
      <c r="BF289" s="10"/>
      <c r="CD289" s="13"/>
      <c r="CF289" s="13"/>
      <c r="CG289" s="12"/>
      <c r="ES289" s="12"/>
      <c r="EU289" s="12"/>
      <c r="EY289" s="12"/>
      <c r="GI289" s="13"/>
      <c r="GK289" s="13"/>
      <c r="GL289" s="12"/>
      <c r="HT289" s="49"/>
      <c r="HU289" s="12"/>
      <c r="HW289" s="12"/>
      <c r="IA289" s="12"/>
      <c r="JK289" s="13"/>
      <c r="JM289" s="13"/>
      <c r="JN289" s="214"/>
    </row>
    <row r="290" spans="40:274" ht="18" customHeight="1" x14ac:dyDescent="0.2">
      <c r="AN290" s="12"/>
      <c r="AP290" s="12"/>
      <c r="AT290" s="12"/>
      <c r="CD290" s="13"/>
      <c r="CF290" s="13"/>
      <c r="CG290" s="12"/>
      <c r="ES290" s="12"/>
      <c r="EU290" s="12"/>
      <c r="EY290" s="12"/>
      <c r="GI290" s="13"/>
      <c r="GK290" s="13"/>
      <c r="GL290" s="12"/>
      <c r="HT290" s="49"/>
      <c r="HU290" s="12"/>
      <c r="HW290" s="12"/>
      <c r="IA290" s="12"/>
      <c r="JK290" s="13"/>
      <c r="JM290" s="13"/>
      <c r="JN290" s="214"/>
    </row>
    <row r="291" spans="40:274" ht="18" customHeight="1" x14ac:dyDescent="0.2">
      <c r="AN291" s="12"/>
      <c r="AP291" s="12"/>
      <c r="AT291" s="12"/>
      <c r="CD291" s="13"/>
      <c r="CF291" s="13"/>
      <c r="CG291" s="12"/>
      <c r="ES291" s="12"/>
      <c r="EU291" s="12"/>
      <c r="EY291" s="12"/>
      <c r="GI291" s="13"/>
      <c r="GK291" s="13"/>
      <c r="GL291" s="12"/>
      <c r="HU291" s="12"/>
      <c r="HW291" s="12"/>
      <c r="IA291" s="12"/>
      <c r="JK291" s="13"/>
      <c r="JM291" s="13"/>
      <c r="JN291" s="12"/>
    </row>
    <row r="292" spans="40:274" ht="18" customHeight="1" x14ac:dyDescent="0.2">
      <c r="AN292" s="12"/>
      <c r="AP292" s="12"/>
      <c r="AT292" s="12"/>
      <c r="CD292" s="13"/>
      <c r="CF292" s="13"/>
      <c r="CG292" s="12"/>
      <c r="ES292" s="96"/>
      <c r="ET292" s="97"/>
      <c r="EU292" s="12"/>
      <c r="EX292" s="13"/>
      <c r="EY292" s="12"/>
      <c r="GI292" s="13"/>
      <c r="GJ292" s="97"/>
      <c r="GK292" s="98"/>
      <c r="GL292" s="12"/>
      <c r="HU292" s="96"/>
      <c r="HV292" s="97"/>
      <c r="HW292" s="12"/>
      <c r="HZ292" s="13"/>
      <c r="IA292" s="12"/>
      <c r="JK292" s="13"/>
      <c r="JL292" s="97"/>
      <c r="JM292" s="98"/>
      <c r="JN292" s="12"/>
    </row>
    <row r="293" spans="40:274" ht="18" customHeight="1" x14ac:dyDescent="0.2">
      <c r="AN293" s="12"/>
      <c r="AP293" s="12"/>
      <c r="AT293" s="12"/>
      <c r="CD293" s="13"/>
      <c r="CF293" s="13"/>
      <c r="CG293" s="12"/>
      <c r="ES293" s="96"/>
      <c r="ET293" s="97"/>
      <c r="EU293" s="14"/>
      <c r="EV293" s="15"/>
      <c r="EW293" s="15"/>
      <c r="EX293" s="16"/>
      <c r="EY293" s="15"/>
      <c r="EZ293" s="15"/>
      <c r="FA293" s="15"/>
      <c r="FB293" s="15"/>
      <c r="FC293" s="15"/>
      <c r="FD293" s="15"/>
      <c r="FE293" s="15"/>
      <c r="FF293" s="15"/>
      <c r="FG293" s="15"/>
      <c r="FH293" s="15"/>
      <c r="FI293" s="15"/>
      <c r="FJ293" s="15"/>
      <c r="FK293" s="15"/>
      <c r="FL293" s="15"/>
      <c r="FM293" s="15"/>
      <c r="FN293" s="15"/>
      <c r="FO293" s="15"/>
      <c r="FP293" s="15"/>
      <c r="FQ293" s="15"/>
      <c r="FR293" s="15"/>
      <c r="FS293" s="15"/>
      <c r="FT293" s="15"/>
      <c r="FU293" s="15"/>
      <c r="FV293" s="15"/>
      <c r="FW293" s="15"/>
      <c r="FX293" s="15"/>
      <c r="FY293" s="15"/>
      <c r="FZ293" s="15"/>
      <c r="GA293" s="15"/>
      <c r="GB293" s="15"/>
      <c r="GC293" s="15"/>
      <c r="GD293" s="15"/>
      <c r="GE293" s="15"/>
      <c r="GF293" s="15"/>
      <c r="GG293" s="15"/>
      <c r="GH293" s="15"/>
      <c r="GI293" s="16"/>
      <c r="GJ293" s="97"/>
      <c r="GK293" s="98"/>
      <c r="GL293" s="12"/>
      <c r="HU293" s="96"/>
      <c r="HV293" s="97"/>
      <c r="HW293" s="14"/>
      <c r="HX293" s="15"/>
      <c r="HY293" s="15"/>
      <c r="HZ293" s="16"/>
      <c r="IA293" s="15"/>
      <c r="IB293" s="15"/>
      <c r="IC293" s="15"/>
      <c r="ID293" s="15"/>
      <c r="IE293" s="15"/>
      <c r="IF293" s="15"/>
      <c r="IG293" s="15"/>
      <c r="IH293" s="15"/>
      <c r="II293" s="15"/>
      <c r="IJ293" s="15"/>
      <c r="IK293" s="15"/>
      <c r="IL293" s="15"/>
      <c r="IM293" s="15"/>
      <c r="IN293" s="15"/>
      <c r="IO293" s="15"/>
      <c r="IP293" s="15"/>
      <c r="IQ293" s="15"/>
      <c r="IR293" s="15"/>
      <c r="IS293" s="15"/>
      <c r="IT293" s="15"/>
      <c r="IU293" s="15"/>
      <c r="IV293" s="15"/>
      <c r="IW293" s="15"/>
      <c r="IX293" s="15"/>
      <c r="IY293" s="15"/>
      <c r="IZ293" s="15"/>
      <c r="JA293" s="15"/>
      <c r="JB293" s="15"/>
      <c r="JC293" s="15"/>
      <c r="JD293" s="15"/>
      <c r="JE293" s="15"/>
      <c r="JF293" s="15"/>
      <c r="JG293" s="15"/>
      <c r="JH293" s="15"/>
      <c r="JI293" s="15"/>
      <c r="JJ293" s="15"/>
      <c r="JK293" s="16"/>
      <c r="JL293" s="97"/>
      <c r="JM293" s="98"/>
      <c r="JN293" s="12"/>
    </row>
    <row r="294" spans="40:274" ht="18" customHeight="1" x14ac:dyDescent="0.2">
      <c r="AN294" s="12"/>
      <c r="AP294" s="12"/>
      <c r="AT294" s="12"/>
      <c r="CD294" s="13"/>
      <c r="CF294" s="13"/>
      <c r="CG294" s="12"/>
      <c r="ES294" s="96"/>
      <c r="ET294" s="97"/>
      <c r="FI294" s="97"/>
      <c r="FJ294" s="97"/>
      <c r="FK294" s="97"/>
      <c r="FL294" s="97"/>
      <c r="GJ294" s="97"/>
      <c r="GK294" s="98"/>
      <c r="GL294" s="12"/>
      <c r="HU294" s="96"/>
      <c r="HV294" s="97"/>
      <c r="IK294" s="97"/>
      <c r="IL294" s="97"/>
      <c r="IM294" s="97"/>
      <c r="IN294" s="97"/>
      <c r="JE294" s="127"/>
      <c r="JF294" s="127"/>
      <c r="JG294" s="127"/>
      <c r="JH294" s="127"/>
      <c r="JI294" s="127"/>
      <c r="JJ294" s="127"/>
      <c r="JL294" s="97"/>
      <c r="JM294" s="98"/>
      <c r="JN294" s="12"/>
    </row>
    <row r="295" spans="40:274" ht="18" customHeight="1" x14ac:dyDescent="0.2">
      <c r="AN295" s="12"/>
      <c r="AP295" s="12"/>
      <c r="AS295" s="13"/>
      <c r="AT295" s="12"/>
      <c r="CD295" s="13"/>
      <c r="CF295" s="13"/>
      <c r="CG295" s="12"/>
      <c r="ES295" s="59"/>
      <c r="ET295" s="60"/>
      <c r="EU295" s="15"/>
      <c r="EV295" s="15"/>
      <c r="EW295" s="15"/>
      <c r="EY295" s="15"/>
      <c r="FA295" s="15"/>
      <c r="FI295" s="97"/>
      <c r="FJ295" s="97"/>
      <c r="FK295" s="97"/>
      <c r="FL295" s="97"/>
      <c r="GJ295" s="97"/>
      <c r="GK295" s="98"/>
      <c r="GL295" s="12"/>
      <c r="HU295" s="59"/>
      <c r="HV295" s="60"/>
      <c r="HW295" s="15"/>
      <c r="HX295" s="15"/>
      <c r="HY295" s="15"/>
      <c r="IA295" s="15"/>
      <c r="IC295" s="15"/>
      <c r="IK295" s="97"/>
      <c r="IL295" s="97"/>
      <c r="IM295" s="97"/>
      <c r="IN295" s="97"/>
      <c r="JL295" s="97"/>
      <c r="JM295" s="98"/>
      <c r="JN295" s="12"/>
    </row>
    <row r="296" spans="40:274" ht="18" customHeight="1" x14ac:dyDescent="0.2">
      <c r="AN296" s="12"/>
      <c r="AP296" s="14"/>
      <c r="AQ296" s="15"/>
      <c r="AR296" s="15"/>
      <c r="AS296" s="16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5"/>
      <c r="BP296" s="15"/>
      <c r="BQ296" s="15"/>
      <c r="BR296" s="15"/>
      <c r="BS296" s="15"/>
      <c r="BT296" s="15"/>
      <c r="BU296" s="15"/>
      <c r="BV296" s="15"/>
      <c r="BW296" s="15"/>
      <c r="BX296" s="15"/>
      <c r="BY296" s="15"/>
      <c r="BZ296" s="15"/>
      <c r="CA296" s="15"/>
      <c r="CB296" s="15"/>
      <c r="CC296" s="15"/>
      <c r="CD296" s="16"/>
      <c r="CF296" s="13"/>
      <c r="CG296" s="12"/>
      <c r="ES296" s="10"/>
      <c r="ET296" s="10"/>
      <c r="EU296" s="10"/>
      <c r="EV296" s="10"/>
      <c r="EW296" s="10"/>
      <c r="EX296" s="10"/>
      <c r="EY296" s="10"/>
      <c r="EZ296" s="10"/>
      <c r="FA296" s="10"/>
      <c r="FB296" s="10"/>
      <c r="FC296" s="10"/>
      <c r="FD296" s="10"/>
      <c r="FE296" s="10"/>
      <c r="FF296" s="10"/>
      <c r="FG296" s="10"/>
      <c r="FH296" s="10"/>
      <c r="FI296" s="10"/>
      <c r="FJ296" s="10"/>
      <c r="FK296" s="10"/>
      <c r="FL296" s="10"/>
      <c r="FM296" s="10"/>
      <c r="FN296" s="10"/>
      <c r="FO296" s="10"/>
      <c r="FP296" s="10"/>
      <c r="FQ296" s="10"/>
      <c r="FR296" s="10"/>
      <c r="FS296" s="10"/>
      <c r="FT296" s="10"/>
      <c r="FU296" s="10"/>
      <c r="FV296" s="10"/>
      <c r="FW296" s="10"/>
      <c r="FX296" s="10"/>
      <c r="FY296" s="10"/>
      <c r="FZ296" s="10"/>
      <c r="GA296" s="10"/>
      <c r="GB296" s="10"/>
      <c r="GC296" s="10"/>
      <c r="GD296" s="10"/>
      <c r="GE296" s="10"/>
      <c r="GF296" s="10"/>
      <c r="GG296" s="10"/>
      <c r="GH296" s="10"/>
      <c r="GI296" s="10"/>
      <c r="GJ296" s="10"/>
      <c r="GK296" s="10"/>
      <c r="HU296" s="10"/>
      <c r="HV296" s="10"/>
      <c r="HW296" s="10"/>
      <c r="HX296" s="10"/>
      <c r="HY296" s="10"/>
      <c r="HZ296" s="10"/>
      <c r="IA296" s="10"/>
      <c r="IB296" s="10"/>
      <c r="IC296" s="141"/>
      <c r="ID296" s="141"/>
      <c r="IE296" s="141"/>
      <c r="IF296" s="141"/>
      <c r="IG296" s="10"/>
      <c r="IH296" s="10"/>
      <c r="II296" s="10"/>
      <c r="IJ296" s="10"/>
      <c r="IK296" s="10"/>
      <c r="IL296" s="10"/>
      <c r="IM296" s="10"/>
      <c r="IN296" s="10"/>
      <c r="IO296" s="10"/>
      <c r="IP296" s="10"/>
      <c r="IQ296" s="10"/>
      <c r="IR296" s="10"/>
      <c r="IS296" s="141"/>
      <c r="IT296" s="141"/>
      <c r="IU296" s="141"/>
      <c r="IV296" s="141"/>
      <c r="IW296" s="141"/>
      <c r="IX296" s="10"/>
      <c r="IY296" s="10"/>
      <c r="IZ296" s="10"/>
      <c r="JA296" s="10"/>
      <c r="JB296" s="10"/>
      <c r="JC296" s="10"/>
      <c r="JD296" s="10"/>
      <c r="JE296" s="10"/>
      <c r="JF296" s="10"/>
      <c r="JG296" s="10"/>
      <c r="JH296" s="10"/>
      <c r="JI296" s="10"/>
      <c r="JJ296" s="10"/>
      <c r="JK296" s="10"/>
      <c r="JL296" s="10"/>
      <c r="JM296" s="10"/>
    </row>
    <row r="297" spans="40:274" ht="18" customHeight="1" x14ac:dyDescent="0.2">
      <c r="AN297" s="12"/>
      <c r="BL297" s="20"/>
      <c r="BM297" s="21"/>
      <c r="BN297" s="21"/>
      <c r="BO297" s="21"/>
      <c r="BP297" s="21"/>
      <c r="BQ297" s="22"/>
      <c r="CF297" s="13"/>
      <c r="CG297" s="12"/>
    </row>
    <row r="298" spans="40:274" ht="18" customHeight="1" x14ac:dyDescent="0.2">
      <c r="AN298" s="14"/>
      <c r="AO298" s="15"/>
      <c r="AP298" s="15"/>
      <c r="AQ298" s="15"/>
      <c r="AR298" s="15"/>
      <c r="AT298" s="15"/>
      <c r="AV298" s="15"/>
      <c r="BL298" s="9"/>
      <c r="BM298" s="10"/>
      <c r="BN298" s="10"/>
      <c r="BO298" s="10"/>
      <c r="BP298" s="10"/>
      <c r="BQ298" s="11"/>
      <c r="CF298" s="13"/>
      <c r="CG298" s="12"/>
    </row>
    <row r="299" spans="40:274" ht="18" customHeight="1" x14ac:dyDescent="0.2"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10"/>
      <c r="BK299" s="10"/>
      <c r="BL299" s="10"/>
      <c r="BM299" s="10"/>
      <c r="BN299" s="10"/>
      <c r="BO299" s="10"/>
      <c r="BP299" s="10"/>
      <c r="BQ299" s="10"/>
      <c r="BR299" s="10"/>
      <c r="BS299" s="10"/>
      <c r="BT299" s="10"/>
      <c r="BU299" s="10"/>
      <c r="BV299" s="10"/>
      <c r="BW299" s="10"/>
      <c r="BX299" s="10"/>
      <c r="BY299" s="10"/>
      <c r="BZ299" s="10"/>
      <c r="CA299" s="10"/>
      <c r="CB299" s="10"/>
      <c r="CC299" s="10"/>
      <c r="CD299" s="10"/>
      <c r="CE299" s="10"/>
      <c r="CF299" s="10"/>
    </row>
    <row r="313" spans="14:189" ht="18" customHeight="1" x14ac:dyDescent="0.2">
      <c r="N313" s="224"/>
    </row>
    <row r="318" spans="14:189" ht="18" customHeight="1" x14ac:dyDescent="0.2">
      <c r="EM318" s="15"/>
      <c r="EN318" s="15"/>
      <c r="EO318" s="15"/>
      <c r="EP318" s="15"/>
      <c r="EQ318" s="15"/>
      <c r="ER318" s="15"/>
      <c r="ES318" s="15"/>
    </row>
    <row r="319" spans="14:189" ht="18" customHeight="1" x14ac:dyDescent="0.2">
      <c r="DW319" s="9"/>
      <c r="DX319" s="10"/>
      <c r="DY319" s="10"/>
      <c r="DZ319" s="10"/>
      <c r="EA319" s="10"/>
      <c r="EB319" s="10"/>
      <c r="EC319" s="10"/>
      <c r="ED319" s="10"/>
      <c r="EE319" s="10"/>
      <c r="EF319" s="10"/>
      <c r="EG319" s="10"/>
      <c r="EH319" s="10"/>
      <c r="EI319" s="10"/>
      <c r="EJ319" s="10"/>
      <c r="EK319" s="10"/>
      <c r="EL319" s="10"/>
      <c r="EM319" s="10"/>
      <c r="EN319" s="10"/>
      <c r="EO319" s="10"/>
      <c r="EP319" s="10"/>
      <c r="EQ319" s="10"/>
      <c r="ER319" s="10"/>
      <c r="ES319" s="10"/>
      <c r="ET319" s="10"/>
      <c r="EU319" s="10"/>
      <c r="EV319" s="10"/>
      <c r="EW319" s="10"/>
      <c r="EX319" s="10"/>
      <c r="EY319" s="10"/>
      <c r="EZ319" s="10"/>
      <c r="FA319" s="10"/>
      <c r="FB319" s="10"/>
      <c r="FC319" s="10"/>
      <c r="FD319" s="10"/>
      <c r="FE319" s="10"/>
      <c r="FF319" s="10"/>
      <c r="FG319" s="10"/>
      <c r="FH319" s="10"/>
      <c r="FI319" s="10"/>
      <c r="FJ319" s="10"/>
      <c r="FK319" s="10"/>
      <c r="FL319" s="10"/>
      <c r="FM319" s="10"/>
      <c r="FN319" s="10"/>
      <c r="FO319" s="10"/>
      <c r="FP319" s="10"/>
      <c r="FQ319" s="10"/>
      <c r="FR319" s="10"/>
      <c r="FS319" s="10"/>
      <c r="FT319" s="10"/>
      <c r="FU319" s="10"/>
      <c r="FV319" s="10"/>
      <c r="FW319" s="10"/>
      <c r="FX319" s="10"/>
      <c r="FY319" s="10"/>
      <c r="FZ319" s="10"/>
      <c r="GA319" s="10"/>
      <c r="GB319" s="10"/>
      <c r="GC319" s="10"/>
      <c r="GD319" s="10"/>
      <c r="GE319" s="10"/>
      <c r="GF319" s="10"/>
      <c r="GG319" s="11"/>
    </row>
    <row r="320" spans="14:189" ht="18" customHeight="1" x14ac:dyDescent="0.2">
      <c r="DW320" s="12"/>
      <c r="FG320" s="15"/>
      <c r="FH320" s="15"/>
      <c r="FI320" s="15"/>
      <c r="FJ320" s="15"/>
      <c r="FK320" s="15"/>
      <c r="FM320" s="15"/>
      <c r="FO320" s="15"/>
      <c r="FV320" s="15"/>
      <c r="FX320" s="15"/>
      <c r="FY320" s="15"/>
      <c r="FZ320" s="15"/>
      <c r="GG320" s="13"/>
    </row>
    <row r="321" spans="20:204" ht="18" customHeight="1" x14ac:dyDescent="0.2">
      <c r="AL321" s="15"/>
      <c r="AM321" s="15"/>
      <c r="AN321" s="15"/>
      <c r="AO321" s="15"/>
      <c r="AP321" s="15"/>
      <c r="AQ321" s="15"/>
      <c r="AR321" s="15"/>
      <c r="DW321" s="12"/>
      <c r="DY321" s="9"/>
      <c r="DZ321" s="10"/>
      <c r="EA321" s="10"/>
      <c r="EB321" s="10"/>
      <c r="EC321" s="10"/>
      <c r="ED321" s="10"/>
      <c r="EE321" s="10"/>
      <c r="EF321" s="10"/>
      <c r="EG321" s="10"/>
      <c r="EH321" s="10"/>
      <c r="EI321" s="10"/>
      <c r="EJ321" s="10"/>
      <c r="EK321" s="10"/>
      <c r="EL321" s="10"/>
      <c r="EM321" s="10"/>
      <c r="EN321" s="10"/>
      <c r="EO321" s="10"/>
      <c r="EP321" s="10"/>
      <c r="EQ321" s="10"/>
      <c r="ER321" s="10"/>
      <c r="ES321" s="10"/>
      <c r="ET321" s="11"/>
      <c r="EU321" s="17"/>
      <c r="EV321" s="9"/>
      <c r="EW321" s="10"/>
      <c r="EX321" s="10"/>
      <c r="EY321" s="10"/>
      <c r="EZ321" s="10"/>
      <c r="FA321" s="10"/>
      <c r="FB321" s="10"/>
      <c r="FC321" s="10"/>
      <c r="FD321" s="10"/>
      <c r="FE321" s="11"/>
      <c r="FF321" s="11"/>
      <c r="FG321" s="10"/>
      <c r="FH321" s="10"/>
      <c r="FI321" s="10"/>
      <c r="FJ321" s="10"/>
      <c r="FK321" s="10"/>
      <c r="FL321" s="10"/>
      <c r="FM321" s="10"/>
      <c r="FN321" s="10"/>
      <c r="FO321" s="10"/>
      <c r="FP321" s="10"/>
      <c r="FQ321" s="10"/>
      <c r="FR321" s="10"/>
      <c r="FS321" s="10"/>
      <c r="FT321" s="10"/>
      <c r="FU321" s="10"/>
      <c r="FV321" s="10"/>
      <c r="FW321" s="10"/>
      <c r="FX321" s="10"/>
      <c r="FY321" s="11"/>
      <c r="FZ321" s="9"/>
      <c r="GA321" s="10"/>
      <c r="GB321" s="10"/>
      <c r="GC321" s="10"/>
      <c r="GD321" s="10"/>
      <c r="GE321" s="10"/>
      <c r="GF321" s="12"/>
      <c r="GG321" s="13"/>
    </row>
    <row r="322" spans="20:204" ht="18" customHeight="1" x14ac:dyDescent="0.2">
      <c r="T322" s="56"/>
      <c r="U322" s="57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227"/>
      <c r="AL322" s="228"/>
      <c r="AM322" s="228"/>
      <c r="AN322" s="228"/>
      <c r="AO322" s="228"/>
      <c r="AP322" s="228"/>
      <c r="AQ322" s="228"/>
      <c r="AR322" s="228"/>
      <c r="AS322" s="228"/>
      <c r="AT322" s="228"/>
      <c r="AU322" s="228"/>
      <c r="AV322" s="228"/>
      <c r="AW322" s="228"/>
      <c r="AX322" s="228"/>
      <c r="AY322" s="57"/>
      <c r="AZ322" s="57"/>
      <c r="BA322" s="228"/>
      <c r="BB322" s="228"/>
      <c r="BC322" s="228"/>
      <c r="BD322" s="229"/>
      <c r="BE322" s="10"/>
      <c r="BF322" s="10"/>
      <c r="BG322" s="10"/>
      <c r="BH322" s="10"/>
      <c r="BI322" s="10"/>
      <c r="BJ322" s="10"/>
      <c r="BK322" s="10"/>
      <c r="BL322" s="10"/>
      <c r="BM322" s="10"/>
      <c r="BN322" s="10"/>
      <c r="BO322" s="10"/>
      <c r="BP322" s="10"/>
      <c r="BQ322" s="10"/>
      <c r="BR322" s="10"/>
      <c r="BS322" s="10"/>
      <c r="BT322" s="10"/>
      <c r="BU322" s="10"/>
      <c r="BV322" s="10"/>
      <c r="BW322" s="10"/>
      <c r="BX322" s="10"/>
      <c r="BY322" s="10"/>
      <c r="BZ322" s="10"/>
      <c r="CA322" s="10"/>
      <c r="CB322" s="10"/>
      <c r="CC322" s="10"/>
      <c r="CD322" s="10"/>
      <c r="CE322" s="57"/>
      <c r="CF322" s="58"/>
      <c r="DW322" s="12"/>
      <c r="DY322" s="12"/>
      <c r="ET322" s="13"/>
      <c r="EU322" s="18"/>
      <c r="EV322" s="12"/>
      <c r="FE322" s="13"/>
      <c r="FF322" s="13"/>
      <c r="FY322" s="13"/>
      <c r="FZ322" s="12"/>
      <c r="GF322" s="12"/>
      <c r="GG322" s="13"/>
    </row>
    <row r="323" spans="20:204" ht="18" customHeight="1" x14ac:dyDescent="0.2">
      <c r="T323" s="96"/>
      <c r="U323" s="97"/>
      <c r="AK323" s="230"/>
      <c r="AL323" s="232"/>
      <c r="AM323" s="232"/>
      <c r="AN323" s="232"/>
      <c r="AO323" s="232"/>
      <c r="AP323" s="232"/>
      <c r="AQ323" s="232"/>
      <c r="AR323" s="232"/>
      <c r="AS323" s="232"/>
      <c r="AT323" s="232"/>
      <c r="AU323" s="232"/>
      <c r="AV323" s="232"/>
      <c r="AW323" s="232"/>
      <c r="AX323" s="232"/>
      <c r="AY323" s="97"/>
      <c r="AZ323" s="97"/>
      <c r="BA323" s="232"/>
      <c r="BB323" s="232"/>
      <c r="BC323" s="232"/>
      <c r="BD323" s="233"/>
      <c r="BF323" s="15"/>
      <c r="BG323" s="15"/>
      <c r="BH323" s="15"/>
      <c r="BI323" s="15"/>
      <c r="BJ323" s="15"/>
      <c r="BL323" s="15"/>
      <c r="BN323" s="15"/>
      <c r="BU323" s="15"/>
      <c r="BW323" s="15"/>
      <c r="BX323" s="15"/>
      <c r="BY323" s="15"/>
      <c r="CE323" s="97"/>
      <c r="CF323" s="98"/>
      <c r="DW323" s="12"/>
      <c r="DY323" s="12"/>
      <c r="ET323" s="13"/>
      <c r="EU323" s="18"/>
      <c r="EV323" s="12"/>
      <c r="FE323" s="13"/>
      <c r="FF323" s="13"/>
      <c r="FY323" s="13"/>
      <c r="FZ323" s="12"/>
      <c r="GF323" s="12"/>
      <c r="GG323" s="13"/>
      <c r="GN323" s="9"/>
      <c r="GO323" s="10"/>
      <c r="GP323" s="10"/>
      <c r="GQ323" s="10"/>
      <c r="GR323" s="10"/>
      <c r="GS323" s="10"/>
      <c r="GT323" s="10"/>
      <c r="GU323" s="10"/>
      <c r="GV323" s="11"/>
    </row>
    <row r="324" spans="20:204" ht="18" customHeight="1" x14ac:dyDescent="0.2">
      <c r="T324" s="12"/>
      <c r="V324" s="9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1"/>
      <c r="AK324" s="227"/>
      <c r="AL324" s="228"/>
      <c r="AM324" s="228"/>
      <c r="AN324" s="228"/>
      <c r="AO324" s="228"/>
      <c r="AP324" s="228"/>
      <c r="AQ324" s="228"/>
      <c r="AR324" s="228"/>
      <c r="AS324" s="229"/>
      <c r="AT324" s="228"/>
      <c r="AU324" s="227"/>
      <c r="AV324" s="228"/>
      <c r="AW324" s="228"/>
      <c r="AX324" s="228"/>
      <c r="AY324" s="228"/>
      <c r="AZ324" s="228"/>
      <c r="BA324" s="228"/>
      <c r="BB324" s="228"/>
      <c r="BC324" s="228"/>
      <c r="BD324" s="229"/>
      <c r="BE324" s="11"/>
      <c r="BF324" s="10"/>
      <c r="BG324" s="10"/>
      <c r="BH324" s="10"/>
      <c r="BI324" s="10"/>
      <c r="BJ324" s="10"/>
      <c r="BK324" s="10"/>
      <c r="BL324" s="10"/>
      <c r="BM324" s="10"/>
      <c r="BN324" s="10"/>
      <c r="BO324" s="10"/>
      <c r="BP324" s="10"/>
      <c r="BQ324" s="10"/>
      <c r="BR324" s="10"/>
      <c r="BS324" s="10"/>
      <c r="BT324" s="10"/>
      <c r="BU324" s="10"/>
      <c r="BV324" s="10"/>
      <c r="BW324" s="10"/>
      <c r="BX324" s="11"/>
      <c r="BY324" s="9"/>
      <c r="BZ324" s="10"/>
      <c r="CA324" s="10"/>
      <c r="CB324" s="10"/>
      <c r="CC324" s="10"/>
      <c r="CD324" s="11"/>
      <c r="CF324" s="13"/>
      <c r="DW324" s="12"/>
      <c r="DY324" s="12"/>
      <c r="ET324" s="13"/>
      <c r="EU324" s="18"/>
      <c r="EV324" s="12"/>
      <c r="FE324" s="13"/>
      <c r="FF324" s="13"/>
      <c r="FY324" s="13"/>
      <c r="FZ324" s="12"/>
      <c r="GF324" s="12"/>
      <c r="GG324" s="13"/>
      <c r="GN324" s="12"/>
      <c r="GV324" s="13"/>
    </row>
    <row r="325" spans="20:204" ht="18" customHeight="1" x14ac:dyDescent="0.2">
      <c r="T325" s="12"/>
      <c r="V325" s="12"/>
      <c r="AJ325" s="13"/>
      <c r="AK325" s="230"/>
      <c r="AL325" s="232"/>
      <c r="AM325" s="232"/>
      <c r="AN325" s="232"/>
      <c r="AO325" s="232"/>
      <c r="AP325" s="232"/>
      <c r="AQ325" s="232"/>
      <c r="AR325" s="232"/>
      <c r="AS325" s="233"/>
      <c r="AT325" s="232"/>
      <c r="AU325" s="230"/>
      <c r="AV325" s="232"/>
      <c r="AW325" s="232"/>
      <c r="AX325" s="232"/>
      <c r="AY325" s="232"/>
      <c r="AZ325" s="232"/>
      <c r="BA325" s="232"/>
      <c r="BB325" s="232"/>
      <c r="BC325" s="232"/>
      <c r="BD325" s="233"/>
      <c r="BE325" s="13"/>
      <c r="BX325" s="13"/>
      <c r="BY325" s="12"/>
      <c r="CD325" s="13"/>
      <c r="CF325" s="13"/>
      <c r="DW325" s="12"/>
      <c r="DY325" s="12"/>
      <c r="ET325" s="13"/>
      <c r="EU325" s="18"/>
      <c r="EV325" s="12"/>
      <c r="FE325" s="13"/>
      <c r="FF325" s="13"/>
      <c r="FY325" s="13"/>
      <c r="FZ325" s="12"/>
      <c r="GF325" s="12"/>
      <c r="GG325" s="13"/>
      <c r="GN325" s="12"/>
      <c r="GV325" s="13"/>
    </row>
    <row r="326" spans="20:204" ht="18" customHeight="1" x14ac:dyDescent="0.2">
      <c r="T326" s="12"/>
      <c r="V326" s="12"/>
      <c r="AJ326" s="13"/>
      <c r="AK326" s="230"/>
      <c r="AL326" s="232"/>
      <c r="AM326" s="232"/>
      <c r="AN326" s="232"/>
      <c r="AO326" s="232"/>
      <c r="AP326" s="232"/>
      <c r="AQ326" s="232"/>
      <c r="AR326" s="232"/>
      <c r="AS326" s="233"/>
      <c r="AT326" s="232"/>
      <c r="AU326" s="230"/>
      <c r="AV326" s="232"/>
      <c r="AW326" s="232"/>
      <c r="AX326" s="232"/>
      <c r="AY326" s="232"/>
      <c r="AZ326" s="232"/>
      <c r="BA326" s="232"/>
      <c r="BB326" s="232"/>
      <c r="BC326" s="232"/>
      <c r="BD326" s="233"/>
      <c r="BE326" s="13"/>
      <c r="BX326" s="13"/>
      <c r="BY326" s="12"/>
      <c r="CD326" s="13"/>
      <c r="CF326" s="13"/>
      <c r="DW326" s="12"/>
      <c r="DY326" s="12"/>
      <c r="ET326" s="13"/>
      <c r="EU326" s="18"/>
      <c r="EV326" s="12"/>
      <c r="FE326" s="13"/>
      <c r="FF326" s="16"/>
      <c r="FG326" s="15"/>
      <c r="FH326" s="15"/>
      <c r="FI326" s="15"/>
      <c r="FJ326" s="15"/>
      <c r="FK326" s="15"/>
      <c r="FL326" s="15"/>
      <c r="FM326" s="15"/>
      <c r="FN326" s="15"/>
      <c r="FO326" s="15"/>
      <c r="FP326" s="15"/>
      <c r="FQ326" s="15"/>
      <c r="FR326" s="15"/>
      <c r="FS326" s="15"/>
      <c r="FT326" s="15"/>
      <c r="FU326" s="15"/>
      <c r="FV326" s="15"/>
      <c r="FW326" s="15"/>
      <c r="FX326" s="15"/>
      <c r="FY326" s="16"/>
      <c r="FZ326" s="12"/>
      <c r="GF326" s="12"/>
      <c r="GG326" s="13"/>
      <c r="GN326" s="12"/>
      <c r="GV326" s="13"/>
    </row>
    <row r="327" spans="20:204" ht="18" customHeight="1" x14ac:dyDescent="0.2">
      <c r="T327" s="12"/>
      <c r="V327" s="12"/>
      <c r="AJ327" s="13"/>
      <c r="AK327" s="230"/>
      <c r="AL327" s="232"/>
      <c r="AM327" s="232"/>
      <c r="AN327" s="232"/>
      <c r="AO327" s="232"/>
      <c r="AP327" s="232"/>
      <c r="AQ327" s="232"/>
      <c r="AR327" s="232"/>
      <c r="AS327" s="233"/>
      <c r="AT327" s="232"/>
      <c r="AU327" s="230"/>
      <c r="AV327" s="232"/>
      <c r="AW327" s="232"/>
      <c r="AX327" s="232"/>
      <c r="AY327" s="232"/>
      <c r="AZ327" s="232"/>
      <c r="BA327" s="232"/>
      <c r="BB327" s="232"/>
      <c r="BC327" s="232"/>
      <c r="BD327" s="233"/>
      <c r="BE327" s="13"/>
      <c r="BX327" s="13"/>
      <c r="BY327" s="12"/>
      <c r="CD327" s="13"/>
      <c r="CF327" s="13"/>
      <c r="DW327" s="12"/>
      <c r="DY327" s="12"/>
      <c r="ET327" s="13"/>
      <c r="EU327" s="18"/>
      <c r="EV327" s="12"/>
      <c r="FE327" s="13"/>
      <c r="FF327" s="16"/>
      <c r="FG327" s="15"/>
      <c r="FH327" s="15"/>
      <c r="FI327" s="15"/>
      <c r="FJ327" s="15"/>
      <c r="FK327" s="15"/>
      <c r="FL327" s="15"/>
      <c r="FM327" s="15"/>
      <c r="FN327" s="15"/>
      <c r="FO327" s="15"/>
      <c r="FP327" s="15"/>
      <c r="FQ327" s="15"/>
      <c r="FR327" s="15"/>
      <c r="FS327" s="15"/>
      <c r="FT327" s="15"/>
      <c r="FU327" s="15"/>
      <c r="FV327" s="15"/>
      <c r="FW327" s="15"/>
      <c r="FX327" s="15"/>
      <c r="FY327" s="15"/>
      <c r="FZ327" s="12"/>
      <c r="GF327" s="12"/>
      <c r="GG327" s="13"/>
      <c r="GN327" s="12"/>
      <c r="GV327" s="13"/>
    </row>
    <row r="328" spans="20:204" ht="18" customHeight="1" x14ac:dyDescent="0.2">
      <c r="T328" s="12"/>
      <c r="V328" s="12"/>
      <c r="AJ328" s="13"/>
      <c r="AK328" s="230"/>
      <c r="AL328" s="232"/>
      <c r="AM328" s="232"/>
      <c r="AN328" s="232"/>
      <c r="AO328" s="232"/>
      <c r="AP328" s="232"/>
      <c r="AQ328" s="232"/>
      <c r="AR328" s="232"/>
      <c r="AS328" s="233"/>
      <c r="AT328" s="232"/>
      <c r="AU328" s="230"/>
      <c r="AV328" s="232"/>
      <c r="AW328" s="232"/>
      <c r="AX328" s="232"/>
      <c r="AY328" s="232"/>
      <c r="AZ328" s="232"/>
      <c r="BA328" s="232"/>
      <c r="BB328" s="232"/>
      <c r="BC328" s="232"/>
      <c r="BD328" s="233"/>
      <c r="BE328" s="13"/>
      <c r="BX328" s="13"/>
      <c r="BY328" s="12"/>
      <c r="CD328" s="13"/>
      <c r="CF328" s="13"/>
      <c r="DW328" s="12"/>
      <c r="DY328" s="12"/>
      <c r="ET328" s="13"/>
      <c r="EU328" s="18"/>
      <c r="EV328" s="12"/>
      <c r="FF328" s="17"/>
      <c r="GF328" s="12"/>
      <c r="GG328" s="13"/>
      <c r="GN328" s="12"/>
      <c r="GV328" s="13"/>
    </row>
    <row r="329" spans="20:204" ht="18" customHeight="1" x14ac:dyDescent="0.2">
      <c r="T329" s="12"/>
      <c r="V329" s="14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6"/>
      <c r="AK329" s="231"/>
      <c r="AL329" s="234"/>
      <c r="AM329" s="234"/>
      <c r="AN329" s="234"/>
      <c r="AO329" s="234"/>
      <c r="AP329" s="234"/>
      <c r="AQ329" s="234"/>
      <c r="AR329" s="234"/>
      <c r="AS329" s="235"/>
      <c r="AT329" s="234"/>
      <c r="AU329" s="231"/>
      <c r="AV329" s="234"/>
      <c r="AW329" s="234"/>
      <c r="AX329" s="234"/>
      <c r="AY329" s="234"/>
      <c r="AZ329" s="234"/>
      <c r="BA329" s="234"/>
      <c r="BB329" s="234"/>
      <c r="BC329" s="234"/>
      <c r="BD329" s="235"/>
      <c r="BE329" s="16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5"/>
      <c r="BQ329" s="15"/>
      <c r="BR329" s="15"/>
      <c r="BS329" s="15"/>
      <c r="BT329" s="15"/>
      <c r="BU329" s="15"/>
      <c r="BV329" s="15"/>
      <c r="BW329" s="15"/>
      <c r="BX329" s="16"/>
      <c r="BY329" s="12"/>
      <c r="CD329" s="13"/>
      <c r="CF329" s="13"/>
      <c r="DW329" s="12"/>
      <c r="DY329" s="12"/>
      <c r="ET329" s="13"/>
      <c r="EU329" s="18"/>
      <c r="EV329" s="12"/>
      <c r="FF329" s="18"/>
      <c r="GF329" s="12"/>
      <c r="GG329" s="13"/>
      <c r="GN329" s="12"/>
      <c r="GV329" s="13"/>
    </row>
    <row r="330" spans="20:204" ht="18" customHeight="1" x14ac:dyDescent="0.2">
      <c r="T330" s="12"/>
      <c r="V330" s="14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6"/>
      <c r="AK330" s="14"/>
      <c r="AL330" s="15"/>
      <c r="AM330" s="15"/>
      <c r="AN330" s="15"/>
      <c r="AO330" s="15"/>
      <c r="AP330" s="15"/>
      <c r="AQ330" s="15"/>
      <c r="AR330" s="15"/>
      <c r="AS330" s="16"/>
      <c r="AT330" s="15"/>
      <c r="AU330" s="14"/>
      <c r="AV330" s="15"/>
      <c r="AW330" s="15"/>
      <c r="AX330" s="15"/>
      <c r="AY330" s="15"/>
      <c r="AZ330" s="15"/>
      <c r="BA330" s="15"/>
      <c r="BB330" s="15"/>
      <c r="BC330" s="15"/>
      <c r="BD330" s="16"/>
      <c r="BE330" s="16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5"/>
      <c r="BQ330" s="15"/>
      <c r="BR330" s="15"/>
      <c r="BS330" s="15"/>
      <c r="BT330" s="15"/>
      <c r="BU330" s="15"/>
      <c r="BV330" s="15"/>
      <c r="BW330" s="15"/>
      <c r="BX330" s="15"/>
      <c r="BY330" s="12"/>
      <c r="CD330" s="13"/>
      <c r="CF330" s="13"/>
      <c r="DW330" s="12"/>
      <c r="DY330" s="12"/>
      <c r="ET330" s="13"/>
      <c r="EU330" s="18"/>
      <c r="EV330" s="12"/>
      <c r="FA330" s="9"/>
      <c r="FB330" s="10"/>
      <c r="FC330" s="10"/>
      <c r="FD330" s="10"/>
      <c r="FE330" s="11"/>
      <c r="FF330" s="18"/>
      <c r="GF330" s="12"/>
      <c r="GG330" s="13"/>
      <c r="GN330" s="12"/>
      <c r="GV330" s="13"/>
    </row>
    <row r="331" spans="20:204" ht="18" customHeight="1" x14ac:dyDescent="0.2">
      <c r="T331" s="12"/>
      <c r="V331" s="9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1"/>
      <c r="AU331" s="12"/>
      <c r="BD331" s="13"/>
      <c r="BE331" s="13"/>
      <c r="CD331" s="13"/>
      <c r="CF331" s="13"/>
      <c r="DW331" s="12"/>
      <c r="DY331" s="12"/>
      <c r="ET331" s="13"/>
      <c r="EU331" s="18"/>
      <c r="EV331" s="12"/>
      <c r="FA331" s="12"/>
      <c r="FE331" s="13"/>
      <c r="FF331" s="18"/>
      <c r="GF331" s="12"/>
      <c r="GG331" s="13"/>
      <c r="GN331" s="12"/>
      <c r="GV331" s="13"/>
    </row>
    <row r="332" spans="20:204" ht="18" customHeight="1" x14ac:dyDescent="0.2">
      <c r="T332" s="12"/>
      <c r="V332" s="12"/>
      <c r="AS332" s="13"/>
      <c r="AU332" s="12"/>
      <c r="BD332" s="13"/>
      <c r="BE332" s="13"/>
      <c r="CD332" s="13"/>
      <c r="CF332" s="13"/>
      <c r="DW332" s="12"/>
      <c r="DY332" s="12"/>
      <c r="ET332" s="13"/>
      <c r="EU332" s="18"/>
      <c r="EV332" s="12"/>
      <c r="FA332" s="12"/>
      <c r="FE332" s="13"/>
      <c r="FF332" s="17"/>
      <c r="GF332" s="12"/>
      <c r="GG332" s="13"/>
      <c r="GN332" s="12"/>
      <c r="GV332" s="13"/>
    </row>
    <row r="333" spans="20:204" ht="18" customHeight="1" x14ac:dyDescent="0.2">
      <c r="T333" s="12"/>
      <c r="V333" s="12"/>
      <c r="AS333" s="13"/>
      <c r="AU333" s="14"/>
      <c r="AV333" s="15"/>
      <c r="AW333" s="15"/>
      <c r="AX333" s="15"/>
      <c r="AY333" s="15"/>
      <c r="AZ333" s="15"/>
      <c r="BA333" s="15"/>
      <c r="BB333" s="15"/>
      <c r="BC333" s="15"/>
      <c r="BD333" s="16"/>
      <c r="BE333" s="13"/>
      <c r="CD333" s="13"/>
      <c r="CF333" s="13"/>
      <c r="DW333" s="12"/>
      <c r="DY333" s="12"/>
      <c r="ET333" s="13"/>
      <c r="EU333" s="18"/>
      <c r="EV333" s="12"/>
      <c r="FA333" s="12"/>
      <c r="FE333" s="13"/>
      <c r="FF333" s="18"/>
      <c r="GF333" s="12"/>
      <c r="GG333" s="13"/>
      <c r="GN333" s="12"/>
      <c r="GV333" s="13"/>
    </row>
    <row r="334" spans="20:204" ht="18" customHeight="1" x14ac:dyDescent="0.2">
      <c r="T334" s="12"/>
      <c r="V334" s="12"/>
      <c r="AS334" s="13"/>
      <c r="AT334" s="13"/>
      <c r="AU334" s="14"/>
      <c r="AV334" s="15"/>
      <c r="AW334" s="15"/>
      <c r="AX334" s="15"/>
      <c r="AY334" s="15"/>
      <c r="AZ334" s="15"/>
      <c r="BA334" s="15"/>
      <c r="BB334" s="15"/>
      <c r="BC334" s="15"/>
      <c r="BD334" s="15"/>
      <c r="BE334" s="18"/>
      <c r="CD334" s="13"/>
      <c r="CF334" s="13"/>
      <c r="DW334" s="12"/>
      <c r="DY334" s="12"/>
      <c r="ET334" s="13"/>
      <c r="EU334" s="18"/>
      <c r="EV334" s="12"/>
      <c r="FA334" s="12"/>
      <c r="FE334" s="13"/>
      <c r="FF334" s="18"/>
      <c r="GF334" s="12"/>
      <c r="GG334" s="13"/>
      <c r="GN334" s="14"/>
      <c r="GO334" s="15"/>
      <c r="GP334" s="15"/>
      <c r="GQ334" s="15"/>
      <c r="GR334" s="15"/>
      <c r="GS334" s="15"/>
      <c r="GT334" s="15"/>
      <c r="GU334" s="15"/>
      <c r="GV334" s="16"/>
    </row>
    <row r="335" spans="20:204" ht="18" customHeight="1" x14ac:dyDescent="0.2">
      <c r="T335" s="12"/>
      <c r="V335" s="12"/>
      <c r="AS335" s="13"/>
      <c r="AT335" s="13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CD335" s="13"/>
      <c r="CF335" s="13"/>
      <c r="DW335" s="12"/>
      <c r="DY335" s="12"/>
      <c r="ET335" s="13"/>
      <c r="EU335" s="18"/>
      <c r="EV335" s="12"/>
      <c r="FA335" s="12"/>
      <c r="FE335" s="13"/>
      <c r="FF335" s="18"/>
      <c r="GF335" s="12"/>
      <c r="GG335" s="13"/>
    </row>
    <row r="336" spans="20:204" ht="18" customHeight="1" x14ac:dyDescent="0.2">
      <c r="T336" s="12"/>
      <c r="V336" s="12"/>
      <c r="AS336" s="13"/>
      <c r="AT336" s="13"/>
      <c r="CD336" s="13"/>
      <c r="CF336" s="13"/>
      <c r="DW336" s="12"/>
      <c r="DY336" s="12"/>
      <c r="ET336" s="13"/>
      <c r="EU336" s="18"/>
      <c r="EV336" s="12"/>
      <c r="FA336" s="12"/>
      <c r="FE336" s="13"/>
      <c r="FF336" s="18"/>
      <c r="GF336" s="12"/>
      <c r="GG336" s="13"/>
    </row>
    <row r="337" spans="20:206" ht="18" customHeight="1" x14ac:dyDescent="0.2">
      <c r="T337" s="12"/>
      <c r="V337" s="12"/>
      <c r="AS337" s="13"/>
      <c r="AT337" s="13"/>
      <c r="CD337" s="13"/>
      <c r="CF337" s="13"/>
      <c r="DW337" s="12"/>
      <c r="DY337" s="12"/>
      <c r="ET337" s="13"/>
      <c r="EU337" s="18"/>
      <c r="EV337" s="12"/>
      <c r="FA337" s="12"/>
      <c r="FE337" s="13"/>
      <c r="FF337" s="18"/>
      <c r="GF337" s="12"/>
      <c r="GG337" s="13"/>
    </row>
    <row r="338" spans="20:206" ht="18" customHeight="1" x14ac:dyDescent="0.2">
      <c r="T338" s="12"/>
      <c r="V338" s="12"/>
      <c r="AS338" s="13"/>
      <c r="AT338" s="13"/>
      <c r="CD338" s="13"/>
      <c r="CF338" s="13"/>
      <c r="DW338" s="12"/>
      <c r="DY338" s="12"/>
      <c r="ET338" s="13"/>
      <c r="EU338" s="18"/>
      <c r="EV338" s="14"/>
      <c r="EW338" s="15"/>
      <c r="EX338" s="15"/>
      <c r="EY338" s="15"/>
      <c r="EZ338" s="15"/>
      <c r="FA338" s="14"/>
      <c r="FB338" s="15"/>
      <c r="FC338" s="15"/>
      <c r="FD338" s="15"/>
      <c r="FE338" s="16"/>
      <c r="FF338" s="18"/>
      <c r="GF338" s="12"/>
      <c r="GG338" s="13"/>
    </row>
    <row r="339" spans="20:206" ht="18" customHeight="1" x14ac:dyDescent="0.2">
      <c r="T339" s="12"/>
      <c r="V339" s="12"/>
      <c r="AS339" s="13"/>
      <c r="AT339" s="13"/>
      <c r="CD339" s="13"/>
      <c r="CF339" s="13"/>
      <c r="DW339" s="12"/>
      <c r="DY339" s="12"/>
      <c r="ET339" s="13"/>
      <c r="EU339" s="18"/>
      <c r="EV339" s="14"/>
      <c r="EW339" s="15"/>
      <c r="EX339" s="15"/>
      <c r="EY339" s="15"/>
      <c r="EZ339" s="15"/>
      <c r="FA339" s="15"/>
      <c r="FB339" s="15"/>
      <c r="FC339" s="15"/>
      <c r="FD339" s="15"/>
      <c r="FE339" s="15"/>
      <c r="FF339" s="18"/>
      <c r="GF339" s="12"/>
      <c r="GG339" s="13"/>
    </row>
    <row r="340" spans="20:206" ht="18" customHeight="1" x14ac:dyDescent="0.2">
      <c r="T340" s="12"/>
      <c r="V340" s="12"/>
      <c r="AS340" s="13"/>
      <c r="AT340" s="13"/>
      <c r="CD340" s="13"/>
      <c r="CF340" s="13"/>
      <c r="DW340" s="12"/>
      <c r="DY340" s="12"/>
      <c r="ET340" s="13"/>
      <c r="EU340" s="18"/>
      <c r="FF340" s="18"/>
      <c r="GF340" s="12"/>
      <c r="GG340" s="13"/>
    </row>
    <row r="341" spans="20:206" ht="18" customHeight="1" x14ac:dyDescent="0.2">
      <c r="T341" s="12"/>
      <c r="V341" s="12"/>
      <c r="AS341" s="13"/>
      <c r="AT341" s="13"/>
      <c r="CD341" s="13"/>
      <c r="CF341" s="13"/>
      <c r="DW341" s="12"/>
      <c r="DY341" s="12"/>
      <c r="ET341" s="13"/>
      <c r="EU341" s="18"/>
      <c r="FF341" s="18"/>
      <c r="GF341" s="12"/>
      <c r="GG341" s="13"/>
    </row>
    <row r="342" spans="20:206" ht="18" customHeight="1" x14ac:dyDescent="0.2">
      <c r="T342" s="12"/>
      <c r="V342" s="12"/>
      <c r="AS342" s="13"/>
      <c r="AT342" s="13"/>
      <c r="CD342" s="13"/>
      <c r="CF342" s="13"/>
      <c r="DW342" s="12"/>
      <c r="DY342" s="12"/>
      <c r="ET342" s="13"/>
      <c r="EU342" s="18"/>
      <c r="FF342" s="18"/>
      <c r="GF342" s="12"/>
      <c r="GG342" s="13"/>
    </row>
    <row r="343" spans="20:206" ht="18" customHeight="1" x14ac:dyDescent="0.2">
      <c r="T343" s="12"/>
      <c r="V343" s="12"/>
      <c r="AS343" s="13"/>
      <c r="AT343" s="13"/>
      <c r="CD343" s="13"/>
      <c r="CF343" s="13"/>
      <c r="DW343" s="12"/>
      <c r="DY343" s="12"/>
      <c r="ET343" s="13"/>
      <c r="EU343" s="18"/>
      <c r="FF343" s="18"/>
      <c r="GF343" s="12"/>
      <c r="GG343" s="13"/>
    </row>
    <row r="344" spans="20:206" ht="18" customHeight="1" x14ac:dyDescent="0.2">
      <c r="T344" s="12"/>
      <c r="V344" s="12"/>
      <c r="AS344" s="13"/>
      <c r="AT344" s="13"/>
      <c r="CD344" s="13"/>
      <c r="CF344" s="13"/>
      <c r="DW344" s="12"/>
      <c r="DY344" s="12"/>
      <c r="ET344" s="13"/>
      <c r="EU344" s="18"/>
      <c r="FF344" s="18"/>
      <c r="GF344" s="12"/>
      <c r="GG344" s="13"/>
    </row>
    <row r="345" spans="20:206" ht="18" customHeight="1" x14ac:dyDescent="0.2">
      <c r="T345" s="12"/>
      <c r="V345" s="12"/>
      <c r="AS345" s="13"/>
      <c r="AT345" s="13"/>
      <c r="CD345" s="13"/>
      <c r="CF345" s="13"/>
      <c r="DW345" s="12"/>
      <c r="DY345" s="12"/>
      <c r="ET345" s="13"/>
      <c r="EU345" s="18"/>
      <c r="FF345" s="18"/>
      <c r="GF345" s="12"/>
      <c r="GG345" s="13"/>
    </row>
    <row r="346" spans="20:206" ht="18" customHeight="1" x14ac:dyDescent="0.2">
      <c r="T346" s="12"/>
      <c r="V346" s="12"/>
      <c r="AS346" s="13"/>
      <c r="AT346" s="13"/>
      <c r="CD346" s="13"/>
      <c r="CF346" s="13"/>
      <c r="DW346" s="12"/>
      <c r="DY346" s="14"/>
      <c r="DZ346" s="15"/>
      <c r="EA346" s="15"/>
      <c r="EB346" s="15"/>
      <c r="EC346" s="15"/>
      <c r="ED346" s="15"/>
      <c r="EE346" s="15"/>
      <c r="EF346" s="15"/>
      <c r="EG346" s="15"/>
      <c r="EH346" s="15"/>
      <c r="EI346" s="15"/>
      <c r="EJ346" s="15"/>
      <c r="EK346" s="15"/>
      <c r="EL346" s="15"/>
      <c r="EM346" s="15"/>
      <c r="EN346" s="15"/>
      <c r="EO346" s="15"/>
      <c r="EP346" s="15"/>
      <c r="EQ346" s="15"/>
      <c r="ER346" s="15"/>
      <c r="ES346" s="15"/>
      <c r="ET346" s="16"/>
      <c r="EU346" s="18"/>
      <c r="FF346" s="18"/>
      <c r="GF346" s="12"/>
      <c r="GG346" s="13"/>
    </row>
    <row r="347" spans="20:206" ht="18" customHeight="1" x14ac:dyDescent="0.2">
      <c r="T347" s="96"/>
      <c r="U347" s="97"/>
      <c r="V347" s="14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6"/>
      <c r="AT347" s="13"/>
      <c r="AY347" s="97"/>
      <c r="AZ347" s="97"/>
      <c r="BA347" s="97"/>
      <c r="CD347" s="13"/>
      <c r="CE347" s="97"/>
      <c r="CF347" s="98"/>
      <c r="DW347" s="12"/>
      <c r="DY347" s="20"/>
      <c r="DZ347" s="21"/>
      <c r="EA347" s="21"/>
      <c r="EB347" s="21"/>
      <c r="EC347" s="21"/>
      <c r="ED347" s="21"/>
      <c r="EE347" s="21"/>
      <c r="EF347" s="21"/>
      <c r="EG347" s="21"/>
      <c r="EH347" s="21"/>
      <c r="EI347" s="22"/>
      <c r="EJ347" s="21"/>
      <c r="EK347" s="21"/>
      <c r="EL347" s="21"/>
      <c r="EM347" s="21"/>
      <c r="EN347" s="21"/>
      <c r="EO347" s="27"/>
      <c r="EP347" s="27"/>
      <c r="EQ347" s="27"/>
      <c r="ER347" s="27"/>
      <c r="ES347" s="27"/>
      <c r="ET347" s="22"/>
      <c r="EU347" s="19"/>
      <c r="FF347" s="18"/>
      <c r="GF347" s="12"/>
      <c r="GG347" s="13"/>
    </row>
    <row r="348" spans="20:206" ht="18" customHeight="1" x14ac:dyDescent="0.2">
      <c r="T348" s="96"/>
      <c r="U348" s="97"/>
      <c r="V348" s="9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2"/>
      <c r="AZ348" s="212"/>
      <c r="BA348" s="212"/>
      <c r="BB348" s="21"/>
      <c r="BC348" s="21"/>
      <c r="BD348" s="21"/>
      <c r="BE348" s="21"/>
      <c r="BF348" s="22"/>
      <c r="CD348" s="13"/>
      <c r="CE348" s="97"/>
      <c r="CF348" s="98"/>
      <c r="DW348" s="12"/>
      <c r="DY348" s="12"/>
      <c r="EH348" s="13"/>
      <c r="EI348" s="17"/>
      <c r="FF348" s="18"/>
      <c r="GF348" s="12"/>
      <c r="GG348" s="13"/>
    </row>
    <row r="349" spans="20:206" ht="18" customHeight="1" x14ac:dyDescent="0.2">
      <c r="T349" s="12"/>
      <c r="V349" s="9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1"/>
      <c r="AP349" s="12"/>
      <c r="BE349" s="13"/>
      <c r="BG349" s="12"/>
      <c r="CD349" s="13"/>
      <c r="CF349" s="13"/>
      <c r="DW349" s="12"/>
      <c r="DY349" s="12"/>
      <c r="EH349" s="13"/>
      <c r="EI349" s="18"/>
      <c r="FF349" s="18"/>
      <c r="GF349" s="12"/>
      <c r="GG349" s="13"/>
    </row>
    <row r="350" spans="20:206" ht="18" customHeight="1" x14ac:dyDescent="0.2">
      <c r="T350" s="12"/>
      <c r="V350" s="12"/>
      <c r="AN350" s="13"/>
      <c r="AP350" s="12"/>
      <c r="BE350" s="13"/>
      <c r="BF350" s="13"/>
      <c r="CD350" s="13"/>
      <c r="CF350" s="13"/>
      <c r="DW350" s="12"/>
      <c r="DY350" s="12"/>
      <c r="EH350" s="13"/>
      <c r="EI350" s="18"/>
      <c r="FF350" s="18"/>
      <c r="GF350" s="12"/>
      <c r="GG350" s="13"/>
    </row>
    <row r="351" spans="20:206" ht="18" customHeight="1" x14ac:dyDescent="0.2">
      <c r="T351" s="12"/>
      <c r="V351" s="12"/>
      <c r="AN351" s="13"/>
      <c r="AP351" s="12"/>
      <c r="BE351" s="13"/>
      <c r="BF351" s="13"/>
      <c r="CD351" s="13"/>
      <c r="CF351" s="13"/>
      <c r="CG351" s="9"/>
      <c r="CH351" s="10"/>
      <c r="CI351" s="10"/>
      <c r="CJ351" s="10"/>
      <c r="CK351" s="10"/>
      <c r="CL351" s="10"/>
      <c r="CM351" s="10"/>
      <c r="CN351" s="10"/>
      <c r="CO351" s="10"/>
      <c r="CP351" s="10"/>
      <c r="CQ351" s="10"/>
      <c r="CR351" s="10"/>
      <c r="CS351" s="10"/>
      <c r="CT351" s="10"/>
      <c r="CU351" s="10"/>
      <c r="CV351" s="11"/>
      <c r="CW351" s="10"/>
      <c r="CX351" s="10"/>
      <c r="CY351" s="10"/>
      <c r="CZ351" s="11"/>
      <c r="DW351" s="12"/>
      <c r="DY351" s="12"/>
      <c r="EH351" s="13"/>
      <c r="EI351" s="18"/>
      <c r="FF351" s="18"/>
      <c r="GF351" s="12"/>
      <c r="GG351" s="13"/>
      <c r="GX351" t="s">
        <v>45</v>
      </c>
    </row>
    <row r="352" spans="20:206" ht="18" customHeight="1" x14ac:dyDescent="0.2">
      <c r="T352" s="12"/>
      <c r="V352" s="12"/>
      <c r="AN352" s="13"/>
      <c r="AP352" s="12"/>
      <c r="BE352" s="13"/>
      <c r="BF352" s="13"/>
      <c r="CD352" s="13"/>
      <c r="CF352" s="13"/>
      <c r="CG352" s="12"/>
      <c r="CV352" s="13"/>
      <c r="CZ352" s="13"/>
      <c r="DW352" s="12"/>
      <c r="DY352" s="12"/>
      <c r="EH352" s="13"/>
      <c r="EI352" s="18"/>
      <c r="FF352" s="18"/>
      <c r="GF352" s="12"/>
      <c r="GG352" s="13"/>
    </row>
    <row r="353" spans="20:189" ht="18" customHeight="1" x14ac:dyDescent="0.2">
      <c r="T353" s="12"/>
      <c r="V353" s="12"/>
      <c r="AN353" s="13"/>
      <c r="AP353" s="12"/>
      <c r="AT353" s="9"/>
      <c r="AU353" s="10"/>
      <c r="AV353" s="10"/>
      <c r="AW353" s="10"/>
      <c r="AX353" s="10"/>
      <c r="AY353" s="10"/>
      <c r="AZ353" s="10"/>
      <c r="BA353" s="11"/>
      <c r="BE353" s="13"/>
      <c r="BF353" s="13"/>
      <c r="CD353" s="13"/>
      <c r="CF353" s="13"/>
      <c r="CG353" s="12"/>
      <c r="CV353" s="13"/>
      <c r="CZ353" s="13"/>
      <c r="DW353" s="12"/>
      <c r="DY353" s="12"/>
      <c r="EH353" s="13"/>
      <c r="EI353" s="18"/>
      <c r="FF353" s="18"/>
      <c r="GF353" s="12"/>
      <c r="GG353" s="13"/>
    </row>
    <row r="354" spans="20:189" ht="18" customHeight="1" x14ac:dyDescent="0.2">
      <c r="T354" s="12"/>
      <c r="V354" s="12"/>
      <c r="AN354" s="13"/>
      <c r="AP354" s="12"/>
      <c r="AT354" s="12"/>
      <c r="BA354" s="13"/>
      <c r="BE354" s="13"/>
      <c r="BF354" s="13"/>
      <c r="CD354" s="13"/>
      <c r="CF354" s="13"/>
      <c r="CG354" s="12"/>
      <c r="CV354" s="13"/>
      <c r="CZ354" s="13"/>
      <c r="DW354" s="12"/>
      <c r="DY354" s="12"/>
      <c r="EH354" s="13"/>
      <c r="EI354" s="18"/>
      <c r="FF354" s="18"/>
      <c r="GF354" s="12"/>
      <c r="GG354" s="13"/>
    </row>
    <row r="355" spans="20:189" ht="18" customHeight="1" x14ac:dyDescent="0.2">
      <c r="T355" s="12"/>
      <c r="V355" s="12"/>
      <c r="AN355" s="13"/>
      <c r="AP355" s="12"/>
      <c r="AT355" s="12"/>
      <c r="BA355" s="13"/>
      <c r="BE355" s="13"/>
      <c r="BF355" s="13"/>
      <c r="CD355" s="13"/>
      <c r="CF355" s="13"/>
      <c r="CG355" s="12"/>
      <c r="CV355" s="13"/>
      <c r="CZ355" s="13"/>
      <c r="DW355" s="12"/>
      <c r="DY355" s="12"/>
      <c r="EH355" s="13"/>
      <c r="EI355" s="18"/>
      <c r="FF355" s="19"/>
      <c r="GF355" s="12"/>
      <c r="GG355" s="13"/>
    </row>
    <row r="356" spans="20:189" ht="18" customHeight="1" x14ac:dyDescent="0.2">
      <c r="T356" s="12"/>
      <c r="V356" s="12"/>
      <c r="AN356" s="13"/>
      <c r="AP356" s="12"/>
      <c r="AT356" s="12"/>
      <c r="BA356" s="13"/>
      <c r="BE356" s="13"/>
      <c r="BF356" s="13"/>
      <c r="CD356" s="13"/>
      <c r="CF356" s="13"/>
      <c r="CG356" s="12"/>
      <c r="CV356" s="13"/>
      <c r="CZ356" s="13"/>
      <c r="DW356" s="12"/>
      <c r="DY356" s="12"/>
      <c r="EH356" s="13"/>
      <c r="EI356" s="18"/>
      <c r="GF356" s="12"/>
      <c r="GG356" s="13"/>
    </row>
    <row r="357" spans="20:189" ht="18" customHeight="1" x14ac:dyDescent="0.2">
      <c r="T357" s="12"/>
      <c r="V357" s="12"/>
      <c r="AN357" s="13"/>
      <c r="AP357" s="12"/>
      <c r="AT357" s="12"/>
      <c r="BA357" s="13"/>
      <c r="BE357" s="13"/>
      <c r="BF357" s="13"/>
      <c r="CD357" s="13"/>
      <c r="CF357" s="13"/>
      <c r="CG357" s="12"/>
      <c r="CV357" s="13"/>
      <c r="CZ357" s="13"/>
      <c r="DW357" s="12"/>
      <c r="DY357" s="14"/>
      <c r="DZ357" s="15"/>
      <c r="EA357" s="15"/>
      <c r="EB357" s="15"/>
      <c r="EC357" s="15"/>
      <c r="ED357" s="15"/>
      <c r="EE357" s="15"/>
      <c r="EF357" s="15"/>
      <c r="EG357" s="15"/>
      <c r="EH357" s="16"/>
      <c r="EI357" s="18"/>
      <c r="GF357" s="12"/>
      <c r="GG357" s="13"/>
    </row>
    <row r="358" spans="20:189" ht="18" customHeight="1" x14ac:dyDescent="0.2">
      <c r="T358" s="12"/>
      <c r="V358" s="14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6"/>
      <c r="AO358" s="15"/>
      <c r="AP358" s="12"/>
      <c r="AT358" s="12"/>
      <c r="BA358" s="13"/>
      <c r="BE358" s="13"/>
      <c r="BF358" s="13"/>
      <c r="CD358" s="13"/>
      <c r="CF358" s="13"/>
      <c r="CG358" s="12"/>
      <c r="CV358" s="13"/>
      <c r="CZ358" s="13"/>
      <c r="DW358" s="12"/>
      <c r="DY358" s="14"/>
      <c r="DZ358" s="15"/>
      <c r="EA358" s="15"/>
      <c r="EB358" s="15"/>
      <c r="EC358" s="15"/>
      <c r="ED358" s="15"/>
      <c r="EE358" s="15"/>
      <c r="EF358" s="15"/>
      <c r="EG358" s="15"/>
      <c r="EH358" s="15"/>
      <c r="EI358" s="19"/>
      <c r="GF358" s="12"/>
      <c r="GG358" s="13"/>
    </row>
    <row r="359" spans="20:189" ht="18" customHeight="1" x14ac:dyDescent="0.2">
      <c r="T359" s="12"/>
      <c r="AO359" s="10"/>
      <c r="AP359" s="12"/>
      <c r="AT359" s="12"/>
      <c r="BA359" s="13"/>
      <c r="BE359" s="13"/>
      <c r="BF359" s="13"/>
      <c r="CD359" s="13"/>
      <c r="CF359" s="13"/>
      <c r="CG359" s="12"/>
      <c r="CV359" s="13"/>
      <c r="CZ359" s="13"/>
      <c r="DW359" s="12"/>
      <c r="DY359" s="12"/>
      <c r="GF359" s="12"/>
      <c r="GG359" s="13"/>
    </row>
    <row r="360" spans="20:189" ht="18" customHeight="1" x14ac:dyDescent="0.2">
      <c r="T360" s="14"/>
      <c r="U360" s="15"/>
      <c r="V360" s="15"/>
      <c r="W360" s="15"/>
      <c r="X360" s="15"/>
      <c r="Y360" s="15"/>
      <c r="Z360" s="15"/>
      <c r="AA360" s="15"/>
      <c r="AC360" s="15"/>
      <c r="AP360" s="12"/>
      <c r="AT360" s="12"/>
      <c r="BA360" s="13"/>
      <c r="BE360" s="13"/>
      <c r="BF360" s="13"/>
      <c r="CD360" s="13"/>
      <c r="CF360" s="13"/>
      <c r="CG360" s="12"/>
      <c r="CV360" s="13"/>
      <c r="CZ360" s="13"/>
      <c r="DW360" s="12"/>
      <c r="DY360" s="12"/>
      <c r="GF360" s="12"/>
      <c r="GG360" s="13"/>
    </row>
    <row r="361" spans="20:189" ht="18" customHeight="1" x14ac:dyDescent="0.2">
      <c r="T361" s="12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1"/>
      <c r="AN361" s="12"/>
      <c r="AP361" s="12"/>
      <c r="AT361" s="12"/>
      <c r="BA361" s="13"/>
      <c r="BE361" s="13"/>
      <c r="BF361" s="13"/>
      <c r="CD361" s="13"/>
      <c r="CF361" s="13"/>
      <c r="CG361" s="12"/>
      <c r="CV361" s="13"/>
      <c r="CZ361" s="13"/>
      <c r="DW361" s="12"/>
      <c r="DY361" s="12"/>
      <c r="GF361" s="12"/>
      <c r="GG361" s="13"/>
    </row>
    <row r="362" spans="20:189" ht="18" customHeight="1" x14ac:dyDescent="0.2">
      <c r="T362" s="12"/>
      <c r="AN362" s="12"/>
      <c r="AP362" s="12"/>
      <c r="AT362" s="12"/>
      <c r="BA362" s="13"/>
      <c r="BE362" s="13"/>
      <c r="BF362" s="13"/>
      <c r="CD362" s="13"/>
      <c r="CF362" s="13"/>
      <c r="CG362" s="12"/>
      <c r="CV362" s="13"/>
      <c r="CZ362" s="13"/>
      <c r="DW362" s="12"/>
      <c r="DY362" s="12"/>
      <c r="GF362" s="12"/>
      <c r="GG362" s="13"/>
    </row>
    <row r="363" spans="20:189" ht="18" customHeight="1" x14ac:dyDescent="0.2">
      <c r="T363" s="12"/>
      <c r="AN363" s="12"/>
      <c r="AP363" s="12"/>
      <c r="AT363" s="12"/>
      <c r="BA363" s="13"/>
      <c r="BE363" s="13"/>
      <c r="BF363" s="13"/>
      <c r="CD363" s="13"/>
      <c r="CF363" s="13"/>
      <c r="CG363" s="12"/>
      <c r="CV363" s="13"/>
      <c r="CZ363" s="13"/>
      <c r="DW363" s="12"/>
      <c r="DY363" s="12"/>
      <c r="GF363" s="12"/>
      <c r="GG363" s="13"/>
    </row>
    <row r="364" spans="20:189" ht="18" customHeight="1" x14ac:dyDescent="0.2">
      <c r="T364" s="12"/>
      <c r="AN364" s="12"/>
      <c r="AP364" s="12"/>
      <c r="AT364" s="12"/>
      <c r="BA364" s="13"/>
      <c r="BE364" s="13"/>
      <c r="BF364" s="13"/>
      <c r="CD364" s="13"/>
      <c r="CF364" s="13"/>
      <c r="CG364" s="12"/>
      <c r="CV364" s="13"/>
      <c r="CZ364" s="13"/>
      <c r="DW364" s="12"/>
      <c r="DY364" s="9"/>
      <c r="DZ364" s="10"/>
      <c r="EA364" s="10"/>
      <c r="EB364" s="10"/>
      <c r="EC364" s="10"/>
      <c r="ED364" s="10"/>
      <c r="EE364" s="10"/>
      <c r="EF364" s="10"/>
      <c r="EG364" s="10"/>
      <c r="EH364" s="10"/>
      <c r="EI364" s="10"/>
      <c r="EJ364" s="10"/>
      <c r="EK364" s="10"/>
      <c r="EL364" s="10"/>
      <c r="EM364" s="10"/>
      <c r="EN364" s="10"/>
      <c r="EO364" s="10"/>
      <c r="EP364" s="10"/>
      <c r="EQ364" s="10"/>
      <c r="ER364" s="10"/>
      <c r="ES364" s="10"/>
      <c r="ET364" s="10"/>
      <c r="EU364" s="10"/>
      <c r="EV364" s="10"/>
      <c r="EW364" s="10"/>
      <c r="EX364" s="10"/>
      <c r="EY364" s="10"/>
      <c r="EZ364" s="10"/>
      <c r="FA364" s="10"/>
      <c r="FB364" s="10"/>
      <c r="FC364" s="10"/>
      <c r="FD364" s="10"/>
      <c r="FE364" s="10"/>
      <c r="FF364" s="11"/>
      <c r="GF364" s="12"/>
      <c r="GG364" s="13"/>
    </row>
    <row r="365" spans="20:189" ht="18" customHeight="1" x14ac:dyDescent="0.2">
      <c r="T365" s="12"/>
      <c r="AN365" s="12"/>
      <c r="AP365" s="12"/>
      <c r="AT365" s="12"/>
      <c r="BA365" s="13"/>
      <c r="BE365" s="13"/>
      <c r="BF365" s="13"/>
      <c r="CD365" s="13"/>
      <c r="CF365" s="13"/>
      <c r="CG365" s="12"/>
      <c r="CV365" s="13"/>
      <c r="CZ365" s="13"/>
      <c r="DW365" s="12"/>
      <c r="DY365" s="12"/>
      <c r="FF365" s="13"/>
      <c r="GF365" s="12"/>
      <c r="GG365" s="13"/>
    </row>
    <row r="366" spans="20:189" ht="18" customHeight="1" x14ac:dyDescent="0.2">
      <c r="T366" s="12"/>
      <c r="AN366" s="12"/>
      <c r="AP366" s="12"/>
      <c r="AT366" s="12"/>
      <c r="BA366" s="13"/>
      <c r="BE366" s="13"/>
      <c r="BF366" s="13"/>
      <c r="CD366" s="13"/>
      <c r="CF366" s="13"/>
      <c r="CG366" s="12"/>
      <c r="CV366" s="13"/>
      <c r="CZ366" s="13"/>
      <c r="DW366" s="12"/>
      <c r="DY366" s="12"/>
      <c r="FF366" s="13"/>
      <c r="GF366" s="12"/>
      <c r="GG366" s="13"/>
    </row>
    <row r="367" spans="20:189" ht="18" customHeight="1" x14ac:dyDescent="0.2">
      <c r="T367" s="12"/>
      <c r="AN367" s="12"/>
      <c r="AP367" s="12"/>
      <c r="AT367" s="12"/>
      <c r="BB367" s="10"/>
      <c r="BC367" s="10"/>
      <c r="BD367" s="10"/>
      <c r="BE367" s="10"/>
      <c r="BF367" s="10"/>
      <c r="CD367" s="13"/>
      <c r="CF367" s="13"/>
      <c r="CG367" s="12"/>
      <c r="CV367" s="13"/>
      <c r="CZ367" s="13"/>
      <c r="DW367" s="12"/>
      <c r="DY367" s="14"/>
      <c r="DZ367" s="15"/>
      <c r="EA367" s="15"/>
      <c r="EB367" s="15"/>
      <c r="EC367" s="15"/>
      <c r="ED367" s="15"/>
      <c r="EE367" s="15"/>
      <c r="EF367" s="15"/>
      <c r="EG367" s="15"/>
      <c r="EH367" s="15"/>
      <c r="EI367" s="15"/>
      <c r="EJ367" s="15"/>
      <c r="EK367" s="15"/>
      <c r="EL367" s="15"/>
      <c r="EM367" s="15"/>
      <c r="EN367" s="15"/>
      <c r="EO367" s="15"/>
      <c r="EP367" s="15"/>
      <c r="EQ367" s="15"/>
      <c r="ER367" s="15"/>
      <c r="ES367" s="15"/>
      <c r="ET367" s="15"/>
      <c r="EU367" s="15"/>
      <c r="EV367" s="15"/>
      <c r="EW367" s="15"/>
      <c r="EX367" s="15"/>
      <c r="EY367" s="15"/>
      <c r="EZ367" s="15"/>
      <c r="FA367" s="15"/>
      <c r="FB367" s="15"/>
      <c r="FC367" s="15"/>
      <c r="FD367" s="15"/>
      <c r="FE367" s="15"/>
      <c r="FF367" s="16"/>
      <c r="FG367" s="15"/>
      <c r="FH367" s="15"/>
      <c r="FI367" s="15"/>
      <c r="FJ367" s="15"/>
      <c r="FK367" s="15"/>
      <c r="FL367" s="15"/>
      <c r="FM367" s="15"/>
      <c r="FN367" s="15"/>
      <c r="FO367" s="15"/>
      <c r="FP367" s="15"/>
      <c r="FQ367" s="15"/>
      <c r="FR367" s="15"/>
      <c r="FS367" s="15"/>
      <c r="FT367" s="15"/>
      <c r="FU367" s="15"/>
      <c r="FV367" s="15"/>
      <c r="FW367" s="15"/>
      <c r="FX367" s="15"/>
      <c r="FY367" s="15"/>
      <c r="FZ367" s="15"/>
      <c r="GA367" s="15"/>
      <c r="GB367" s="15"/>
      <c r="GC367" s="15"/>
      <c r="GD367" s="15"/>
      <c r="GE367" s="15"/>
      <c r="GF367" s="12"/>
      <c r="GG367" s="13"/>
    </row>
    <row r="368" spans="20:189" ht="18" customHeight="1" x14ac:dyDescent="0.2">
      <c r="T368" s="12"/>
      <c r="AN368" s="12"/>
      <c r="AP368" s="12"/>
      <c r="AT368" s="12"/>
      <c r="CD368" s="13"/>
      <c r="CF368" s="13"/>
      <c r="CG368" s="12"/>
      <c r="CV368" s="13"/>
      <c r="CZ368" s="13"/>
      <c r="DW368" s="12"/>
      <c r="GG368" s="13"/>
    </row>
    <row r="369" spans="20:189" ht="18" customHeight="1" x14ac:dyDescent="0.2">
      <c r="T369" s="12"/>
      <c r="AN369" s="12"/>
      <c r="AP369" s="12"/>
      <c r="AT369" s="12"/>
      <c r="CD369" s="13"/>
      <c r="CF369" s="13"/>
      <c r="CG369" s="12"/>
      <c r="CV369" s="13"/>
      <c r="CZ369" s="13"/>
      <c r="DW369" s="14"/>
      <c r="DX369" s="15"/>
      <c r="DY369" s="15"/>
      <c r="DZ369" s="15"/>
      <c r="EA369" s="15"/>
      <c r="EB369" s="15"/>
      <c r="EC369" s="15"/>
      <c r="ED369" s="15"/>
      <c r="EE369" s="15"/>
      <c r="EF369" s="15"/>
      <c r="EG369" s="15"/>
      <c r="EH369" s="15"/>
      <c r="EI369" s="15"/>
      <c r="EJ369" s="15"/>
      <c r="EK369" s="15"/>
      <c r="EL369" s="15"/>
      <c r="EM369" s="15"/>
      <c r="EN369" s="15"/>
      <c r="EO369" s="15"/>
      <c r="EP369" s="15"/>
      <c r="EQ369" s="15"/>
      <c r="ER369" s="15"/>
      <c r="ES369" s="15"/>
      <c r="ET369" s="15"/>
      <c r="EU369" s="15"/>
      <c r="EV369" s="15"/>
      <c r="EW369" s="15"/>
      <c r="EX369" s="15"/>
      <c r="EY369" s="15"/>
      <c r="EZ369" s="15"/>
      <c r="FA369" s="15"/>
      <c r="FB369" s="15"/>
      <c r="FC369" s="15"/>
      <c r="FD369" s="15"/>
      <c r="FE369" s="15"/>
      <c r="FF369" s="15"/>
      <c r="FG369" s="15"/>
      <c r="FH369" s="15"/>
      <c r="FI369" s="15"/>
      <c r="FJ369" s="15"/>
      <c r="FK369" s="15"/>
      <c r="FL369" s="15"/>
      <c r="FM369" s="15"/>
      <c r="FN369" s="15"/>
      <c r="FO369" s="15"/>
      <c r="FP369" s="15"/>
      <c r="FQ369" s="15"/>
      <c r="FR369" s="15"/>
      <c r="FS369" s="15"/>
      <c r="FT369" s="15"/>
      <c r="FU369" s="15"/>
      <c r="FV369" s="15"/>
      <c r="FW369" s="15"/>
      <c r="FX369" s="15"/>
      <c r="FY369" s="100"/>
      <c r="FZ369" s="100"/>
      <c r="GA369" s="100"/>
      <c r="GB369" s="100"/>
      <c r="GC369" s="100"/>
      <c r="GD369" s="100"/>
      <c r="GE369" s="15"/>
      <c r="GF369" s="15"/>
      <c r="GG369" s="16"/>
    </row>
    <row r="370" spans="20:189" ht="18" customHeight="1" x14ac:dyDescent="0.2">
      <c r="T370" s="12"/>
      <c r="AN370" s="12"/>
      <c r="AP370" s="12"/>
      <c r="AT370" s="12"/>
      <c r="CD370" s="13"/>
      <c r="CF370" s="13"/>
      <c r="CG370" s="12"/>
      <c r="CV370" s="13"/>
      <c r="CZ370" s="13"/>
    </row>
    <row r="371" spans="20:189" ht="18" customHeight="1" x14ac:dyDescent="0.2">
      <c r="T371" s="12"/>
      <c r="AN371" s="12"/>
      <c r="AP371" s="12"/>
      <c r="AT371" s="12"/>
      <c r="CD371" s="13"/>
      <c r="CF371" s="13"/>
      <c r="CG371" s="12"/>
      <c r="CV371" s="13"/>
      <c r="CZ371" s="13"/>
    </row>
    <row r="372" spans="20:189" ht="18" customHeight="1" x14ac:dyDescent="0.2">
      <c r="T372" s="12"/>
      <c r="AN372" s="12"/>
      <c r="AP372" s="12"/>
      <c r="AT372" s="12"/>
      <c r="CD372" s="13"/>
      <c r="CF372" s="13"/>
      <c r="CG372" s="12"/>
      <c r="CV372" s="13"/>
      <c r="CZ372" s="13"/>
    </row>
    <row r="373" spans="20:189" ht="18" customHeight="1" x14ac:dyDescent="0.2">
      <c r="T373" s="12"/>
      <c r="AN373" s="12"/>
      <c r="AP373" s="12"/>
      <c r="AS373" s="13"/>
      <c r="AT373" s="12"/>
      <c r="CD373" s="13"/>
      <c r="CF373" s="13"/>
      <c r="CG373" s="12"/>
      <c r="CV373" s="13"/>
      <c r="CZ373" s="13"/>
    </row>
    <row r="374" spans="20:189" ht="18" customHeight="1" x14ac:dyDescent="0.2">
      <c r="T374" s="12"/>
      <c r="AN374" s="12"/>
      <c r="AP374" s="14"/>
      <c r="AQ374" s="15"/>
      <c r="AR374" s="15"/>
      <c r="AS374" s="16"/>
      <c r="AT374" s="15"/>
      <c r="AU374" s="15"/>
      <c r="AV374" s="15"/>
      <c r="AW374" s="15"/>
      <c r="AX374" s="15"/>
      <c r="AY374" s="15"/>
      <c r="AZ374" s="15"/>
      <c r="BA374" s="15"/>
      <c r="BB374" s="15"/>
      <c r="BC374" s="15"/>
      <c r="BD374" s="15"/>
      <c r="BE374" s="15"/>
      <c r="BF374" s="15"/>
      <c r="BG374" s="15"/>
      <c r="BH374" s="15"/>
      <c r="BI374" s="15"/>
      <c r="BJ374" s="15"/>
      <c r="BK374" s="15"/>
      <c r="BL374" s="15"/>
      <c r="BM374" s="15"/>
      <c r="BN374" s="15"/>
      <c r="BO374" s="15"/>
      <c r="BP374" s="15"/>
      <c r="BQ374" s="15"/>
      <c r="BR374" s="15"/>
      <c r="BS374" s="15"/>
      <c r="BT374" s="15"/>
      <c r="BU374" s="15"/>
      <c r="BV374" s="15"/>
      <c r="BW374" s="15"/>
      <c r="BX374" s="15"/>
      <c r="BY374" s="15"/>
      <c r="BZ374" s="15"/>
      <c r="CA374" s="15"/>
      <c r="CB374" s="15"/>
      <c r="CC374" s="15"/>
      <c r="CD374" s="16"/>
      <c r="CF374" s="13"/>
      <c r="CG374" s="12"/>
      <c r="CV374" s="13"/>
      <c r="CZ374" s="13"/>
    </row>
    <row r="375" spans="20:189" ht="18" customHeight="1" x14ac:dyDescent="0.2">
      <c r="T375" s="96"/>
      <c r="U375" s="97"/>
      <c r="AN375" s="12"/>
      <c r="AY375" s="97"/>
      <c r="AZ375" s="97"/>
      <c r="CE375" s="97"/>
      <c r="CF375" s="98"/>
      <c r="CG375" s="12"/>
      <c r="CV375" s="13"/>
      <c r="CZ375" s="13"/>
    </row>
    <row r="376" spans="20:189" ht="18" customHeight="1" x14ac:dyDescent="0.2">
      <c r="T376" s="59"/>
      <c r="U376" s="60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  <c r="AG376" s="15"/>
      <c r="AH376" s="15"/>
      <c r="AI376" s="15"/>
      <c r="AJ376" s="15"/>
      <c r="AK376" s="15"/>
      <c r="AL376" s="15"/>
      <c r="AM376" s="15"/>
      <c r="AN376" s="12"/>
      <c r="AY376" s="97"/>
      <c r="AZ376" s="97"/>
      <c r="CE376" s="97"/>
      <c r="CF376" s="98"/>
      <c r="CG376" s="14"/>
      <c r="CH376" s="15"/>
      <c r="CI376" s="15"/>
      <c r="CJ376" s="15"/>
      <c r="CK376" s="15"/>
      <c r="CL376" s="15"/>
      <c r="CM376" s="15"/>
      <c r="CN376" s="15"/>
      <c r="CO376" s="15"/>
      <c r="CP376" s="15"/>
      <c r="CQ376" s="15"/>
      <c r="CR376" s="15"/>
      <c r="CS376" s="15"/>
      <c r="CT376" s="15"/>
      <c r="CU376" s="15"/>
      <c r="CV376" s="16"/>
      <c r="CW376" s="15"/>
      <c r="CX376" s="15"/>
      <c r="CY376" s="15"/>
      <c r="CZ376" s="16"/>
    </row>
    <row r="377" spans="20:189" ht="18" customHeight="1" x14ac:dyDescent="0.2">
      <c r="AN377" s="9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  <c r="BI377" s="10"/>
      <c r="BJ377" s="10"/>
      <c r="BK377" s="10"/>
      <c r="BL377" s="10"/>
      <c r="BM377" s="10"/>
      <c r="BN377" s="10"/>
      <c r="BO377" s="10"/>
      <c r="BP377" s="10"/>
      <c r="BQ377" s="10"/>
      <c r="BR377" s="10"/>
      <c r="BS377" s="10"/>
      <c r="BT377" s="10"/>
      <c r="BU377" s="10"/>
      <c r="BV377" s="10"/>
      <c r="BW377" s="10"/>
      <c r="BX377" s="10"/>
      <c r="BY377" s="10"/>
      <c r="BZ377" s="10"/>
      <c r="CA377" s="10"/>
      <c r="CB377" s="10"/>
      <c r="CC377" s="10"/>
      <c r="CD377" s="10"/>
      <c r="CE377" s="10"/>
      <c r="CF377" s="11"/>
      <c r="CG377" s="9"/>
      <c r="CH377" s="10"/>
      <c r="CI377" s="10"/>
      <c r="CJ377" s="10"/>
      <c r="CK377" s="10"/>
      <c r="CL377" s="10"/>
      <c r="CM377" s="10"/>
      <c r="CN377" s="10"/>
      <c r="CO377" s="10"/>
      <c r="CP377" s="10"/>
      <c r="CQ377" s="10"/>
      <c r="CR377" s="10"/>
      <c r="CS377" s="10"/>
      <c r="CT377" s="10"/>
      <c r="CU377" s="10"/>
      <c r="CV377" s="11"/>
      <c r="CW377" s="10"/>
      <c r="CX377" s="10"/>
      <c r="CY377" s="10"/>
      <c r="CZ377" s="11"/>
    </row>
    <row r="378" spans="20:189" ht="18" customHeight="1" x14ac:dyDescent="0.2">
      <c r="AN378" s="12"/>
      <c r="CF378" s="13"/>
      <c r="CG378" s="12"/>
      <c r="CV378" s="13"/>
      <c r="CZ378" s="13"/>
    </row>
    <row r="379" spans="20:189" ht="18" customHeight="1" x14ac:dyDescent="0.2">
      <c r="AN379" s="12"/>
      <c r="CF379" s="13"/>
      <c r="CG379" s="12"/>
      <c r="CV379" s="13"/>
      <c r="CZ379" s="13"/>
    </row>
    <row r="380" spans="20:189" ht="18" customHeight="1" x14ac:dyDescent="0.2">
      <c r="AN380" s="12"/>
      <c r="CF380" s="13"/>
      <c r="CG380" s="12"/>
      <c r="CV380" s="13"/>
      <c r="CZ380" s="13"/>
    </row>
    <row r="381" spans="20:189" ht="18" customHeight="1" x14ac:dyDescent="0.2">
      <c r="AN381" s="12"/>
      <c r="CF381" s="13"/>
      <c r="CG381" s="12"/>
      <c r="CV381" s="13"/>
      <c r="CZ381" s="13"/>
    </row>
    <row r="382" spans="20:189" ht="18" customHeight="1" x14ac:dyDescent="0.2">
      <c r="AN382" s="12"/>
      <c r="CF382" s="13"/>
      <c r="CG382" s="12"/>
      <c r="CV382" s="13"/>
      <c r="CZ382" s="13"/>
    </row>
    <row r="383" spans="20:189" ht="18" customHeight="1" x14ac:dyDescent="0.2">
      <c r="AN383" s="12"/>
      <c r="CF383" s="13"/>
      <c r="CG383" s="12"/>
      <c r="CV383" s="13"/>
      <c r="CZ383" s="13"/>
    </row>
    <row r="384" spans="20:189" ht="18" customHeight="1" x14ac:dyDescent="0.2">
      <c r="AN384" s="12"/>
      <c r="CF384" s="13"/>
      <c r="CG384" s="12"/>
      <c r="CV384" s="13"/>
      <c r="CZ384" s="13"/>
    </row>
    <row r="385" spans="40:262" ht="18" customHeight="1" x14ac:dyDescent="0.2">
      <c r="AN385" s="12"/>
      <c r="CF385" s="13"/>
      <c r="CG385" s="12"/>
      <c r="CV385" s="13"/>
      <c r="CZ385" s="13"/>
    </row>
    <row r="386" spans="40:262" ht="18" customHeight="1" x14ac:dyDescent="0.2">
      <c r="AN386" s="12"/>
      <c r="CF386" s="13"/>
      <c r="CG386" s="12"/>
      <c r="CV386" s="13"/>
      <c r="CZ386" s="13"/>
      <c r="DY386" s="9"/>
      <c r="DZ386" s="10"/>
      <c r="EA386" s="10"/>
      <c r="EB386" s="10"/>
      <c r="EC386" s="10"/>
      <c r="ED386" s="10"/>
      <c r="EE386" s="10"/>
      <c r="EF386" s="10"/>
      <c r="EG386" s="10"/>
      <c r="EH386" s="10"/>
      <c r="EI386" s="10"/>
      <c r="EJ386" s="10"/>
      <c r="EK386" s="10"/>
      <c r="EL386" s="10"/>
      <c r="EM386" s="10"/>
      <c r="EN386" s="10"/>
      <c r="EO386" s="10"/>
      <c r="EP386" s="10"/>
      <c r="EQ386" s="10"/>
      <c r="ER386" s="10"/>
      <c r="ES386" s="10"/>
      <c r="ET386" s="10"/>
      <c r="EU386" s="10"/>
      <c r="EV386" s="10"/>
      <c r="EW386" s="10"/>
      <c r="EX386" s="10"/>
      <c r="EY386" s="10"/>
      <c r="EZ386" s="10"/>
      <c r="FA386" s="10"/>
      <c r="FB386" s="10"/>
      <c r="FC386" s="10"/>
      <c r="FD386" s="10"/>
      <c r="FE386" s="10"/>
      <c r="FF386" s="10"/>
      <c r="FG386" s="10"/>
      <c r="FH386" s="10"/>
      <c r="FI386" s="10"/>
      <c r="FJ386" s="10"/>
      <c r="FK386" s="10"/>
      <c r="FL386" s="10"/>
      <c r="FM386" s="10"/>
      <c r="FN386" s="10"/>
      <c r="FO386" s="10"/>
      <c r="FP386" s="10"/>
      <c r="FQ386" s="10"/>
      <c r="FR386" s="10"/>
      <c r="FS386" s="10"/>
      <c r="FT386" s="10"/>
      <c r="FU386" s="10"/>
      <c r="FV386" s="10"/>
      <c r="FW386" s="10"/>
      <c r="FX386" s="10"/>
      <c r="FY386" s="10"/>
      <c r="FZ386" s="10"/>
      <c r="GA386" s="10"/>
      <c r="GB386" s="11"/>
    </row>
    <row r="387" spans="40:262" ht="18" customHeight="1" x14ac:dyDescent="0.2">
      <c r="AN387" s="12"/>
      <c r="CF387" s="13"/>
      <c r="CG387" s="12"/>
      <c r="CV387" s="13"/>
      <c r="CZ387" s="13"/>
      <c r="DY387" s="12"/>
      <c r="GB387" s="13"/>
    </row>
    <row r="388" spans="40:262" ht="18" customHeight="1" x14ac:dyDescent="0.2">
      <c r="AN388" s="12"/>
      <c r="CF388" s="13"/>
      <c r="CG388" s="12"/>
      <c r="CV388" s="13"/>
      <c r="CZ388" s="13"/>
      <c r="DY388" s="12"/>
      <c r="EA388" s="9"/>
      <c r="EB388" s="10"/>
      <c r="EC388" s="10"/>
      <c r="ED388" s="10"/>
      <c r="EE388" s="10"/>
      <c r="EF388" s="10"/>
      <c r="EG388" s="10"/>
      <c r="EH388" s="10"/>
      <c r="EI388" s="10"/>
      <c r="EJ388" s="10"/>
      <c r="EK388" s="10"/>
      <c r="EL388" s="10"/>
      <c r="EM388" s="10"/>
      <c r="EN388" s="10"/>
      <c r="EO388" s="10"/>
      <c r="EP388" s="10"/>
      <c r="EQ388" s="10"/>
      <c r="ER388" s="10"/>
      <c r="ES388" s="10"/>
      <c r="ET388" s="10"/>
      <c r="EU388" s="10"/>
      <c r="EV388" s="10"/>
      <c r="EW388" s="10"/>
      <c r="EX388" s="10"/>
      <c r="EY388" s="10"/>
      <c r="EZ388" s="10"/>
      <c r="FA388" s="11"/>
      <c r="FB388" s="10"/>
      <c r="FC388" s="9"/>
      <c r="FD388" s="10"/>
      <c r="FE388" s="10"/>
      <c r="FF388" s="10"/>
      <c r="FG388" s="10"/>
      <c r="FH388" s="10"/>
      <c r="FI388" s="10"/>
      <c r="FJ388" s="10"/>
      <c r="FK388" s="10"/>
      <c r="FL388" s="10"/>
      <c r="FM388" s="10"/>
      <c r="FN388" s="10"/>
      <c r="FO388" s="10"/>
      <c r="FP388" s="10"/>
      <c r="FQ388" s="10"/>
      <c r="FR388" s="11"/>
      <c r="FS388" s="11"/>
      <c r="FT388" s="10"/>
      <c r="FU388" s="10"/>
      <c r="FV388" s="10"/>
      <c r="FW388" s="10"/>
      <c r="FX388" s="10"/>
      <c r="FY388" s="10"/>
      <c r="FZ388" s="11"/>
      <c r="GB388" s="13"/>
      <c r="HR388" s="15"/>
      <c r="HS388" s="15"/>
      <c r="HT388" s="15"/>
      <c r="HU388" s="15"/>
      <c r="HV388" s="15"/>
      <c r="HW388" s="15"/>
      <c r="HX388" s="15"/>
      <c r="HY388" s="15"/>
    </row>
    <row r="389" spans="40:262" ht="18" customHeight="1" x14ac:dyDescent="0.2">
      <c r="AN389" s="12"/>
      <c r="CF389" s="13"/>
      <c r="CG389" s="12"/>
      <c r="CV389" s="13"/>
      <c r="CZ389" s="13"/>
      <c r="DY389" s="12"/>
      <c r="EA389" s="12"/>
      <c r="FA389" s="13"/>
      <c r="FC389" s="12"/>
      <c r="FR389" s="13"/>
      <c r="FS389" s="13"/>
      <c r="FZ389" s="13"/>
      <c r="GB389" s="13"/>
      <c r="GZ389" s="9"/>
      <c r="HA389" s="10"/>
      <c r="HB389" s="10"/>
      <c r="HC389" s="10"/>
      <c r="HD389" s="10"/>
      <c r="HE389" s="10"/>
      <c r="HF389" s="10"/>
      <c r="HG389" s="10"/>
      <c r="HH389" s="10"/>
      <c r="HI389" s="10"/>
      <c r="HJ389" s="10"/>
      <c r="HK389" s="10"/>
      <c r="HL389" s="10"/>
      <c r="HM389" s="10"/>
      <c r="HN389" s="10"/>
      <c r="HO389" s="10"/>
      <c r="HP389" s="10"/>
      <c r="HQ389" s="10"/>
      <c r="HR389" s="10"/>
      <c r="HS389" s="10"/>
      <c r="HT389" s="10"/>
      <c r="HU389" s="10"/>
      <c r="HV389" s="10"/>
      <c r="HW389" s="10"/>
      <c r="HX389" s="10"/>
      <c r="HY389" s="10"/>
      <c r="HZ389" s="10"/>
      <c r="IA389" s="10"/>
      <c r="IB389" s="10"/>
      <c r="IC389" s="10"/>
      <c r="ID389" s="10"/>
      <c r="IE389" s="10"/>
      <c r="IF389" s="10"/>
      <c r="IG389" s="10"/>
      <c r="IH389" s="10"/>
      <c r="II389" s="10"/>
      <c r="IJ389" s="10"/>
      <c r="IK389" s="10"/>
      <c r="IL389" s="10"/>
      <c r="IM389" s="10"/>
      <c r="IN389" s="10"/>
      <c r="IO389" s="10"/>
      <c r="IP389" s="10"/>
      <c r="IQ389" s="10"/>
      <c r="IR389" s="10"/>
      <c r="IS389" s="10"/>
      <c r="IT389" s="10"/>
      <c r="IU389" s="10"/>
      <c r="IV389" s="10"/>
      <c r="IW389" s="10"/>
      <c r="IX389" s="10"/>
      <c r="IY389" s="10"/>
      <c r="IZ389" s="10"/>
      <c r="JA389" s="10"/>
      <c r="JB389" s="11"/>
    </row>
    <row r="390" spans="40:262" ht="18" customHeight="1" x14ac:dyDescent="0.2">
      <c r="AN390" s="12"/>
      <c r="CF390" s="13"/>
      <c r="CG390" s="12"/>
      <c r="CV390" s="13"/>
      <c r="CZ390" s="13"/>
      <c r="DY390" s="12"/>
      <c r="EA390" s="12"/>
      <c r="FA390" s="13"/>
      <c r="FC390" s="12"/>
      <c r="FR390" s="13"/>
      <c r="FS390" s="13"/>
      <c r="FZ390" s="13"/>
      <c r="GB390" s="13"/>
      <c r="GZ390" s="12"/>
      <c r="IJ390" s="15"/>
      <c r="IK390" s="15"/>
      <c r="IL390" s="15"/>
      <c r="IM390" s="15"/>
      <c r="IN390" s="15"/>
      <c r="IO390" s="15"/>
      <c r="IS390" s="15"/>
      <c r="IT390" s="15"/>
      <c r="IU390" s="15"/>
      <c r="JB390" s="13"/>
    </row>
    <row r="391" spans="40:262" ht="18" customHeight="1" x14ac:dyDescent="0.2">
      <c r="AN391" s="12"/>
      <c r="CF391" s="13"/>
      <c r="CG391" s="12"/>
      <c r="CV391" s="13"/>
      <c r="CZ391" s="13"/>
      <c r="DY391" s="12"/>
      <c r="EA391" s="12"/>
      <c r="FA391" s="13"/>
      <c r="FC391" s="12"/>
      <c r="FR391" s="13"/>
      <c r="FS391" s="13"/>
      <c r="FZ391" s="13"/>
      <c r="GB391" s="13"/>
      <c r="GZ391" s="12"/>
      <c r="HB391" s="9"/>
      <c r="HC391" s="10"/>
      <c r="HD391" s="10"/>
      <c r="HE391" s="10"/>
      <c r="HF391" s="10"/>
      <c r="HG391" s="10"/>
      <c r="HH391" s="10"/>
      <c r="HI391" s="10"/>
      <c r="HJ391" s="10"/>
      <c r="HK391" s="10"/>
      <c r="HL391" s="10"/>
      <c r="HM391" s="10"/>
      <c r="HN391" s="10"/>
      <c r="HO391" s="10"/>
      <c r="HP391" s="10"/>
      <c r="HQ391" s="10"/>
      <c r="HR391" s="10"/>
      <c r="HS391" s="9"/>
      <c r="HT391" s="10"/>
      <c r="HU391" s="10"/>
      <c r="HV391" s="10"/>
      <c r="HW391" s="10"/>
      <c r="HX391" s="10"/>
      <c r="HY391" s="10"/>
      <c r="HZ391" s="10"/>
      <c r="IA391" s="9"/>
      <c r="IB391" s="9"/>
      <c r="IC391" s="10"/>
      <c r="ID391" s="10"/>
      <c r="IE391" s="10"/>
      <c r="IF391" s="10"/>
      <c r="IG391" s="10"/>
      <c r="IH391" s="10"/>
      <c r="II391" s="10"/>
      <c r="IJ391" s="11"/>
      <c r="IK391" s="11"/>
      <c r="IL391" s="10"/>
      <c r="IM391" s="10"/>
      <c r="IN391" s="10"/>
      <c r="IO391" s="10"/>
      <c r="IP391" s="10"/>
      <c r="IQ391" s="10"/>
      <c r="IR391" s="10"/>
      <c r="IS391" s="10"/>
      <c r="IT391" s="11"/>
      <c r="IU391" s="9"/>
      <c r="IV391" s="10"/>
      <c r="IW391" s="10"/>
      <c r="IX391" s="10"/>
      <c r="IY391" s="10"/>
      <c r="IZ391" s="11"/>
      <c r="JB391" s="13"/>
    </row>
    <row r="392" spans="40:262" ht="18" customHeight="1" x14ac:dyDescent="0.2">
      <c r="AN392" s="14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15"/>
      <c r="AZ392" s="15"/>
      <c r="BA392" s="15"/>
      <c r="BB392" s="15"/>
      <c r="BC392" s="15"/>
      <c r="BD392" s="15"/>
      <c r="BE392" s="15"/>
      <c r="BF392" s="15"/>
      <c r="BG392" s="15"/>
      <c r="BH392" s="15"/>
      <c r="BI392" s="15"/>
      <c r="BJ392" s="15"/>
      <c r="BK392" s="15"/>
      <c r="BL392" s="15"/>
      <c r="BM392" s="15"/>
      <c r="BN392" s="15"/>
      <c r="BO392" s="15"/>
      <c r="BP392" s="15"/>
      <c r="BQ392" s="15"/>
      <c r="BR392" s="15"/>
      <c r="BS392" s="15"/>
      <c r="BT392" s="15"/>
      <c r="BU392" s="15"/>
      <c r="BV392" s="15"/>
      <c r="BW392" s="15"/>
      <c r="BX392" s="15"/>
      <c r="BY392" s="15"/>
      <c r="BZ392" s="15"/>
      <c r="CA392" s="15"/>
      <c r="CB392" s="15"/>
      <c r="CC392" s="15"/>
      <c r="CD392" s="15"/>
      <c r="CE392" s="15"/>
      <c r="CF392" s="16"/>
      <c r="CG392" s="14"/>
      <c r="CH392" s="15"/>
      <c r="CI392" s="15"/>
      <c r="CJ392" s="15"/>
      <c r="CK392" s="15"/>
      <c r="CL392" s="15"/>
      <c r="CM392" s="15"/>
      <c r="CN392" s="15"/>
      <c r="CO392" s="15"/>
      <c r="CP392" s="15"/>
      <c r="CQ392" s="15"/>
      <c r="CR392" s="15"/>
      <c r="CS392" s="15"/>
      <c r="CT392" s="15"/>
      <c r="CU392" s="15"/>
      <c r="CV392" s="16"/>
      <c r="CZ392" s="13"/>
      <c r="DY392" s="12"/>
      <c r="EA392" s="12"/>
      <c r="FA392" s="13"/>
      <c r="FC392" s="12"/>
      <c r="FR392" s="13"/>
      <c r="FS392" s="13"/>
      <c r="FZ392" s="13"/>
      <c r="GB392" s="13"/>
      <c r="GZ392" s="12"/>
      <c r="HB392" s="12"/>
      <c r="HS392" s="12"/>
      <c r="IA392" s="12"/>
      <c r="IB392" s="12"/>
      <c r="IJ392" s="13"/>
      <c r="IK392" s="13"/>
      <c r="IT392" s="13"/>
      <c r="IU392" s="12"/>
      <c r="IZ392" s="13"/>
      <c r="JB392" s="13"/>
    </row>
    <row r="393" spans="40:262" ht="18" customHeight="1" x14ac:dyDescent="0.2">
      <c r="AN393" s="12"/>
      <c r="CZ393" s="13"/>
      <c r="DY393" s="12"/>
      <c r="EA393" s="12"/>
      <c r="FA393" s="13"/>
      <c r="FC393" s="12"/>
      <c r="FR393" s="13"/>
      <c r="FS393" s="13"/>
      <c r="FZ393" s="13"/>
      <c r="GB393" s="13"/>
      <c r="GZ393" s="12"/>
      <c r="HB393" s="12"/>
      <c r="HS393" s="12"/>
      <c r="IA393" s="12"/>
      <c r="IB393" s="12"/>
      <c r="IJ393" s="13"/>
      <c r="IK393" s="13"/>
      <c r="IT393" s="13"/>
      <c r="IU393" s="12"/>
      <c r="IZ393" s="13"/>
      <c r="JB393" s="13"/>
    </row>
    <row r="394" spans="40:262" ht="18" customHeight="1" x14ac:dyDescent="0.2">
      <c r="AN394" s="12"/>
      <c r="CZ394" s="13"/>
      <c r="DY394" s="12"/>
      <c r="EA394" s="12"/>
      <c r="FA394" s="13"/>
      <c r="FC394" s="12"/>
      <c r="FR394" s="13"/>
      <c r="FS394" s="13"/>
      <c r="FZ394" s="13"/>
      <c r="GB394" s="13"/>
      <c r="GZ394" s="12"/>
      <c r="HB394" s="12"/>
      <c r="HS394" s="12"/>
      <c r="IA394" s="12"/>
      <c r="IB394" s="12"/>
      <c r="IJ394" s="13"/>
      <c r="IK394" s="13"/>
      <c r="IT394" s="13"/>
      <c r="IU394" s="12"/>
      <c r="IZ394" s="13"/>
      <c r="JB394" s="13"/>
    </row>
    <row r="395" spans="40:262" ht="18" customHeight="1" x14ac:dyDescent="0.2">
      <c r="AN395" s="12"/>
      <c r="CZ395" s="13"/>
      <c r="DY395" s="12"/>
      <c r="EA395" s="12"/>
      <c r="FA395" s="13"/>
      <c r="FC395" s="12"/>
      <c r="FR395" s="13"/>
      <c r="FS395" s="13"/>
      <c r="FZ395" s="13"/>
      <c r="GB395" s="13"/>
      <c r="GZ395" s="12"/>
      <c r="HB395" s="12"/>
      <c r="HS395" s="12"/>
      <c r="IA395" s="12"/>
      <c r="IB395" s="12"/>
      <c r="IJ395" s="13"/>
      <c r="IK395" s="13"/>
      <c r="IT395" s="13"/>
      <c r="IU395" s="12"/>
      <c r="IZ395" s="13"/>
      <c r="JB395" s="13"/>
    </row>
    <row r="396" spans="40:262" ht="18" customHeight="1" x14ac:dyDescent="0.2">
      <c r="AN396" s="14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15"/>
      <c r="AZ396" s="15"/>
      <c r="BA396" s="15"/>
      <c r="BB396" s="15"/>
      <c r="BC396" s="15"/>
      <c r="BD396" s="15"/>
      <c r="BE396" s="15"/>
      <c r="BF396" s="15"/>
      <c r="BG396" s="15"/>
      <c r="BH396" s="15"/>
      <c r="BI396" s="15"/>
      <c r="BJ396" s="15"/>
      <c r="BK396" s="15"/>
      <c r="BL396" s="15"/>
      <c r="BM396" s="15"/>
      <c r="BN396" s="15"/>
      <c r="BO396" s="15"/>
      <c r="BP396" s="15"/>
      <c r="BQ396" s="15"/>
      <c r="BR396" s="15"/>
      <c r="BS396" s="15"/>
      <c r="BT396" s="15"/>
      <c r="BU396" s="15"/>
      <c r="BV396" s="15"/>
      <c r="BW396" s="15"/>
      <c r="BX396" s="15"/>
      <c r="BY396" s="15"/>
      <c r="BZ396" s="15"/>
      <c r="CA396" s="15"/>
      <c r="CB396" s="15"/>
      <c r="CC396" s="15"/>
      <c r="CD396" s="15"/>
      <c r="CE396" s="15"/>
      <c r="CF396" s="15"/>
      <c r="CG396" s="15"/>
      <c r="CH396" s="15"/>
      <c r="CI396" s="15"/>
      <c r="CJ396" s="15"/>
      <c r="CK396" s="15"/>
      <c r="CL396" s="15"/>
      <c r="CM396" s="15"/>
      <c r="CN396" s="15"/>
      <c r="CO396" s="15"/>
      <c r="CP396" s="15"/>
      <c r="CQ396" s="15"/>
      <c r="CR396" s="15"/>
      <c r="CS396" s="15"/>
      <c r="CT396" s="15"/>
      <c r="CU396" s="15"/>
      <c r="CV396" s="15"/>
      <c r="CW396" s="15"/>
      <c r="CX396" s="15"/>
      <c r="CY396" s="15"/>
      <c r="CZ396" s="16"/>
      <c r="DY396" s="12"/>
      <c r="EA396" s="12"/>
      <c r="FA396" s="13"/>
      <c r="FC396" s="14"/>
      <c r="FD396" s="15"/>
      <c r="FE396" s="15"/>
      <c r="FF396" s="15"/>
      <c r="FG396" s="15"/>
      <c r="FH396" s="15"/>
      <c r="FI396" s="15"/>
      <c r="FJ396" s="15"/>
      <c r="FK396" s="15"/>
      <c r="FL396" s="15"/>
      <c r="FM396" s="15"/>
      <c r="FN396" s="15"/>
      <c r="FO396" s="15"/>
      <c r="FP396" s="15"/>
      <c r="FQ396" s="15"/>
      <c r="FR396" s="16"/>
      <c r="FS396" s="13"/>
      <c r="FZ396" s="13"/>
      <c r="GB396" s="13"/>
      <c r="GZ396" s="12"/>
      <c r="HB396" s="14"/>
      <c r="HC396" s="15"/>
      <c r="HD396" s="15"/>
      <c r="HE396" s="15"/>
      <c r="HF396" s="15"/>
      <c r="HG396" s="15"/>
      <c r="HH396" s="15"/>
      <c r="HI396" s="15"/>
      <c r="HJ396" s="15"/>
      <c r="HK396" s="15"/>
      <c r="HL396" s="15"/>
      <c r="HM396" s="15"/>
      <c r="HN396" s="15"/>
      <c r="HO396" s="15"/>
      <c r="HP396" s="15"/>
      <c r="HQ396" s="15"/>
      <c r="HR396" s="15"/>
      <c r="HS396" s="14"/>
      <c r="HT396" s="15"/>
      <c r="HU396" s="15"/>
      <c r="HV396" s="15"/>
      <c r="HW396" s="15"/>
      <c r="HX396" s="15"/>
      <c r="HY396" s="15"/>
      <c r="HZ396" s="15"/>
      <c r="IA396" s="14"/>
      <c r="IB396" s="14"/>
      <c r="IC396" s="15"/>
      <c r="ID396" s="15"/>
      <c r="IE396" s="15"/>
      <c r="IF396" s="15"/>
      <c r="IG396" s="15"/>
      <c r="IH396" s="15"/>
      <c r="II396" s="15"/>
      <c r="IJ396" s="16"/>
      <c r="IK396" s="16"/>
      <c r="IL396" s="15"/>
      <c r="IM396" s="15"/>
      <c r="IN396" s="15"/>
      <c r="IO396" s="15"/>
      <c r="IP396" s="15"/>
      <c r="IQ396" s="15"/>
      <c r="IR396" s="15"/>
      <c r="IS396" s="15"/>
      <c r="IT396" s="16"/>
      <c r="IU396" s="12"/>
      <c r="IZ396" s="13"/>
      <c r="JB396" s="13"/>
    </row>
    <row r="397" spans="40:262" ht="18" customHeight="1" x14ac:dyDescent="0.2">
      <c r="DY397" s="12"/>
      <c r="EA397" s="12"/>
      <c r="FA397" s="13"/>
      <c r="FC397" s="14"/>
      <c r="FD397" s="15"/>
      <c r="FE397" s="15"/>
      <c r="FF397" s="15"/>
      <c r="FG397" s="15"/>
      <c r="FH397" s="15"/>
      <c r="FI397" s="15"/>
      <c r="FJ397" s="15"/>
      <c r="FK397" s="15"/>
      <c r="FL397" s="15"/>
      <c r="FM397" s="15"/>
      <c r="FN397" s="15"/>
      <c r="FO397" s="15"/>
      <c r="FP397" s="15"/>
      <c r="FQ397" s="15"/>
      <c r="FR397" s="15"/>
      <c r="FS397" s="16"/>
      <c r="FZ397" s="13"/>
      <c r="GB397" s="13"/>
      <c r="GZ397" s="96"/>
      <c r="HA397" s="97"/>
      <c r="HB397" s="20"/>
      <c r="HC397" s="21"/>
      <c r="HD397" s="21"/>
      <c r="HE397" s="21"/>
      <c r="HF397" s="21"/>
      <c r="HG397" s="21"/>
      <c r="HH397" s="21"/>
      <c r="HI397" s="21"/>
      <c r="HJ397" s="21"/>
      <c r="HK397" s="21"/>
      <c r="HL397" s="21"/>
      <c r="HM397" s="21"/>
      <c r="HN397" s="21"/>
      <c r="HO397" s="21"/>
      <c r="HP397" s="21"/>
      <c r="HQ397" s="21"/>
      <c r="HR397" s="21"/>
      <c r="HS397" s="21"/>
      <c r="HT397" s="21"/>
      <c r="HU397" s="21"/>
      <c r="HV397" s="21"/>
      <c r="HW397" s="21"/>
      <c r="HX397" s="21"/>
      <c r="HY397" s="21"/>
      <c r="HZ397" s="212"/>
      <c r="IA397" s="261"/>
      <c r="IB397" s="15"/>
      <c r="IC397" s="15"/>
      <c r="ID397" s="15"/>
      <c r="IE397" s="15"/>
      <c r="IF397" s="15"/>
      <c r="IG397" s="15"/>
      <c r="IH397" s="15"/>
      <c r="II397" s="15"/>
      <c r="IJ397" s="16"/>
      <c r="IK397" s="16"/>
      <c r="IL397" s="15"/>
      <c r="IM397" s="15"/>
      <c r="IN397" s="15"/>
      <c r="IO397" s="15"/>
      <c r="IP397" s="15"/>
      <c r="IQ397" s="15"/>
      <c r="IR397" s="15"/>
      <c r="IS397" s="15"/>
      <c r="IT397" s="15"/>
      <c r="IU397" s="12"/>
      <c r="IZ397" s="13"/>
      <c r="JA397" s="97"/>
      <c r="JB397" s="98"/>
    </row>
    <row r="398" spans="40:262" ht="18" customHeight="1" x14ac:dyDescent="0.2">
      <c r="DY398" s="12"/>
      <c r="EA398" s="12"/>
      <c r="FA398" s="13"/>
      <c r="FC398" s="12"/>
      <c r="FZ398" s="13"/>
      <c r="GB398" s="13"/>
      <c r="GZ398" s="96"/>
      <c r="HA398" s="97"/>
      <c r="HB398" s="9"/>
      <c r="HC398" s="10"/>
      <c r="HD398" s="10"/>
      <c r="HE398" s="10"/>
      <c r="HF398" s="10"/>
      <c r="HG398" s="10"/>
      <c r="HH398" s="10"/>
      <c r="HI398" s="10"/>
      <c r="HJ398" s="10"/>
      <c r="HK398" s="10"/>
      <c r="HL398" s="10"/>
      <c r="HM398" s="10"/>
      <c r="HN398" s="10"/>
      <c r="HO398" s="10"/>
      <c r="HP398" s="10"/>
      <c r="HQ398" s="10"/>
      <c r="HR398" s="10"/>
      <c r="HS398" s="10"/>
      <c r="HT398" s="10"/>
      <c r="HU398" s="10"/>
      <c r="HV398" s="10"/>
      <c r="HW398" s="10"/>
      <c r="HX398" s="10"/>
      <c r="HY398" s="10"/>
      <c r="HZ398" s="97"/>
      <c r="IA398" s="262"/>
      <c r="IB398" s="10"/>
      <c r="IC398" s="10"/>
      <c r="ID398" s="10"/>
      <c r="IE398" s="10"/>
      <c r="IF398" s="10"/>
      <c r="IG398" s="10"/>
      <c r="IH398" s="10"/>
      <c r="IL398" s="9"/>
      <c r="IM398" s="10"/>
      <c r="IN398" s="10"/>
      <c r="IO398" s="10"/>
      <c r="IP398" s="10"/>
      <c r="IQ398" s="10"/>
      <c r="IR398" s="10"/>
      <c r="IS398" s="10"/>
      <c r="IT398" s="11"/>
      <c r="IU398" s="12"/>
      <c r="IZ398" s="13"/>
      <c r="JA398" s="97"/>
      <c r="JB398" s="98"/>
    </row>
    <row r="399" spans="40:262" ht="18" customHeight="1" x14ac:dyDescent="0.2">
      <c r="DY399" s="12"/>
      <c r="EA399" s="12"/>
      <c r="FA399" s="13"/>
      <c r="FC399" s="12"/>
      <c r="FZ399" s="13"/>
      <c r="GB399" s="13"/>
      <c r="GZ399" s="12"/>
      <c r="HB399" s="12"/>
      <c r="HZ399" s="13"/>
      <c r="IA399" s="18"/>
      <c r="IL399" s="12"/>
      <c r="IT399" s="13"/>
      <c r="IU399" s="12"/>
      <c r="IZ399" s="13"/>
      <c r="JB399" s="13"/>
    </row>
    <row r="400" spans="40:262" ht="18" customHeight="1" x14ac:dyDescent="0.2">
      <c r="DY400" s="12"/>
      <c r="EA400" s="12"/>
      <c r="FA400" s="13"/>
      <c r="FC400" s="12"/>
      <c r="FZ400" s="13"/>
      <c r="GB400" s="13"/>
      <c r="GZ400" s="12"/>
      <c r="HB400" s="12"/>
      <c r="HZ400" s="13"/>
      <c r="IA400" s="18"/>
      <c r="IL400" s="12"/>
      <c r="IT400" s="13"/>
      <c r="IU400" s="12"/>
      <c r="IZ400" s="13"/>
      <c r="JB400" s="13"/>
    </row>
    <row r="401" spans="129:262" ht="18" customHeight="1" x14ac:dyDescent="0.2">
      <c r="DY401" s="12"/>
      <c r="EA401" s="12"/>
      <c r="FA401" s="13"/>
      <c r="FC401" s="12"/>
      <c r="FZ401" s="13"/>
      <c r="GB401" s="13"/>
      <c r="GZ401" s="12"/>
      <c r="HB401" s="12"/>
      <c r="HZ401" s="13"/>
      <c r="IA401" s="13"/>
      <c r="IL401" s="12"/>
      <c r="IT401" s="13"/>
      <c r="IU401" s="12"/>
      <c r="IZ401" s="13"/>
      <c r="JB401" s="13"/>
    </row>
    <row r="402" spans="129:262" ht="18" customHeight="1" x14ac:dyDescent="0.2">
      <c r="DY402" s="12"/>
      <c r="EA402" s="12"/>
      <c r="FA402" s="13"/>
      <c r="FC402" s="12"/>
      <c r="FZ402" s="13"/>
      <c r="GB402" s="13"/>
      <c r="GZ402" s="12"/>
      <c r="HB402" s="12"/>
      <c r="HZ402" s="13"/>
      <c r="IA402" s="13"/>
      <c r="IL402" s="12"/>
      <c r="IT402" s="13"/>
      <c r="IU402" s="12"/>
      <c r="IZ402" s="13"/>
      <c r="JB402" s="13"/>
    </row>
    <row r="403" spans="129:262" ht="18" customHeight="1" x14ac:dyDescent="0.2">
      <c r="DY403" s="12"/>
      <c r="EA403" s="12"/>
      <c r="FA403" s="13"/>
      <c r="FC403" s="12"/>
      <c r="FZ403" s="13"/>
      <c r="GB403" s="13"/>
      <c r="GZ403" s="12"/>
      <c r="HB403" s="12"/>
      <c r="HZ403" s="13"/>
      <c r="IA403" s="13"/>
      <c r="IL403" s="14"/>
      <c r="IM403" s="15"/>
      <c r="IN403" s="15"/>
      <c r="IO403" s="15"/>
      <c r="IP403" s="15"/>
      <c r="IQ403" s="15"/>
      <c r="IR403" s="15"/>
      <c r="IS403" s="15"/>
      <c r="IT403" s="16"/>
      <c r="IU403" s="14"/>
      <c r="IV403" s="15"/>
      <c r="IW403" s="15"/>
      <c r="IX403" s="15"/>
      <c r="IY403" s="15"/>
      <c r="IZ403" s="16"/>
      <c r="JB403" s="13"/>
    </row>
    <row r="404" spans="129:262" ht="18" customHeight="1" x14ac:dyDescent="0.2">
      <c r="DY404" s="12"/>
      <c r="EA404" s="12"/>
      <c r="FA404" s="13"/>
      <c r="FC404" s="12"/>
      <c r="FZ404" s="13"/>
      <c r="GB404" s="13"/>
      <c r="GZ404" s="12"/>
      <c r="HB404" s="12"/>
      <c r="HZ404" s="13"/>
      <c r="IA404" s="13"/>
      <c r="IL404" s="20"/>
      <c r="IM404" s="21"/>
      <c r="IN404" s="21"/>
      <c r="IO404" s="21"/>
      <c r="IP404" s="21"/>
      <c r="IQ404" s="21"/>
      <c r="IR404" s="21"/>
      <c r="IS404" s="21"/>
      <c r="IT404" s="21"/>
      <c r="IU404" s="21"/>
      <c r="IV404" s="21"/>
      <c r="IW404" s="21"/>
      <c r="IX404" s="21"/>
      <c r="IY404" s="21"/>
      <c r="IZ404" s="22"/>
      <c r="JB404" s="13"/>
    </row>
    <row r="405" spans="129:262" ht="18" customHeight="1" x14ac:dyDescent="0.2">
      <c r="DY405" s="12"/>
      <c r="EA405" s="12"/>
      <c r="FA405" s="13"/>
      <c r="FC405" s="12"/>
      <c r="FZ405" s="13"/>
      <c r="GB405" s="13"/>
      <c r="GZ405" s="12"/>
      <c r="HB405" s="12"/>
      <c r="HZ405" s="13"/>
      <c r="IA405" s="13"/>
      <c r="IZ405" s="13"/>
      <c r="JB405" s="13"/>
    </row>
    <row r="406" spans="129:262" ht="18" customHeight="1" x14ac:dyDescent="0.2">
      <c r="DY406" s="12"/>
      <c r="EA406" s="12"/>
      <c r="FA406" s="13"/>
      <c r="FC406" s="12"/>
      <c r="FZ406" s="13"/>
      <c r="GB406" s="13"/>
      <c r="GZ406" s="12"/>
      <c r="HB406" s="12"/>
      <c r="HZ406" s="13"/>
      <c r="IA406" s="13"/>
      <c r="IZ406" s="13"/>
      <c r="JB406" s="13"/>
    </row>
    <row r="407" spans="129:262" ht="18" customHeight="1" x14ac:dyDescent="0.2">
      <c r="DY407" s="12"/>
      <c r="EA407" s="12"/>
      <c r="FA407" s="13"/>
      <c r="FC407" s="12"/>
      <c r="FZ407" s="13"/>
      <c r="GB407" s="13"/>
      <c r="GZ407" s="12"/>
      <c r="HB407" s="12"/>
      <c r="HZ407" s="13"/>
      <c r="IA407" s="13"/>
      <c r="IZ407" s="13"/>
      <c r="JB407" s="13"/>
    </row>
    <row r="408" spans="129:262" ht="18" customHeight="1" x14ac:dyDescent="0.2">
      <c r="DY408" s="12"/>
      <c r="EA408" s="12"/>
      <c r="FA408" s="13"/>
      <c r="FC408" s="12"/>
      <c r="FZ408" s="13"/>
      <c r="GB408" s="13"/>
      <c r="GZ408" s="12"/>
      <c r="HB408" s="12"/>
      <c r="HZ408" s="13"/>
      <c r="IA408" s="13"/>
      <c r="IZ408" s="13"/>
      <c r="JB408" s="13"/>
    </row>
    <row r="409" spans="129:262" ht="18" customHeight="1" x14ac:dyDescent="0.2">
      <c r="DY409" s="12"/>
      <c r="EA409" s="12"/>
      <c r="FA409" s="13"/>
      <c r="FC409" s="12"/>
      <c r="FZ409" s="13"/>
      <c r="GB409" s="13"/>
      <c r="GZ409" s="12"/>
      <c r="HB409" s="12"/>
      <c r="HZ409" s="13"/>
      <c r="IA409" s="13"/>
      <c r="IZ409" s="13"/>
      <c r="JB409" s="13"/>
    </row>
    <row r="410" spans="129:262" ht="18" customHeight="1" x14ac:dyDescent="0.2">
      <c r="DY410" s="12"/>
      <c r="EA410" s="12"/>
      <c r="FA410" s="13"/>
      <c r="FC410" s="12"/>
      <c r="FZ410" s="13"/>
      <c r="GB410" s="13"/>
      <c r="GZ410" s="12"/>
      <c r="HB410" s="12"/>
      <c r="HZ410" s="13"/>
      <c r="IA410" s="13"/>
      <c r="IZ410" s="13"/>
      <c r="JB410" s="13"/>
    </row>
    <row r="411" spans="129:262" ht="18" customHeight="1" x14ac:dyDescent="0.2">
      <c r="DY411" s="12"/>
      <c r="EA411" s="14"/>
      <c r="EB411" s="15"/>
      <c r="EC411" s="15"/>
      <c r="ED411" s="15"/>
      <c r="EE411" s="15"/>
      <c r="EF411" s="15"/>
      <c r="EG411" s="15"/>
      <c r="EH411" s="15"/>
      <c r="EI411" s="15"/>
      <c r="EJ411" s="15"/>
      <c r="EK411" s="15"/>
      <c r="EL411" s="15"/>
      <c r="EM411" s="15"/>
      <c r="EN411" s="15"/>
      <c r="EO411" s="15"/>
      <c r="EP411" s="15"/>
      <c r="EQ411" s="15"/>
      <c r="ER411" s="15"/>
      <c r="ES411" s="15"/>
      <c r="ET411" s="15"/>
      <c r="EU411" s="15"/>
      <c r="EV411" s="15"/>
      <c r="EW411" s="15"/>
      <c r="EX411" s="15"/>
      <c r="EY411" s="15"/>
      <c r="EZ411" s="15"/>
      <c r="FA411" s="16"/>
      <c r="FC411" s="12"/>
      <c r="FZ411" s="13"/>
      <c r="GB411" s="13"/>
      <c r="GZ411" s="12"/>
      <c r="HB411" s="12"/>
      <c r="HZ411" s="13"/>
      <c r="IA411" s="13"/>
      <c r="IZ411" s="13"/>
      <c r="JB411" s="13"/>
    </row>
    <row r="412" spans="129:262" ht="18" customHeight="1" x14ac:dyDescent="0.2">
      <c r="DY412" s="12"/>
      <c r="EA412" s="12"/>
      <c r="FC412" s="12"/>
      <c r="FZ412" s="13"/>
      <c r="GB412" s="13"/>
      <c r="GZ412" s="12"/>
      <c r="HB412" s="12"/>
      <c r="HZ412" s="13"/>
      <c r="IA412" s="13"/>
      <c r="IZ412" s="13"/>
      <c r="JB412" s="13"/>
    </row>
    <row r="413" spans="129:262" ht="18" customHeight="1" x14ac:dyDescent="0.2">
      <c r="DY413" s="12"/>
      <c r="EA413" s="9"/>
      <c r="EB413" s="10"/>
      <c r="EC413" s="10"/>
      <c r="ED413" s="10"/>
      <c r="EE413" s="10"/>
      <c r="EF413" s="11"/>
      <c r="EH413" s="9"/>
      <c r="EI413" s="10"/>
      <c r="EJ413" s="10"/>
      <c r="EK413" s="11"/>
      <c r="EL413" s="10"/>
      <c r="EM413" s="10"/>
      <c r="EN413" s="10"/>
      <c r="EO413" s="10"/>
      <c r="EP413" s="10"/>
      <c r="EQ413" s="10"/>
      <c r="ER413" s="10"/>
      <c r="ES413" s="10"/>
      <c r="ET413" s="10"/>
      <c r="EU413" s="10"/>
      <c r="EV413" s="10"/>
      <c r="EW413" s="10"/>
      <c r="EX413" s="9"/>
      <c r="EY413" s="10"/>
      <c r="EZ413" s="10"/>
      <c r="FA413" s="11"/>
      <c r="FC413" s="12"/>
      <c r="FZ413" s="13"/>
      <c r="GB413" s="13"/>
      <c r="GZ413" s="12"/>
      <c r="HB413" s="12"/>
      <c r="HZ413" s="13"/>
      <c r="IA413" s="13"/>
      <c r="IZ413" s="13"/>
      <c r="JB413" s="13"/>
    </row>
    <row r="414" spans="129:262" ht="18" customHeight="1" x14ac:dyDescent="0.2">
      <c r="DY414" s="12"/>
      <c r="EA414" s="12"/>
      <c r="EF414" s="13"/>
      <c r="EH414" s="12"/>
      <c r="EK414" s="13"/>
      <c r="EX414" s="12"/>
      <c r="FA414" s="13"/>
      <c r="FC414" s="12"/>
      <c r="FZ414" s="13"/>
      <c r="GB414" s="13"/>
      <c r="GZ414" s="12"/>
      <c r="HB414" s="12"/>
      <c r="HZ414" s="13"/>
      <c r="IA414" s="13"/>
      <c r="IZ414" s="13"/>
      <c r="JB414" s="13"/>
    </row>
    <row r="415" spans="129:262" ht="18" customHeight="1" x14ac:dyDescent="0.2">
      <c r="DY415" s="12"/>
      <c r="EA415" s="12"/>
      <c r="EF415" s="13"/>
      <c r="EH415" s="12"/>
      <c r="EK415" s="13"/>
      <c r="EX415" s="12"/>
      <c r="FA415" s="13"/>
      <c r="FC415" s="12"/>
      <c r="FZ415" s="13"/>
      <c r="GB415" s="13"/>
      <c r="GZ415" s="12"/>
      <c r="HB415" s="12"/>
      <c r="HZ415" s="13"/>
      <c r="IA415" s="13"/>
      <c r="IZ415" s="13"/>
      <c r="JB415" s="13"/>
    </row>
    <row r="416" spans="129:262" ht="18" customHeight="1" x14ac:dyDescent="0.2">
      <c r="DY416" s="12"/>
      <c r="EA416" s="12"/>
      <c r="EF416" s="13"/>
      <c r="EH416" s="14"/>
      <c r="EI416" s="15"/>
      <c r="EJ416" s="15"/>
      <c r="EK416" s="16"/>
      <c r="EL416" s="15"/>
      <c r="EM416" s="15"/>
      <c r="EN416" s="15"/>
      <c r="EO416" s="15"/>
      <c r="EP416" s="15"/>
      <c r="EQ416" s="15"/>
      <c r="ER416" s="15"/>
      <c r="ES416" s="15"/>
      <c r="ET416" s="15"/>
      <c r="EU416" s="15"/>
      <c r="EV416" s="15"/>
      <c r="EW416" s="15"/>
      <c r="EX416" s="14"/>
      <c r="EY416" s="15"/>
      <c r="EZ416" s="15"/>
      <c r="FA416" s="16"/>
      <c r="FC416" s="12"/>
      <c r="FZ416" s="13"/>
      <c r="GB416" s="13"/>
      <c r="GZ416" s="12"/>
      <c r="HB416" s="12"/>
      <c r="HZ416" s="13"/>
      <c r="IA416" s="13"/>
      <c r="IZ416" s="13"/>
      <c r="JB416" s="13"/>
    </row>
    <row r="417" spans="32:262" ht="18" customHeight="1" x14ac:dyDescent="0.2">
      <c r="DY417" s="12"/>
      <c r="EA417" s="12"/>
      <c r="EF417" s="13"/>
      <c r="EH417" s="12"/>
      <c r="EK417" s="13"/>
      <c r="EX417" s="9"/>
      <c r="EY417" s="10"/>
      <c r="EZ417" s="10"/>
      <c r="FA417" s="11"/>
      <c r="FC417" s="12"/>
      <c r="FZ417" s="13"/>
      <c r="GB417" s="13"/>
      <c r="GZ417" s="96"/>
      <c r="HA417" s="97"/>
      <c r="HB417" s="20"/>
      <c r="HC417" s="21"/>
      <c r="HD417" s="21"/>
      <c r="HE417" s="21"/>
      <c r="HF417" s="21"/>
      <c r="HG417" s="21"/>
      <c r="HH417" s="21"/>
      <c r="HI417" s="21"/>
      <c r="HJ417" s="21"/>
      <c r="HK417" s="21"/>
      <c r="HL417" s="21"/>
      <c r="HM417" s="21"/>
      <c r="HN417" s="21"/>
      <c r="HO417" s="21"/>
      <c r="HP417" s="21"/>
      <c r="HQ417" s="21"/>
      <c r="HR417" s="22"/>
      <c r="HS417" s="20"/>
      <c r="HT417" s="21"/>
      <c r="HU417" s="21"/>
      <c r="HV417" s="21"/>
      <c r="HW417" s="21"/>
      <c r="HX417" s="21"/>
      <c r="HY417" s="21"/>
      <c r="HZ417" s="212"/>
      <c r="IA417" s="213"/>
      <c r="IZ417" s="13"/>
      <c r="JA417" s="97"/>
      <c r="JB417" s="98"/>
    </row>
    <row r="418" spans="32:262" ht="18" customHeight="1" x14ac:dyDescent="0.2">
      <c r="DY418" s="12"/>
      <c r="EA418" s="12"/>
      <c r="EF418" s="13"/>
      <c r="EH418" s="12"/>
      <c r="EK418" s="13"/>
      <c r="EX418" s="12"/>
      <c r="FA418" s="13"/>
      <c r="FC418" s="12"/>
      <c r="FZ418" s="13"/>
      <c r="GB418" s="13"/>
      <c r="GZ418" s="96"/>
      <c r="HA418" s="97"/>
      <c r="HB418" s="12"/>
      <c r="HQ418" s="13"/>
      <c r="HR418" s="13"/>
      <c r="HS418" s="12"/>
      <c r="HZ418" s="97"/>
      <c r="IA418" s="97"/>
      <c r="IZ418" s="13"/>
      <c r="JA418" s="97"/>
      <c r="JB418" s="98"/>
    </row>
    <row r="419" spans="32:262" ht="18" customHeight="1" x14ac:dyDescent="0.2">
      <c r="DY419" s="12"/>
      <c r="EA419" s="12"/>
      <c r="EF419" s="13"/>
      <c r="EH419" s="12"/>
      <c r="EK419" s="13"/>
      <c r="EX419" s="12"/>
      <c r="FA419" s="13"/>
      <c r="FC419" s="12"/>
      <c r="FZ419" s="13"/>
      <c r="GB419" s="13"/>
      <c r="GZ419" s="12"/>
      <c r="HB419" s="12"/>
      <c r="HQ419" s="13"/>
      <c r="HR419" s="13"/>
      <c r="HS419" s="12"/>
      <c r="IB419" s="13"/>
      <c r="IC419" s="9"/>
      <c r="ID419" s="10"/>
      <c r="IE419" s="21"/>
      <c r="IF419" s="21"/>
      <c r="IG419" s="21"/>
      <c r="IH419" s="22"/>
      <c r="IZ419" s="13"/>
      <c r="JB419" s="13"/>
    </row>
    <row r="420" spans="32:262" ht="18" customHeight="1" x14ac:dyDescent="0.2">
      <c r="DY420" s="12"/>
      <c r="EA420" s="12"/>
      <c r="EF420" s="13"/>
      <c r="EH420" s="12"/>
      <c r="EK420" s="13"/>
      <c r="EX420" s="12"/>
      <c r="FA420" s="13"/>
      <c r="FC420" s="12"/>
      <c r="FZ420" s="13"/>
      <c r="GB420" s="13"/>
      <c r="GZ420" s="12"/>
      <c r="HB420" s="12"/>
      <c r="HQ420" s="13"/>
      <c r="HR420" s="13"/>
      <c r="HS420" s="12"/>
      <c r="IB420" s="13"/>
      <c r="IC420" s="12"/>
      <c r="ID420" s="13"/>
      <c r="IH420" s="13"/>
      <c r="IZ420" s="13"/>
      <c r="JB420" s="13"/>
    </row>
    <row r="421" spans="32:262" ht="18" customHeight="1" x14ac:dyDescent="0.2">
      <c r="DY421" s="12"/>
      <c r="EA421" s="14"/>
      <c r="EB421" s="15"/>
      <c r="EC421" s="15"/>
      <c r="ED421" s="15"/>
      <c r="EE421" s="15"/>
      <c r="EF421" s="16"/>
      <c r="EH421" s="12"/>
      <c r="EK421" s="13"/>
      <c r="EX421" s="12"/>
      <c r="FA421" s="13"/>
      <c r="FC421" s="12"/>
      <c r="FZ421" s="13"/>
      <c r="GB421" s="13"/>
      <c r="GZ421" s="12"/>
      <c r="HB421" s="12"/>
      <c r="HQ421" s="13"/>
      <c r="HR421" s="13"/>
      <c r="HS421" s="12"/>
      <c r="IB421" s="13"/>
      <c r="IC421" s="12"/>
      <c r="ID421" s="13"/>
      <c r="IH421" s="13"/>
      <c r="IZ421" s="13"/>
      <c r="JB421" s="13"/>
    </row>
    <row r="422" spans="32:262" ht="18" customHeight="1" x14ac:dyDescent="0.2">
      <c r="DY422" s="12"/>
      <c r="EA422" s="12"/>
      <c r="EH422" s="12"/>
      <c r="EK422" s="13"/>
      <c r="EX422" s="12"/>
      <c r="FA422" s="13"/>
      <c r="FC422" s="12"/>
      <c r="FZ422" s="13"/>
      <c r="GB422" s="13"/>
      <c r="GZ422" s="12"/>
      <c r="HB422" s="12"/>
      <c r="HQ422" s="13"/>
      <c r="HR422" s="13"/>
      <c r="HS422" s="12"/>
      <c r="IB422" s="13"/>
      <c r="IC422" s="12"/>
      <c r="ID422" s="13"/>
      <c r="IH422" s="13"/>
      <c r="IV422" s="9"/>
      <c r="IW422" s="10"/>
      <c r="IX422" s="11"/>
      <c r="IZ422" s="13"/>
      <c r="JB422" s="13"/>
    </row>
    <row r="423" spans="32:262" ht="18" customHeight="1" x14ac:dyDescent="0.2">
      <c r="AF423" s="9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  <c r="BB423" s="10"/>
      <c r="BC423" s="10"/>
      <c r="BD423" s="10"/>
      <c r="BE423" s="10"/>
      <c r="BF423" s="10"/>
      <c r="BG423" s="11"/>
      <c r="DY423" s="12"/>
      <c r="EA423" s="9"/>
      <c r="EB423" s="10"/>
      <c r="EC423" s="10"/>
      <c r="ED423" s="10"/>
      <c r="EE423" s="10"/>
      <c r="EF423" s="11"/>
      <c r="EH423" s="12"/>
      <c r="EK423" s="13"/>
      <c r="EX423" s="12"/>
      <c r="FA423" s="13"/>
      <c r="FC423" s="12"/>
      <c r="FZ423" s="13"/>
      <c r="GB423" s="13"/>
      <c r="GZ423" s="12"/>
      <c r="HB423" s="12"/>
      <c r="HQ423" s="13"/>
      <c r="HR423" s="13"/>
      <c r="HS423" s="12"/>
      <c r="IB423" s="13"/>
      <c r="IC423" s="12"/>
      <c r="ID423" s="13"/>
      <c r="IH423" s="13"/>
      <c r="IV423" s="12"/>
      <c r="IX423" s="263"/>
      <c r="IZ423" s="13"/>
      <c r="JB423" s="13"/>
    </row>
    <row r="424" spans="32:262" ht="18" customHeight="1" x14ac:dyDescent="0.2">
      <c r="AF424" s="12"/>
      <c r="AG424" s="9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1"/>
      <c r="BG424" s="13"/>
      <c r="DY424" s="12"/>
      <c r="EA424" s="12"/>
      <c r="EF424" s="13"/>
      <c r="EH424" s="12"/>
      <c r="EK424" s="13"/>
      <c r="EX424" s="12"/>
      <c r="FA424" s="13"/>
      <c r="FC424" s="12"/>
      <c r="FZ424" s="13"/>
      <c r="GB424" s="13"/>
      <c r="GZ424" s="12"/>
      <c r="HB424" s="12"/>
      <c r="HQ424" s="13"/>
      <c r="HR424" s="13"/>
      <c r="HS424" s="12"/>
      <c r="IB424" s="13"/>
      <c r="IC424" s="12"/>
      <c r="ID424" s="13"/>
      <c r="IE424" s="9"/>
      <c r="IF424" s="10"/>
      <c r="IG424" s="10"/>
      <c r="IH424" s="11"/>
      <c r="IV424" s="12"/>
      <c r="IX424" s="263"/>
      <c r="IZ424" s="13"/>
      <c r="JB424" s="13"/>
    </row>
    <row r="425" spans="32:262" ht="18" customHeight="1" x14ac:dyDescent="0.2">
      <c r="AF425" s="12"/>
      <c r="AG425" s="12"/>
      <c r="BF425" s="13"/>
      <c r="BG425" s="13"/>
      <c r="DY425" s="12"/>
      <c r="EA425" s="12"/>
      <c r="EF425" s="13"/>
      <c r="EH425" s="12"/>
      <c r="EK425" s="13"/>
      <c r="EX425" s="12"/>
      <c r="FA425" s="13"/>
      <c r="FC425" s="12"/>
      <c r="FZ425" s="13"/>
      <c r="GB425" s="13"/>
      <c r="GZ425" s="12"/>
      <c r="HB425" s="12"/>
      <c r="HQ425" s="13"/>
      <c r="HR425" s="13"/>
      <c r="HS425" s="12"/>
      <c r="IB425" s="13"/>
      <c r="IC425" s="12"/>
      <c r="ID425" s="13"/>
      <c r="IE425" s="12"/>
      <c r="IH425" s="13"/>
      <c r="IV425" s="12"/>
      <c r="IX425" s="263"/>
      <c r="IZ425" s="13"/>
      <c r="JB425" s="13"/>
    </row>
    <row r="426" spans="32:262" ht="18" customHeight="1" x14ac:dyDescent="0.2">
      <c r="AF426" s="12"/>
      <c r="AG426" s="12"/>
      <c r="BF426" s="13"/>
      <c r="BG426" s="13"/>
      <c r="DY426" s="12"/>
      <c r="EA426" s="12"/>
      <c r="EF426" s="13"/>
      <c r="EH426" s="12"/>
      <c r="EK426" s="13"/>
      <c r="EX426" s="14"/>
      <c r="EY426" s="15"/>
      <c r="EZ426" s="15"/>
      <c r="FA426" s="16"/>
      <c r="FC426" s="12"/>
      <c r="FZ426" s="13"/>
      <c r="GB426" s="13"/>
      <c r="GZ426" s="12"/>
      <c r="HB426" s="14"/>
      <c r="HC426" s="15"/>
      <c r="HD426" s="15"/>
      <c r="HE426" s="15"/>
      <c r="HF426" s="15"/>
      <c r="HG426" s="15"/>
      <c r="HH426" s="15"/>
      <c r="HI426" s="15"/>
      <c r="HJ426" s="15"/>
      <c r="HK426" s="15"/>
      <c r="HL426" s="15"/>
      <c r="HM426" s="15"/>
      <c r="HN426" s="15"/>
      <c r="HO426" s="15"/>
      <c r="HP426" s="15"/>
      <c r="HQ426" s="16"/>
      <c r="HR426" s="13"/>
      <c r="HS426" s="12"/>
      <c r="IB426" s="13"/>
      <c r="IC426" s="12"/>
      <c r="ID426" s="13"/>
      <c r="IE426" s="12"/>
      <c r="IH426" s="13"/>
      <c r="IV426" s="12"/>
      <c r="IX426" s="263"/>
      <c r="IZ426" s="13"/>
      <c r="JB426" s="13"/>
    </row>
    <row r="427" spans="32:262" ht="18" customHeight="1" x14ac:dyDescent="0.2">
      <c r="AF427" s="12"/>
      <c r="AG427" s="12"/>
      <c r="BF427" s="13"/>
      <c r="BG427" s="13"/>
      <c r="DY427" s="12"/>
      <c r="EA427" s="12"/>
      <c r="EF427" s="13"/>
      <c r="EH427" s="12"/>
      <c r="EK427" s="13"/>
      <c r="EX427" s="14"/>
      <c r="EY427" s="15"/>
      <c r="EZ427" s="15"/>
      <c r="FA427" s="16"/>
      <c r="FC427" s="12"/>
      <c r="FZ427" s="13"/>
      <c r="GB427" s="13"/>
      <c r="GZ427" s="12"/>
      <c r="HB427" s="20"/>
      <c r="HC427" s="21"/>
      <c r="HD427" s="21"/>
      <c r="HE427" s="21"/>
      <c r="HF427" s="21"/>
      <c r="HG427" s="21"/>
      <c r="HH427" s="21"/>
      <c r="HI427" s="21"/>
      <c r="HJ427" s="21"/>
      <c r="HK427" s="21"/>
      <c r="HL427" s="21"/>
      <c r="HM427" s="21"/>
      <c r="HN427" s="21"/>
      <c r="HO427" s="21"/>
      <c r="HP427" s="21"/>
      <c r="HQ427" s="15"/>
      <c r="HR427" s="16"/>
      <c r="HS427" s="12"/>
      <c r="IB427" s="13"/>
      <c r="IC427" s="12"/>
      <c r="ID427" s="13"/>
      <c r="IE427" s="14"/>
      <c r="IF427" s="15"/>
      <c r="IG427" s="15"/>
      <c r="IH427" s="16"/>
      <c r="IV427" s="12"/>
      <c r="IX427" s="263"/>
      <c r="IZ427" s="13"/>
      <c r="JB427" s="13"/>
    </row>
    <row r="428" spans="32:262" ht="18" customHeight="1" x14ac:dyDescent="0.2">
      <c r="AF428" s="12"/>
      <c r="AG428" s="12"/>
      <c r="BF428" s="13"/>
      <c r="BG428" s="13"/>
      <c r="DY428" s="12"/>
      <c r="EA428" s="12"/>
      <c r="EF428" s="13"/>
      <c r="EH428" s="12"/>
      <c r="EK428" s="13"/>
      <c r="EX428" s="14"/>
      <c r="EY428" s="15"/>
      <c r="EZ428" s="15"/>
      <c r="FA428" s="16"/>
      <c r="FC428" s="12"/>
      <c r="FZ428" s="13"/>
      <c r="GB428" s="13"/>
      <c r="GZ428" s="12"/>
      <c r="HB428" s="12"/>
      <c r="HQ428" s="13"/>
      <c r="HS428" s="12"/>
      <c r="IB428" s="13"/>
      <c r="IC428" s="12"/>
      <c r="ID428" s="13"/>
      <c r="IH428" s="13"/>
      <c r="IV428" s="12"/>
      <c r="IX428" s="263"/>
      <c r="IZ428" s="13"/>
      <c r="JB428" s="13"/>
    </row>
    <row r="429" spans="32:262" ht="18" customHeight="1" x14ac:dyDescent="0.2">
      <c r="AF429" s="12"/>
      <c r="AG429" s="12"/>
      <c r="BF429" s="13"/>
      <c r="BG429" s="13"/>
      <c r="DY429" s="12"/>
      <c r="EA429" s="12"/>
      <c r="EF429" s="13"/>
      <c r="EH429" s="12"/>
      <c r="EK429" s="13"/>
      <c r="EX429" s="14"/>
      <c r="EY429" s="15"/>
      <c r="EZ429" s="15"/>
      <c r="FA429" s="16"/>
      <c r="FC429" s="12"/>
      <c r="FZ429" s="13"/>
      <c r="GB429" s="13"/>
      <c r="GZ429" s="12"/>
      <c r="HB429" s="12"/>
      <c r="HR429" s="18"/>
      <c r="HS429" s="12"/>
      <c r="IB429" s="13"/>
      <c r="IC429" s="12"/>
      <c r="ID429" s="13"/>
      <c r="IH429" s="13"/>
      <c r="IV429" s="14"/>
      <c r="IW429" s="15"/>
      <c r="IX429" s="16"/>
      <c r="IZ429" s="13"/>
      <c r="JB429" s="13"/>
    </row>
    <row r="430" spans="32:262" ht="18" customHeight="1" x14ac:dyDescent="0.2">
      <c r="AF430" s="12"/>
      <c r="AG430" s="12"/>
      <c r="BF430" s="13"/>
      <c r="BG430" s="13"/>
      <c r="DY430" s="12"/>
      <c r="EA430" s="12"/>
      <c r="EF430" s="13"/>
      <c r="EG430" s="20"/>
      <c r="EH430" s="14"/>
      <c r="EI430" s="15"/>
      <c r="EJ430" s="15"/>
      <c r="EK430" s="15"/>
      <c r="EL430" s="15"/>
      <c r="EM430" s="15"/>
      <c r="EN430" s="16"/>
      <c r="EO430" s="15"/>
      <c r="EP430" s="15"/>
      <c r="EQ430" s="15"/>
      <c r="ER430" s="15"/>
      <c r="ES430" s="15"/>
      <c r="ET430" s="15"/>
      <c r="EU430" s="15"/>
      <c r="EV430" s="15"/>
      <c r="EW430" s="15"/>
      <c r="EX430" s="15"/>
      <c r="EY430" s="15"/>
      <c r="EZ430" s="15"/>
      <c r="FA430" s="16"/>
      <c r="FC430" s="12"/>
      <c r="FZ430" s="13"/>
      <c r="GB430" s="13"/>
      <c r="GZ430" s="12"/>
      <c r="HB430" s="12"/>
      <c r="HR430" s="18"/>
      <c r="HS430" s="12"/>
      <c r="IB430" s="13"/>
      <c r="IC430" s="12"/>
      <c r="ID430" s="13"/>
      <c r="IH430" s="13"/>
      <c r="IZ430" s="13"/>
      <c r="JB430" s="13"/>
    </row>
    <row r="431" spans="32:262" ht="18" customHeight="1" x14ac:dyDescent="0.2">
      <c r="AF431" s="12"/>
      <c r="AG431" s="12"/>
      <c r="BF431" s="13"/>
      <c r="BG431" s="13"/>
      <c r="DY431" s="12"/>
      <c r="EA431" s="9"/>
      <c r="EB431" s="10"/>
      <c r="EC431" s="10"/>
      <c r="ED431" s="10"/>
      <c r="EE431" s="10"/>
      <c r="EF431" s="11"/>
      <c r="EG431" s="9"/>
      <c r="EH431" s="10"/>
      <c r="EI431" s="10"/>
      <c r="EJ431" s="10"/>
      <c r="EK431" s="10"/>
      <c r="EL431" s="10"/>
      <c r="EM431" s="10"/>
      <c r="EN431" s="11"/>
      <c r="FC431" s="12"/>
      <c r="FZ431" s="13"/>
      <c r="GB431" s="13"/>
      <c r="GZ431" s="12"/>
      <c r="HB431" s="12"/>
      <c r="HR431" s="19"/>
      <c r="HS431" s="12"/>
      <c r="IB431" s="13"/>
      <c r="IC431" s="12"/>
      <c r="ID431" s="13"/>
      <c r="IH431" s="13"/>
      <c r="IZ431" s="13"/>
      <c r="JB431" s="13"/>
    </row>
    <row r="432" spans="32:262" ht="18" customHeight="1" x14ac:dyDescent="0.2">
      <c r="AF432" s="12"/>
      <c r="AG432" s="12"/>
      <c r="BF432" s="13"/>
      <c r="BG432" s="13"/>
      <c r="DY432" s="12"/>
      <c r="EA432" s="12"/>
      <c r="EF432" s="13"/>
      <c r="EG432" s="12"/>
      <c r="EN432" s="13"/>
      <c r="FC432" s="12"/>
      <c r="FZ432" s="13"/>
      <c r="GB432" s="13"/>
      <c r="GZ432" s="12"/>
      <c r="HB432" s="12"/>
      <c r="HF432" s="9"/>
      <c r="HG432" s="10"/>
      <c r="HH432" s="10"/>
      <c r="HI432" s="10"/>
      <c r="HJ432" s="10"/>
      <c r="HK432" s="10"/>
      <c r="HL432" s="10"/>
      <c r="HM432" s="10"/>
      <c r="HN432" s="10"/>
      <c r="HO432" s="10"/>
      <c r="HP432" s="10"/>
      <c r="HQ432" s="10"/>
      <c r="HR432" s="10"/>
      <c r="IB432" s="13"/>
      <c r="IC432" s="14"/>
      <c r="ID432" s="15"/>
      <c r="IE432" s="21"/>
      <c r="IF432" s="21"/>
      <c r="IG432" s="21"/>
      <c r="IH432" s="22"/>
      <c r="IZ432" s="13"/>
      <c r="JB432" s="13"/>
    </row>
    <row r="433" spans="20:262" ht="18" customHeight="1" x14ac:dyDescent="0.2">
      <c r="AD433" s="17"/>
      <c r="AE433" s="9"/>
      <c r="AF433" s="9"/>
      <c r="AG433" s="9"/>
      <c r="AH433" s="10"/>
      <c r="AI433" s="10"/>
      <c r="AJ433" s="11"/>
      <c r="BF433" s="13"/>
      <c r="BG433" s="13"/>
      <c r="DY433" s="12"/>
      <c r="EA433" s="12"/>
      <c r="EF433" s="13"/>
      <c r="EG433" s="12"/>
      <c r="EN433" s="13"/>
      <c r="FC433" s="12"/>
      <c r="FZ433" s="13"/>
      <c r="GB433" s="13"/>
      <c r="GZ433" s="12"/>
      <c r="HB433" s="12"/>
      <c r="HF433" s="12"/>
      <c r="IZ433" s="13"/>
      <c r="JB433" s="13"/>
    </row>
    <row r="434" spans="20:262" ht="18" customHeight="1" x14ac:dyDescent="0.2">
      <c r="AD434" s="18"/>
      <c r="AE434" s="12"/>
      <c r="AF434" s="12"/>
      <c r="AG434" s="12"/>
      <c r="AJ434" s="13"/>
      <c r="BF434" s="13"/>
      <c r="BG434" s="13"/>
      <c r="DY434" s="12"/>
      <c r="EA434" s="12"/>
      <c r="EF434" s="13"/>
      <c r="EG434" s="12"/>
      <c r="EN434" s="13"/>
      <c r="FC434" s="12"/>
      <c r="FZ434" s="13"/>
      <c r="GB434" s="13"/>
      <c r="GZ434" s="12"/>
      <c r="HB434" s="12"/>
      <c r="HF434" s="12"/>
      <c r="IZ434" s="13"/>
      <c r="JB434" s="13"/>
    </row>
    <row r="435" spans="20:262" ht="18" customHeight="1" x14ac:dyDescent="0.2">
      <c r="AD435" s="18"/>
      <c r="AE435" s="12"/>
      <c r="AF435" s="12"/>
      <c r="AG435" s="12"/>
      <c r="AJ435" s="13"/>
      <c r="BF435" s="13"/>
      <c r="BG435" s="13"/>
      <c r="DY435" s="12"/>
      <c r="EA435" s="12"/>
      <c r="EF435" s="13"/>
      <c r="EG435" s="12"/>
      <c r="EN435" s="13"/>
      <c r="FC435" s="12"/>
      <c r="FZ435" s="13"/>
      <c r="GB435" s="13"/>
      <c r="GZ435" s="12"/>
      <c r="HB435" s="12"/>
      <c r="HF435" s="12"/>
      <c r="IZ435" s="13"/>
      <c r="JB435" s="13"/>
    </row>
    <row r="436" spans="20:262" ht="18" customHeight="1" x14ac:dyDescent="0.2">
      <c r="AD436" s="18"/>
      <c r="AE436" s="12"/>
      <c r="AF436" s="12"/>
      <c r="AG436" s="12"/>
      <c r="AJ436" s="13"/>
      <c r="BF436" s="13"/>
      <c r="BG436" s="13"/>
      <c r="DY436" s="12"/>
      <c r="EA436" s="14"/>
      <c r="EB436" s="15"/>
      <c r="EC436" s="15"/>
      <c r="ED436" s="15"/>
      <c r="EE436" s="15"/>
      <c r="EF436" s="16"/>
      <c r="EG436" s="14"/>
      <c r="EH436" s="15"/>
      <c r="EI436" s="15"/>
      <c r="EJ436" s="15"/>
      <c r="EK436" s="15"/>
      <c r="EL436" s="15"/>
      <c r="EM436" s="15"/>
      <c r="EN436" s="16"/>
      <c r="EO436" s="15"/>
      <c r="EP436" s="15"/>
      <c r="EQ436" s="15"/>
      <c r="ER436" s="15"/>
      <c r="ES436" s="15"/>
      <c r="ET436" s="15"/>
      <c r="EU436" s="15"/>
      <c r="EV436" s="15"/>
      <c r="EW436" s="15"/>
      <c r="EX436" s="15"/>
      <c r="EY436" s="15"/>
      <c r="EZ436" s="15"/>
      <c r="FA436" s="15"/>
      <c r="FB436" s="15"/>
      <c r="FC436" s="14"/>
      <c r="FD436" s="15"/>
      <c r="FE436" s="15"/>
      <c r="FF436" s="15"/>
      <c r="FG436" s="15"/>
      <c r="FH436" s="15"/>
      <c r="FI436" s="15"/>
      <c r="FJ436" s="15"/>
      <c r="FK436" s="15"/>
      <c r="FL436" s="15"/>
      <c r="FM436" s="15"/>
      <c r="FN436" s="15"/>
      <c r="FO436" s="15"/>
      <c r="FP436" s="15"/>
      <c r="FQ436" s="15"/>
      <c r="FR436" s="15"/>
      <c r="FS436" s="15"/>
      <c r="FT436" s="15"/>
      <c r="FU436" s="15"/>
      <c r="FV436" s="15"/>
      <c r="FW436" s="15"/>
      <c r="FX436" s="15"/>
      <c r="FY436" s="15"/>
      <c r="FZ436" s="16"/>
      <c r="GB436" s="13"/>
      <c r="GZ436" s="12"/>
      <c r="HB436" s="12"/>
      <c r="HF436" s="12"/>
      <c r="IZ436" s="13"/>
      <c r="JB436" s="13"/>
    </row>
    <row r="437" spans="20:262" ht="18" customHeight="1" x14ac:dyDescent="0.2">
      <c r="AD437" s="18"/>
      <c r="AE437" s="12"/>
      <c r="AF437" s="12"/>
      <c r="AG437" s="12"/>
      <c r="AJ437" s="13"/>
      <c r="BF437" s="13"/>
      <c r="BG437" s="13"/>
      <c r="DY437" s="12"/>
      <c r="GB437" s="13"/>
      <c r="GZ437" s="12"/>
      <c r="HB437" s="12"/>
      <c r="HF437" s="12"/>
      <c r="IZ437" s="13"/>
      <c r="JB437" s="13"/>
    </row>
    <row r="438" spans="20:262" ht="18" customHeight="1" x14ac:dyDescent="0.2">
      <c r="AD438" s="19"/>
      <c r="AE438" s="14"/>
      <c r="AF438" s="14"/>
      <c r="AG438" s="14"/>
      <c r="AH438" s="15"/>
      <c r="AI438" s="15"/>
      <c r="AJ438" s="16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15"/>
      <c r="AZ438" s="15"/>
      <c r="BA438" s="15"/>
      <c r="BB438" s="15"/>
      <c r="BC438" s="15"/>
      <c r="BD438" s="15"/>
      <c r="BE438" s="15"/>
      <c r="BF438" s="16"/>
      <c r="BG438" s="16"/>
      <c r="DY438" s="14"/>
      <c r="DZ438" s="15"/>
      <c r="EA438" s="15"/>
      <c r="EB438" s="15"/>
      <c r="EC438" s="15"/>
      <c r="ED438" s="15"/>
      <c r="EE438" s="15"/>
      <c r="EF438" s="15"/>
      <c r="EG438" s="15"/>
      <c r="EH438" s="15"/>
      <c r="EI438" s="15"/>
      <c r="EJ438" s="15"/>
      <c r="EK438" s="15"/>
      <c r="EL438" s="15"/>
      <c r="EM438" s="15"/>
      <c r="EN438" s="15"/>
      <c r="EO438" s="15"/>
      <c r="EP438" s="15"/>
      <c r="EQ438" s="15"/>
      <c r="ER438" s="15"/>
      <c r="ES438" s="15"/>
      <c r="ET438" s="15"/>
      <c r="EU438" s="15"/>
      <c r="EV438" s="15"/>
      <c r="EW438" s="15"/>
      <c r="EX438" s="15"/>
      <c r="EY438" s="15"/>
      <c r="EZ438" s="15"/>
      <c r="FA438" s="15"/>
      <c r="FB438" s="15"/>
      <c r="FC438" s="15"/>
      <c r="FD438" s="15"/>
      <c r="FE438" s="15"/>
      <c r="FF438" s="15"/>
      <c r="FG438" s="15"/>
      <c r="FH438" s="15"/>
      <c r="FI438" s="15"/>
      <c r="FJ438" s="15"/>
      <c r="FK438" s="15"/>
      <c r="FL438" s="15"/>
      <c r="FM438" s="15"/>
      <c r="FN438" s="15"/>
      <c r="FO438" s="15"/>
      <c r="FP438" s="15"/>
      <c r="FQ438" s="15"/>
      <c r="FR438" s="15"/>
      <c r="FS438" s="15"/>
      <c r="FT438" s="15"/>
      <c r="FU438" s="15"/>
      <c r="FV438" s="15"/>
      <c r="FW438" s="15"/>
      <c r="FX438" s="15"/>
      <c r="FY438" s="15"/>
      <c r="FZ438" s="15"/>
      <c r="GA438" s="15"/>
      <c r="GB438" s="16"/>
      <c r="GZ438" s="12"/>
      <c r="HB438" s="12"/>
      <c r="HF438" s="12"/>
      <c r="IZ438" s="13"/>
      <c r="JB438" s="13"/>
    </row>
    <row r="439" spans="20:262" ht="18" customHeight="1" x14ac:dyDescent="0.2">
      <c r="T439" s="20"/>
      <c r="U439" s="21"/>
      <c r="V439" s="21"/>
      <c r="W439" s="21"/>
      <c r="X439" s="21"/>
      <c r="Y439" s="21"/>
      <c r="Z439" s="21"/>
      <c r="AA439" s="21"/>
      <c r="AB439" s="21"/>
      <c r="AC439" s="21"/>
      <c r="AD439" s="212"/>
      <c r="AE439" s="212"/>
      <c r="AF439" s="212"/>
      <c r="AG439" s="60"/>
      <c r="AH439" s="60"/>
      <c r="AI439" s="60"/>
      <c r="AJ439" s="60"/>
      <c r="AK439" s="14"/>
      <c r="AL439" s="15"/>
      <c r="AM439" s="15"/>
      <c r="AN439" s="15"/>
      <c r="AO439" s="15"/>
      <c r="AP439" s="15"/>
      <c r="AQ439" s="15"/>
      <c r="AR439" s="15"/>
      <c r="AS439" s="16"/>
      <c r="AT439" s="15"/>
      <c r="AU439" s="15"/>
      <c r="AV439" s="15"/>
      <c r="AW439" s="15"/>
      <c r="BE439" s="10"/>
      <c r="BF439" s="10"/>
      <c r="BG439" s="10"/>
      <c r="BH439" s="10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2"/>
      <c r="BY439" s="21"/>
      <c r="BZ439" s="21"/>
      <c r="CA439" s="21"/>
      <c r="CB439" s="21"/>
      <c r="CC439" s="21"/>
      <c r="CD439" s="21"/>
      <c r="CE439" s="20"/>
      <c r="CF439" s="22"/>
      <c r="GZ439" s="12"/>
      <c r="HB439" s="12"/>
      <c r="HF439" s="12"/>
      <c r="IZ439" s="13"/>
      <c r="JB439" s="13"/>
    </row>
    <row r="440" spans="20:262" ht="18" customHeight="1" x14ac:dyDescent="0.2">
      <c r="T440" s="9"/>
      <c r="U440" s="11"/>
      <c r="AS440" s="13"/>
      <c r="AT440" s="17"/>
      <c r="AU440" s="10"/>
      <c r="AV440" s="10"/>
      <c r="AW440" s="10"/>
      <c r="AX440" s="10"/>
      <c r="AY440" s="10"/>
      <c r="AZ440" s="57"/>
      <c r="BA440" s="57"/>
      <c r="BB440" s="57"/>
      <c r="BC440" s="10"/>
      <c r="BD440" s="10"/>
      <c r="BE440" s="10"/>
      <c r="BF440" s="10"/>
      <c r="BG440" s="10"/>
      <c r="BH440" s="10"/>
      <c r="CE440" s="12"/>
      <c r="CF440" s="13"/>
      <c r="GZ440" s="12"/>
      <c r="HB440" s="12"/>
      <c r="HF440" s="14"/>
      <c r="HG440" s="15"/>
      <c r="HH440" s="15"/>
      <c r="HI440" s="15"/>
      <c r="HJ440" s="15"/>
      <c r="HK440" s="15"/>
      <c r="HL440" s="15"/>
      <c r="HM440" s="15"/>
      <c r="HN440" s="15"/>
      <c r="HO440" s="15"/>
      <c r="HP440" s="15"/>
      <c r="HQ440" s="15"/>
      <c r="HR440" s="15"/>
      <c r="IZ440" s="13"/>
      <c r="JB440" s="13"/>
    </row>
    <row r="441" spans="20:262" ht="18" customHeight="1" x14ac:dyDescent="0.2">
      <c r="T441" s="12"/>
      <c r="U441" s="13"/>
      <c r="AS441" s="13"/>
      <c r="AT441" s="18"/>
      <c r="AZ441" s="97"/>
      <c r="BA441" s="97"/>
      <c r="BB441" s="97"/>
      <c r="BD441" s="9"/>
      <c r="BE441" s="10"/>
      <c r="BF441" s="10"/>
      <c r="BG441" s="10"/>
      <c r="BH441" s="11"/>
      <c r="CE441" s="12"/>
      <c r="CF441" s="13"/>
      <c r="GZ441" s="12"/>
      <c r="HB441" s="12"/>
      <c r="HR441" s="17"/>
      <c r="HS441" s="12"/>
      <c r="IZ441" s="13"/>
      <c r="JB441" s="13"/>
    </row>
    <row r="442" spans="20:262" ht="18" customHeight="1" x14ac:dyDescent="0.2">
      <c r="T442" s="12"/>
      <c r="U442" s="13"/>
      <c r="AS442" s="13"/>
      <c r="AT442" s="18"/>
      <c r="AZ442" s="97"/>
      <c r="BA442" s="97"/>
      <c r="BB442" s="97"/>
      <c r="BD442" s="12"/>
      <c r="BH442" s="13"/>
      <c r="CE442" s="12"/>
      <c r="CF442" s="13"/>
      <c r="GZ442" s="12"/>
      <c r="HB442" s="12"/>
      <c r="HR442" s="18"/>
      <c r="HS442" s="12"/>
      <c r="IZ442" s="13"/>
      <c r="JB442" s="13"/>
    </row>
    <row r="443" spans="20:262" ht="18" customHeight="1" x14ac:dyDescent="0.2">
      <c r="T443" s="12"/>
      <c r="U443" s="13"/>
      <c r="AS443" s="13"/>
      <c r="AT443" s="18"/>
      <c r="AZ443" s="97"/>
      <c r="BA443" s="97"/>
      <c r="BB443" s="97"/>
      <c r="BD443" s="12"/>
      <c r="BH443" s="13"/>
      <c r="CE443" s="12"/>
      <c r="CF443" s="13"/>
      <c r="GZ443" s="12"/>
      <c r="HB443" s="12"/>
      <c r="HR443" s="18"/>
      <c r="HS443" s="12"/>
      <c r="IZ443" s="13"/>
      <c r="JB443" s="13"/>
    </row>
    <row r="444" spans="20:262" ht="18" customHeight="1" x14ac:dyDescent="0.2">
      <c r="T444" s="12"/>
      <c r="U444" s="13"/>
      <c r="AS444" s="13"/>
      <c r="AT444" s="18"/>
      <c r="AZ444" s="97"/>
      <c r="BA444" s="97"/>
      <c r="BB444" s="97"/>
      <c r="BD444" s="12"/>
      <c r="BH444" s="13"/>
      <c r="CE444" s="12"/>
      <c r="CF444" s="13"/>
      <c r="GZ444" s="12"/>
      <c r="HB444" s="14"/>
      <c r="HC444" s="15"/>
      <c r="HD444" s="15"/>
      <c r="HE444" s="15"/>
      <c r="HF444" s="15"/>
      <c r="HG444" s="15"/>
      <c r="HH444" s="15"/>
      <c r="HI444" s="15"/>
      <c r="HJ444" s="15"/>
      <c r="HK444" s="15"/>
      <c r="HL444" s="15"/>
      <c r="HM444" s="15"/>
      <c r="HN444" s="15"/>
      <c r="HO444" s="15"/>
      <c r="HP444" s="15"/>
      <c r="HQ444" s="15"/>
      <c r="HR444" s="19"/>
      <c r="HS444" s="14"/>
      <c r="HT444" s="15"/>
      <c r="HU444" s="15"/>
      <c r="HV444" s="15"/>
      <c r="HW444" s="15"/>
      <c r="HX444" s="15"/>
      <c r="HY444" s="15"/>
      <c r="HZ444" s="15"/>
      <c r="IA444" s="15"/>
      <c r="IB444" s="15"/>
      <c r="IC444" s="15"/>
      <c r="ID444" s="15"/>
      <c r="IE444" s="15"/>
      <c r="IF444" s="15"/>
      <c r="IG444" s="15"/>
      <c r="IH444" s="15"/>
      <c r="II444" s="15"/>
      <c r="IJ444" s="15"/>
      <c r="IK444" s="15"/>
      <c r="IL444" s="15"/>
      <c r="IM444" s="15"/>
      <c r="IN444" s="15"/>
      <c r="IO444" s="15"/>
      <c r="IP444" s="15"/>
      <c r="IQ444" s="15"/>
      <c r="IR444" s="15"/>
      <c r="IS444" s="15"/>
      <c r="IT444" s="15"/>
      <c r="IU444" s="15"/>
      <c r="IV444" s="15"/>
      <c r="IW444" s="15"/>
      <c r="IX444" s="15"/>
      <c r="IY444" s="15"/>
      <c r="IZ444" s="16"/>
      <c r="JB444" s="13"/>
    </row>
    <row r="445" spans="20:262" ht="18" customHeight="1" x14ac:dyDescent="0.2">
      <c r="T445" s="12"/>
      <c r="U445" s="13"/>
      <c r="AS445" s="13"/>
      <c r="AT445" s="18"/>
      <c r="AZ445" s="97"/>
      <c r="BA445" s="97"/>
      <c r="BB445" s="97"/>
      <c r="BD445" s="9"/>
      <c r="BE445" s="10"/>
      <c r="BF445" s="10"/>
      <c r="BG445" s="10"/>
      <c r="BH445" s="11"/>
      <c r="BI445" s="10"/>
      <c r="BJ445" s="17"/>
      <c r="CE445" s="12"/>
      <c r="CF445" s="13"/>
      <c r="GZ445" s="96"/>
      <c r="HA445" s="97"/>
      <c r="HF445" s="20"/>
      <c r="HG445" s="21"/>
      <c r="HH445" s="21"/>
      <c r="HI445" s="21"/>
      <c r="HJ445" s="21"/>
      <c r="HK445" s="22"/>
      <c r="HZ445" s="97"/>
      <c r="IA445" s="97"/>
      <c r="JA445" s="97"/>
      <c r="JB445" s="98"/>
    </row>
    <row r="446" spans="20:262" ht="18" customHeight="1" x14ac:dyDescent="0.2">
      <c r="T446" s="12"/>
      <c r="U446" s="13"/>
      <c r="AS446" s="13"/>
      <c r="AT446" s="18"/>
      <c r="AZ446" s="97"/>
      <c r="BA446" s="97"/>
      <c r="BB446" s="97"/>
      <c r="BD446" s="12"/>
      <c r="BH446" s="13"/>
      <c r="BJ446" s="17"/>
      <c r="CE446" s="12"/>
      <c r="CF446" s="13"/>
      <c r="GZ446" s="59"/>
      <c r="HA446" s="60"/>
      <c r="HB446" s="15"/>
      <c r="HC446" s="15"/>
      <c r="HD446" s="15"/>
      <c r="HE446" s="15"/>
      <c r="HF446" s="20"/>
      <c r="HG446" s="21"/>
      <c r="HH446" s="21"/>
      <c r="HI446" s="21"/>
      <c r="HJ446" s="21"/>
      <c r="HK446" s="22"/>
      <c r="HL446" s="15"/>
      <c r="HM446" s="15"/>
      <c r="HN446" s="15"/>
      <c r="HO446" s="15"/>
      <c r="HP446" s="15"/>
      <c r="HQ446" s="15"/>
      <c r="HR446" s="15"/>
      <c r="HS446" s="15"/>
      <c r="HT446" s="15"/>
      <c r="HU446" s="15"/>
      <c r="HV446" s="15"/>
      <c r="HW446" s="15"/>
      <c r="HX446" s="15"/>
      <c r="HY446" s="15"/>
      <c r="HZ446" s="60"/>
      <c r="IA446" s="60"/>
      <c r="IB446" s="15"/>
      <c r="IC446" s="15"/>
      <c r="ID446" s="15"/>
      <c r="IE446" s="15"/>
      <c r="IF446" s="15"/>
      <c r="IG446" s="15"/>
      <c r="IH446" s="15"/>
      <c r="II446" s="15"/>
      <c r="IJ446" s="15"/>
      <c r="IK446" s="15"/>
      <c r="IL446" s="15"/>
      <c r="IM446" s="15"/>
      <c r="IN446" s="15"/>
      <c r="IO446" s="15"/>
      <c r="IP446" s="15"/>
      <c r="IQ446" s="15"/>
      <c r="IR446" s="15"/>
      <c r="IS446" s="15"/>
      <c r="IT446" s="15"/>
      <c r="IU446" s="15"/>
      <c r="IV446" s="15"/>
      <c r="IW446" s="15"/>
      <c r="IX446" s="15"/>
      <c r="IY446" s="15"/>
      <c r="IZ446" s="15"/>
      <c r="JA446" s="60"/>
      <c r="JB446" s="61"/>
    </row>
    <row r="447" spans="20:262" ht="18" customHeight="1" x14ac:dyDescent="0.2">
      <c r="T447" s="12"/>
      <c r="U447" s="13"/>
      <c r="AS447" s="13"/>
      <c r="AT447" s="18"/>
      <c r="AZ447" s="97"/>
      <c r="BA447" s="97"/>
      <c r="BB447" s="97"/>
      <c r="BD447" s="12"/>
      <c r="BH447" s="13"/>
      <c r="BJ447" s="18"/>
      <c r="CE447" s="12"/>
      <c r="CF447" s="13"/>
    </row>
    <row r="448" spans="20:262" ht="18" customHeight="1" x14ac:dyDescent="0.2">
      <c r="T448" s="12"/>
      <c r="U448" s="13"/>
      <c r="AS448" s="13"/>
      <c r="AT448" s="18"/>
      <c r="AZ448" s="97"/>
      <c r="BA448" s="97"/>
      <c r="BB448" s="97"/>
      <c r="BD448" s="12"/>
      <c r="BH448" s="13"/>
      <c r="BJ448" s="18"/>
      <c r="CE448" s="12"/>
      <c r="CF448" s="13"/>
    </row>
    <row r="449" spans="20:84" ht="18" customHeight="1" x14ac:dyDescent="0.2">
      <c r="T449" s="12"/>
      <c r="U449" s="13"/>
      <c r="AS449" s="13"/>
      <c r="AT449" s="18"/>
      <c r="AZ449" s="97"/>
      <c r="BA449" s="97"/>
      <c r="BB449" s="97"/>
      <c r="BD449" s="12"/>
      <c r="BH449" s="13"/>
      <c r="BJ449" s="18"/>
      <c r="CE449" s="12"/>
      <c r="CF449" s="13"/>
    </row>
    <row r="450" spans="20:84" ht="18" customHeight="1" x14ac:dyDescent="0.2">
      <c r="T450" s="12"/>
      <c r="U450" s="13"/>
      <c r="AS450" s="13"/>
      <c r="AT450" s="18"/>
      <c r="AZ450" s="97"/>
      <c r="BA450" s="97"/>
      <c r="BB450" s="97"/>
      <c r="BD450" s="14"/>
      <c r="BE450" s="15"/>
      <c r="BF450" s="15"/>
      <c r="BG450" s="15"/>
      <c r="BH450" s="16"/>
      <c r="BI450" s="15"/>
      <c r="BJ450" s="19"/>
      <c r="CE450" s="12"/>
      <c r="CF450" s="13"/>
    </row>
    <row r="451" spans="20:84" ht="18" customHeight="1" x14ac:dyDescent="0.2">
      <c r="T451" s="12"/>
      <c r="U451" s="13"/>
      <c r="AS451" s="13"/>
      <c r="AT451" s="18"/>
      <c r="AZ451" s="97"/>
      <c r="BA451" s="97"/>
      <c r="BB451" s="97"/>
      <c r="BD451" s="225"/>
      <c r="BE451" s="225"/>
      <c r="BF451" s="225"/>
      <c r="BG451" s="225"/>
      <c r="BH451" s="225"/>
      <c r="BI451" s="225"/>
      <c r="BJ451" s="226"/>
      <c r="CE451" s="12"/>
      <c r="CF451" s="13"/>
    </row>
    <row r="452" spans="20:84" ht="18" customHeight="1" x14ac:dyDescent="0.2">
      <c r="T452" s="12"/>
      <c r="U452" s="13"/>
      <c r="AS452" s="13"/>
      <c r="AT452" s="18"/>
      <c r="AZ452" s="97"/>
      <c r="BA452" s="97"/>
      <c r="BB452" s="97"/>
      <c r="CE452" s="12"/>
      <c r="CF452" s="13"/>
    </row>
    <row r="453" spans="20:84" ht="18" customHeight="1" x14ac:dyDescent="0.2">
      <c r="T453" s="12"/>
      <c r="U453" s="13"/>
      <c r="AS453" s="13"/>
      <c r="AT453" s="18"/>
      <c r="AZ453" s="97"/>
      <c r="BA453" s="97"/>
      <c r="BB453" s="97"/>
      <c r="BE453" s="18"/>
      <c r="CE453" s="12"/>
      <c r="CF453" s="13"/>
    </row>
    <row r="454" spans="20:84" ht="18" customHeight="1" x14ac:dyDescent="0.2">
      <c r="T454" s="12"/>
      <c r="U454" s="13"/>
      <c r="AS454" s="13"/>
      <c r="AT454" s="18"/>
      <c r="AZ454" s="97"/>
      <c r="BA454" s="97"/>
      <c r="BB454" s="97"/>
      <c r="BE454" s="18"/>
      <c r="CE454" s="12"/>
      <c r="CF454" s="13"/>
    </row>
    <row r="455" spans="20:84" ht="18" customHeight="1" x14ac:dyDescent="0.2">
      <c r="T455" s="12"/>
      <c r="U455" s="13"/>
      <c r="AS455" s="13"/>
      <c r="AT455" s="18"/>
      <c r="AZ455" s="97"/>
      <c r="BA455" s="97"/>
      <c r="BB455" s="97"/>
      <c r="BE455" s="18"/>
      <c r="BX455" s="13"/>
      <c r="CE455" s="12"/>
      <c r="CF455" s="13"/>
    </row>
    <row r="456" spans="20:84" ht="18" customHeight="1" x14ac:dyDescent="0.2">
      <c r="T456" s="12"/>
      <c r="U456" s="13"/>
      <c r="AS456" s="13"/>
      <c r="AT456" s="18"/>
      <c r="AZ456" s="97"/>
      <c r="BA456" s="97"/>
      <c r="BB456" s="97"/>
      <c r="BE456" s="18"/>
      <c r="BX456" s="13"/>
      <c r="CE456" s="12"/>
      <c r="CF456" s="13"/>
    </row>
    <row r="457" spans="20:84" ht="18" customHeight="1" x14ac:dyDescent="0.2">
      <c r="T457" s="12"/>
      <c r="U457" s="13"/>
      <c r="AS457" s="13"/>
      <c r="AT457" s="18"/>
      <c r="AZ457" s="97"/>
      <c r="BA457" s="97"/>
      <c r="BB457" s="97"/>
      <c r="BE457" s="18"/>
      <c r="BX457" s="13"/>
      <c r="CE457" s="12"/>
      <c r="CF457" s="13"/>
    </row>
    <row r="458" spans="20:84" ht="18" customHeight="1" x14ac:dyDescent="0.2">
      <c r="T458" s="12"/>
      <c r="U458" s="13"/>
      <c r="AS458" s="13"/>
      <c r="AT458" s="18"/>
      <c r="AZ458" s="97"/>
      <c r="BA458" s="97"/>
      <c r="BB458" s="97"/>
      <c r="BE458" s="18"/>
      <c r="BX458" s="13"/>
      <c r="CE458" s="12"/>
      <c r="CF458" s="13"/>
    </row>
    <row r="459" spans="20:84" ht="18" customHeight="1" x14ac:dyDescent="0.2">
      <c r="T459" s="12"/>
      <c r="U459" s="13"/>
      <c r="AS459" s="13"/>
      <c r="AT459" s="18"/>
      <c r="AZ459" s="97"/>
      <c r="BA459" s="97"/>
      <c r="BB459" s="97"/>
      <c r="BE459" s="18"/>
      <c r="BX459" s="13"/>
      <c r="CE459" s="12"/>
      <c r="CF459" s="13"/>
    </row>
    <row r="460" spans="20:84" ht="18" customHeight="1" x14ac:dyDescent="0.2">
      <c r="T460" s="12"/>
      <c r="U460" s="13"/>
      <c r="AS460" s="13"/>
      <c r="AT460" s="18"/>
      <c r="AZ460" s="97"/>
      <c r="BA460" s="97"/>
      <c r="BB460" s="97"/>
      <c r="BE460" s="18"/>
      <c r="BX460" s="13"/>
      <c r="CE460" s="12"/>
      <c r="CF460" s="13"/>
    </row>
    <row r="461" spans="20:84" ht="18" customHeight="1" x14ac:dyDescent="0.2">
      <c r="T461" s="12"/>
      <c r="U461" s="13"/>
      <c r="AS461" s="13"/>
      <c r="AT461" s="18"/>
      <c r="AZ461" s="97"/>
      <c r="BA461" s="97"/>
      <c r="BB461" s="97"/>
      <c r="BE461" s="18"/>
      <c r="BY461" s="56"/>
      <c r="BZ461" s="57"/>
      <c r="CA461" s="57"/>
      <c r="CB461" s="57"/>
      <c r="CC461" s="57"/>
      <c r="CD461" s="58"/>
      <c r="CE461" s="12"/>
      <c r="CF461" s="13"/>
    </row>
    <row r="462" spans="20:84" ht="18" customHeight="1" x14ac:dyDescent="0.2">
      <c r="T462" s="12"/>
      <c r="U462" s="13"/>
      <c r="AS462" s="13"/>
      <c r="AT462" s="18"/>
      <c r="AZ462" s="97"/>
      <c r="BA462" s="97"/>
      <c r="BB462" s="97"/>
      <c r="BE462" s="18"/>
      <c r="BY462" s="12"/>
      <c r="CD462" s="13"/>
      <c r="CE462" s="12"/>
      <c r="CF462" s="13"/>
    </row>
    <row r="463" spans="20:84" ht="18" customHeight="1" x14ac:dyDescent="0.2">
      <c r="T463" s="14"/>
      <c r="U463" s="16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  <c r="AG463" s="15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6"/>
      <c r="AT463" s="19"/>
      <c r="AU463" s="15"/>
      <c r="AV463" s="15"/>
      <c r="AW463" s="15"/>
      <c r="AX463" s="15"/>
      <c r="AY463" s="15"/>
      <c r="AZ463" s="60"/>
      <c r="BA463" s="60"/>
      <c r="BB463" s="60"/>
      <c r="BC463" s="15"/>
      <c r="BD463" s="15"/>
      <c r="BE463" s="19"/>
      <c r="BF463" s="15"/>
      <c r="BG463" s="15"/>
      <c r="BH463" s="15"/>
      <c r="BI463" s="15"/>
      <c r="BJ463" s="15"/>
      <c r="BK463" s="15"/>
      <c r="BL463" s="15"/>
      <c r="BM463" s="15"/>
      <c r="BN463" s="15"/>
      <c r="BO463" s="15"/>
      <c r="BP463" s="15"/>
      <c r="BQ463" s="15"/>
      <c r="BR463" s="15"/>
      <c r="BS463" s="15"/>
      <c r="BT463" s="15"/>
      <c r="BU463" s="15"/>
      <c r="BV463" s="15"/>
      <c r="BW463" s="15"/>
      <c r="BX463" s="15"/>
      <c r="BY463" s="14"/>
      <c r="BZ463" s="15"/>
      <c r="CA463" s="15"/>
      <c r="CB463" s="15"/>
      <c r="CC463" s="15"/>
      <c r="CD463" s="16"/>
      <c r="CE463" s="14"/>
      <c r="CF463" s="16"/>
    </row>
    <row r="471" spans="20:94" ht="18" customHeight="1" x14ac:dyDescent="0.2">
      <c r="T471" s="9"/>
      <c r="U471" s="10"/>
      <c r="V471" s="10"/>
      <c r="W471" s="10"/>
      <c r="X471" s="10"/>
      <c r="Y471" s="11"/>
      <c r="Z471" s="10"/>
      <c r="AA471" s="10"/>
      <c r="AB471" s="10"/>
      <c r="AC471" s="10"/>
      <c r="AD471" s="10"/>
      <c r="AE471" s="10"/>
      <c r="AF471" s="10"/>
      <c r="AG471" s="10"/>
      <c r="AH471" s="9"/>
      <c r="AI471" s="10"/>
      <c r="AJ471" s="10"/>
      <c r="AK471" s="10"/>
      <c r="AL471" s="10"/>
      <c r="AM471" s="11"/>
      <c r="AR471" s="9"/>
      <c r="AS471" s="10"/>
      <c r="AT471" s="10"/>
      <c r="AU471" s="10"/>
      <c r="AV471" s="10"/>
      <c r="AW471" s="11"/>
      <c r="AX471" s="10"/>
      <c r="AY471" s="10"/>
      <c r="AZ471" s="10"/>
      <c r="BA471" s="10"/>
      <c r="BB471" s="10"/>
      <c r="BC471" s="10"/>
      <c r="BD471" s="10"/>
      <c r="BE471" s="10"/>
      <c r="BF471" s="10"/>
      <c r="BG471" s="10"/>
      <c r="BH471" s="10"/>
      <c r="BI471" s="10"/>
      <c r="BJ471" s="10"/>
      <c r="BK471" s="10"/>
      <c r="BL471" s="9"/>
      <c r="BM471" s="10"/>
      <c r="BN471" s="10"/>
      <c r="BO471" s="10"/>
      <c r="BP471" s="10"/>
      <c r="BQ471" s="11"/>
    </row>
    <row r="472" spans="20:94" ht="18" customHeight="1" x14ac:dyDescent="0.2">
      <c r="T472" s="12"/>
      <c r="Y472" s="13"/>
      <c r="AH472" s="12"/>
      <c r="AM472" s="13"/>
      <c r="AR472" s="96"/>
      <c r="AS472" s="97"/>
      <c r="AT472" s="97"/>
      <c r="AU472" s="97"/>
      <c r="AV472" s="97"/>
      <c r="AW472" s="98"/>
      <c r="BL472" s="12"/>
      <c r="BQ472" s="13"/>
    </row>
    <row r="473" spans="20:94" ht="18" customHeight="1" x14ac:dyDescent="0.2">
      <c r="T473" s="12"/>
      <c r="Y473" s="13"/>
      <c r="AH473" s="96"/>
      <c r="AI473" s="97"/>
      <c r="AJ473" s="97"/>
      <c r="AK473" s="97"/>
      <c r="AL473" s="97"/>
      <c r="AM473" s="98"/>
      <c r="AR473" s="12"/>
      <c r="AW473" s="13"/>
      <c r="BL473" s="12"/>
      <c r="BQ473" s="13"/>
    </row>
    <row r="474" spans="20:94" ht="18" customHeight="1" x14ac:dyDescent="0.2">
      <c r="T474" s="12"/>
      <c r="Y474" s="13"/>
      <c r="AH474" s="12"/>
      <c r="AM474" s="13"/>
      <c r="AR474" s="12"/>
      <c r="AW474" s="13"/>
      <c r="BL474" s="12"/>
      <c r="BQ474" s="13"/>
    </row>
    <row r="475" spans="20:94" ht="18" customHeight="1" x14ac:dyDescent="0.2">
      <c r="T475" s="12"/>
      <c r="Y475" s="13"/>
      <c r="AH475" s="12"/>
      <c r="AM475" s="13"/>
      <c r="AR475" s="12"/>
      <c r="AW475" s="13"/>
      <c r="BL475" s="12"/>
      <c r="BQ475" s="13"/>
    </row>
    <row r="476" spans="20:94" ht="18" customHeight="1" x14ac:dyDescent="0.2">
      <c r="T476" s="12"/>
      <c r="Y476" s="13"/>
      <c r="AH476" s="12"/>
      <c r="AM476" s="13"/>
      <c r="AR476" s="12"/>
      <c r="AW476" s="13"/>
      <c r="BL476" s="12"/>
      <c r="BQ476" s="13"/>
      <c r="CF476" s="9"/>
      <c r="CG476" s="10"/>
      <c r="CH476" s="10"/>
      <c r="CI476" s="10"/>
      <c r="CJ476" s="10"/>
      <c r="CK476" s="10"/>
      <c r="CL476" s="10"/>
      <c r="CM476" s="10"/>
      <c r="CN476" s="10"/>
      <c r="CO476" s="10"/>
      <c r="CP476" s="11"/>
    </row>
    <row r="477" spans="20:94" ht="18" customHeight="1" x14ac:dyDescent="0.2">
      <c r="T477" s="12"/>
      <c r="Y477" s="13"/>
      <c r="AH477" s="12"/>
      <c r="AM477" s="13"/>
      <c r="AR477" s="12"/>
      <c r="AW477" s="13"/>
      <c r="BL477" s="12"/>
      <c r="BQ477" s="13"/>
      <c r="CF477" s="12"/>
      <c r="CP477" s="13"/>
    </row>
    <row r="478" spans="20:94" ht="18" customHeight="1" x14ac:dyDescent="0.2">
      <c r="T478" s="12"/>
      <c r="Y478" s="13"/>
      <c r="AH478" s="12"/>
      <c r="AM478" s="13"/>
      <c r="AR478" s="12"/>
      <c r="AW478" s="13"/>
      <c r="BL478" s="12"/>
      <c r="BQ478" s="13"/>
      <c r="CF478" s="12"/>
      <c r="CP478" s="13"/>
    </row>
    <row r="479" spans="20:94" ht="18" customHeight="1" x14ac:dyDescent="0.2">
      <c r="T479" s="96"/>
      <c r="U479" s="97"/>
      <c r="V479" s="97"/>
      <c r="W479" s="97"/>
      <c r="X479" s="97"/>
      <c r="Y479" s="98"/>
      <c r="AH479" s="12"/>
      <c r="AM479" s="13"/>
      <c r="AR479" s="12"/>
      <c r="AW479" s="13"/>
      <c r="BL479" s="12"/>
      <c r="BQ479" s="13"/>
      <c r="CF479" s="12"/>
      <c r="CP479" s="13"/>
    </row>
    <row r="480" spans="20:94" ht="18" customHeight="1" x14ac:dyDescent="0.2">
      <c r="T480" s="12"/>
      <c r="Y480" s="13"/>
      <c r="AH480" s="12"/>
      <c r="AM480" s="13"/>
      <c r="AR480" s="12"/>
      <c r="AW480" s="13"/>
      <c r="BL480" s="12"/>
      <c r="BQ480" s="13"/>
      <c r="CF480" s="12"/>
      <c r="CP480" s="13"/>
    </row>
    <row r="481" spans="20:105" ht="18" customHeight="1" x14ac:dyDescent="0.2">
      <c r="T481" s="12"/>
      <c r="Y481" s="13"/>
      <c r="AH481" s="12"/>
      <c r="AM481" s="13"/>
      <c r="AR481" s="12"/>
      <c r="AW481" s="13"/>
      <c r="BL481" s="96"/>
      <c r="BM481" s="97"/>
      <c r="BN481" s="97"/>
      <c r="BO481" s="97"/>
      <c r="BP481" s="97"/>
      <c r="BQ481" s="98"/>
      <c r="CF481" s="12"/>
      <c r="CP481" s="13"/>
    </row>
    <row r="482" spans="20:105" ht="18" customHeight="1" x14ac:dyDescent="0.2">
      <c r="T482" s="12"/>
      <c r="Y482" s="13"/>
      <c r="AH482" s="12"/>
      <c r="AM482" s="13"/>
      <c r="AR482" s="12"/>
      <c r="AW482" s="13"/>
      <c r="BL482" s="12"/>
      <c r="BQ482" s="13"/>
      <c r="CF482" s="14"/>
      <c r="CG482" s="15"/>
      <c r="CH482" s="15"/>
      <c r="CI482" s="15"/>
      <c r="CJ482" s="15"/>
      <c r="CK482" s="15"/>
      <c r="CL482" s="15"/>
      <c r="CM482" s="15"/>
      <c r="CN482" s="15"/>
      <c r="CO482" s="15"/>
      <c r="CP482" s="16"/>
    </row>
    <row r="483" spans="20:105" ht="18" customHeight="1" x14ac:dyDescent="0.2">
      <c r="T483" s="12"/>
      <c r="Y483" s="13"/>
      <c r="AH483" s="12"/>
      <c r="AM483" s="13"/>
      <c r="AR483" s="12"/>
      <c r="AW483" s="13"/>
      <c r="BL483" s="12"/>
      <c r="BQ483" s="13"/>
      <c r="CQ483" s="9"/>
      <c r="CR483" s="10"/>
      <c r="CS483" s="10"/>
      <c r="CT483" s="10"/>
      <c r="CU483" s="10"/>
      <c r="CV483" s="10"/>
      <c r="CW483" s="10"/>
      <c r="CX483" s="10"/>
      <c r="CY483" s="10"/>
      <c r="CZ483" s="10"/>
      <c r="DA483" s="11"/>
    </row>
    <row r="484" spans="20:105" ht="18" customHeight="1" x14ac:dyDescent="0.2">
      <c r="T484" s="12"/>
      <c r="Y484" s="13"/>
      <c r="AH484" s="12"/>
      <c r="AM484" s="13"/>
      <c r="AR484" s="12"/>
      <c r="AW484" s="13"/>
      <c r="BL484" s="12"/>
      <c r="BQ484" s="13"/>
      <c r="CQ484" s="12"/>
      <c r="DA484" s="13"/>
    </row>
    <row r="485" spans="20:105" ht="18" customHeight="1" x14ac:dyDescent="0.2">
      <c r="T485" s="12"/>
      <c r="Y485" s="13"/>
      <c r="AH485" s="96"/>
      <c r="AI485" s="97"/>
      <c r="AJ485" s="97"/>
      <c r="AK485" s="97"/>
      <c r="AL485" s="97"/>
      <c r="AM485" s="98"/>
      <c r="AR485" s="12"/>
      <c r="AW485" s="13"/>
      <c r="BL485" s="12"/>
      <c r="BQ485" s="13"/>
      <c r="CQ485" s="12"/>
      <c r="DA485" s="13"/>
    </row>
    <row r="486" spans="20:105" ht="18" customHeight="1" x14ac:dyDescent="0.2">
      <c r="T486" s="12"/>
      <c r="Y486" s="13"/>
      <c r="AH486" s="12"/>
      <c r="AM486" s="13"/>
      <c r="AR486" s="12"/>
      <c r="AW486" s="13"/>
      <c r="BL486" s="12"/>
      <c r="BQ486" s="13"/>
      <c r="CQ486" s="12"/>
      <c r="DA486" s="13"/>
    </row>
    <row r="487" spans="20:105" ht="18" customHeight="1" x14ac:dyDescent="0.2">
      <c r="T487" s="12"/>
      <c r="Y487" s="13"/>
      <c r="AH487" s="12"/>
      <c r="AM487" s="13"/>
      <c r="AR487" s="12"/>
      <c r="AW487" s="13"/>
      <c r="BL487" s="12"/>
      <c r="BQ487" s="13"/>
      <c r="CQ487" s="12"/>
      <c r="DA487" s="13"/>
    </row>
    <row r="488" spans="20:105" ht="18" customHeight="1" x14ac:dyDescent="0.2">
      <c r="T488" s="12"/>
      <c r="Y488" s="13"/>
      <c r="AH488" s="12"/>
      <c r="AM488" s="13"/>
      <c r="AR488" s="12"/>
      <c r="AW488" s="13"/>
      <c r="BL488" s="12"/>
      <c r="BQ488" s="13"/>
      <c r="CQ488" s="12"/>
      <c r="DA488" s="13"/>
    </row>
    <row r="489" spans="20:105" ht="18" customHeight="1" x14ac:dyDescent="0.2">
      <c r="T489" s="12"/>
      <c r="Y489" s="13"/>
      <c r="AH489" s="12"/>
      <c r="AM489" s="13"/>
      <c r="AR489" s="12"/>
      <c r="AW489" s="13"/>
      <c r="BL489" s="12"/>
      <c r="BQ489" s="13"/>
      <c r="CQ489" s="14"/>
      <c r="CR489" s="15"/>
      <c r="CS489" s="15"/>
      <c r="CT489" s="15"/>
      <c r="CU489" s="15"/>
      <c r="CV489" s="15"/>
      <c r="CW489" s="15"/>
      <c r="CX489" s="15"/>
      <c r="CY489" s="15"/>
      <c r="CZ489" s="15"/>
      <c r="DA489" s="16"/>
    </row>
    <row r="490" spans="20:105" ht="18" customHeight="1" x14ac:dyDescent="0.2">
      <c r="T490" s="12"/>
      <c r="Y490" s="13"/>
      <c r="AH490" s="12"/>
      <c r="AM490" s="13"/>
      <c r="AR490" s="12"/>
      <c r="AW490" s="13"/>
      <c r="BL490" s="12"/>
      <c r="BQ490" s="13"/>
    </row>
    <row r="491" spans="20:105" ht="18" customHeight="1" x14ac:dyDescent="0.2">
      <c r="T491" s="12"/>
      <c r="Y491" s="13"/>
      <c r="AH491" s="12"/>
      <c r="AM491" s="13"/>
      <c r="AR491" s="12"/>
      <c r="AW491" s="13"/>
      <c r="BL491" s="12"/>
      <c r="BQ491" s="13"/>
    </row>
    <row r="492" spans="20:105" ht="18" customHeight="1" x14ac:dyDescent="0.2">
      <c r="T492" s="12"/>
      <c r="Y492" s="13"/>
      <c r="AH492" s="12"/>
      <c r="AM492" s="13"/>
      <c r="AR492" s="12"/>
      <c r="AW492" s="13"/>
      <c r="BL492" s="12"/>
      <c r="BQ492" s="13"/>
    </row>
    <row r="493" spans="20:105" ht="18" customHeight="1" x14ac:dyDescent="0.2">
      <c r="T493" s="12"/>
      <c r="Y493" s="13"/>
      <c r="AH493" s="12"/>
      <c r="AM493" s="13"/>
      <c r="AR493" s="12"/>
      <c r="AW493" s="13"/>
      <c r="BL493" s="12"/>
      <c r="BQ493" s="13"/>
    </row>
    <row r="494" spans="20:105" ht="18" customHeight="1" x14ac:dyDescent="0.2">
      <c r="T494" s="14"/>
      <c r="U494" s="15"/>
      <c r="V494" s="15"/>
      <c r="W494" s="15"/>
      <c r="X494" s="15"/>
      <c r="Y494" s="16"/>
      <c r="Z494" s="15"/>
      <c r="AA494" s="15"/>
      <c r="AB494" s="15"/>
      <c r="AC494" s="15"/>
      <c r="AD494" s="15"/>
      <c r="AE494" s="15"/>
      <c r="AF494" s="15"/>
      <c r="AG494" s="15"/>
      <c r="AH494" s="14"/>
      <c r="AI494" s="15"/>
      <c r="AJ494" s="15"/>
      <c r="AK494" s="15"/>
      <c r="AL494" s="15"/>
      <c r="AM494" s="16"/>
      <c r="AR494" s="14"/>
      <c r="AS494" s="15"/>
      <c r="AT494" s="15"/>
      <c r="AU494" s="15"/>
      <c r="AV494" s="15"/>
      <c r="AW494" s="16"/>
      <c r="AX494" s="15"/>
      <c r="AY494" s="15"/>
      <c r="AZ494" s="15"/>
      <c r="BA494" s="15"/>
      <c r="BB494" s="15"/>
      <c r="BC494" s="15"/>
      <c r="BD494" s="15"/>
      <c r="BE494" s="15"/>
      <c r="BF494" s="15"/>
      <c r="BG494" s="15"/>
      <c r="BH494" s="15"/>
      <c r="BI494" s="15"/>
      <c r="BJ494" s="15"/>
      <c r="BK494" s="15"/>
      <c r="BL494" s="14"/>
      <c r="BM494" s="15"/>
      <c r="BN494" s="15"/>
      <c r="BO494" s="15"/>
      <c r="BP494" s="15"/>
      <c r="BQ494" s="16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48F22-9D30-3D42-B10D-F0357583DF67}">
  <sheetPr codeName="Sheet5"/>
  <dimension ref="B2:T41"/>
  <sheetViews>
    <sheetView zoomScale="141" zoomScaleNormal="150" workbookViewId="0">
      <selection activeCell="S31" sqref="S31"/>
    </sheetView>
  </sheetViews>
  <sheetFormatPr baseColWidth="10" defaultRowHeight="16" x14ac:dyDescent="0.2"/>
  <cols>
    <col min="1" max="1" width="4.5" customWidth="1"/>
    <col min="2" max="2" width="15.33203125" customWidth="1"/>
    <col min="3" max="3" width="11.33203125" customWidth="1"/>
    <col min="4" max="4" width="10.1640625" customWidth="1"/>
    <col min="5" max="5" width="26.5" customWidth="1"/>
    <col min="6" max="6" width="14.1640625" customWidth="1"/>
    <col min="7" max="7" width="7.33203125" customWidth="1"/>
    <col min="8" max="8" width="26.83203125" customWidth="1"/>
    <col min="9" max="9" width="13.83203125" style="220" bestFit="1" customWidth="1"/>
    <col min="10" max="10" width="7" customWidth="1"/>
    <col min="11" max="11" width="6" customWidth="1"/>
  </cols>
  <sheetData>
    <row r="2" spans="2:20" x14ac:dyDescent="0.2">
      <c r="C2">
        <v>12</v>
      </c>
    </row>
    <row r="4" spans="2:20" x14ac:dyDescent="0.2">
      <c r="B4" t="s">
        <v>152</v>
      </c>
      <c r="C4">
        <v>2.54</v>
      </c>
      <c r="L4">
        <v>12</v>
      </c>
      <c r="O4" t="s">
        <v>94</v>
      </c>
    </row>
    <row r="5" spans="2:20" x14ac:dyDescent="0.2">
      <c r="B5" t="s">
        <v>67</v>
      </c>
      <c r="C5">
        <f>2.54*12</f>
        <v>30.48</v>
      </c>
      <c r="E5" t="s">
        <v>69</v>
      </c>
      <c r="F5">
        <v>2500</v>
      </c>
      <c r="H5" t="s">
        <v>68</v>
      </c>
      <c r="I5" s="220">
        <v>22.5</v>
      </c>
      <c r="K5">
        <v>30</v>
      </c>
      <c r="L5">
        <f>L4*C5</f>
        <v>365.76</v>
      </c>
      <c r="N5" t="s">
        <v>144</v>
      </c>
      <c r="O5">
        <v>56</v>
      </c>
      <c r="P5">
        <v>68</v>
      </c>
      <c r="Q5">
        <f>P5*O5/4</f>
        <v>952</v>
      </c>
    </row>
    <row r="6" spans="2:20" x14ac:dyDescent="0.2">
      <c r="B6" t="s">
        <v>83</v>
      </c>
      <c r="C6">
        <v>10.763915051182416</v>
      </c>
      <c r="E6" t="s">
        <v>70</v>
      </c>
      <c r="F6">
        <v>8000</v>
      </c>
      <c r="H6" t="s">
        <v>122</v>
      </c>
      <c r="I6" s="220">
        <f>I5*K5*L5/1000000</f>
        <v>0.246888</v>
      </c>
      <c r="J6" t="s">
        <v>119</v>
      </c>
      <c r="N6" t="s">
        <v>145</v>
      </c>
      <c r="O6">
        <v>13</v>
      </c>
      <c r="P6">
        <v>46</v>
      </c>
      <c r="Q6">
        <f>P6*O6/4</f>
        <v>149.5</v>
      </c>
      <c r="S6">
        <f>Q6*0.5</f>
        <v>74.75</v>
      </c>
      <c r="T6">
        <f>S6/C10</f>
        <v>2.1166833713999997</v>
      </c>
    </row>
    <row r="7" spans="2:20" x14ac:dyDescent="0.2">
      <c r="B7" t="s">
        <v>82</v>
      </c>
      <c r="C7">
        <v>100</v>
      </c>
      <c r="E7" t="s">
        <v>78</v>
      </c>
      <c r="F7">
        <f>F5+1%*F6</f>
        <v>2580</v>
      </c>
      <c r="H7" t="s">
        <v>71</v>
      </c>
      <c r="I7" s="220">
        <f>I6*F$7</f>
        <v>636.97104000000002</v>
      </c>
      <c r="J7" t="s">
        <v>120</v>
      </c>
      <c r="N7" t="s">
        <v>146</v>
      </c>
      <c r="O7">
        <v>64</v>
      </c>
      <c r="P7">
        <v>16</v>
      </c>
      <c r="Q7">
        <f>P7*O7/4</f>
        <v>256</v>
      </c>
      <c r="R7">
        <f>Q5+Q6+Q7</f>
        <v>1357.5</v>
      </c>
      <c r="T7">
        <f>T6*F5</f>
        <v>5291.7084284999992</v>
      </c>
    </row>
    <row r="8" spans="2:20" x14ac:dyDescent="0.2">
      <c r="B8" t="s">
        <v>131</v>
      </c>
      <c r="C8">
        <v>10</v>
      </c>
      <c r="E8" t="s">
        <v>79</v>
      </c>
      <c r="F8">
        <f>F5+2%*F6</f>
        <v>2660</v>
      </c>
      <c r="H8" t="s">
        <v>87</v>
      </c>
      <c r="I8" s="220">
        <f>I5*K5</f>
        <v>675</v>
      </c>
      <c r="J8" t="s">
        <v>121</v>
      </c>
      <c r="R8" s="219">
        <f>R7/C6</f>
        <v>126.11582250000001</v>
      </c>
    </row>
    <row r="9" spans="2:20" x14ac:dyDescent="0.2">
      <c r="B9" t="s">
        <v>151</v>
      </c>
      <c r="C9">
        <f>100/C5</f>
        <v>3.2808398950131235</v>
      </c>
      <c r="E9" t="s">
        <v>73</v>
      </c>
      <c r="F9">
        <v>2000</v>
      </c>
      <c r="H9" t="s">
        <v>123</v>
      </c>
      <c r="I9" s="220">
        <f>C30*I8*100</f>
        <v>760725</v>
      </c>
      <c r="J9" t="s">
        <v>112</v>
      </c>
      <c r="O9" t="s">
        <v>93</v>
      </c>
    </row>
    <row r="10" spans="2:20" x14ac:dyDescent="0.2">
      <c r="B10" t="s">
        <v>150</v>
      </c>
      <c r="C10">
        <f>C6*C9</f>
        <v>35.314681926451499</v>
      </c>
      <c r="E10" t="s">
        <v>74</v>
      </c>
      <c r="F10">
        <v>600</v>
      </c>
      <c r="H10" t="s">
        <v>95</v>
      </c>
      <c r="I10" s="220">
        <v>9</v>
      </c>
      <c r="O10">
        <v>35</v>
      </c>
      <c r="P10">
        <f>O10*C$5/100/2</f>
        <v>5.3339999999999996</v>
      </c>
    </row>
    <row r="11" spans="2:20" x14ac:dyDescent="0.2">
      <c r="E11" t="s">
        <v>85</v>
      </c>
      <c r="F11">
        <v>20</v>
      </c>
      <c r="H11" t="s">
        <v>96</v>
      </c>
      <c r="I11" s="220">
        <f>I10*I7</f>
        <v>5732.7393600000005</v>
      </c>
      <c r="J11" t="s">
        <v>120</v>
      </c>
      <c r="O11">
        <v>102</v>
      </c>
      <c r="P11">
        <f t="shared" ref="P11:P17" si="0">O11*C$5/100/2</f>
        <v>15.5448</v>
      </c>
      <c r="R11">
        <v>12</v>
      </c>
    </row>
    <row r="12" spans="2:20" x14ac:dyDescent="0.2">
      <c r="E12" t="s">
        <v>84</v>
      </c>
      <c r="F12">
        <v>415</v>
      </c>
      <c r="O12">
        <v>40</v>
      </c>
      <c r="P12">
        <f t="shared" si="0"/>
        <v>6.0960000000000001</v>
      </c>
      <c r="R12">
        <f>12*4*S12</f>
        <v>72</v>
      </c>
      <c r="S12">
        <v>1.5</v>
      </c>
    </row>
    <row r="13" spans="2:20" x14ac:dyDescent="0.2">
      <c r="E13" t="s">
        <v>86</v>
      </c>
      <c r="F13">
        <f>F11+1%*F12</f>
        <v>24.15</v>
      </c>
      <c r="R13">
        <f>R12+R11</f>
        <v>84</v>
      </c>
    </row>
    <row r="14" spans="2:20" x14ac:dyDescent="0.2">
      <c r="E14" t="s">
        <v>91</v>
      </c>
      <c r="F14">
        <f>F13*100</f>
        <v>2415</v>
      </c>
      <c r="O14">
        <v>39</v>
      </c>
      <c r="P14">
        <f t="shared" si="0"/>
        <v>5.9436</v>
      </c>
      <c r="R14">
        <v>123</v>
      </c>
    </row>
    <row r="15" spans="2:20" x14ac:dyDescent="0.2">
      <c r="E15" t="s">
        <v>135</v>
      </c>
      <c r="F15">
        <v>5</v>
      </c>
      <c r="H15" t="s">
        <v>72</v>
      </c>
      <c r="I15" s="220">
        <v>22.5</v>
      </c>
      <c r="K15">
        <v>45</v>
      </c>
      <c r="L15">
        <v>100</v>
      </c>
      <c r="O15">
        <v>28</v>
      </c>
      <c r="P15">
        <f t="shared" si="0"/>
        <v>4.2671999999999999</v>
      </c>
      <c r="R15">
        <f>R14-R13</f>
        <v>39</v>
      </c>
    </row>
    <row r="16" spans="2:20" x14ac:dyDescent="0.2">
      <c r="E16" t="s">
        <v>136</v>
      </c>
      <c r="F16">
        <v>7</v>
      </c>
      <c r="H16" t="s">
        <v>76</v>
      </c>
      <c r="I16" s="220">
        <f>I15*K15*L15/1000000</f>
        <v>0.10125000000000001</v>
      </c>
      <c r="J16" t="s">
        <v>119</v>
      </c>
      <c r="O16">
        <v>66</v>
      </c>
      <c r="P16">
        <f t="shared" si="0"/>
        <v>10.058400000000001</v>
      </c>
      <c r="R16">
        <f>R15/4</f>
        <v>9.75</v>
      </c>
    </row>
    <row r="17" spans="2:18" x14ac:dyDescent="0.2">
      <c r="B17" t="s">
        <v>98</v>
      </c>
      <c r="C17">
        <v>600</v>
      </c>
      <c r="D17" t="s">
        <v>99</v>
      </c>
      <c r="H17" t="s">
        <v>90</v>
      </c>
      <c r="I17" s="220">
        <f>I16*F$8</f>
        <v>269.32500000000005</v>
      </c>
      <c r="J17" t="s">
        <v>120</v>
      </c>
      <c r="O17">
        <v>45</v>
      </c>
      <c r="P17">
        <f t="shared" si="0"/>
        <v>6.8579999999999997</v>
      </c>
    </row>
    <row r="18" spans="2:18" x14ac:dyDescent="0.2">
      <c r="B18" t="s">
        <v>100</v>
      </c>
      <c r="C18">
        <v>20</v>
      </c>
      <c r="D18" t="s">
        <v>101</v>
      </c>
      <c r="H18" t="s">
        <v>125</v>
      </c>
      <c r="I18" s="220">
        <f>P24</f>
        <v>52.578000000000003</v>
      </c>
      <c r="J18" t="s">
        <v>124</v>
      </c>
    </row>
    <row r="19" spans="2:18" x14ac:dyDescent="0.2">
      <c r="B19" t="s">
        <v>102</v>
      </c>
      <c r="C19">
        <v>500</v>
      </c>
      <c r="D19" t="s">
        <v>101</v>
      </c>
      <c r="H19" t="s">
        <v>126</v>
      </c>
      <c r="I19" s="220">
        <f>I18*I17</f>
        <v>14160.569850000003</v>
      </c>
      <c r="J19" t="s">
        <v>120</v>
      </c>
      <c r="P19" s="219">
        <f>SUM(P10:P17)</f>
        <v>54.101999999999997</v>
      </c>
    </row>
    <row r="20" spans="2:18" x14ac:dyDescent="0.2">
      <c r="B20" t="s">
        <v>103</v>
      </c>
      <c r="C20">
        <v>1.5</v>
      </c>
    </row>
    <row r="21" spans="2:18" x14ac:dyDescent="0.2">
      <c r="B21" t="s">
        <v>105</v>
      </c>
      <c r="C21" s="215">
        <v>0.01</v>
      </c>
      <c r="D21" t="s">
        <v>106</v>
      </c>
      <c r="O21" t="s">
        <v>93</v>
      </c>
    </row>
    <row r="22" spans="2:18" x14ac:dyDescent="0.2">
      <c r="B22" t="s">
        <v>107</v>
      </c>
      <c r="C22" s="215">
        <v>0.99</v>
      </c>
      <c r="D22" t="s">
        <v>106</v>
      </c>
      <c r="E22" t="s">
        <v>137</v>
      </c>
      <c r="O22">
        <v>128</v>
      </c>
      <c r="P22">
        <f>3*O22*C$5/100/4</f>
        <v>29.2608</v>
      </c>
    </row>
    <row r="23" spans="2:18" x14ac:dyDescent="0.2">
      <c r="H23" t="s">
        <v>75</v>
      </c>
      <c r="I23" s="220">
        <v>15</v>
      </c>
      <c r="K23">
        <v>100</v>
      </c>
      <c r="L23">
        <v>100</v>
      </c>
      <c r="O23">
        <v>102</v>
      </c>
      <c r="P23">
        <f>3*O23*C$5/100/4</f>
        <v>23.317200000000003</v>
      </c>
    </row>
    <row r="24" spans="2:18" x14ac:dyDescent="0.2">
      <c r="B24" t="s">
        <v>104</v>
      </c>
      <c r="E24" t="s">
        <v>138</v>
      </c>
      <c r="F24" s="223">
        <f>I29</f>
        <v>52320.213177500002</v>
      </c>
      <c r="H24" t="s">
        <v>77</v>
      </c>
      <c r="I24" s="220">
        <f>I23*K23*L23/1000000</f>
        <v>0.15</v>
      </c>
      <c r="J24" t="s">
        <v>130</v>
      </c>
      <c r="P24" s="219">
        <f>P23+P22</f>
        <v>52.578000000000003</v>
      </c>
    </row>
    <row r="25" spans="2:18" x14ac:dyDescent="0.2">
      <c r="E25" t="s">
        <v>139</v>
      </c>
      <c r="F25">
        <f>1.2*F24</f>
        <v>62784.255812999996</v>
      </c>
      <c r="H25" t="s">
        <v>80</v>
      </c>
      <c r="I25" s="220">
        <f>I24*F$8</f>
        <v>399</v>
      </c>
      <c r="J25" t="s">
        <v>129</v>
      </c>
    </row>
    <row r="26" spans="2:18" x14ac:dyDescent="0.2">
      <c r="E26" t="s">
        <v>140</v>
      </c>
      <c r="F26">
        <f>20%*F13</f>
        <v>4.83</v>
      </c>
      <c r="H26" t="s">
        <v>128</v>
      </c>
      <c r="I26" s="220">
        <f>R8</f>
        <v>126.11582250000001</v>
      </c>
      <c r="J26" t="s">
        <v>127</v>
      </c>
    </row>
    <row r="27" spans="2:18" x14ac:dyDescent="0.2">
      <c r="B27" t="s">
        <v>108</v>
      </c>
      <c r="C27">
        <f>C17*C20*1000</f>
        <v>900000</v>
      </c>
      <c r="D27" t="s">
        <v>112</v>
      </c>
      <c r="E27" t="s">
        <v>141</v>
      </c>
      <c r="F27">
        <f>F26*10</f>
        <v>48.3</v>
      </c>
      <c r="H27" t="s">
        <v>88</v>
      </c>
      <c r="I27" s="220">
        <f>I26*I25</f>
        <v>50320.213177500002</v>
      </c>
      <c r="J27" t="s">
        <v>120</v>
      </c>
    </row>
    <row r="28" spans="2:18" x14ac:dyDescent="0.2">
      <c r="B28" t="s">
        <v>110</v>
      </c>
      <c r="C28">
        <f>0.4*C18*99%</f>
        <v>7.92</v>
      </c>
      <c r="D28" t="s">
        <v>101</v>
      </c>
      <c r="E28" t="s">
        <v>142</v>
      </c>
      <c r="F28">
        <f>F25/F27</f>
        <v>1299.8810727329192</v>
      </c>
      <c r="H28" t="s">
        <v>133</v>
      </c>
      <c r="I28" s="220">
        <v>2000</v>
      </c>
      <c r="J28" t="s">
        <v>120</v>
      </c>
    </row>
    <row r="29" spans="2:18" x14ac:dyDescent="0.2">
      <c r="B29" t="s">
        <v>109</v>
      </c>
      <c r="C29">
        <f>0.67*C19*1%</f>
        <v>3.35</v>
      </c>
      <c r="D29" t="s">
        <v>101</v>
      </c>
      <c r="H29" t="s">
        <v>134</v>
      </c>
      <c r="I29" s="220">
        <f>I28+I27</f>
        <v>52320.213177500002</v>
      </c>
      <c r="J29" t="s">
        <v>120</v>
      </c>
    </row>
    <row r="30" spans="2:18" x14ac:dyDescent="0.2">
      <c r="B30" t="s">
        <v>111</v>
      </c>
      <c r="C30">
        <f>C29+C28</f>
        <v>11.27</v>
      </c>
      <c r="D30" t="s">
        <v>101</v>
      </c>
    </row>
    <row r="31" spans="2:18" x14ac:dyDescent="0.2">
      <c r="B31" t="s">
        <v>116</v>
      </c>
      <c r="C31">
        <f>C27/C30</f>
        <v>79858.030168589175</v>
      </c>
      <c r="D31" t="s">
        <v>113</v>
      </c>
      <c r="L31">
        <v>50</v>
      </c>
      <c r="M31" t="s">
        <v>149</v>
      </c>
      <c r="Q31">
        <v>25.5</v>
      </c>
      <c r="R31">
        <f>Q31*4</f>
        <v>102</v>
      </c>
    </row>
    <row r="32" spans="2:18" x14ac:dyDescent="0.2">
      <c r="B32" t="s">
        <v>115</v>
      </c>
      <c r="C32">
        <f>SQRT(C31)</f>
        <v>282.59163145533728</v>
      </c>
      <c r="D32" t="s">
        <v>114</v>
      </c>
      <c r="H32" t="s">
        <v>97</v>
      </c>
      <c r="I32" s="220">
        <f>I29+I19+I11</f>
        <v>72213.522387500008</v>
      </c>
      <c r="J32" t="s">
        <v>120</v>
      </c>
      <c r="L32">
        <f>I33/L31</f>
        <v>2166.4056716250002</v>
      </c>
      <c r="M32" t="s">
        <v>147</v>
      </c>
      <c r="Q32">
        <v>31</v>
      </c>
      <c r="R32">
        <f>Q32*4</f>
        <v>124</v>
      </c>
    </row>
    <row r="33" spans="2:13" x14ac:dyDescent="0.2">
      <c r="H33" t="s">
        <v>81</v>
      </c>
      <c r="I33" s="220">
        <f>1.5*I32</f>
        <v>108320.28358125001</v>
      </c>
      <c r="J33" t="s">
        <v>120</v>
      </c>
      <c r="L33">
        <f>L32/I8</f>
        <v>3.2094898838888892</v>
      </c>
      <c r="M33" t="s">
        <v>148</v>
      </c>
    </row>
    <row r="34" spans="2:13" x14ac:dyDescent="0.2">
      <c r="H34" t="s">
        <v>118</v>
      </c>
      <c r="I34" s="220">
        <f>I33/I26</f>
        <v>858.89527129912665</v>
      </c>
      <c r="J34" t="s">
        <v>129</v>
      </c>
    </row>
    <row r="35" spans="2:13" x14ac:dyDescent="0.2">
      <c r="B35">
        <f>0.85 *30 * 1350</f>
        <v>34425</v>
      </c>
      <c r="C35" s="221">
        <v>3822500</v>
      </c>
      <c r="D35">
        <f>C35/B35</f>
        <v>111.03848946986201</v>
      </c>
      <c r="H35" t="s">
        <v>117</v>
      </c>
      <c r="I35" s="220">
        <f>C8*I34</f>
        <v>8588.9527129912658</v>
      </c>
      <c r="J35" t="s">
        <v>132</v>
      </c>
    </row>
    <row r="36" spans="2:13" x14ac:dyDescent="0.2">
      <c r="D36">
        <v>9.81</v>
      </c>
    </row>
    <row r="37" spans="2:13" x14ac:dyDescent="0.2">
      <c r="D37">
        <f>1000/D36</f>
        <v>101.9367991845056</v>
      </c>
    </row>
    <row r="38" spans="2:13" x14ac:dyDescent="0.2">
      <c r="H38" t="s">
        <v>89</v>
      </c>
      <c r="I38" s="220">
        <f>I35/F15</f>
        <v>1717.7905425982531</v>
      </c>
      <c r="J38" t="s">
        <v>113</v>
      </c>
    </row>
    <row r="39" spans="2:13" x14ac:dyDescent="0.2">
      <c r="H39" t="s">
        <v>89</v>
      </c>
      <c r="I39" s="220">
        <f>I38/100</f>
        <v>17.17790542598253</v>
      </c>
      <c r="J39" t="s">
        <v>121</v>
      </c>
    </row>
    <row r="40" spans="2:13" x14ac:dyDescent="0.2">
      <c r="H40" t="s">
        <v>143</v>
      </c>
      <c r="I40" s="220">
        <f>I39*I26</f>
        <v>2166.4056716249997</v>
      </c>
      <c r="J40" t="s">
        <v>121</v>
      </c>
    </row>
    <row r="41" spans="2:13" x14ac:dyDescent="0.2">
      <c r="H41" t="s">
        <v>92</v>
      </c>
      <c r="I41" s="222">
        <f>I40/I8</f>
        <v>3.2094898838888883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1E49C-ACDA-174E-AEA7-D754159F2CA8}">
  <sheetPr codeName="Sheet6"/>
  <dimension ref="AA47:TP694"/>
  <sheetViews>
    <sheetView showRowColHeaders="0" tabSelected="1" topLeftCell="A317" zoomScale="50" zoomScaleNormal="75" workbookViewId="0">
      <selection activeCell="FX342" sqref="FX342"/>
    </sheetView>
  </sheetViews>
  <sheetFormatPr baseColWidth="10" defaultColWidth="1.6640625" defaultRowHeight="10.75" customHeight="1" x14ac:dyDescent="0.2"/>
  <cols>
    <col min="80" max="80" width="1.6640625" customWidth="1"/>
  </cols>
  <sheetData>
    <row r="47" spans="76:211" ht="10.75" customHeight="1" x14ac:dyDescent="0.2">
      <c r="BX47" s="9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1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1"/>
    </row>
    <row r="48" spans="76:211" ht="10.75" customHeight="1" x14ac:dyDescent="0.2">
      <c r="BX48" s="12"/>
      <c r="FK48" s="13"/>
      <c r="HC48" s="13"/>
    </row>
    <row r="49" spans="76:387" ht="10.75" customHeight="1" x14ac:dyDescent="0.2">
      <c r="BX49" s="12"/>
      <c r="FK49" s="13"/>
      <c r="HC49" s="13"/>
    </row>
    <row r="50" spans="76:387" ht="10.75" customHeight="1" x14ac:dyDescent="0.2">
      <c r="BX50" s="12"/>
      <c r="FK50" s="13"/>
      <c r="HC50" s="13"/>
    </row>
    <row r="51" spans="76:387" ht="10.75" customHeight="1" x14ac:dyDescent="0.2">
      <c r="BX51" s="12"/>
      <c r="CA51" s="13"/>
      <c r="CB51" s="260"/>
      <c r="CC51" s="141"/>
      <c r="CD51" s="57"/>
      <c r="CE51" s="57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57"/>
      <c r="EM51" s="57"/>
      <c r="EN51" s="57"/>
      <c r="EO51" s="57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260"/>
      <c r="FG51" s="236"/>
      <c r="FH51" s="10"/>
      <c r="FI51" s="10"/>
      <c r="FJ51" s="10"/>
      <c r="FK51" s="11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57"/>
      <c r="GW51" s="57"/>
      <c r="GX51" s="57"/>
      <c r="GY51" s="58"/>
      <c r="HC51" s="13"/>
    </row>
    <row r="52" spans="76:387" ht="10.75" customHeight="1" x14ac:dyDescent="0.2">
      <c r="BX52" s="12"/>
      <c r="CA52" s="13"/>
      <c r="CB52" s="214"/>
      <c r="CC52" s="49"/>
      <c r="CD52" s="97"/>
      <c r="CE52" s="97"/>
      <c r="EL52" s="97"/>
      <c r="EM52" s="97"/>
      <c r="EN52" s="97"/>
      <c r="EO52" s="97"/>
      <c r="FF52" s="214"/>
      <c r="FG52" s="208"/>
      <c r="FK52" s="13"/>
      <c r="GV52" s="97"/>
      <c r="GW52" s="97"/>
      <c r="GX52" s="97"/>
      <c r="GY52" s="98"/>
      <c r="HC52" s="13"/>
      <c r="JT52" s="9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1"/>
    </row>
    <row r="53" spans="76:387" ht="10.75" customHeight="1" thickBot="1" x14ac:dyDescent="0.25">
      <c r="BX53" s="12"/>
      <c r="CA53" s="13"/>
      <c r="CB53" s="214"/>
      <c r="CC53" s="49"/>
      <c r="CD53" s="97"/>
      <c r="CE53" s="97"/>
      <c r="EL53" s="97"/>
      <c r="EM53" s="97"/>
      <c r="EN53" s="97"/>
      <c r="EO53" s="97"/>
      <c r="FF53" s="237"/>
      <c r="FG53" s="209"/>
      <c r="FK53" s="13"/>
      <c r="GV53" s="97"/>
      <c r="GW53" s="97"/>
      <c r="GX53" s="97"/>
      <c r="GY53" s="98"/>
      <c r="HC53" s="13"/>
      <c r="JT53" s="12"/>
      <c r="NW53" s="13"/>
    </row>
    <row r="54" spans="76:387" ht="10.75" customHeight="1" x14ac:dyDescent="0.2">
      <c r="BX54" s="12"/>
      <c r="CA54" s="13"/>
      <c r="CB54" s="214"/>
      <c r="CC54" s="49"/>
      <c r="CE54" s="9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"/>
      <c r="DJ54" s="2"/>
      <c r="DK54" s="2"/>
      <c r="DL54" s="2"/>
      <c r="DM54" s="247"/>
      <c r="DN54" s="248"/>
      <c r="DO54" s="2"/>
      <c r="DP54" s="2"/>
      <c r="DQ54" s="2"/>
      <c r="DR54" s="247"/>
      <c r="DS54" s="248"/>
      <c r="DT54" s="2"/>
      <c r="DU54" s="2"/>
      <c r="DV54" s="2"/>
      <c r="DW54" s="247"/>
      <c r="DX54" s="2"/>
      <c r="DY54" s="2"/>
      <c r="DZ54" s="247"/>
      <c r="EA54" s="2"/>
      <c r="EB54" s="2"/>
      <c r="EC54" s="249"/>
      <c r="ED54" s="250"/>
      <c r="EE54" s="250"/>
      <c r="EF54" s="250"/>
      <c r="EG54" s="251"/>
      <c r="EH54" s="249"/>
      <c r="EI54" s="250"/>
      <c r="EJ54" s="250"/>
      <c r="EK54" s="250"/>
      <c r="EL54" s="251"/>
      <c r="EM54" s="249"/>
      <c r="EN54" s="250"/>
      <c r="EO54" s="250"/>
      <c r="EP54" s="250"/>
      <c r="EQ54" s="251"/>
      <c r="ER54" s="249"/>
      <c r="ES54" s="250"/>
      <c r="ET54" s="250"/>
      <c r="EU54" s="250"/>
      <c r="EV54" s="251"/>
      <c r="EW54" s="248"/>
      <c r="EX54" s="247"/>
      <c r="EY54" s="248"/>
      <c r="EZ54" s="2"/>
      <c r="FA54" s="247"/>
      <c r="FB54" s="248"/>
      <c r="FC54" s="2"/>
      <c r="FD54" s="2"/>
      <c r="FE54" s="3"/>
      <c r="FF54" s="236"/>
      <c r="FG54" s="236"/>
      <c r="FH54" s="10"/>
      <c r="FI54" s="10"/>
      <c r="FJ54" s="10"/>
      <c r="FK54" s="11"/>
      <c r="FL54" s="238"/>
      <c r="FM54" s="239"/>
      <c r="FN54" s="239"/>
      <c r="FO54" s="239"/>
      <c r="FP54" s="240"/>
      <c r="FQ54" s="238"/>
      <c r="FR54" s="239"/>
      <c r="FS54" s="239"/>
      <c r="FT54" s="239"/>
      <c r="FU54" s="240"/>
      <c r="FV54" s="238"/>
      <c r="FW54" s="239"/>
      <c r="FX54" s="239"/>
      <c r="FY54" s="239"/>
      <c r="FZ54" s="240"/>
      <c r="GA54" s="238"/>
      <c r="GB54" s="239"/>
      <c r="GC54" s="239"/>
      <c r="GD54" s="239"/>
      <c r="GE54" s="240"/>
      <c r="GF54" s="10"/>
      <c r="GG54" s="10"/>
      <c r="GH54" s="10"/>
      <c r="GI54" s="10"/>
      <c r="GJ54" s="11"/>
      <c r="GK54" s="9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1"/>
      <c r="GY54" s="13"/>
      <c r="HC54" s="13"/>
      <c r="JT54" s="12"/>
      <c r="NW54" s="13"/>
    </row>
    <row r="55" spans="76:387" ht="10.75" customHeight="1" x14ac:dyDescent="0.2">
      <c r="BX55" s="12"/>
      <c r="CA55" s="13"/>
      <c r="CB55" s="214"/>
      <c r="CC55" s="49"/>
      <c r="CE55" s="12"/>
      <c r="DI55" s="4"/>
      <c r="DM55" s="13"/>
      <c r="DN55" s="12"/>
      <c r="DR55" s="13"/>
      <c r="DS55" s="12"/>
      <c r="DW55" s="13"/>
      <c r="DZ55" s="13"/>
      <c r="EC55" s="241"/>
      <c r="ED55" s="246"/>
      <c r="EE55" s="246"/>
      <c r="EF55" s="246"/>
      <c r="EG55" s="242"/>
      <c r="EH55" s="241"/>
      <c r="EI55" s="246"/>
      <c r="EJ55" s="246"/>
      <c r="EK55" s="246"/>
      <c r="EL55" s="242"/>
      <c r="EM55" s="241"/>
      <c r="EN55" s="246"/>
      <c r="EO55" s="246"/>
      <c r="EP55" s="246"/>
      <c r="EQ55" s="242"/>
      <c r="ER55" s="241"/>
      <c r="ES55" s="246"/>
      <c r="ET55" s="246"/>
      <c r="EU55" s="246"/>
      <c r="EV55" s="242"/>
      <c r="EW55" s="12"/>
      <c r="EX55" s="13"/>
      <c r="EY55" s="12"/>
      <c r="FA55" s="13"/>
      <c r="FB55" s="12"/>
      <c r="FE55" s="5"/>
      <c r="FF55" s="208"/>
      <c r="FG55" s="208"/>
      <c r="FK55" s="13"/>
      <c r="FL55" s="241"/>
      <c r="FM55" s="246"/>
      <c r="FN55" s="246"/>
      <c r="FO55" s="246"/>
      <c r="FP55" s="242"/>
      <c r="FQ55" s="241"/>
      <c r="FR55" s="246"/>
      <c r="FS55" s="246"/>
      <c r="FT55" s="246"/>
      <c r="FU55" s="242"/>
      <c r="FV55" s="241"/>
      <c r="FW55" s="246"/>
      <c r="FX55" s="246"/>
      <c r="FY55" s="246"/>
      <c r="FZ55" s="242"/>
      <c r="GA55" s="241"/>
      <c r="GB55" s="246"/>
      <c r="GC55" s="246"/>
      <c r="GD55" s="246"/>
      <c r="GE55" s="242"/>
      <c r="GJ55" s="13"/>
      <c r="GK55" s="12"/>
      <c r="GV55" s="13"/>
      <c r="GY55" s="13"/>
      <c r="HC55" s="13"/>
      <c r="JT55" s="12"/>
      <c r="JW55" s="9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9"/>
      <c r="KV55" s="10"/>
      <c r="KW55" s="10"/>
      <c r="KX55" s="11"/>
      <c r="KY55" s="9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1"/>
      <c r="LU55" s="10"/>
      <c r="LV55" s="11"/>
      <c r="LW55" s="9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1"/>
      <c r="MO55" s="10"/>
      <c r="MP55" s="11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9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1"/>
      <c r="NW55" s="13"/>
    </row>
    <row r="56" spans="76:387" ht="10.75" customHeight="1" x14ac:dyDescent="0.2">
      <c r="BX56" s="12"/>
      <c r="CA56" s="13"/>
      <c r="CB56" s="214"/>
      <c r="CC56" s="49"/>
      <c r="CE56" s="12"/>
      <c r="DI56" s="4"/>
      <c r="DM56" s="13"/>
      <c r="DN56" s="12"/>
      <c r="DR56" s="13"/>
      <c r="DS56" s="12"/>
      <c r="DW56" s="13"/>
      <c r="DZ56" s="13"/>
      <c r="EC56" s="241"/>
      <c r="ED56" s="246"/>
      <c r="EE56" s="246"/>
      <c r="EF56" s="246"/>
      <c r="EG56" s="242"/>
      <c r="EH56" s="241"/>
      <c r="EI56" s="246"/>
      <c r="EJ56" s="246"/>
      <c r="EK56" s="246"/>
      <c r="EL56" s="242"/>
      <c r="EM56" s="241"/>
      <c r="EN56" s="246"/>
      <c r="EO56" s="246"/>
      <c r="EP56" s="246"/>
      <c r="EQ56" s="242"/>
      <c r="ER56" s="241"/>
      <c r="ES56" s="246"/>
      <c r="ET56" s="246"/>
      <c r="EU56" s="246"/>
      <c r="EV56" s="242"/>
      <c r="EW56" s="12"/>
      <c r="EX56" s="13"/>
      <c r="EY56" s="12"/>
      <c r="FA56" s="13"/>
      <c r="FB56" s="12"/>
      <c r="FE56" s="5"/>
      <c r="FF56" s="208"/>
      <c r="FG56" s="208"/>
      <c r="FK56" s="13"/>
      <c r="FL56" s="241"/>
      <c r="FM56" s="246"/>
      <c r="FN56" s="246"/>
      <c r="FO56" s="246"/>
      <c r="FP56" s="242"/>
      <c r="FQ56" s="241"/>
      <c r="FR56" s="246"/>
      <c r="FS56" s="246"/>
      <c r="FT56" s="246"/>
      <c r="FU56" s="242"/>
      <c r="FV56" s="241"/>
      <c r="FW56" s="246"/>
      <c r="FX56" s="246"/>
      <c r="FY56" s="246"/>
      <c r="FZ56" s="242"/>
      <c r="GA56" s="241"/>
      <c r="GB56" s="246"/>
      <c r="GC56" s="246"/>
      <c r="GD56" s="246"/>
      <c r="GE56" s="242"/>
      <c r="GJ56" s="13"/>
      <c r="GK56" s="12"/>
      <c r="GV56" s="13"/>
      <c r="GY56" s="13"/>
      <c r="HC56" s="13"/>
      <c r="JT56" s="12"/>
      <c r="JW56" s="12"/>
      <c r="KU56" s="12"/>
      <c r="KX56" s="13"/>
      <c r="KY56" s="12"/>
      <c r="LT56" s="13"/>
      <c r="LV56" s="13"/>
      <c r="LW56" s="12"/>
      <c r="MN56" s="13"/>
      <c r="MP56" s="13"/>
      <c r="NI56" s="12"/>
      <c r="NT56" s="13"/>
      <c r="NW56" s="13"/>
    </row>
    <row r="57" spans="76:387" ht="10.75" customHeight="1" x14ac:dyDescent="0.2">
      <c r="BX57" s="12"/>
      <c r="CA57" s="13"/>
      <c r="CB57" s="214"/>
      <c r="CC57" s="49"/>
      <c r="CE57" s="12"/>
      <c r="DI57" s="4"/>
      <c r="DM57" s="13"/>
      <c r="DN57" s="12"/>
      <c r="DR57" s="13"/>
      <c r="DS57" s="12"/>
      <c r="DW57" s="13"/>
      <c r="DZ57" s="13"/>
      <c r="EC57" s="241"/>
      <c r="ED57" s="246"/>
      <c r="EE57" s="246"/>
      <c r="EF57" s="246"/>
      <c r="EG57" s="242"/>
      <c r="EH57" s="241"/>
      <c r="EI57" s="246"/>
      <c r="EJ57" s="246"/>
      <c r="EK57" s="246"/>
      <c r="EL57" s="242"/>
      <c r="EM57" s="241"/>
      <c r="EN57" s="246"/>
      <c r="EO57" s="246"/>
      <c r="EP57" s="246"/>
      <c r="EQ57" s="242"/>
      <c r="ER57" s="241"/>
      <c r="ES57" s="246"/>
      <c r="ET57" s="246"/>
      <c r="EU57" s="246"/>
      <c r="EV57" s="242"/>
      <c r="EW57" s="12"/>
      <c r="EX57" s="13"/>
      <c r="EY57" s="12"/>
      <c r="FA57" s="13"/>
      <c r="FB57" s="12"/>
      <c r="FE57" s="5"/>
      <c r="FF57" s="208"/>
      <c r="FG57" s="208"/>
      <c r="FK57" s="13"/>
      <c r="FL57" s="241"/>
      <c r="FM57" s="246"/>
      <c r="FN57" s="246"/>
      <c r="FO57" s="246"/>
      <c r="FP57" s="242"/>
      <c r="FQ57" s="241"/>
      <c r="FR57" s="246"/>
      <c r="FS57" s="246"/>
      <c r="FT57" s="246"/>
      <c r="FU57" s="242"/>
      <c r="FV57" s="241"/>
      <c r="FW57" s="246"/>
      <c r="FX57" s="246"/>
      <c r="FY57" s="246"/>
      <c r="FZ57" s="242"/>
      <c r="GA57" s="241"/>
      <c r="GB57" s="246"/>
      <c r="GC57" s="246"/>
      <c r="GD57" s="246"/>
      <c r="GE57" s="242"/>
      <c r="GJ57" s="13"/>
      <c r="GK57" s="12"/>
      <c r="GV57" s="13"/>
      <c r="GY57" s="13"/>
      <c r="HC57" s="13"/>
      <c r="JT57" s="12"/>
      <c r="JW57" s="12"/>
      <c r="KU57" s="12"/>
      <c r="KX57" s="13"/>
      <c r="KY57" s="12"/>
      <c r="LT57" s="13"/>
      <c r="LV57" s="13"/>
      <c r="LW57" s="12"/>
      <c r="MN57" s="13"/>
      <c r="MP57" s="13"/>
      <c r="NI57" s="12"/>
      <c r="NT57" s="13"/>
      <c r="NW57" s="13"/>
    </row>
    <row r="58" spans="76:387" ht="10.75" customHeight="1" x14ac:dyDescent="0.2">
      <c r="BX58" s="12"/>
      <c r="CA58" s="13"/>
      <c r="CB58" s="214"/>
      <c r="CC58" s="49"/>
      <c r="CE58" s="12"/>
      <c r="DI58" s="4"/>
      <c r="DM58" s="13"/>
      <c r="DN58" s="12"/>
      <c r="DR58" s="13"/>
      <c r="DS58" s="12"/>
      <c r="DW58" s="13"/>
      <c r="DZ58" s="13"/>
      <c r="EC58" s="241"/>
      <c r="ED58" s="246"/>
      <c r="EE58" s="246"/>
      <c r="EF58" s="246"/>
      <c r="EG58" s="242"/>
      <c r="EH58" s="241"/>
      <c r="EI58" s="246"/>
      <c r="EJ58" s="246"/>
      <c r="EK58" s="246"/>
      <c r="EL58" s="242"/>
      <c r="EM58" s="241"/>
      <c r="EN58" s="246"/>
      <c r="EO58" s="246"/>
      <c r="EP58" s="246"/>
      <c r="EQ58" s="242"/>
      <c r="ER58" s="241"/>
      <c r="ES58" s="246"/>
      <c r="ET58" s="246"/>
      <c r="EU58" s="246"/>
      <c r="EV58" s="242"/>
      <c r="EW58" s="12"/>
      <c r="EX58" s="13"/>
      <c r="EY58" s="12"/>
      <c r="FA58" s="13"/>
      <c r="FB58" s="12"/>
      <c r="FE58" s="5"/>
      <c r="FF58" s="208"/>
      <c r="FG58" s="208"/>
      <c r="FK58" s="13"/>
      <c r="FL58" s="241"/>
      <c r="FM58" s="246"/>
      <c r="FN58" s="246"/>
      <c r="FO58" s="246"/>
      <c r="FP58" s="242"/>
      <c r="FQ58" s="241"/>
      <c r="FR58" s="246"/>
      <c r="FS58" s="246"/>
      <c r="FT58" s="246"/>
      <c r="FU58" s="242"/>
      <c r="FV58" s="241"/>
      <c r="FW58" s="246"/>
      <c r="FX58" s="246"/>
      <c r="FY58" s="246"/>
      <c r="FZ58" s="242"/>
      <c r="GA58" s="241"/>
      <c r="GB58" s="246"/>
      <c r="GC58" s="246"/>
      <c r="GD58" s="246"/>
      <c r="GE58" s="242"/>
      <c r="GJ58" s="13"/>
      <c r="GK58" s="12"/>
      <c r="GV58" s="13"/>
      <c r="GY58" s="13"/>
      <c r="HC58" s="13"/>
      <c r="JT58" s="12"/>
      <c r="JW58" s="12"/>
      <c r="KU58" s="12"/>
      <c r="KX58" s="13"/>
      <c r="KY58" s="12"/>
      <c r="LT58" s="13"/>
      <c r="LV58" s="13"/>
      <c r="LW58" s="12"/>
      <c r="MN58" s="13"/>
      <c r="MP58" s="13"/>
      <c r="NI58" s="12"/>
      <c r="NT58" s="13"/>
      <c r="NW58" s="13"/>
    </row>
    <row r="59" spans="76:387" ht="10.75" customHeight="1" x14ac:dyDescent="0.2">
      <c r="BX59" s="12"/>
      <c r="CA59" s="13"/>
      <c r="CB59" s="214"/>
      <c r="CC59" s="49"/>
      <c r="CE59" s="12"/>
      <c r="DI59" s="4"/>
      <c r="DM59" s="13"/>
      <c r="DN59" s="12"/>
      <c r="DR59" s="13"/>
      <c r="DS59" s="12"/>
      <c r="DW59" s="13"/>
      <c r="DZ59" s="13"/>
      <c r="EC59" s="241"/>
      <c r="ED59" s="246"/>
      <c r="EE59" s="246"/>
      <c r="EF59" s="246"/>
      <c r="EG59" s="242"/>
      <c r="EH59" s="241"/>
      <c r="EI59" s="246"/>
      <c r="EJ59" s="246"/>
      <c r="EK59" s="246"/>
      <c r="EL59" s="242"/>
      <c r="EM59" s="241"/>
      <c r="EN59" s="246"/>
      <c r="EO59" s="246"/>
      <c r="EP59" s="246"/>
      <c r="EQ59" s="242"/>
      <c r="ER59" s="241"/>
      <c r="ES59" s="246"/>
      <c r="ET59" s="246"/>
      <c r="EU59" s="246"/>
      <c r="EV59" s="242"/>
      <c r="EW59" s="12"/>
      <c r="EX59" s="13"/>
      <c r="EY59" s="12"/>
      <c r="FA59" s="13"/>
      <c r="FB59" s="12"/>
      <c r="FE59" s="5"/>
      <c r="FF59" s="208"/>
      <c r="FG59" s="208"/>
      <c r="FK59" s="13"/>
      <c r="FL59" s="241"/>
      <c r="FM59" s="246"/>
      <c r="FN59" s="246"/>
      <c r="FO59" s="246"/>
      <c r="FP59" s="242"/>
      <c r="FQ59" s="241"/>
      <c r="FR59" s="246"/>
      <c r="FS59" s="246"/>
      <c r="FT59" s="246"/>
      <c r="FU59" s="242"/>
      <c r="FV59" s="241"/>
      <c r="FW59" s="246"/>
      <c r="FX59" s="246"/>
      <c r="FY59" s="246"/>
      <c r="FZ59" s="242"/>
      <c r="GA59" s="241"/>
      <c r="GB59" s="246"/>
      <c r="GC59" s="246"/>
      <c r="GD59" s="246"/>
      <c r="GE59" s="242"/>
      <c r="GJ59" s="13"/>
      <c r="GK59" s="12"/>
      <c r="GV59" s="13"/>
      <c r="GY59" s="13"/>
      <c r="HC59" s="13"/>
      <c r="JT59" s="12"/>
      <c r="JW59" s="12"/>
      <c r="KU59" s="12"/>
      <c r="KX59" s="13"/>
      <c r="KY59" s="12"/>
      <c r="LT59" s="13"/>
      <c r="LV59" s="13"/>
      <c r="LW59" s="12"/>
      <c r="MN59" s="13"/>
      <c r="MP59" s="13"/>
      <c r="NI59" s="12"/>
      <c r="NT59" s="13"/>
      <c r="NW59" s="13"/>
    </row>
    <row r="60" spans="76:387" ht="10.75" customHeight="1" x14ac:dyDescent="0.2">
      <c r="BX60" s="12"/>
      <c r="CA60" s="13"/>
      <c r="CB60" s="214"/>
      <c r="CC60" s="49"/>
      <c r="CE60" s="12"/>
      <c r="DI60" s="4"/>
      <c r="DM60" s="13"/>
      <c r="DN60" s="12"/>
      <c r="DR60" s="13"/>
      <c r="DS60" s="12"/>
      <c r="DW60" s="13"/>
      <c r="DZ60" s="13"/>
      <c r="EC60" s="241"/>
      <c r="ED60" s="246"/>
      <c r="EE60" s="246"/>
      <c r="EF60" s="246"/>
      <c r="EG60" s="242"/>
      <c r="EH60" s="241"/>
      <c r="EI60" s="246"/>
      <c r="EJ60" s="246"/>
      <c r="EK60" s="246"/>
      <c r="EL60" s="242"/>
      <c r="EM60" s="241"/>
      <c r="EN60" s="246"/>
      <c r="EO60" s="246"/>
      <c r="EP60" s="246"/>
      <c r="EQ60" s="242"/>
      <c r="ER60" s="241"/>
      <c r="ES60" s="246"/>
      <c r="ET60" s="246"/>
      <c r="EU60" s="246"/>
      <c r="EV60" s="242"/>
      <c r="EW60" s="12"/>
      <c r="EX60" s="13"/>
      <c r="EY60" s="12"/>
      <c r="FA60" s="13"/>
      <c r="FB60" s="12"/>
      <c r="FE60" s="5"/>
      <c r="FF60" s="208"/>
      <c r="FG60" s="208"/>
      <c r="FK60" s="13"/>
      <c r="FL60" s="241"/>
      <c r="FM60" s="246"/>
      <c r="FN60" s="246"/>
      <c r="FO60" s="246"/>
      <c r="FP60" s="242"/>
      <c r="FQ60" s="241"/>
      <c r="FR60" s="246"/>
      <c r="FS60" s="246"/>
      <c r="FT60" s="246"/>
      <c r="FU60" s="242"/>
      <c r="FV60" s="241"/>
      <c r="FW60" s="246"/>
      <c r="FX60" s="246"/>
      <c r="FY60" s="246"/>
      <c r="FZ60" s="242"/>
      <c r="GA60" s="241"/>
      <c r="GB60" s="246"/>
      <c r="GC60" s="246"/>
      <c r="GD60" s="246"/>
      <c r="GE60" s="242"/>
      <c r="GJ60" s="13"/>
      <c r="GK60" s="12"/>
      <c r="GV60" s="13"/>
      <c r="GY60" s="13"/>
      <c r="HC60" s="13"/>
      <c r="JT60" s="12"/>
      <c r="JW60" s="12"/>
      <c r="KU60" s="12"/>
      <c r="KX60" s="13"/>
      <c r="KY60" s="12"/>
      <c r="LT60" s="13"/>
      <c r="LV60" s="13"/>
      <c r="LW60" s="12"/>
      <c r="MN60" s="13"/>
      <c r="MP60" s="13"/>
      <c r="NI60" s="12"/>
      <c r="NT60" s="13"/>
      <c r="NW60" s="13"/>
    </row>
    <row r="61" spans="76:387" ht="10.75" customHeight="1" x14ac:dyDescent="0.2">
      <c r="BX61" s="12"/>
      <c r="CA61" s="13"/>
      <c r="CB61" s="214"/>
      <c r="CC61" s="49"/>
      <c r="CE61" s="12"/>
      <c r="DI61" s="4"/>
      <c r="DM61" s="13"/>
      <c r="DN61" s="12"/>
      <c r="DR61" s="13"/>
      <c r="DS61" s="12"/>
      <c r="DW61" s="13"/>
      <c r="DZ61" s="13"/>
      <c r="EC61" s="241"/>
      <c r="ED61" s="246"/>
      <c r="EE61" s="246"/>
      <c r="EF61" s="246"/>
      <c r="EG61" s="242"/>
      <c r="EH61" s="241"/>
      <c r="EI61" s="246"/>
      <c r="EJ61" s="246"/>
      <c r="EK61" s="246"/>
      <c r="EL61" s="242"/>
      <c r="EM61" s="241"/>
      <c r="EN61" s="246"/>
      <c r="EO61" s="246"/>
      <c r="EP61" s="246"/>
      <c r="EQ61" s="242"/>
      <c r="ER61" s="241"/>
      <c r="ES61" s="246"/>
      <c r="ET61" s="246"/>
      <c r="EU61" s="246"/>
      <c r="EV61" s="242"/>
      <c r="EW61" s="12"/>
      <c r="EX61" s="13"/>
      <c r="EY61" s="12"/>
      <c r="FA61" s="13"/>
      <c r="FB61" s="12"/>
      <c r="FE61" s="5"/>
      <c r="FF61" s="208"/>
      <c r="FG61" s="208"/>
      <c r="FK61" s="13"/>
      <c r="FL61" s="241"/>
      <c r="FM61" s="246"/>
      <c r="FN61" s="246"/>
      <c r="FO61" s="246"/>
      <c r="FP61" s="242"/>
      <c r="FQ61" s="241"/>
      <c r="FR61" s="246"/>
      <c r="FS61" s="246"/>
      <c r="FT61" s="246"/>
      <c r="FU61" s="242"/>
      <c r="FV61" s="241"/>
      <c r="FW61" s="246"/>
      <c r="FX61" s="246"/>
      <c r="FY61" s="246"/>
      <c r="FZ61" s="242"/>
      <c r="GA61" s="241"/>
      <c r="GB61" s="246"/>
      <c r="GC61" s="246"/>
      <c r="GD61" s="246"/>
      <c r="GE61" s="242"/>
      <c r="GJ61" s="13"/>
      <c r="GK61" s="12"/>
      <c r="GV61" s="13"/>
      <c r="GY61" s="13"/>
      <c r="HC61" s="13"/>
      <c r="JT61" s="12"/>
      <c r="JW61" s="12"/>
      <c r="KU61" s="12"/>
      <c r="KX61" s="13"/>
      <c r="KY61" s="12"/>
      <c r="LT61" s="13"/>
      <c r="LV61" s="13"/>
      <c r="LW61" s="12"/>
      <c r="MN61" s="13"/>
      <c r="MP61" s="13"/>
      <c r="NI61" s="12"/>
      <c r="NT61" s="13"/>
      <c r="NW61" s="13"/>
    </row>
    <row r="62" spans="76:387" ht="10.75" customHeight="1" x14ac:dyDescent="0.2">
      <c r="BX62" s="12"/>
      <c r="CA62" s="13"/>
      <c r="CB62" s="214"/>
      <c r="CC62" s="49"/>
      <c r="CE62" s="12"/>
      <c r="DI62" s="4"/>
      <c r="DM62" s="13"/>
      <c r="DN62" s="12"/>
      <c r="DR62" s="13"/>
      <c r="DS62" s="12"/>
      <c r="DW62" s="13"/>
      <c r="DZ62" s="13"/>
      <c r="EC62" s="241"/>
      <c r="ED62" s="246"/>
      <c r="EE62" s="246"/>
      <c r="EF62" s="246"/>
      <c r="EG62" s="242"/>
      <c r="EH62" s="241"/>
      <c r="EI62" s="246"/>
      <c r="EJ62" s="246"/>
      <c r="EK62" s="246"/>
      <c r="EL62" s="242"/>
      <c r="EM62" s="241"/>
      <c r="EN62" s="246"/>
      <c r="EO62" s="246"/>
      <c r="EP62" s="246"/>
      <c r="EQ62" s="242"/>
      <c r="ER62" s="241"/>
      <c r="ES62" s="246"/>
      <c r="ET62" s="246"/>
      <c r="EU62" s="246"/>
      <c r="EV62" s="242"/>
      <c r="EW62" s="12"/>
      <c r="EX62" s="13"/>
      <c r="EY62" s="12"/>
      <c r="FA62" s="13"/>
      <c r="FB62" s="12"/>
      <c r="FE62" s="5"/>
      <c r="FF62" s="208"/>
      <c r="FG62" s="208"/>
      <c r="FK62" s="13"/>
      <c r="FL62" s="241"/>
      <c r="FM62" s="246"/>
      <c r="FN62" s="246"/>
      <c r="FO62" s="246"/>
      <c r="FP62" s="242"/>
      <c r="FQ62" s="241"/>
      <c r="FR62" s="246"/>
      <c r="FS62" s="246"/>
      <c r="FT62" s="246"/>
      <c r="FU62" s="242"/>
      <c r="FV62" s="241"/>
      <c r="FW62" s="246"/>
      <c r="FX62" s="246"/>
      <c r="FY62" s="246"/>
      <c r="FZ62" s="242"/>
      <c r="GA62" s="241"/>
      <c r="GB62" s="246"/>
      <c r="GC62" s="246"/>
      <c r="GD62" s="246"/>
      <c r="GE62" s="242"/>
      <c r="GJ62" s="13"/>
      <c r="GK62" s="12"/>
      <c r="GV62" s="13"/>
      <c r="GY62" s="13"/>
      <c r="HC62" s="13"/>
      <c r="JT62" s="12"/>
      <c r="JW62" s="12"/>
      <c r="KU62" s="12"/>
      <c r="KX62" s="13"/>
      <c r="KY62" s="12"/>
      <c r="LT62" s="13"/>
      <c r="LV62" s="13"/>
      <c r="LW62" s="12"/>
      <c r="MN62" s="13"/>
      <c r="MP62" s="13"/>
      <c r="NI62" s="12"/>
      <c r="NT62" s="13"/>
      <c r="NW62" s="13"/>
    </row>
    <row r="63" spans="76:387" ht="10.75" customHeight="1" x14ac:dyDescent="0.2">
      <c r="BX63" s="12"/>
      <c r="CA63" s="13"/>
      <c r="CB63" s="214"/>
      <c r="CC63" s="49"/>
      <c r="CE63" s="12"/>
      <c r="DI63" s="4"/>
      <c r="DM63" s="13"/>
      <c r="DN63" s="12"/>
      <c r="DR63" s="13"/>
      <c r="DS63" s="12"/>
      <c r="DW63" s="13"/>
      <c r="DZ63" s="13"/>
      <c r="EC63" s="241"/>
      <c r="ED63" s="246"/>
      <c r="EE63" s="246"/>
      <c r="EF63" s="246"/>
      <c r="EG63" s="242"/>
      <c r="EH63" s="241"/>
      <c r="EI63" s="246"/>
      <c r="EJ63" s="246"/>
      <c r="EK63" s="246"/>
      <c r="EL63" s="242"/>
      <c r="EM63" s="241"/>
      <c r="EN63" s="246"/>
      <c r="EO63" s="246"/>
      <c r="EP63" s="246"/>
      <c r="EQ63" s="242"/>
      <c r="ER63" s="241"/>
      <c r="ES63" s="246"/>
      <c r="ET63" s="246"/>
      <c r="EU63" s="246"/>
      <c r="EV63" s="242"/>
      <c r="EW63" s="12"/>
      <c r="EX63" s="13"/>
      <c r="EY63" s="12"/>
      <c r="FA63" s="13"/>
      <c r="FB63" s="12"/>
      <c r="FE63" s="5"/>
      <c r="FF63" s="208"/>
      <c r="FG63" s="208"/>
      <c r="FK63" s="13"/>
      <c r="FL63" s="241"/>
      <c r="FM63" s="246"/>
      <c r="FN63" s="246"/>
      <c r="FO63" s="246"/>
      <c r="FP63" s="242"/>
      <c r="FQ63" s="241"/>
      <c r="FR63" s="246"/>
      <c r="FS63" s="246"/>
      <c r="FT63" s="246"/>
      <c r="FU63" s="242"/>
      <c r="FV63" s="241"/>
      <c r="FW63" s="246"/>
      <c r="FX63" s="246"/>
      <c r="FY63" s="246"/>
      <c r="FZ63" s="242"/>
      <c r="GA63" s="241"/>
      <c r="GB63" s="246"/>
      <c r="GC63" s="246"/>
      <c r="GD63" s="246"/>
      <c r="GE63" s="242"/>
      <c r="GJ63" s="13"/>
      <c r="GK63" s="12"/>
      <c r="GV63" s="13"/>
      <c r="GY63" s="13"/>
      <c r="HC63" s="13"/>
      <c r="JT63" s="12"/>
      <c r="JW63" s="12"/>
      <c r="KU63" s="12"/>
      <c r="KX63" s="13"/>
      <c r="KY63" s="12"/>
      <c r="LT63" s="13"/>
      <c r="LV63" s="13"/>
      <c r="LW63" s="12"/>
      <c r="MN63" s="13"/>
      <c r="MP63" s="13"/>
      <c r="NI63" s="12"/>
      <c r="NT63" s="13"/>
      <c r="NW63" s="13"/>
    </row>
    <row r="64" spans="76:387" ht="10.75" customHeight="1" x14ac:dyDescent="0.2">
      <c r="BX64" s="12"/>
      <c r="CA64" s="13"/>
      <c r="CB64" s="214"/>
      <c r="CC64" s="49"/>
      <c r="CE64" s="12"/>
      <c r="DI64" s="4"/>
      <c r="DM64" s="13"/>
      <c r="DN64" s="12"/>
      <c r="DR64" s="13"/>
      <c r="DS64" s="12"/>
      <c r="DW64" s="13"/>
      <c r="DZ64" s="13"/>
      <c r="EC64" s="241"/>
      <c r="ED64" s="246"/>
      <c r="EE64" s="246"/>
      <c r="EF64" s="246"/>
      <c r="EG64" s="242"/>
      <c r="EH64" s="241"/>
      <c r="EI64" s="246"/>
      <c r="EJ64" s="246"/>
      <c r="EK64" s="246"/>
      <c r="EL64" s="242"/>
      <c r="EM64" s="241"/>
      <c r="EN64" s="246"/>
      <c r="EO64" s="246"/>
      <c r="EP64" s="246"/>
      <c r="EQ64" s="242"/>
      <c r="ER64" s="241"/>
      <c r="ES64" s="246"/>
      <c r="ET64" s="246"/>
      <c r="EU64" s="246"/>
      <c r="EV64" s="242"/>
      <c r="EW64" s="12"/>
      <c r="EX64" s="13"/>
      <c r="EY64" s="12"/>
      <c r="FA64" s="13"/>
      <c r="FB64" s="12"/>
      <c r="FE64" s="5"/>
      <c r="FF64" s="208"/>
      <c r="FG64" s="208"/>
      <c r="FK64" s="13"/>
      <c r="FL64" s="241"/>
      <c r="FM64" s="246"/>
      <c r="FN64" s="246"/>
      <c r="FO64" s="246"/>
      <c r="FP64" s="242"/>
      <c r="FQ64" s="241"/>
      <c r="FR64" s="246"/>
      <c r="FS64" s="246"/>
      <c r="FT64" s="246"/>
      <c r="FU64" s="242"/>
      <c r="FV64" s="241"/>
      <c r="FW64" s="246"/>
      <c r="FX64" s="246"/>
      <c r="FY64" s="246"/>
      <c r="FZ64" s="242"/>
      <c r="GA64" s="241"/>
      <c r="GB64" s="246"/>
      <c r="GC64" s="246"/>
      <c r="GD64" s="246"/>
      <c r="GE64" s="242"/>
      <c r="GJ64" s="13"/>
      <c r="GK64" s="12"/>
      <c r="GV64" s="13"/>
      <c r="GY64" s="13"/>
      <c r="HC64" s="13"/>
      <c r="JT64" s="12"/>
      <c r="JW64" s="12"/>
      <c r="KU64" s="12"/>
      <c r="KX64" s="13"/>
      <c r="KY64" s="12"/>
      <c r="LT64" s="13"/>
      <c r="LV64" s="13"/>
      <c r="LW64" s="12"/>
      <c r="MN64" s="13"/>
      <c r="MP64" s="13"/>
      <c r="NI64" s="12"/>
      <c r="NT64" s="13"/>
      <c r="NW64" s="13"/>
    </row>
    <row r="65" spans="76:387" ht="10.75" customHeight="1" thickBot="1" x14ac:dyDescent="0.25">
      <c r="BX65" s="12"/>
      <c r="CA65" s="13"/>
      <c r="CB65" s="214"/>
      <c r="CC65" s="49"/>
      <c r="CE65" s="14"/>
      <c r="CF65" s="15"/>
      <c r="CG65" s="15"/>
      <c r="CH65" s="15"/>
      <c r="CI65" s="15"/>
      <c r="CJ65" s="15"/>
      <c r="CK65" s="15"/>
      <c r="CL65" s="15"/>
      <c r="CM65" s="15"/>
      <c r="CN65" s="15"/>
      <c r="CO65" s="15"/>
      <c r="CP65" s="15"/>
      <c r="CQ65" s="15"/>
      <c r="CR65" s="15"/>
      <c r="CS65" s="15"/>
      <c r="CT65" s="15"/>
      <c r="CU65" s="15"/>
      <c r="CV65" s="15"/>
      <c r="CW65" s="15"/>
      <c r="CX65" s="15"/>
      <c r="CY65" s="15"/>
      <c r="CZ65" s="15"/>
      <c r="DA65" s="15"/>
      <c r="DB65" s="15"/>
      <c r="DC65" s="15"/>
      <c r="DD65" s="15"/>
      <c r="DE65" s="15"/>
      <c r="DF65" s="15"/>
      <c r="DG65" s="15"/>
      <c r="DH65" s="15"/>
      <c r="DI65" s="6"/>
      <c r="DJ65" s="7"/>
      <c r="DK65" s="7"/>
      <c r="DL65" s="7"/>
      <c r="DM65" s="180"/>
      <c r="DN65" s="179"/>
      <c r="DO65" s="7"/>
      <c r="DP65" s="7"/>
      <c r="DQ65" s="7"/>
      <c r="DR65" s="180"/>
      <c r="DS65" s="179"/>
      <c r="DT65" s="7"/>
      <c r="DU65" s="7"/>
      <c r="DV65" s="7"/>
      <c r="DW65" s="180"/>
      <c r="DX65" s="7"/>
      <c r="DY65" s="7"/>
      <c r="DZ65" s="180"/>
      <c r="EA65" s="7"/>
      <c r="EB65" s="7"/>
      <c r="EC65" s="252"/>
      <c r="ED65" s="253"/>
      <c r="EE65" s="253"/>
      <c r="EF65" s="253"/>
      <c r="EG65" s="254"/>
      <c r="EH65" s="252"/>
      <c r="EI65" s="253"/>
      <c r="EJ65" s="253"/>
      <c r="EK65" s="253"/>
      <c r="EL65" s="254"/>
      <c r="EM65" s="252"/>
      <c r="EN65" s="253"/>
      <c r="EO65" s="253"/>
      <c r="EP65" s="253"/>
      <c r="EQ65" s="254"/>
      <c r="ER65" s="252"/>
      <c r="ES65" s="253"/>
      <c r="ET65" s="253"/>
      <c r="EU65" s="253"/>
      <c r="EV65" s="254"/>
      <c r="EW65" s="179"/>
      <c r="EX65" s="180"/>
      <c r="EY65" s="179"/>
      <c r="EZ65" s="7"/>
      <c r="FA65" s="180"/>
      <c r="FB65" s="179"/>
      <c r="FC65" s="7"/>
      <c r="FD65" s="7"/>
      <c r="FE65" s="8"/>
      <c r="FF65" s="209"/>
      <c r="FG65" s="208"/>
      <c r="FH65" s="15"/>
      <c r="FI65" s="15"/>
      <c r="FJ65" s="15"/>
      <c r="FK65" s="16"/>
      <c r="FL65" s="243"/>
      <c r="FM65" s="244"/>
      <c r="FN65" s="244"/>
      <c r="FO65" s="244"/>
      <c r="FP65" s="245"/>
      <c r="FQ65" s="243"/>
      <c r="FR65" s="244"/>
      <c r="FS65" s="244"/>
      <c r="FT65" s="244"/>
      <c r="FU65" s="245"/>
      <c r="FV65" s="243"/>
      <c r="FW65" s="244"/>
      <c r="FX65" s="244"/>
      <c r="FY65" s="244"/>
      <c r="FZ65" s="245"/>
      <c r="GA65" s="243"/>
      <c r="GB65" s="244"/>
      <c r="GC65" s="244"/>
      <c r="GD65" s="244"/>
      <c r="GE65" s="245"/>
      <c r="GF65" s="15"/>
      <c r="GG65" s="15"/>
      <c r="GH65" s="15"/>
      <c r="GI65" s="15"/>
      <c r="GJ65" s="16"/>
      <c r="GK65" s="12"/>
      <c r="GV65" s="13"/>
      <c r="GY65" s="13"/>
      <c r="HC65" s="13"/>
      <c r="JT65" s="12"/>
      <c r="JW65" s="12"/>
      <c r="KU65" s="12"/>
      <c r="KX65" s="13"/>
      <c r="KY65" s="12"/>
      <c r="LT65" s="13"/>
      <c r="LV65" s="13"/>
      <c r="LW65" s="12"/>
      <c r="MN65" s="13"/>
      <c r="MP65" s="13"/>
      <c r="NI65" s="12"/>
      <c r="NT65" s="13"/>
      <c r="NW65" s="13"/>
    </row>
    <row r="66" spans="76:387" ht="10.75" customHeight="1" x14ac:dyDescent="0.2">
      <c r="BX66" s="12"/>
      <c r="CA66" s="13"/>
      <c r="CB66" s="260"/>
      <c r="CC66" s="141"/>
      <c r="CD66" s="236"/>
      <c r="CE66" s="260"/>
      <c r="CF66" s="141"/>
      <c r="CG66" s="141"/>
      <c r="CH66" s="141"/>
      <c r="CI66" s="141"/>
      <c r="CJ66" s="141"/>
      <c r="CK66" s="141"/>
      <c r="CL66" s="141"/>
      <c r="CM66" s="141"/>
      <c r="CN66" s="141"/>
      <c r="CO66" s="141"/>
      <c r="CP66" s="141"/>
      <c r="CQ66" s="141"/>
      <c r="CR66" s="141"/>
      <c r="CS66" s="141"/>
      <c r="CT66" s="141"/>
      <c r="CU66" s="141"/>
      <c r="CV66" s="141"/>
      <c r="CW66" s="141"/>
      <c r="CX66" s="141"/>
      <c r="CY66" s="141"/>
      <c r="CZ66" s="141"/>
      <c r="DA66" s="141"/>
      <c r="DB66" s="141"/>
      <c r="DC66" s="141"/>
      <c r="DD66" s="141"/>
      <c r="DE66" s="141"/>
      <c r="DF66" s="141"/>
      <c r="DG66" s="141"/>
      <c r="DH66" s="141"/>
      <c r="DI66" s="49"/>
      <c r="DJ66" s="49"/>
      <c r="DK66" s="49"/>
      <c r="DL66" s="49"/>
      <c r="DM66" s="49"/>
      <c r="DN66" s="49"/>
      <c r="DO66" s="49"/>
      <c r="DP66" s="49"/>
      <c r="DQ66" s="49"/>
      <c r="DR66" s="49"/>
      <c r="DS66" s="49"/>
      <c r="DT66" s="49"/>
      <c r="DU66" s="49"/>
      <c r="DV66" s="49"/>
      <c r="DW66" s="49"/>
      <c r="DX66" s="49"/>
      <c r="DY66" s="49"/>
      <c r="DZ66" s="208"/>
      <c r="EA66" s="49"/>
      <c r="EB66" s="49"/>
      <c r="EC66" s="214"/>
      <c r="ED66" s="49"/>
      <c r="EE66" s="49"/>
      <c r="EF66" s="49"/>
      <c r="EG66" s="49"/>
      <c r="EH66" s="49"/>
      <c r="EI66" s="49"/>
      <c r="EJ66" s="49"/>
      <c r="EK66" s="49"/>
      <c r="EL66" s="49"/>
      <c r="EM66" s="49"/>
      <c r="EN66" s="49"/>
      <c r="EO66" s="49"/>
      <c r="EP66" s="49"/>
      <c r="EQ66" s="49"/>
      <c r="ER66" s="49"/>
      <c r="ES66" s="49"/>
      <c r="ET66" s="49"/>
      <c r="EU66" s="49"/>
      <c r="EV66" s="208"/>
      <c r="EW66" s="49"/>
      <c r="EX66" s="208"/>
      <c r="EY66" s="49"/>
      <c r="EZ66" s="49"/>
      <c r="FA66" s="49"/>
      <c r="FB66" s="49"/>
      <c r="FC66" s="49"/>
      <c r="FD66" s="49"/>
      <c r="FE66" s="49"/>
      <c r="FF66" s="49"/>
      <c r="FG66" s="208"/>
      <c r="FH66" s="21"/>
      <c r="FI66" s="21"/>
      <c r="FJ66" s="21"/>
      <c r="FK66" s="22"/>
      <c r="FL66" s="21"/>
      <c r="FM66" s="21"/>
      <c r="FN66" s="21"/>
      <c r="FO66" s="21"/>
      <c r="FP66" s="21"/>
      <c r="FQ66" s="21"/>
      <c r="FR66" s="21"/>
      <c r="FS66" s="21"/>
      <c r="FT66" s="21"/>
      <c r="FU66" s="21"/>
      <c r="FV66" s="21"/>
      <c r="FW66" s="21"/>
      <c r="FX66" s="21"/>
      <c r="FY66" s="21"/>
      <c r="FZ66" s="21"/>
      <c r="GA66" s="21"/>
      <c r="GB66" s="21"/>
      <c r="GC66" s="21"/>
      <c r="GD66" s="21"/>
      <c r="GE66" s="21"/>
      <c r="GF66" s="21"/>
      <c r="GG66" s="21"/>
      <c r="GH66" s="21"/>
      <c r="GI66" s="21"/>
      <c r="GJ66" s="22"/>
      <c r="GK66" s="12"/>
      <c r="GV66" s="13"/>
      <c r="GY66" s="13"/>
      <c r="HC66" s="13"/>
      <c r="JT66" s="12"/>
      <c r="JW66" s="14"/>
      <c r="JX66" s="15"/>
      <c r="JY66" s="15"/>
      <c r="JZ66" s="15"/>
      <c r="KA66" s="15"/>
      <c r="KB66" s="15"/>
      <c r="KC66" s="15"/>
      <c r="KD66" s="15"/>
      <c r="KE66" s="15"/>
      <c r="KF66" s="15"/>
      <c r="KG66" s="15"/>
      <c r="KH66" s="15"/>
      <c r="KI66" s="15"/>
      <c r="KJ66" s="15"/>
      <c r="KK66" s="15"/>
      <c r="KL66" s="15"/>
      <c r="KM66" s="15"/>
      <c r="KN66" s="15"/>
      <c r="KO66" s="15"/>
      <c r="KP66" s="15"/>
      <c r="KQ66" s="15"/>
      <c r="KR66" s="15"/>
      <c r="KS66" s="15"/>
      <c r="KT66" s="15"/>
      <c r="KU66" s="14"/>
      <c r="KV66" s="15"/>
      <c r="KW66" s="15"/>
      <c r="KX66" s="16"/>
      <c r="KY66" s="14"/>
      <c r="KZ66" s="15"/>
      <c r="LA66" s="15"/>
      <c r="LB66" s="15"/>
      <c r="LC66" s="15"/>
      <c r="LD66" s="15"/>
      <c r="LE66" s="15"/>
      <c r="LF66" s="15"/>
      <c r="LG66" s="15"/>
      <c r="LH66" s="15"/>
      <c r="LI66" s="15"/>
      <c r="LJ66" s="15"/>
      <c r="LK66" s="15"/>
      <c r="LL66" s="15"/>
      <c r="LM66" s="15"/>
      <c r="LN66" s="15"/>
      <c r="LO66" s="15"/>
      <c r="LP66" s="15"/>
      <c r="LQ66" s="15"/>
      <c r="LR66" s="15"/>
      <c r="LS66" s="15"/>
      <c r="LT66" s="16"/>
      <c r="LU66" s="15"/>
      <c r="LV66" s="16"/>
      <c r="LW66" s="14"/>
      <c r="LX66" s="15"/>
      <c r="LY66" s="15"/>
      <c r="LZ66" s="15"/>
      <c r="MA66" s="15"/>
      <c r="MB66" s="15"/>
      <c r="MC66" s="15"/>
      <c r="MD66" s="15"/>
      <c r="ME66" s="15"/>
      <c r="MF66" s="15"/>
      <c r="MG66" s="15"/>
      <c r="MH66" s="15"/>
      <c r="MI66" s="15"/>
      <c r="MJ66" s="15"/>
      <c r="MK66" s="15"/>
      <c r="ML66" s="15"/>
      <c r="MM66" s="15"/>
      <c r="MN66" s="16"/>
      <c r="MO66" s="15"/>
      <c r="MP66" s="16"/>
      <c r="MQ66" s="15"/>
      <c r="MR66" s="15"/>
      <c r="MS66" s="15"/>
      <c r="MT66" s="15"/>
      <c r="MU66" s="15"/>
      <c r="MV66" s="15"/>
      <c r="MW66" s="15"/>
      <c r="MX66" s="15"/>
      <c r="MY66" s="15"/>
      <c r="MZ66" s="15"/>
      <c r="NA66" s="15"/>
      <c r="NB66" s="15"/>
      <c r="NC66" s="15"/>
      <c r="ND66" s="15"/>
      <c r="NE66" s="15"/>
      <c r="NF66" s="15"/>
      <c r="NG66" s="15"/>
      <c r="NH66" s="15"/>
      <c r="NI66" s="12"/>
      <c r="NT66" s="13"/>
      <c r="NW66" s="13"/>
    </row>
    <row r="67" spans="76:387" ht="10.75" customHeight="1" x14ac:dyDescent="0.2">
      <c r="BX67" s="12"/>
      <c r="CA67" s="13"/>
      <c r="CB67" s="237"/>
      <c r="CC67" s="259"/>
      <c r="CD67" s="209"/>
      <c r="CE67" s="237"/>
      <c r="CF67" s="259"/>
      <c r="CG67" s="259"/>
      <c r="CH67" s="259"/>
      <c r="CI67" s="259"/>
      <c r="CJ67" s="259"/>
      <c r="CK67" s="259"/>
      <c r="CL67" s="259"/>
      <c r="CM67" s="259"/>
      <c r="CN67" s="259"/>
      <c r="CO67" s="259"/>
      <c r="CP67" s="259"/>
      <c r="CQ67" s="259"/>
      <c r="CR67" s="259"/>
      <c r="CS67" s="259"/>
      <c r="CT67" s="259"/>
      <c r="CU67" s="259"/>
      <c r="CV67" s="259"/>
      <c r="CW67" s="259"/>
      <c r="CX67" s="259"/>
      <c r="CY67" s="259"/>
      <c r="CZ67" s="259"/>
      <c r="DA67" s="259"/>
      <c r="DB67" s="259"/>
      <c r="DC67" s="259"/>
      <c r="DD67" s="259"/>
      <c r="DE67" s="259"/>
      <c r="DF67" s="259"/>
      <c r="DG67" s="259"/>
      <c r="DH67" s="259"/>
      <c r="DI67" s="259"/>
      <c r="DJ67" s="259"/>
      <c r="DK67" s="259"/>
      <c r="DL67" s="259"/>
      <c r="DM67" s="259"/>
      <c r="DN67" s="259"/>
      <c r="DO67" s="259"/>
      <c r="DP67" s="259"/>
      <c r="DQ67" s="259"/>
      <c r="DR67" s="259"/>
      <c r="DS67" s="259"/>
      <c r="DT67" s="259"/>
      <c r="DU67" s="259"/>
      <c r="DV67" s="259"/>
      <c r="DW67" s="259"/>
      <c r="DX67" s="259"/>
      <c r="DY67" s="259"/>
      <c r="DZ67" s="209"/>
      <c r="EA67" s="259"/>
      <c r="EB67" s="259"/>
      <c r="EC67" s="237"/>
      <c r="ED67" s="259"/>
      <c r="EE67" s="259"/>
      <c r="EF67" s="259"/>
      <c r="EG67" s="259"/>
      <c r="EH67" s="259"/>
      <c r="EI67" s="259"/>
      <c r="EJ67" s="259"/>
      <c r="EK67" s="259"/>
      <c r="EL67" s="259"/>
      <c r="EM67" s="259"/>
      <c r="EN67" s="259"/>
      <c r="EO67" s="259"/>
      <c r="EP67" s="259"/>
      <c r="EQ67" s="259"/>
      <c r="ER67" s="259"/>
      <c r="ES67" s="259"/>
      <c r="ET67" s="259"/>
      <c r="EU67" s="259"/>
      <c r="EV67" s="209"/>
      <c r="EW67" s="259"/>
      <c r="EX67" s="209"/>
      <c r="EY67" s="259"/>
      <c r="EZ67" s="259"/>
      <c r="FA67" s="259"/>
      <c r="FB67" s="259"/>
      <c r="FC67" s="259"/>
      <c r="FD67" s="259"/>
      <c r="FE67" s="259"/>
      <c r="FF67" s="259"/>
      <c r="FG67" s="209"/>
      <c r="FK67" s="13"/>
      <c r="GV67" s="13"/>
      <c r="GY67" s="13"/>
      <c r="HC67" s="13"/>
      <c r="JT67" s="12"/>
      <c r="JW67" s="12"/>
      <c r="LT67" s="13"/>
      <c r="LV67" s="13"/>
      <c r="NI67" s="12"/>
      <c r="NT67" s="13"/>
      <c r="NW67" s="13"/>
    </row>
    <row r="68" spans="76:387" ht="10.75" customHeight="1" x14ac:dyDescent="0.2">
      <c r="BX68" s="12"/>
      <c r="CA68" s="13"/>
      <c r="CB68" s="12"/>
      <c r="CE68" s="12"/>
      <c r="DZ68" s="13"/>
      <c r="EC68" s="12"/>
      <c r="EV68" s="13"/>
      <c r="EX68" s="13"/>
      <c r="FK68" s="13"/>
      <c r="GV68" s="13"/>
      <c r="GY68" s="13"/>
      <c r="HC68" s="13"/>
      <c r="JT68" s="12"/>
      <c r="JW68" s="14"/>
      <c r="JX68" s="15"/>
      <c r="JY68" s="15"/>
      <c r="JZ68" s="15"/>
      <c r="KA68" s="15"/>
      <c r="KB68" s="15"/>
      <c r="KC68" s="15"/>
      <c r="KD68" s="15"/>
      <c r="KE68" s="15"/>
      <c r="KF68" s="15"/>
      <c r="KG68" s="15"/>
      <c r="KH68" s="15"/>
      <c r="KI68" s="15"/>
      <c r="KJ68" s="15"/>
      <c r="KK68" s="15"/>
      <c r="KL68" s="15"/>
      <c r="KM68" s="15"/>
      <c r="KN68" s="15"/>
      <c r="KO68" s="15"/>
      <c r="KP68" s="15"/>
      <c r="KQ68" s="15"/>
      <c r="KR68" s="15"/>
      <c r="KS68" s="15"/>
      <c r="KT68" s="15"/>
      <c r="KU68" s="15"/>
      <c r="KV68" s="15"/>
      <c r="KW68" s="15"/>
      <c r="KX68" s="15"/>
      <c r="KY68" s="15"/>
      <c r="KZ68" s="15"/>
      <c r="LA68" s="15"/>
      <c r="LB68" s="15"/>
      <c r="LC68" s="15"/>
      <c r="LD68" s="15"/>
      <c r="LE68" s="15"/>
      <c r="LF68" s="15"/>
      <c r="LG68" s="15"/>
      <c r="LH68" s="15"/>
      <c r="LI68" s="15"/>
      <c r="LJ68" s="15"/>
      <c r="LK68" s="15"/>
      <c r="LL68" s="15"/>
      <c r="LM68" s="15"/>
      <c r="LN68" s="15"/>
      <c r="LO68" s="15"/>
      <c r="LP68" s="15"/>
      <c r="LQ68" s="15"/>
      <c r="LR68" s="15"/>
      <c r="LS68" s="15"/>
      <c r="LT68" s="16"/>
      <c r="LU68" s="15"/>
      <c r="LV68" s="16"/>
      <c r="LW68" s="15"/>
      <c r="LX68" s="15"/>
      <c r="LY68" s="15"/>
      <c r="LZ68" s="15"/>
      <c r="MA68" s="15"/>
      <c r="MB68" s="15"/>
      <c r="MC68" s="15"/>
      <c r="MD68" s="15"/>
      <c r="ME68" s="15"/>
      <c r="MF68" s="15"/>
      <c r="MG68" s="15"/>
      <c r="MH68" s="15"/>
      <c r="MI68" s="15"/>
      <c r="MJ68" s="15"/>
      <c r="MK68" s="15"/>
      <c r="ML68" s="15"/>
      <c r="MM68" s="15"/>
      <c r="MN68" s="15"/>
      <c r="MO68" s="15"/>
      <c r="MP68" s="15"/>
      <c r="MQ68" s="15"/>
      <c r="MR68" s="15"/>
      <c r="MS68" s="15"/>
      <c r="MT68" s="15"/>
      <c r="MU68" s="15"/>
      <c r="MV68" s="15"/>
      <c r="MW68" s="15"/>
      <c r="MX68" s="15"/>
      <c r="MY68" s="15"/>
      <c r="MZ68" s="15"/>
      <c r="NA68" s="15"/>
      <c r="NB68" s="15"/>
      <c r="NC68" s="15"/>
      <c r="ND68" s="15"/>
      <c r="NE68" s="15"/>
      <c r="NF68" s="15"/>
      <c r="NG68" s="15"/>
      <c r="NH68" s="15"/>
      <c r="NI68" s="12"/>
      <c r="NT68" s="13"/>
      <c r="NW68" s="13"/>
    </row>
    <row r="69" spans="76:387" ht="10.75" customHeight="1" x14ac:dyDescent="0.2">
      <c r="BX69" s="12"/>
      <c r="CB69" s="12"/>
      <c r="CE69" s="12"/>
      <c r="DZ69" s="13"/>
      <c r="EC69" s="12"/>
      <c r="EV69" s="13"/>
      <c r="EX69" s="13"/>
      <c r="FK69" s="13"/>
      <c r="GV69" s="13"/>
      <c r="GY69" s="13"/>
      <c r="HC69" s="13"/>
      <c r="JT69" s="12"/>
      <c r="JW69" s="12"/>
      <c r="LT69" s="13"/>
      <c r="LV69" s="13"/>
      <c r="MW69" s="9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1"/>
      <c r="NI69" s="12"/>
      <c r="NT69" s="13"/>
      <c r="NW69" s="13"/>
    </row>
    <row r="70" spans="76:387" ht="10.75" customHeight="1" x14ac:dyDescent="0.2">
      <c r="BX70" s="12"/>
      <c r="CB70" s="12"/>
      <c r="CE70" s="12"/>
      <c r="DZ70" s="13"/>
      <c r="EC70" s="12"/>
      <c r="EV70" s="13"/>
      <c r="EX70" s="13"/>
      <c r="FK70" s="13"/>
      <c r="GV70" s="13"/>
      <c r="GY70" s="13"/>
      <c r="HC70" s="13"/>
      <c r="JT70" s="12"/>
      <c r="JW70" s="12"/>
      <c r="LT70" s="13"/>
      <c r="LV70" s="13"/>
      <c r="MW70" s="12"/>
      <c r="NH70" s="13"/>
      <c r="NI70" s="12"/>
      <c r="NT70" s="13"/>
      <c r="NW70" s="13"/>
    </row>
    <row r="71" spans="76:387" ht="10.75" customHeight="1" x14ac:dyDescent="0.2">
      <c r="BX71" s="14"/>
      <c r="BY71" s="15"/>
      <c r="BZ71" s="15"/>
      <c r="CA71" s="15"/>
      <c r="CB71" s="14"/>
      <c r="CC71" s="15"/>
      <c r="CD71" s="15"/>
      <c r="CE71" s="14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5"/>
      <c r="DR71" s="15"/>
      <c r="DS71" s="15"/>
      <c r="DT71" s="15"/>
      <c r="DU71" s="15"/>
      <c r="DV71" s="15"/>
      <c r="DW71" s="15"/>
      <c r="DX71" s="15"/>
      <c r="DY71" s="15"/>
      <c r="DZ71" s="16"/>
      <c r="EA71" s="15"/>
      <c r="EB71" s="15"/>
      <c r="EC71" s="14"/>
      <c r="ED71" s="15"/>
      <c r="EE71" s="15"/>
      <c r="EF71" s="15"/>
      <c r="EG71" s="15"/>
      <c r="EH71" s="15"/>
      <c r="EI71" s="15"/>
      <c r="EJ71" s="15"/>
      <c r="EK71" s="15"/>
      <c r="EL71" s="15"/>
      <c r="EM71" s="15"/>
      <c r="EN71" s="15"/>
      <c r="EO71" s="15"/>
      <c r="EP71" s="15"/>
      <c r="EQ71" s="15"/>
      <c r="ER71" s="15"/>
      <c r="ES71" s="15"/>
      <c r="ET71" s="15"/>
      <c r="EU71" s="15"/>
      <c r="EV71" s="16"/>
      <c r="EW71" s="15"/>
      <c r="EX71" s="16"/>
      <c r="EY71" s="15"/>
      <c r="EZ71" s="15"/>
      <c r="FA71" s="15"/>
      <c r="FB71" s="15"/>
      <c r="FC71" s="15"/>
      <c r="FD71" s="15"/>
      <c r="FE71" s="15"/>
      <c r="FF71" s="15"/>
      <c r="FG71" s="15"/>
      <c r="FH71" s="15"/>
      <c r="FI71" s="15"/>
      <c r="FJ71" s="15"/>
      <c r="FK71" s="16"/>
      <c r="GV71" s="13"/>
      <c r="GY71" s="13"/>
      <c r="HC71" s="13"/>
      <c r="JT71" s="12"/>
      <c r="JW71" s="12"/>
      <c r="LT71" s="13"/>
      <c r="LV71" s="13"/>
      <c r="MW71" s="12"/>
      <c r="NH71" s="13"/>
      <c r="NI71" s="12"/>
      <c r="NT71" s="13"/>
      <c r="NW71" s="13"/>
    </row>
    <row r="72" spans="76:387" ht="10.75" customHeight="1" x14ac:dyDescent="0.2">
      <c r="BX72" s="12"/>
      <c r="CB72" s="12"/>
      <c r="CE72" s="12"/>
      <c r="DZ72" s="13"/>
      <c r="EC72" s="12"/>
      <c r="EV72" s="13"/>
      <c r="EX72" s="13"/>
      <c r="GV72" s="13"/>
      <c r="GY72" s="13"/>
      <c r="HC72" s="13"/>
      <c r="JT72" s="12"/>
      <c r="JW72" s="12"/>
      <c r="LT72" s="13"/>
      <c r="LV72" s="13"/>
      <c r="MW72" s="12"/>
      <c r="NH72" s="13"/>
      <c r="NI72" s="12"/>
      <c r="NT72" s="13"/>
      <c r="NW72" s="13"/>
    </row>
    <row r="73" spans="76:387" ht="10.75" customHeight="1" x14ac:dyDescent="0.2">
      <c r="BX73" s="12"/>
      <c r="CB73" s="12"/>
      <c r="CE73" s="12"/>
      <c r="DZ73" s="13"/>
      <c r="EC73" s="14"/>
      <c r="ED73" s="15"/>
      <c r="EE73" s="15"/>
      <c r="EF73" s="15"/>
      <c r="EG73" s="15"/>
      <c r="EH73" s="15"/>
      <c r="EI73" s="15"/>
      <c r="EJ73" s="15"/>
      <c r="EK73" s="15"/>
      <c r="EL73" s="15"/>
      <c r="EM73" s="15"/>
      <c r="EN73" s="15"/>
      <c r="EO73" s="15"/>
      <c r="EP73" s="15"/>
      <c r="EQ73" s="15"/>
      <c r="ER73" s="15"/>
      <c r="ES73" s="15"/>
      <c r="ET73" s="15"/>
      <c r="EU73" s="15"/>
      <c r="EV73" s="16"/>
      <c r="EX73" s="13"/>
      <c r="GV73" s="13"/>
      <c r="GY73" s="13"/>
      <c r="HC73" s="13"/>
      <c r="JT73" s="12"/>
      <c r="JW73" s="12"/>
      <c r="LT73" s="13"/>
      <c r="LV73" s="13"/>
      <c r="MW73" s="12"/>
      <c r="NH73" s="13"/>
      <c r="NI73" s="12"/>
      <c r="NT73" s="13"/>
      <c r="NW73" s="13"/>
    </row>
    <row r="74" spans="76:387" ht="10.75" customHeight="1" x14ac:dyDescent="0.2">
      <c r="BX74" s="12"/>
      <c r="CB74" s="12"/>
      <c r="CE74" s="12"/>
      <c r="DZ74" s="13"/>
      <c r="EC74" s="12"/>
      <c r="EX74" s="13"/>
      <c r="GV74" s="13"/>
      <c r="GY74" s="13"/>
      <c r="HC74" s="13"/>
      <c r="JT74" s="12"/>
      <c r="JW74" s="12"/>
      <c r="LT74" s="13"/>
      <c r="LV74" s="13"/>
      <c r="MW74" s="12"/>
      <c r="NH74" s="13"/>
      <c r="NI74" s="12"/>
      <c r="NT74" s="13"/>
      <c r="NW74" s="13"/>
    </row>
    <row r="75" spans="76:387" ht="10.75" customHeight="1" x14ac:dyDescent="0.2">
      <c r="BX75" s="12"/>
      <c r="CB75" s="12"/>
      <c r="CE75" s="12"/>
      <c r="DZ75" s="13"/>
      <c r="EC75" s="14"/>
      <c r="ED75" s="15"/>
      <c r="EE75" s="15"/>
      <c r="EF75" s="15"/>
      <c r="EG75" s="15"/>
      <c r="EH75" s="15"/>
      <c r="EI75" s="15"/>
      <c r="EJ75" s="15"/>
      <c r="EK75" s="15"/>
      <c r="EL75" s="15"/>
      <c r="EM75" s="15"/>
      <c r="EN75" s="15"/>
      <c r="EO75" s="15"/>
      <c r="EP75" s="15"/>
      <c r="EQ75" s="15"/>
      <c r="ER75" s="15"/>
      <c r="ES75" s="15"/>
      <c r="ET75" s="15"/>
      <c r="EU75" s="15"/>
      <c r="EV75" s="15"/>
      <c r="EW75" s="15"/>
      <c r="EX75" s="16"/>
      <c r="GV75" s="13"/>
      <c r="GY75" s="13"/>
      <c r="HC75" s="13"/>
      <c r="JT75" s="12"/>
      <c r="JW75" s="12"/>
      <c r="LT75" s="13"/>
      <c r="LV75" s="13"/>
      <c r="MW75" s="12"/>
      <c r="NH75" s="13"/>
      <c r="NI75" s="12"/>
      <c r="NT75" s="13"/>
      <c r="NW75" s="13"/>
    </row>
    <row r="76" spans="76:387" ht="10.75" customHeight="1" x14ac:dyDescent="0.2">
      <c r="BX76" s="12"/>
      <c r="CB76" s="12"/>
      <c r="CE76" s="12"/>
      <c r="DZ76" s="13"/>
      <c r="EC76" s="12"/>
      <c r="GV76" s="13"/>
      <c r="GY76" s="13"/>
      <c r="HC76" s="13"/>
      <c r="JT76" s="12"/>
      <c r="JW76" s="12"/>
      <c r="LT76" s="13"/>
      <c r="LV76" s="13"/>
      <c r="MW76" s="12"/>
      <c r="NH76" s="13"/>
      <c r="NI76" s="12"/>
      <c r="NT76" s="13"/>
      <c r="NW76" s="13"/>
    </row>
    <row r="77" spans="76:387" ht="10.75" customHeight="1" x14ac:dyDescent="0.2">
      <c r="BX77" s="12"/>
      <c r="CB77" s="12"/>
      <c r="CE77" s="12"/>
      <c r="DZ77" s="13"/>
      <c r="EC77" s="12"/>
      <c r="GV77" s="13"/>
      <c r="GY77" s="13"/>
      <c r="HC77" s="13"/>
      <c r="JT77" s="12"/>
      <c r="JW77" s="12"/>
      <c r="LT77" s="13"/>
      <c r="LV77" s="13"/>
      <c r="MW77" s="12"/>
      <c r="NH77" s="13"/>
      <c r="NI77" s="12"/>
      <c r="NT77" s="13"/>
      <c r="NW77" s="13"/>
    </row>
    <row r="78" spans="76:387" ht="10.75" customHeight="1" x14ac:dyDescent="0.2">
      <c r="BX78" s="12"/>
      <c r="CB78" s="12"/>
      <c r="CE78" s="12"/>
      <c r="DZ78" s="13"/>
      <c r="EC78" s="12"/>
      <c r="GV78" s="13"/>
      <c r="GY78" s="13"/>
      <c r="HC78" s="13"/>
      <c r="JT78" s="12"/>
      <c r="JW78" s="12"/>
      <c r="LT78" s="13"/>
      <c r="LV78" s="13"/>
      <c r="MW78" s="12"/>
      <c r="NH78" s="13"/>
      <c r="NI78" s="12"/>
      <c r="NT78" s="13"/>
      <c r="NW78" s="13"/>
    </row>
    <row r="79" spans="76:387" ht="10.75" customHeight="1" x14ac:dyDescent="0.2">
      <c r="BX79" s="12"/>
      <c r="CB79" s="12"/>
      <c r="CE79" s="12"/>
      <c r="DZ79" s="13"/>
      <c r="EC79" s="12"/>
      <c r="GV79" s="13"/>
      <c r="GY79" s="13"/>
      <c r="HC79" s="13"/>
      <c r="JT79" s="12"/>
      <c r="JW79" s="12"/>
      <c r="LT79" s="13"/>
      <c r="LV79" s="13"/>
      <c r="MW79" s="12"/>
      <c r="NH79" s="13"/>
      <c r="NI79" s="12"/>
      <c r="NT79" s="13"/>
      <c r="NW79" s="13"/>
    </row>
    <row r="80" spans="76:387" ht="10.75" customHeight="1" x14ac:dyDescent="0.2">
      <c r="BX80" s="12"/>
      <c r="CB80" s="12"/>
      <c r="CE80" s="12"/>
      <c r="DZ80" s="13"/>
      <c r="EC80" s="12"/>
      <c r="GV80" s="13"/>
      <c r="GY80" s="13"/>
      <c r="HC80" s="13"/>
      <c r="JT80" s="12"/>
      <c r="JW80" s="12"/>
      <c r="LT80" s="13"/>
      <c r="LV80" s="13"/>
      <c r="MW80" s="14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6"/>
      <c r="NI80" s="14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6"/>
      <c r="NW80" s="13"/>
    </row>
    <row r="81" spans="76:387" ht="10.75" customHeight="1" x14ac:dyDescent="0.2">
      <c r="BX81" s="12"/>
      <c r="CB81" s="12"/>
      <c r="CE81" s="12"/>
      <c r="DZ81" s="13"/>
      <c r="EC81" s="12"/>
      <c r="GV81" s="13"/>
      <c r="GY81" s="13"/>
      <c r="HC81" s="13"/>
      <c r="JT81" s="12"/>
      <c r="JW81" s="12"/>
      <c r="LT81" s="13"/>
      <c r="LV81" s="13"/>
      <c r="MW81" s="9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1"/>
      <c r="NW81" s="13"/>
    </row>
    <row r="82" spans="76:387" ht="10.75" customHeight="1" x14ac:dyDescent="0.2">
      <c r="BX82" s="12"/>
      <c r="CB82" s="12"/>
      <c r="CE82" s="12"/>
      <c r="DZ82" s="13"/>
      <c r="EC82" s="12"/>
      <c r="GV82" s="13"/>
      <c r="GY82" s="13"/>
      <c r="HC82" s="13"/>
      <c r="JT82" s="12"/>
      <c r="JW82" s="12"/>
      <c r="LT82" s="13"/>
      <c r="LV82" s="13"/>
      <c r="MW82" s="14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6"/>
      <c r="NW82" s="13"/>
    </row>
    <row r="83" spans="76:387" ht="10.75" customHeight="1" x14ac:dyDescent="0.2">
      <c r="BX83" s="12"/>
      <c r="CB83" s="12"/>
      <c r="CE83" s="12"/>
      <c r="DZ83" s="13"/>
      <c r="EC83" s="12"/>
      <c r="GV83" s="13"/>
      <c r="GY83" s="13"/>
      <c r="HC83" s="13"/>
      <c r="JT83" s="12"/>
      <c r="JW83" s="12"/>
      <c r="LT83" s="13"/>
      <c r="LV83" s="13"/>
      <c r="NT83" s="13"/>
      <c r="NW83" s="13"/>
    </row>
    <row r="84" spans="76:387" ht="10.75" customHeight="1" x14ac:dyDescent="0.2">
      <c r="BX84" s="12"/>
      <c r="CB84" s="12"/>
      <c r="CE84" s="12"/>
      <c r="DZ84" s="13"/>
      <c r="EC84" s="12"/>
      <c r="GV84" s="13"/>
      <c r="GY84" s="13"/>
      <c r="HC84" s="13"/>
      <c r="JT84" s="12"/>
      <c r="JW84" s="12"/>
      <c r="LT84" s="13"/>
      <c r="LV84" s="13"/>
      <c r="NT84" s="13"/>
      <c r="NW84" s="13"/>
    </row>
    <row r="85" spans="76:387" ht="10.75" customHeight="1" x14ac:dyDescent="0.2">
      <c r="BX85" s="12"/>
      <c r="CB85" s="12"/>
      <c r="CE85" s="12"/>
      <c r="DZ85" s="13"/>
      <c r="EC85" s="12"/>
      <c r="GV85" s="13"/>
      <c r="GY85" s="13"/>
      <c r="HC85" s="13"/>
      <c r="JT85" s="12"/>
      <c r="JW85" s="12"/>
      <c r="LT85" s="13"/>
      <c r="LV85" s="13"/>
      <c r="NT85" s="13"/>
      <c r="NW85" s="13"/>
    </row>
    <row r="86" spans="76:387" ht="10.75" customHeight="1" x14ac:dyDescent="0.2">
      <c r="BX86" s="12"/>
      <c r="CB86" s="12"/>
      <c r="CE86" s="12"/>
      <c r="DZ86" s="13"/>
      <c r="EC86" s="12"/>
      <c r="GV86" s="13"/>
      <c r="GY86" s="13"/>
      <c r="HC86" s="13"/>
      <c r="JT86" s="12"/>
      <c r="JW86" s="12"/>
      <c r="LT86" s="13"/>
      <c r="LV86" s="13"/>
      <c r="NT86" s="13"/>
      <c r="NW86" s="13"/>
    </row>
    <row r="87" spans="76:387" ht="10.75" customHeight="1" x14ac:dyDescent="0.2">
      <c r="BX87" s="12"/>
      <c r="CB87" s="12"/>
      <c r="CE87" s="12"/>
      <c r="DZ87" s="13"/>
      <c r="EC87" s="12"/>
      <c r="GV87" s="13"/>
      <c r="GY87" s="13"/>
      <c r="HC87" s="13"/>
      <c r="JT87" s="12"/>
      <c r="JW87" s="12"/>
      <c r="LT87" s="13"/>
      <c r="LV87" s="13"/>
      <c r="NT87" s="13"/>
      <c r="NW87" s="13"/>
    </row>
    <row r="88" spans="76:387" ht="10.75" customHeight="1" x14ac:dyDescent="0.2">
      <c r="BX88" s="12"/>
      <c r="CB88" s="12"/>
      <c r="CE88" s="12"/>
      <c r="DZ88" s="13"/>
      <c r="EC88" s="12"/>
      <c r="GV88" s="13"/>
      <c r="GY88" s="13"/>
      <c r="HC88" s="13"/>
      <c r="JT88" s="12"/>
      <c r="JW88" s="12"/>
      <c r="LT88" s="13"/>
      <c r="LV88" s="13"/>
      <c r="NT88" s="13"/>
      <c r="NW88" s="13"/>
    </row>
    <row r="89" spans="76:387" ht="10.75" customHeight="1" x14ac:dyDescent="0.2">
      <c r="BX89" s="12"/>
      <c r="CB89" s="12"/>
      <c r="CE89" s="12"/>
      <c r="DZ89" s="13"/>
      <c r="EC89" s="12"/>
      <c r="GV89" s="13"/>
      <c r="GY89" s="13"/>
      <c r="HC89" s="13"/>
      <c r="JT89" s="12"/>
      <c r="JW89" s="12"/>
      <c r="LT89" s="13"/>
      <c r="LV89" s="13"/>
      <c r="NT89" s="13"/>
      <c r="NW89" s="13"/>
    </row>
    <row r="90" spans="76:387" ht="10.75" customHeight="1" x14ac:dyDescent="0.2">
      <c r="BX90" s="12"/>
      <c r="CB90" s="12"/>
      <c r="CE90" s="12"/>
      <c r="DZ90" s="13"/>
      <c r="EC90" s="12"/>
      <c r="GV90" s="13"/>
      <c r="GY90" s="13"/>
      <c r="HC90" s="13"/>
      <c r="JT90" s="12"/>
      <c r="JW90" s="12"/>
      <c r="LT90" s="13"/>
      <c r="LV90" s="13"/>
      <c r="NT90" s="13"/>
      <c r="NW90" s="13"/>
    </row>
    <row r="91" spans="76:387" ht="10.75" customHeight="1" x14ac:dyDescent="0.2">
      <c r="BX91" s="12"/>
      <c r="CB91" s="12"/>
      <c r="CE91" s="12"/>
      <c r="DZ91" s="13"/>
      <c r="EC91" s="12"/>
      <c r="GV91" s="13"/>
      <c r="GY91" s="13"/>
      <c r="HC91" s="13"/>
      <c r="JT91" s="12"/>
      <c r="JW91" s="12"/>
      <c r="LT91" s="13"/>
      <c r="LV91" s="13"/>
      <c r="NT91" s="13"/>
      <c r="NW91" s="13"/>
    </row>
    <row r="92" spans="76:387" ht="10.75" customHeight="1" x14ac:dyDescent="0.2">
      <c r="BX92" s="12"/>
      <c r="CB92" s="12"/>
      <c r="CE92" s="12"/>
      <c r="DZ92" s="13"/>
      <c r="EC92" s="12"/>
      <c r="GV92" s="13"/>
      <c r="GY92" s="13"/>
      <c r="HC92" s="13"/>
      <c r="JT92" s="12"/>
      <c r="JW92" s="12"/>
      <c r="LT92" s="13"/>
      <c r="LV92" s="13"/>
      <c r="NT92" s="13"/>
      <c r="NW92" s="13"/>
    </row>
    <row r="93" spans="76:387" ht="10.75" customHeight="1" x14ac:dyDescent="0.2">
      <c r="BX93" s="12"/>
      <c r="CB93" s="12"/>
      <c r="CE93" s="12"/>
      <c r="DZ93" s="13"/>
      <c r="EC93" s="12"/>
      <c r="GV93" s="13"/>
      <c r="GY93" s="13"/>
      <c r="HC93" s="13"/>
      <c r="JT93" s="12"/>
      <c r="JW93" s="12"/>
      <c r="LT93" s="13"/>
      <c r="LV93" s="13"/>
      <c r="NT93" s="13"/>
      <c r="NW93" s="13"/>
    </row>
    <row r="94" spans="76:387" ht="10.75" customHeight="1" x14ac:dyDescent="0.2">
      <c r="BX94" s="12"/>
      <c r="CB94" s="12"/>
      <c r="CE94" s="12"/>
      <c r="DZ94" s="13"/>
      <c r="EC94" s="12"/>
      <c r="GV94" s="13"/>
      <c r="GY94" s="13"/>
      <c r="HC94" s="13"/>
      <c r="JT94" s="12"/>
      <c r="JW94" s="12"/>
      <c r="LT94" s="13"/>
      <c r="LV94" s="13"/>
      <c r="NT94" s="13"/>
      <c r="NW94" s="13"/>
    </row>
    <row r="95" spans="76:387" ht="10.75" customHeight="1" x14ac:dyDescent="0.2">
      <c r="BX95" s="12"/>
      <c r="CB95" s="12"/>
      <c r="CE95" s="12"/>
      <c r="DZ95" s="13"/>
      <c r="EC95" s="12"/>
      <c r="GV95" s="13"/>
      <c r="GY95" s="13"/>
      <c r="HC95" s="13"/>
      <c r="JT95" s="12"/>
      <c r="JW95" s="12"/>
      <c r="LT95" s="13"/>
      <c r="LV95" s="13"/>
      <c r="NT95" s="13"/>
      <c r="NW95" s="13"/>
    </row>
    <row r="96" spans="76:387" ht="10.75" customHeight="1" x14ac:dyDescent="0.2">
      <c r="BX96" s="12"/>
      <c r="CB96" s="12"/>
      <c r="CE96" s="12"/>
      <c r="DZ96" s="13"/>
      <c r="EC96" s="12"/>
      <c r="GV96" s="13"/>
      <c r="GY96" s="13"/>
      <c r="HC96" s="13"/>
      <c r="JT96" s="12"/>
      <c r="JW96" s="12"/>
      <c r="LT96" s="13"/>
      <c r="LV96" s="13"/>
      <c r="NT96" s="13"/>
      <c r="NW96" s="13"/>
    </row>
    <row r="97" spans="76:387" ht="10.75" customHeight="1" x14ac:dyDescent="0.2">
      <c r="BX97" s="12"/>
      <c r="CB97" s="12"/>
      <c r="CE97" s="12"/>
      <c r="DZ97" s="13"/>
      <c r="EC97" s="12"/>
      <c r="GV97" s="13"/>
      <c r="GY97" s="13"/>
      <c r="HC97" s="13"/>
      <c r="JT97" s="12"/>
      <c r="JW97" s="12"/>
      <c r="LT97" s="13"/>
      <c r="LV97" s="13"/>
      <c r="NT97" s="13"/>
      <c r="NW97" s="13"/>
    </row>
    <row r="98" spans="76:387" ht="10.75" customHeight="1" x14ac:dyDescent="0.2">
      <c r="BX98" s="12"/>
      <c r="CB98" s="12"/>
      <c r="CE98" s="12"/>
      <c r="DZ98" s="13"/>
      <c r="EC98" s="12"/>
      <c r="GV98" s="13"/>
      <c r="GY98" s="13"/>
      <c r="HC98" s="13"/>
      <c r="JT98" s="12"/>
      <c r="JW98" s="12"/>
      <c r="LT98" s="13"/>
      <c r="LV98" s="13"/>
      <c r="NT98" s="13"/>
      <c r="NW98" s="13"/>
    </row>
    <row r="99" spans="76:387" ht="10.75" customHeight="1" x14ac:dyDescent="0.2">
      <c r="BX99" s="12"/>
      <c r="CB99" s="12"/>
      <c r="CE99" s="12"/>
      <c r="DZ99" s="13"/>
      <c r="EC99" s="12"/>
      <c r="GV99" s="13"/>
      <c r="GY99" s="13"/>
      <c r="HC99" s="13"/>
      <c r="JT99" s="12"/>
      <c r="JW99" s="12"/>
      <c r="LT99" s="13"/>
      <c r="LV99" s="13"/>
      <c r="NT99" s="13"/>
      <c r="NW99" s="13"/>
    </row>
    <row r="100" spans="76:387" ht="10.75" customHeight="1" x14ac:dyDescent="0.2">
      <c r="BX100" s="12"/>
      <c r="CB100" s="96"/>
      <c r="CC100" s="97"/>
      <c r="CD100" s="97"/>
      <c r="CE100" s="12"/>
      <c r="DZ100" s="13"/>
      <c r="EC100" s="12"/>
      <c r="EL100" s="97"/>
      <c r="EM100" s="97"/>
      <c r="EN100" s="97"/>
      <c r="EO100" s="97"/>
      <c r="GV100" s="13"/>
      <c r="GW100" s="97"/>
      <c r="GX100" s="97"/>
      <c r="GY100" s="98"/>
      <c r="HC100" s="13"/>
      <c r="JT100" s="12"/>
      <c r="JW100" s="12"/>
      <c r="LT100" s="13"/>
      <c r="LV100" s="13"/>
      <c r="NT100" s="13"/>
      <c r="NW100" s="13"/>
    </row>
    <row r="101" spans="76:387" ht="10.75" customHeight="1" x14ac:dyDescent="0.2">
      <c r="BX101" s="12"/>
      <c r="CB101" s="96"/>
      <c r="CC101" s="97"/>
      <c r="CD101" s="97"/>
      <c r="CE101" s="14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  <c r="CV101" s="15"/>
      <c r="CW101" s="15"/>
      <c r="CX101" s="15"/>
      <c r="CY101" s="15"/>
      <c r="CZ101" s="15"/>
      <c r="DA101" s="15"/>
      <c r="DB101" s="15"/>
      <c r="DC101" s="15"/>
      <c r="DD101" s="15"/>
      <c r="DE101" s="15"/>
      <c r="DF101" s="15"/>
      <c r="DG101" s="15"/>
      <c r="DH101" s="15"/>
      <c r="DI101" s="15"/>
      <c r="DJ101" s="15"/>
      <c r="DK101" s="15"/>
      <c r="DL101" s="15"/>
      <c r="DM101" s="15"/>
      <c r="DN101" s="15"/>
      <c r="DO101" s="15"/>
      <c r="DP101" s="15"/>
      <c r="DQ101" s="15"/>
      <c r="DR101" s="15"/>
      <c r="DS101" s="15"/>
      <c r="DT101" s="15"/>
      <c r="DU101" s="15"/>
      <c r="DV101" s="15"/>
      <c r="DW101" s="15"/>
      <c r="DX101" s="15"/>
      <c r="DY101" s="15"/>
      <c r="DZ101" s="16"/>
      <c r="EC101" s="14"/>
      <c r="ED101" s="15"/>
      <c r="EE101" s="15"/>
      <c r="EF101" s="15"/>
      <c r="EG101" s="15"/>
      <c r="EH101" s="15"/>
      <c r="EI101" s="15"/>
      <c r="EJ101" s="15"/>
      <c r="EK101" s="15"/>
      <c r="EL101" s="60"/>
      <c r="EM101" s="60"/>
      <c r="EN101" s="60"/>
      <c r="EO101" s="60"/>
      <c r="EP101" s="15"/>
      <c r="EQ101" s="15"/>
      <c r="ER101" s="15"/>
      <c r="ES101" s="15"/>
      <c r="ET101" s="15"/>
      <c r="EU101" s="15"/>
      <c r="EV101" s="15"/>
      <c r="EW101" s="15"/>
      <c r="EX101" s="15"/>
      <c r="GV101" s="13"/>
      <c r="GW101" s="97"/>
      <c r="GX101" s="97"/>
      <c r="GY101" s="98"/>
      <c r="HC101" s="13"/>
      <c r="JT101" s="12"/>
      <c r="JW101" s="12"/>
      <c r="LT101" s="13"/>
      <c r="LV101" s="13"/>
      <c r="NT101" s="13"/>
      <c r="NW101" s="13"/>
    </row>
    <row r="102" spans="76:387" ht="10.75" customHeight="1" x14ac:dyDescent="0.2">
      <c r="BX102" s="12"/>
      <c r="CB102" s="96"/>
      <c r="CC102" s="97"/>
      <c r="CD102" s="97"/>
      <c r="CE102" s="12"/>
      <c r="EC102" s="49"/>
      <c r="ED102" s="49"/>
      <c r="EE102" s="49"/>
      <c r="EF102" s="49"/>
      <c r="EG102" s="49"/>
      <c r="EH102" s="49"/>
      <c r="EI102" s="49"/>
      <c r="EJ102" s="49"/>
      <c r="EK102" s="49"/>
      <c r="EL102" s="97"/>
      <c r="EM102" s="97"/>
      <c r="EN102" s="97"/>
      <c r="EO102" s="97"/>
      <c r="EP102" s="49"/>
      <c r="EQ102" s="49"/>
      <c r="ER102" s="49"/>
      <c r="ES102" s="49"/>
      <c r="ET102" s="49"/>
      <c r="EU102" s="49"/>
      <c r="EV102" s="49"/>
      <c r="EW102" s="49"/>
      <c r="EX102" s="49"/>
      <c r="EY102" s="141"/>
      <c r="EZ102" s="236"/>
      <c r="GV102" s="13"/>
      <c r="GW102" s="97"/>
      <c r="GX102" s="97"/>
      <c r="GY102" s="98"/>
      <c r="HC102" s="13"/>
      <c r="JT102" s="12"/>
      <c r="JW102" s="12"/>
      <c r="LT102" s="13"/>
      <c r="LV102" s="13"/>
      <c r="NT102" s="13"/>
      <c r="NW102" s="13"/>
    </row>
    <row r="103" spans="76:387" ht="10.75" customHeight="1" x14ac:dyDescent="0.2">
      <c r="BX103" s="12"/>
      <c r="CB103" s="96"/>
      <c r="CC103" s="97"/>
      <c r="CD103" s="97"/>
      <c r="CE103" s="12"/>
      <c r="EC103" s="49"/>
      <c r="ED103" s="49"/>
      <c r="EE103" s="49"/>
      <c r="EF103" s="49"/>
      <c r="EG103" s="49"/>
      <c r="EH103" s="49"/>
      <c r="EI103" s="49"/>
      <c r="EJ103" s="49"/>
      <c r="EK103" s="49"/>
      <c r="EL103" s="97"/>
      <c r="EM103" s="97"/>
      <c r="EN103" s="97"/>
      <c r="EO103" s="97"/>
      <c r="EP103" s="49"/>
      <c r="EQ103" s="49"/>
      <c r="ER103" s="49"/>
      <c r="ES103" s="49"/>
      <c r="ET103" s="49"/>
      <c r="EU103" s="49"/>
      <c r="EV103" s="49"/>
      <c r="EW103" s="49"/>
      <c r="EX103" s="49"/>
      <c r="EY103" s="49"/>
      <c r="EZ103" s="208"/>
      <c r="GV103" s="13"/>
      <c r="GW103" s="97"/>
      <c r="GX103" s="97"/>
      <c r="GY103" s="98"/>
      <c r="HC103" s="13"/>
      <c r="JT103" s="12"/>
      <c r="JW103" s="12"/>
      <c r="LT103" s="13"/>
      <c r="LV103" s="13"/>
      <c r="NT103" s="13"/>
      <c r="NW103" s="13"/>
    </row>
    <row r="104" spans="76:387" ht="10.75" customHeight="1" x14ac:dyDescent="0.2">
      <c r="BX104" s="12"/>
      <c r="CB104" s="12"/>
      <c r="CE104" s="9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1"/>
      <c r="DS104" s="9"/>
      <c r="DT104" s="10"/>
      <c r="DU104" s="10"/>
      <c r="DV104" s="10"/>
      <c r="DW104" s="10"/>
      <c r="DX104" s="10"/>
      <c r="DY104" s="10"/>
      <c r="DZ104" s="10"/>
      <c r="EA104" s="10"/>
      <c r="EB104" s="10"/>
      <c r="EC104" s="10"/>
      <c r="ED104" s="10"/>
      <c r="EE104" s="10"/>
      <c r="EF104" s="10"/>
      <c r="EG104" s="10"/>
      <c r="EH104" s="10"/>
      <c r="EI104" s="10"/>
      <c r="EJ104" s="10"/>
      <c r="EK104" s="10"/>
      <c r="EL104" s="10"/>
      <c r="EM104" s="10"/>
      <c r="EN104" s="10"/>
      <c r="EO104" s="10"/>
      <c r="EP104" s="10"/>
      <c r="EQ104" s="10"/>
      <c r="ER104" s="10"/>
      <c r="ES104" s="10"/>
      <c r="ET104" s="10"/>
      <c r="EU104" s="10"/>
      <c r="EV104" s="10"/>
      <c r="EW104" s="10"/>
      <c r="EX104" s="11"/>
      <c r="EY104" s="214"/>
      <c r="EZ104" s="208"/>
      <c r="GV104" s="13"/>
      <c r="GY104" s="13"/>
      <c r="HC104" s="13"/>
      <c r="JT104" s="12"/>
      <c r="JW104" s="12"/>
      <c r="LT104" s="13"/>
      <c r="LV104" s="13"/>
      <c r="NT104" s="13"/>
      <c r="NW104" s="13"/>
    </row>
    <row r="105" spans="76:387" ht="10.75" customHeight="1" x14ac:dyDescent="0.2">
      <c r="BX105" s="12"/>
      <c r="CB105" s="12"/>
      <c r="CE105" s="12"/>
      <c r="DP105" s="13"/>
      <c r="DS105" s="12"/>
      <c r="EX105" s="13"/>
      <c r="EY105" s="214"/>
      <c r="EZ105" s="208"/>
      <c r="GV105" s="13"/>
      <c r="GY105" s="13"/>
      <c r="HC105" s="13"/>
      <c r="JT105" s="12"/>
      <c r="JW105" s="12"/>
      <c r="LT105" s="13"/>
      <c r="LV105" s="13"/>
      <c r="NT105" s="13"/>
      <c r="NW105" s="13"/>
    </row>
    <row r="106" spans="76:387" ht="10.75" customHeight="1" x14ac:dyDescent="0.2">
      <c r="BX106" s="12"/>
      <c r="CB106" s="12"/>
      <c r="CE106" s="12"/>
      <c r="DP106" s="13"/>
      <c r="DS106" s="12"/>
      <c r="EX106" s="13"/>
      <c r="EY106" s="214"/>
      <c r="EZ106" s="208"/>
      <c r="GV106" s="13"/>
      <c r="GY106" s="13"/>
      <c r="HC106" s="13"/>
      <c r="JT106" s="12"/>
      <c r="JW106" s="14"/>
      <c r="JX106" s="15"/>
      <c r="JY106" s="15"/>
      <c r="JZ106" s="15"/>
      <c r="KA106" s="15"/>
      <c r="KB106" s="15"/>
      <c r="KC106" s="15"/>
      <c r="KD106" s="15"/>
      <c r="KE106" s="15"/>
      <c r="KF106" s="15"/>
      <c r="KG106" s="15"/>
      <c r="KH106" s="15"/>
      <c r="KI106" s="15"/>
      <c r="KJ106" s="15"/>
      <c r="KK106" s="15"/>
      <c r="KL106" s="15"/>
      <c r="KM106" s="15"/>
      <c r="KN106" s="15"/>
      <c r="KO106" s="15"/>
      <c r="KP106" s="15"/>
      <c r="KQ106" s="15"/>
      <c r="KR106" s="15"/>
      <c r="KS106" s="15"/>
      <c r="KT106" s="15"/>
      <c r="KU106" s="15"/>
      <c r="KV106" s="15"/>
      <c r="KW106" s="15"/>
      <c r="KX106" s="15"/>
      <c r="KY106" s="15"/>
      <c r="KZ106" s="15"/>
      <c r="LA106" s="15"/>
      <c r="LB106" s="15"/>
      <c r="LC106" s="15"/>
      <c r="LD106" s="15"/>
      <c r="LE106" s="15"/>
      <c r="LF106" s="15"/>
      <c r="LG106" s="15"/>
      <c r="LH106" s="15"/>
      <c r="LI106" s="15"/>
      <c r="LJ106" s="15"/>
      <c r="LK106" s="15"/>
      <c r="LL106" s="15"/>
      <c r="LM106" s="15"/>
      <c r="LN106" s="15"/>
      <c r="LO106" s="15"/>
      <c r="LP106" s="15"/>
      <c r="LQ106" s="15"/>
      <c r="LR106" s="15"/>
      <c r="LS106" s="15"/>
      <c r="LT106" s="16"/>
      <c r="LV106" s="13"/>
      <c r="NT106" s="13"/>
      <c r="NW106" s="13"/>
    </row>
    <row r="107" spans="76:387" ht="10.75" customHeight="1" x14ac:dyDescent="0.2">
      <c r="BX107" s="12"/>
      <c r="CB107" s="12"/>
      <c r="CE107" s="12"/>
      <c r="DP107" s="13"/>
      <c r="DS107" s="12"/>
      <c r="EX107" s="13"/>
      <c r="EY107" s="214"/>
      <c r="EZ107" s="208"/>
      <c r="GV107" s="13"/>
      <c r="GY107" s="13"/>
      <c r="GZ107" s="9"/>
      <c r="HA107" s="10"/>
      <c r="HB107" s="10"/>
      <c r="HC107" s="11"/>
      <c r="HD107" s="10"/>
      <c r="HE107" s="10"/>
      <c r="HF107" s="10"/>
      <c r="HG107" s="10"/>
      <c r="HH107" s="10"/>
      <c r="HI107" s="10"/>
      <c r="HJ107" s="10"/>
      <c r="HK107" s="10"/>
      <c r="HL107" s="10"/>
      <c r="HM107" s="10"/>
      <c r="HN107" s="10"/>
      <c r="HO107" s="10"/>
      <c r="HP107" s="10"/>
      <c r="HQ107" s="10"/>
      <c r="HR107" s="10"/>
      <c r="HS107" s="10"/>
      <c r="HT107" s="10"/>
      <c r="HU107" s="10"/>
      <c r="HV107" s="10"/>
      <c r="HW107" s="10"/>
      <c r="HX107" s="10"/>
      <c r="HY107" s="10"/>
      <c r="HZ107" s="10"/>
      <c r="IA107" s="10"/>
      <c r="IB107" s="10"/>
      <c r="IC107" s="10"/>
      <c r="ID107" s="10"/>
      <c r="IE107" s="11"/>
      <c r="JT107" s="12"/>
      <c r="JW107" s="12"/>
      <c r="LV107" s="13"/>
      <c r="NT107" s="13"/>
      <c r="NW107" s="13"/>
    </row>
    <row r="108" spans="76:387" ht="10.75" customHeight="1" x14ac:dyDescent="0.2">
      <c r="BX108" s="12"/>
      <c r="CB108" s="12"/>
      <c r="CE108" s="12"/>
      <c r="DP108" s="13"/>
      <c r="DS108" s="12"/>
      <c r="EX108" s="13"/>
      <c r="EY108" s="214"/>
      <c r="EZ108" s="208"/>
      <c r="GV108" s="13"/>
      <c r="GY108" s="13"/>
      <c r="GZ108" s="12"/>
      <c r="HC108" s="13"/>
      <c r="IE108" s="13"/>
      <c r="JT108" s="12"/>
      <c r="JW108" s="14"/>
      <c r="JX108" s="15"/>
      <c r="JY108" s="15"/>
      <c r="JZ108" s="15"/>
      <c r="KA108" s="15"/>
      <c r="KB108" s="15"/>
      <c r="KC108" s="15"/>
      <c r="KD108" s="15"/>
      <c r="KE108" s="15"/>
      <c r="KF108" s="15"/>
      <c r="KG108" s="15"/>
      <c r="KH108" s="15"/>
      <c r="KI108" s="15"/>
      <c r="KJ108" s="15"/>
      <c r="KK108" s="15"/>
      <c r="KL108" s="15"/>
      <c r="KM108" s="15"/>
      <c r="KN108" s="15"/>
      <c r="KO108" s="15"/>
      <c r="KP108" s="15"/>
      <c r="KQ108" s="15"/>
      <c r="KR108" s="15"/>
      <c r="KS108" s="15"/>
      <c r="KT108" s="15"/>
      <c r="KU108" s="15"/>
      <c r="KV108" s="15"/>
      <c r="KW108" s="15"/>
      <c r="KX108" s="15"/>
      <c r="KY108" s="15"/>
      <c r="KZ108" s="15"/>
      <c r="LA108" s="15"/>
      <c r="LB108" s="15"/>
      <c r="LC108" s="15"/>
      <c r="LD108" s="15"/>
      <c r="LE108" s="15"/>
      <c r="LF108" s="15"/>
      <c r="LG108" s="15"/>
      <c r="LH108" s="15"/>
      <c r="LI108" s="15"/>
      <c r="LJ108" s="15"/>
      <c r="LK108" s="15"/>
      <c r="LL108" s="15"/>
      <c r="LM108" s="15"/>
      <c r="LN108" s="15"/>
      <c r="LO108" s="15"/>
      <c r="LP108" s="15"/>
      <c r="LQ108" s="15"/>
      <c r="LR108" s="15"/>
      <c r="LS108" s="15"/>
      <c r="LT108" s="15"/>
      <c r="LU108" s="15"/>
      <c r="LV108" s="16"/>
      <c r="NT108" s="13"/>
      <c r="NW108" s="13"/>
    </row>
    <row r="109" spans="76:387" ht="10.75" customHeight="1" x14ac:dyDescent="0.2">
      <c r="BX109" s="12"/>
      <c r="CB109" s="12"/>
      <c r="CE109" s="12"/>
      <c r="DP109" s="13"/>
      <c r="DS109" s="12"/>
      <c r="EX109" s="13"/>
      <c r="EY109" s="214"/>
      <c r="EZ109" s="208"/>
      <c r="GV109" s="13"/>
      <c r="GY109" s="13"/>
      <c r="GZ109" s="12"/>
      <c r="HC109" s="13"/>
      <c r="IE109" s="13"/>
      <c r="JT109" s="12"/>
      <c r="JW109" s="9"/>
      <c r="JX109" s="10"/>
      <c r="JY109" s="10"/>
      <c r="JZ109" s="10"/>
      <c r="KA109" s="10"/>
      <c r="KB109" s="10"/>
      <c r="KC109" s="10"/>
      <c r="KD109" s="10"/>
      <c r="KE109" s="10"/>
      <c r="KF109" s="10"/>
      <c r="KG109" s="10"/>
      <c r="KH109" s="10"/>
      <c r="KI109" s="10"/>
      <c r="KJ109" s="10"/>
      <c r="KK109" s="10"/>
      <c r="KL109" s="10"/>
      <c r="KM109" s="10"/>
      <c r="KN109" s="10"/>
      <c r="KO109" s="10"/>
      <c r="KP109" s="10"/>
      <c r="KQ109" s="10"/>
      <c r="KR109" s="10"/>
      <c r="KS109" s="10"/>
      <c r="KT109" s="10"/>
      <c r="KU109" s="10"/>
      <c r="KV109" s="10"/>
      <c r="KW109" s="10"/>
      <c r="KX109" s="10"/>
      <c r="KY109" s="10"/>
      <c r="KZ109" s="10"/>
      <c r="LA109" s="10"/>
      <c r="LB109" s="11"/>
      <c r="LC109" s="10"/>
      <c r="LD109" s="11"/>
      <c r="NT109" s="13"/>
      <c r="NW109" s="13"/>
    </row>
    <row r="110" spans="76:387" ht="10.75" customHeight="1" x14ac:dyDescent="0.2">
      <c r="BX110" s="12"/>
      <c r="CB110" s="12"/>
      <c r="CE110" s="12"/>
      <c r="DP110" s="13"/>
      <c r="DS110" s="12"/>
      <c r="EX110" s="13"/>
      <c r="EY110" s="214"/>
      <c r="EZ110" s="208"/>
      <c r="GV110" s="13"/>
      <c r="GY110" s="13"/>
      <c r="GZ110" s="12"/>
      <c r="HC110" s="13"/>
      <c r="IE110" s="13"/>
      <c r="JT110" s="12"/>
      <c r="JW110" s="12"/>
      <c r="LB110" s="13"/>
      <c r="LD110" s="13"/>
      <c r="NT110" s="13"/>
      <c r="NW110" s="13"/>
    </row>
    <row r="111" spans="76:387" ht="10.75" customHeight="1" x14ac:dyDescent="0.2">
      <c r="BX111" s="12"/>
      <c r="CB111" s="12"/>
      <c r="CE111" s="12"/>
      <c r="DP111" s="13"/>
      <c r="DS111" s="12"/>
      <c r="EA111" s="15"/>
      <c r="EB111" s="15"/>
      <c r="EC111" s="15"/>
      <c r="ED111" s="15"/>
      <c r="EE111" s="15"/>
      <c r="EF111" s="15"/>
      <c r="EG111" s="15"/>
      <c r="EH111" s="15"/>
      <c r="EI111" s="15"/>
      <c r="EJ111" s="15"/>
      <c r="EK111" s="15"/>
      <c r="EL111" s="15"/>
      <c r="EM111" s="15"/>
      <c r="EN111" s="15"/>
      <c r="EO111" s="15"/>
      <c r="EP111" s="15"/>
      <c r="EX111" s="13"/>
      <c r="EY111" s="214"/>
      <c r="EZ111" s="208"/>
      <c r="GV111" s="13"/>
      <c r="GY111" s="13"/>
      <c r="GZ111" s="12"/>
      <c r="HC111" s="13"/>
      <c r="IE111" s="13"/>
      <c r="JT111" s="12"/>
      <c r="JW111" s="12"/>
      <c r="LB111" s="13"/>
      <c r="LD111" s="13"/>
      <c r="NT111" s="13"/>
      <c r="NW111" s="13"/>
    </row>
    <row r="112" spans="76:387" ht="10.75" customHeight="1" x14ac:dyDescent="0.2">
      <c r="BX112" s="12"/>
      <c r="CB112" s="12"/>
      <c r="CE112" s="12"/>
      <c r="DP112" s="13"/>
      <c r="DS112" s="12"/>
      <c r="DZ112" s="13"/>
      <c r="EQ112" s="12"/>
      <c r="EX112" s="13"/>
      <c r="EY112" s="214"/>
      <c r="EZ112" s="208"/>
      <c r="GV112" s="13"/>
      <c r="GY112" s="13"/>
      <c r="GZ112" s="12"/>
      <c r="HC112" s="13"/>
      <c r="IE112" s="13"/>
      <c r="JT112" s="12"/>
      <c r="JW112" s="12"/>
      <c r="LB112" s="13"/>
      <c r="LD112" s="13"/>
      <c r="NT112" s="13"/>
      <c r="NW112" s="13"/>
    </row>
    <row r="113" spans="76:387" ht="10.75" customHeight="1" x14ac:dyDescent="0.2">
      <c r="BX113" s="12"/>
      <c r="CB113" s="12"/>
      <c r="CE113" s="12"/>
      <c r="DP113" s="13"/>
      <c r="DS113" s="12"/>
      <c r="DZ113" s="13"/>
      <c r="EQ113" s="12"/>
      <c r="EX113" s="13"/>
      <c r="EY113" s="214"/>
      <c r="EZ113" s="208"/>
      <c r="GV113" s="13"/>
      <c r="GY113" s="13"/>
      <c r="GZ113" s="12"/>
      <c r="HC113" s="13"/>
      <c r="IE113" s="13"/>
      <c r="JT113" s="12"/>
      <c r="JW113" s="12"/>
      <c r="LB113" s="13"/>
      <c r="LD113" s="13"/>
      <c r="NT113" s="13"/>
      <c r="NW113" s="13"/>
    </row>
    <row r="114" spans="76:387" ht="10.75" customHeight="1" x14ac:dyDescent="0.2">
      <c r="BX114" s="12"/>
      <c r="CB114" s="12"/>
      <c r="CE114" s="12"/>
      <c r="DP114" s="13"/>
      <c r="DS114" s="12"/>
      <c r="DZ114" s="13"/>
      <c r="EQ114" s="12"/>
      <c r="EX114" s="13"/>
      <c r="EY114" s="214"/>
      <c r="EZ114" s="208"/>
      <c r="GV114" s="13"/>
      <c r="GY114" s="13"/>
      <c r="GZ114" s="12"/>
      <c r="HC114" s="13"/>
      <c r="IE114" s="13"/>
      <c r="JT114" s="12"/>
      <c r="JW114" s="12"/>
      <c r="LB114" s="13"/>
      <c r="LD114" s="13"/>
      <c r="NT114" s="13"/>
      <c r="NW114" s="13"/>
    </row>
    <row r="115" spans="76:387" ht="10.75" customHeight="1" x14ac:dyDescent="0.2">
      <c r="BX115" s="12"/>
      <c r="CB115" s="12"/>
      <c r="CE115" s="12"/>
      <c r="DP115" s="13"/>
      <c r="DS115" s="12"/>
      <c r="DZ115" s="13"/>
      <c r="EQ115" s="12"/>
      <c r="EX115" s="13"/>
      <c r="EY115" s="214"/>
      <c r="EZ115" s="208"/>
      <c r="GV115" s="13"/>
      <c r="GY115" s="13"/>
      <c r="GZ115" s="12"/>
      <c r="HC115" s="13"/>
      <c r="IE115" s="13"/>
      <c r="JT115" s="12"/>
      <c r="JW115" s="12"/>
      <c r="LB115" s="13"/>
      <c r="LD115" s="13"/>
      <c r="NT115" s="13"/>
      <c r="NW115" s="13"/>
    </row>
    <row r="116" spans="76:387" ht="10.75" customHeight="1" x14ac:dyDescent="0.2">
      <c r="BX116" s="12"/>
      <c r="CB116" s="12"/>
      <c r="CE116" s="12"/>
      <c r="DP116" s="13"/>
      <c r="DS116" s="12"/>
      <c r="DZ116" s="13"/>
      <c r="EQ116" s="12"/>
      <c r="EX116" s="13"/>
      <c r="EY116" s="214"/>
      <c r="EZ116" s="208"/>
      <c r="GV116" s="13"/>
      <c r="GY116" s="13"/>
      <c r="GZ116" s="12"/>
      <c r="HC116" s="13"/>
      <c r="IE116" s="13"/>
      <c r="JT116" s="12"/>
      <c r="JW116" s="12"/>
      <c r="LB116" s="13"/>
      <c r="LD116" s="13"/>
      <c r="NT116" s="13"/>
      <c r="NW116" s="13"/>
    </row>
    <row r="117" spans="76:387" ht="10.75" customHeight="1" x14ac:dyDescent="0.2">
      <c r="BX117" s="12"/>
      <c r="CB117" s="12"/>
      <c r="CE117" s="12"/>
      <c r="DP117" s="13"/>
      <c r="DS117" s="12"/>
      <c r="DZ117" s="13"/>
      <c r="EQ117" s="12"/>
      <c r="EX117" s="13"/>
      <c r="EY117" s="214"/>
      <c r="EZ117" s="208"/>
      <c r="GV117" s="13"/>
      <c r="GY117" s="13"/>
      <c r="GZ117" s="12"/>
      <c r="HC117" s="13"/>
      <c r="IE117" s="13"/>
      <c r="JT117" s="12"/>
      <c r="JW117" s="12"/>
      <c r="LB117" s="13"/>
      <c r="LD117" s="13"/>
      <c r="NT117" s="13"/>
      <c r="NW117" s="13"/>
    </row>
    <row r="118" spans="76:387" ht="10.75" customHeight="1" x14ac:dyDescent="0.2">
      <c r="BX118" s="12"/>
      <c r="CB118" s="12"/>
      <c r="CE118" s="12"/>
      <c r="DP118" s="13"/>
      <c r="DS118" s="12"/>
      <c r="DZ118" s="13"/>
      <c r="EQ118" s="12"/>
      <c r="EX118" s="13"/>
      <c r="EY118" s="214"/>
      <c r="EZ118" s="208"/>
      <c r="GV118" s="13"/>
      <c r="GY118" s="13"/>
      <c r="GZ118" s="12"/>
      <c r="HC118" s="13"/>
      <c r="IE118" s="13"/>
      <c r="JT118" s="12"/>
      <c r="JW118" s="12"/>
      <c r="LB118" s="13"/>
      <c r="LD118" s="13"/>
      <c r="NT118" s="13"/>
      <c r="NW118" s="13"/>
    </row>
    <row r="119" spans="76:387" ht="10.75" customHeight="1" x14ac:dyDescent="0.2">
      <c r="BX119" s="12"/>
      <c r="CB119" s="12"/>
      <c r="CE119" s="12"/>
      <c r="DP119" s="13"/>
      <c r="DS119" s="12"/>
      <c r="DZ119" s="13"/>
      <c r="EQ119" s="12"/>
      <c r="EX119" s="13"/>
      <c r="EY119" s="214"/>
      <c r="EZ119" s="208"/>
      <c r="GV119" s="13"/>
      <c r="GY119" s="13"/>
      <c r="GZ119" s="12"/>
      <c r="HC119" s="13"/>
      <c r="IE119" s="13"/>
      <c r="JT119" s="12"/>
      <c r="JW119" s="12"/>
      <c r="LB119" s="13"/>
      <c r="LD119" s="13"/>
      <c r="NT119" s="13"/>
      <c r="NW119" s="13"/>
    </row>
    <row r="120" spans="76:387" ht="10.75" customHeight="1" x14ac:dyDescent="0.2">
      <c r="BX120" s="12"/>
      <c r="CB120" s="12"/>
      <c r="CE120" s="12"/>
      <c r="DP120" s="13"/>
      <c r="DS120" s="12"/>
      <c r="DZ120" s="13"/>
      <c r="EQ120" s="12"/>
      <c r="EX120" s="13"/>
      <c r="EY120" s="214"/>
      <c r="EZ120" s="208"/>
      <c r="GV120" s="13"/>
      <c r="GY120" s="13"/>
      <c r="GZ120" s="12"/>
      <c r="HC120" s="13"/>
      <c r="IE120" s="13"/>
      <c r="JT120" s="12"/>
      <c r="JW120" s="12"/>
      <c r="LB120" s="13"/>
      <c r="LD120" s="13"/>
      <c r="NT120" s="13"/>
      <c r="NW120" s="13"/>
    </row>
    <row r="121" spans="76:387" ht="10.75" customHeight="1" x14ac:dyDescent="0.2">
      <c r="BX121" s="12"/>
      <c r="CB121" s="12"/>
      <c r="CE121" s="12"/>
      <c r="DP121" s="13"/>
      <c r="DS121" s="12"/>
      <c r="DZ121" s="13"/>
      <c r="EQ121" s="12"/>
      <c r="EX121" s="13"/>
      <c r="EY121" s="214"/>
      <c r="EZ121" s="208"/>
      <c r="GV121" s="13"/>
      <c r="GY121" s="13"/>
      <c r="GZ121" s="12"/>
      <c r="HC121" s="13"/>
      <c r="IE121" s="13"/>
      <c r="JT121" s="12"/>
      <c r="JW121" s="12"/>
      <c r="LB121" s="13"/>
      <c r="LD121" s="13"/>
      <c r="NT121" s="13"/>
      <c r="NW121" s="13"/>
    </row>
    <row r="122" spans="76:387" ht="10.75" customHeight="1" x14ac:dyDescent="0.2">
      <c r="BX122" s="12"/>
      <c r="CB122" s="12"/>
      <c r="CE122" s="12"/>
      <c r="DP122" s="13"/>
      <c r="DS122" s="12"/>
      <c r="DZ122" s="13"/>
      <c r="EQ122" s="12"/>
      <c r="EX122" s="13"/>
      <c r="EY122" s="214"/>
      <c r="EZ122" s="208"/>
      <c r="GV122" s="13"/>
      <c r="GY122" s="13"/>
      <c r="GZ122" s="12"/>
      <c r="HC122" s="13"/>
      <c r="IE122" s="13"/>
      <c r="JT122" s="12"/>
      <c r="JW122" s="12"/>
      <c r="LB122" s="13"/>
      <c r="LD122" s="13"/>
      <c r="NT122" s="13"/>
      <c r="NW122" s="13"/>
    </row>
    <row r="123" spans="76:387" ht="10.75" customHeight="1" x14ac:dyDescent="0.2">
      <c r="BX123" s="12"/>
      <c r="CB123" s="12"/>
      <c r="CE123" s="14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6"/>
      <c r="DS123" s="12"/>
      <c r="DZ123" s="13"/>
      <c r="EQ123" s="12"/>
      <c r="EX123" s="13"/>
      <c r="EY123" s="214"/>
      <c r="EZ123" s="208"/>
      <c r="GV123" s="13"/>
      <c r="GY123" s="13"/>
      <c r="GZ123" s="12"/>
      <c r="HC123" s="13"/>
      <c r="IE123" s="13"/>
      <c r="JT123" s="12"/>
      <c r="JW123" s="12"/>
      <c r="LB123" s="13"/>
      <c r="LD123" s="13"/>
      <c r="NT123" s="13"/>
      <c r="NW123" s="13"/>
    </row>
    <row r="124" spans="76:387" ht="10.75" customHeight="1" x14ac:dyDescent="0.2">
      <c r="BX124" s="12"/>
      <c r="CB124" s="12"/>
      <c r="DS124" s="12"/>
      <c r="DZ124" s="13"/>
      <c r="EQ124" s="12"/>
      <c r="EX124" s="13"/>
      <c r="EY124" s="214"/>
      <c r="EZ124" s="208"/>
      <c r="GV124" s="13"/>
      <c r="GY124" s="13"/>
      <c r="GZ124" s="12"/>
      <c r="HC124" s="13"/>
      <c r="IE124" s="13"/>
      <c r="JT124" s="12"/>
      <c r="JW124" s="12"/>
      <c r="LB124" s="13"/>
      <c r="LD124" s="13"/>
      <c r="NT124" s="13"/>
      <c r="NW124" s="13"/>
    </row>
    <row r="125" spans="76:387" ht="10.75" customHeight="1" x14ac:dyDescent="0.2">
      <c r="BX125" s="12"/>
      <c r="CB125" s="12"/>
      <c r="DS125" s="12"/>
      <c r="DZ125" s="13"/>
      <c r="EQ125" s="12"/>
      <c r="EX125" s="13"/>
      <c r="EY125" s="214"/>
      <c r="EZ125" s="208"/>
      <c r="GV125" s="13"/>
      <c r="GY125" s="13"/>
      <c r="GZ125" s="12"/>
      <c r="HC125" s="13"/>
      <c r="IE125" s="13"/>
      <c r="JT125" s="12"/>
      <c r="JW125" s="12"/>
      <c r="LB125" s="13"/>
      <c r="LD125" s="13"/>
      <c r="NT125" s="13"/>
      <c r="NW125" s="13"/>
    </row>
    <row r="126" spans="76:387" ht="10.75" customHeight="1" x14ac:dyDescent="0.2">
      <c r="BX126" s="12"/>
      <c r="CB126" s="12"/>
      <c r="DS126" s="12"/>
      <c r="DZ126" s="13"/>
      <c r="EQ126" s="12"/>
      <c r="EX126" s="13"/>
      <c r="EY126" s="214"/>
      <c r="EZ126" s="208"/>
      <c r="GV126" s="13"/>
      <c r="GY126" s="13"/>
      <c r="GZ126" s="12"/>
      <c r="HC126" s="13"/>
      <c r="IE126" s="13"/>
      <c r="JT126" s="12"/>
      <c r="JW126" s="14"/>
      <c r="JX126" s="15"/>
      <c r="JY126" s="15"/>
      <c r="JZ126" s="15"/>
      <c r="KA126" s="15"/>
      <c r="KB126" s="15"/>
      <c r="KC126" s="15"/>
      <c r="KD126" s="15"/>
      <c r="KE126" s="15"/>
      <c r="KF126" s="15"/>
      <c r="KG126" s="15"/>
      <c r="KH126" s="15"/>
      <c r="KI126" s="15"/>
      <c r="KJ126" s="15"/>
      <c r="KK126" s="15"/>
      <c r="KL126" s="15"/>
      <c r="KM126" s="15"/>
      <c r="KN126" s="15"/>
      <c r="KO126" s="15"/>
      <c r="KP126" s="15"/>
      <c r="KQ126" s="15"/>
      <c r="KR126" s="15"/>
      <c r="KS126" s="15"/>
      <c r="KT126" s="15"/>
      <c r="KU126" s="15"/>
      <c r="KV126" s="15"/>
      <c r="KW126" s="15"/>
      <c r="KX126" s="15"/>
      <c r="KY126" s="15"/>
      <c r="KZ126" s="15"/>
      <c r="LA126" s="15"/>
      <c r="LB126" s="16"/>
      <c r="LD126" s="13"/>
      <c r="NT126" s="13"/>
      <c r="NW126" s="13"/>
    </row>
    <row r="127" spans="76:387" ht="10.75" customHeight="1" x14ac:dyDescent="0.2">
      <c r="BX127" s="12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1"/>
      <c r="DS127" s="12"/>
      <c r="DZ127" s="13"/>
      <c r="EQ127" s="12"/>
      <c r="EX127" s="13"/>
      <c r="EY127" s="214"/>
      <c r="EZ127" s="208"/>
      <c r="GV127" s="13"/>
      <c r="GY127" s="13"/>
      <c r="GZ127" s="12"/>
      <c r="HC127" s="13"/>
      <c r="IE127" s="13"/>
      <c r="JT127" s="12"/>
      <c r="JW127" s="12"/>
      <c r="LD127" s="13"/>
      <c r="NT127" s="13"/>
      <c r="NW127" s="13"/>
    </row>
    <row r="128" spans="76:387" ht="10.75" customHeight="1" x14ac:dyDescent="0.2">
      <c r="BX128" s="12"/>
      <c r="DO128" s="13"/>
      <c r="DS128" s="12"/>
      <c r="DZ128" s="13"/>
      <c r="EQ128" s="12"/>
      <c r="EX128" s="13"/>
      <c r="EY128" s="214"/>
      <c r="EZ128" s="208"/>
      <c r="GV128" s="13"/>
      <c r="GY128" s="13"/>
      <c r="GZ128" s="12"/>
      <c r="HC128" s="13"/>
      <c r="IE128" s="13"/>
      <c r="JT128" s="12"/>
      <c r="JW128" s="14"/>
      <c r="JX128" s="15"/>
      <c r="JY128" s="15"/>
      <c r="JZ128" s="15"/>
      <c r="KA128" s="15"/>
      <c r="KB128" s="15"/>
      <c r="KC128" s="15"/>
      <c r="KD128" s="15"/>
      <c r="KE128" s="15"/>
      <c r="KF128" s="15"/>
      <c r="KG128" s="15"/>
      <c r="KH128" s="15"/>
      <c r="KI128" s="15"/>
      <c r="KJ128" s="15"/>
      <c r="KK128" s="15"/>
      <c r="KL128" s="15"/>
      <c r="KM128" s="15"/>
      <c r="KN128" s="15"/>
      <c r="KO128" s="15"/>
      <c r="KP128" s="15"/>
      <c r="KQ128" s="15"/>
      <c r="KR128" s="15"/>
      <c r="KS128" s="15"/>
      <c r="KT128" s="15"/>
      <c r="KU128" s="15"/>
      <c r="KV128" s="15"/>
      <c r="KW128" s="15"/>
      <c r="KX128" s="15"/>
      <c r="KY128" s="15"/>
      <c r="KZ128" s="15"/>
      <c r="LA128" s="15"/>
      <c r="LB128" s="15"/>
      <c r="LC128" s="15"/>
      <c r="LD128" s="16"/>
      <c r="NT128" s="13"/>
      <c r="NW128" s="13"/>
    </row>
    <row r="129" spans="76:387" ht="10.75" customHeight="1" x14ac:dyDescent="0.2">
      <c r="BX129" s="12"/>
      <c r="DO129" s="13"/>
      <c r="DS129" s="12"/>
      <c r="DZ129" s="13"/>
      <c r="EQ129" s="12"/>
      <c r="EX129" s="13"/>
      <c r="EY129" s="214"/>
      <c r="EZ129" s="208"/>
      <c r="GV129" s="13"/>
      <c r="GY129" s="13"/>
      <c r="GZ129" s="12"/>
      <c r="HC129" s="13"/>
      <c r="IE129" s="13"/>
      <c r="JT129" s="12"/>
      <c r="JW129" s="9"/>
      <c r="JX129" s="10"/>
      <c r="JY129" s="10"/>
      <c r="JZ129" s="10"/>
      <c r="KA129" s="10"/>
      <c r="KB129" s="10"/>
      <c r="KC129" s="10"/>
      <c r="KD129" s="10"/>
      <c r="KE129" s="10"/>
      <c r="KF129" s="10"/>
      <c r="KG129" s="10"/>
      <c r="KH129" s="10"/>
      <c r="KI129" s="10"/>
      <c r="KJ129" s="10"/>
      <c r="KK129" s="10"/>
      <c r="KL129" s="10"/>
      <c r="KM129" s="10"/>
      <c r="KN129" s="10"/>
      <c r="KO129" s="10"/>
      <c r="KP129" s="10"/>
      <c r="KQ129" s="10"/>
      <c r="KR129" s="10"/>
      <c r="KS129" s="10"/>
      <c r="KT129" s="10"/>
      <c r="KU129" s="10"/>
      <c r="KV129" s="10"/>
      <c r="KW129" s="10"/>
      <c r="KX129" s="10"/>
      <c r="KY129" s="10"/>
      <c r="KZ129" s="10"/>
      <c r="LA129" s="10"/>
      <c r="LB129" s="10"/>
      <c r="LC129" s="9"/>
      <c r="LD129" s="11"/>
      <c r="NT129" s="13"/>
      <c r="NW129" s="13"/>
    </row>
    <row r="130" spans="76:387" ht="10.75" customHeight="1" x14ac:dyDescent="0.2">
      <c r="BX130" s="12"/>
      <c r="DO130" s="13"/>
      <c r="DS130" s="12"/>
      <c r="DZ130" s="13"/>
      <c r="EQ130" s="12"/>
      <c r="EX130" s="13"/>
      <c r="EY130" s="214"/>
      <c r="EZ130" s="208"/>
      <c r="GV130" s="13"/>
      <c r="GY130" s="13"/>
      <c r="GZ130" s="12"/>
      <c r="HC130" s="13"/>
      <c r="IE130" s="13"/>
      <c r="JT130" s="12"/>
      <c r="JW130" s="12"/>
      <c r="LC130" s="12"/>
      <c r="LD130" s="13"/>
      <c r="NT130" s="13"/>
      <c r="NW130" s="13"/>
    </row>
    <row r="131" spans="76:387" ht="10.75" customHeight="1" x14ac:dyDescent="0.2">
      <c r="BX131" s="12"/>
      <c r="DO131" s="13"/>
      <c r="DS131" s="12"/>
      <c r="DZ131" s="13"/>
      <c r="EQ131" s="12"/>
      <c r="EX131" s="13"/>
      <c r="EY131" s="214"/>
      <c r="EZ131" s="208"/>
      <c r="GV131" s="13"/>
      <c r="GY131" s="13"/>
      <c r="GZ131" s="12"/>
      <c r="HC131" s="13"/>
      <c r="IE131" s="13"/>
      <c r="JT131" s="12"/>
      <c r="JW131" s="12"/>
      <c r="LC131" s="12"/>
      <c r="LD131" s="13"/>
      <c r="NT131" s="13"/>
      <c r="NW131" s="13"/>
    </row>
    <row r="132" spans="76:387" ht="10.75" customHeight="1" x14ac:dyDescent="0.2">
      <c r="BX132" s="12"/>
      <c r="DO132" s="13"/>
      <c r="DS132" s="12"/>
      <c r="DZ132" s="13"/>
      <c r="EQ132" s="12"/>
      <c r="EX132" s="13"/>
      <c r="EY132" s="214"/>
      <c r="EZ132" s="208"/>
      <c r="GV132" s="13"/>
      <c r="GY132" s="13"/>
      <c r="GZ132" s="12"/>
      <c r="HC132" s="13"/>
      <c r="IE132" s="13"/>
      <c r="JT132" s="12"/>
      <c r="JW132" s="12"/>
      <c r="LC132" s="12"/>
      <c r="LD132" s="13"/>
      <c r="NT132" s="13"/>
      <c r="NW132" s="13"/>
    </row>
    <row r="133" spans="76:387" ht="10.75" customHeight="1" x14ac:dyDescent="0.2">
      <c r="BX133" s="12"/>
      <c r="DO133" s="13"/>
      <c r="DS133" s="12"/>
      <c r="DZ133" s="13"/>
      <c r="EQ133" s="12"/>
      <c r="EX133" s="13"/>
      <c r="EY133" s="214"/>
      <c r="EZ133" s="208"/>
      <c r="GV133" s="13"/>
      <c r="GY133" s="13"/>
      <c r="GZ133" s="12"/>
      <c r="HC133" s="13"/>
      <c r="IE133" s="13"/>
      <c r="JT133" s="12"/>
      <c r="JW133" s="12"/>
      <c r="LC133" s="12"/>
      <c r="LD133" s="13"/>
      <c r="NT133" s="13"/>
      <c r="NW133" s="13"/>
    </row>
    <row r="134" spans="76:387" ht="10.75" customHeight="1" x14ac:dyDescent="0.2">
      <c r="BX134" s="12"/>
      <c r="DO134" s="13"/>
      <c r="DS134" s="12"/>
      <c r="DZ134" s="13"/>
      <c r="EQ134" s="12"/>
      <c r="EX134" s="13"/>
      <c r="EY134" s="214"/>
      <c r="EZ134" s="208"/>
      <c r="GV134" s="13"/>
      <c r="GY134" s="13"/>
      <c r="GZ134" s="12"/>
      <c r="HC134" s="13"/>
      <c r="IE134" s="13"/>
      <c r="JT134" s="12"/>
      <c r="JW134" s="12"/>
      <c r="LC134" s="12"/>
      <c r="LD134" s="13"/>
      <c r="NT134" s="13"/>
      <c r="NW134" s="13"/>
    </row>
    <row r="135" spans="76:387" ht="10.75" customHeight="1" x14ac:dyDescent="0.2">
      <c r="BX135" s="12"/>
      <c r="DO135" s="13"/>
      <c r="DS135" s="12"/>
      <c r="DZ135" s="13"/>
      <c r="EQ135" s="14"/>
      <c r="ER135" s="15"/>
      <c r="ES135" s="15"/>
      <c r="ET135" s="15"/>
      <c r="EU135" s="15"/>
      <c r="EV135" s="15"/>
      <c r="EW135" s="15"/>
      <c r="EX135" s="16"/>
      <c r="EY135" s="237"/>
      <c r="EZ135" s="209"/>
      <c r="GV135" s="13"/>
      <c r="GY135" s="13"/>
      <c r="GZ135" s="12"/>
      <c r="HC135" s="13"/>
      <c r="IE135" s="13"/>
      <c r="JT135" s="12"/>
      <c r="JW135" s="12"/>
      <c r="LC135" s="12"/>
      <c r="LD135" s="13"/>
      <c r="NT135" s="13"/>
      <c r="NW135" s="13"/>
    </row>
    <row r="136" spans="76:387" ht="10.75" customHeight="1" x14ac:dyDescent="0.2">
      <c r="BX136" s="12"/>
      <c r="DO136" s="13"/>
      <c r="DS136" s="12"/>
      <c r="DZ136" s="13"/>
      <c r="GV136" s="13"/>
      <c r="GY136" s="13"/>
      <c r="GZ136" s="12"/>
      <c r="HC136" s="13"/>
      <c r="IE136" s="13"/>
      <c r="JT136" s="12"/>
      <c r="JW136" s="12"/>
      <c r="LC136" s="14"/>
      <c r="LD136" s="16"/>
      <c r="NT136" s="13"/>
      <c r="NW136" s="13"/>
    </row>
    <row r="137" spans="76:387" ht="10.75" customHeight="1" x14ac:dyDescent="0.2">
      <c r="BX137" s="12"/>
      <c r="DO137" s="13"/>
      <c r="DS137" s="12"/>
      <c r="DZ137" s="13"/>
      <c r="GV137" s="13"/>
      <c r="GY137" s="13"/>
      <c r="GZ137" s="12"/>
      <c r="HC137" s="13"/>
      <c r="IE137" s="13"/>
      <c r="JT137" s="12"/>
      <c r="JW137" s="12"/>
      <c r="KE137" s="9"/>
      <c r="KF137" s="10"/>
      <c r="KG137" s="10"/>
      <c r="KH137" s="10"/>
      <c r="KI137" s="10"/>
      <c r="KJ137" s="10"/>
      <c r="KK137" s="10"/>
      <c r="KL137" s="10"/>
      <c r="KM137" s="10"/>
      <c r="KN137" s="10"/>
      <c r="KO137" s="10"/>
      <c r="KP137" s="10"/>
      <c r="KQ137" s="10"/>
      <c r="KR137" s="10"/>
      <c r="KS137" s="10"/>
      <c r="KT137" s="10"/>
      <c r="KU137" s="10"/>
      <c r="KV137" s="10"/>
      <c r="KW137" s="10"/>
      <c r="KX137" s="10"/>
      <c r="KY137" s="10"/>
      <c r="KZ137" s="10"/>
      <c r="LA137" s="10"/>
      <c r="LB137" s="10"/>
      <c r="NT137" s="13"/>
      <c r="NW137" s="13"/>
    </row>
    <row r="138" spans="76:387" ht="10.75" customHeight="1" x14ac:dyDescent="0.2">
      <c r="BX138" s="12"/>
      <c r="DO138" s="13"/>
      <c r="DS138" s="12"/>
      <c r="DZ138" s="13"/>
      <c r="GV138" s="13"/>
      <c r="GY138" s="13"/>
      <c r="GZ138" s="12"/>
      <c r="HC138" s="13"/>
      <c r="IE138" s="13"/>
      <c r="JT138" s="12"/>
      <c r="JW138" s="12"/>
      <c r="KE138" s="12"/>
      <c r="NT138" s="13"/>
      <c r="NW138" s="13"/>
    </row>
    <row r="139" spans="76:387" ht="10.75" customHeight="1" x14ac:dyDescent="0.2">
      <c r="BX139" s="12"/>
      <c r="DO139" s="13"/>
      <c r="DS139" s="12"/>
      <c r="DZ139" s="13"/>
      <c r="GV139" s="13"/>
      <c r="GY139" s="13"/>
      <c r="GZ139" s="12"/>
      <c r="HC139" s="13"/>
      <c r="IE139" s="13"/>
      <c r="JT139" s="12"/>
      <c r="JW139" s="12"/>
      <c r="KE139" s="12"/>
      <c r="NT139" s="13"/>
      <c r="NW139" s="13"/>
    </row>
    <row r="140" spans="76:387" ht="10.75" customHeight="1" x14ac:dyDescent="0.2">
      <c r="BX140" s="12"/>
      <c r="DO140" s="13"/>
      <c r="DS140" s="12"/>
      <c r="DZ140" s="13"/>
      <c r="GV140" s="13"/>
      <c r="GY140" s="13"/>
      <c r="GZ140" s="12"/>
      <c r="HC140" s="13"/>
      <c r="IE140" s="13"/>
      <c r="JT140" s="12"/>
      <c r="JW140" s="12"/>
      <c r="KE140" s="12"/>
      <c r="NT140" s="13"/>
      <c r="NW140" s="13"/>
    </row>
    <row r="141" spans="76:387" ht="10.75" customHeight="1" x14ac:dyDescent="0.2">
      <c r="BX141" s="12"/>
      <c r="DO141" s="13"/>
      <c r="DS141" s="12"/>
      <c r="DZ141" s="13"/>
      <c r="GV141" s="13"/>
      <c r="GY141" s="13"/>
      <c r="GZ141" s="12"/>
      <c r="HC141" s="13"/>
      <c r="IE141" s="13"/>
      <c r="JT141" s="12"/>
      <c r="JW141" s="12"/>
      <c r="KE141" s="12"/>
      <c r="NT141" s="13"/>
      <c r="NW141" s="13"/>
    </row>
    <row r="142" spans="76:387" ht="10.75" customHeight="1" x14ac:dyDescent="0.2">
      <c r="BX142" s="12"/>
      <c r="DO142" s="13"/>
      <c r="DS142" s="12"/>
      <c r="DZ142" s="13"/>
      <c r="GV142" s="13"/>
      <c r="GY142" s="13"/>
      <c r="GZ142" s="12"/>
      <c r="HC142" s="13"/>
      <c r="IE142" s="13"/>
      <c r="JT142" s="12"/>
      <c r="JW142" s="12"/>
      <c r="KE142" s="12"/>
      <c r="NT142" s="13"/>
      <c r="NW142" s="13"/>
    </row>
    <row r="143" spans="76:387" ht="10.75" customHeight="1" x14ac:dyDescent="0.2">
      <c r="BX143" s="12"/>
      <c r="DO143" s="13"/>
      <c r="DS143" s="12"/>
      <c r="DZ143" s="13"/>
      <c r="GV143" s="13"/>
      <c r="GY143" s="13"/>
      <c r="GZ143" s="12"/>
      <c r="HC143" s="13"/>
      <c r="IE143" s="13"/>
      <c r="JT143" s="12"/>
      <c r="JW143" s="12"/>
      <c r="KE143" s="12"/>
      <c r="NT143" s="13"/>
      <c r="NW143" s="13"/>
    </row>
    <row r="144" spans="76:387" ht="10.75" customHeight="1" x14ac:dyDescent="0.2">
      <c r="BX144" s="12"/>
      <c r="DO144" s="13"/>
      <c r="DS144" s="12"/>
      <c r="DZ144" s="13"/>
      <c r="GV144" s="13"/>
      <c r="GY144" s="13"/>
      <c r="GZ144" s="12"/>
      <c r="HC144" s="13"/>
      <c r="IE144" s="13"/>
      <c r="JT144" s="12"/>
      <c r="JW144" s="12"/>
      <c r="KE144" s="12"/>
      <c r="NT144" s="13"/>
      <c r="NW144" s="13"/>
    </row>
    <row r="145" spans="76:387" ht="10.75" customHeight="1" x14ac:dyDescent="0.2">
      <c r="BX145" s="12"/>
      <c r="DO145" s="13"/>
      <c r="DS145" s="12"/>
      <c r="DZ145" s="13"/>
      <c r="GV145" s="13"/>
      <c r="GY145" s="13"/>
      <c r="GZ145" s="12"/>
      <c r="HC145" s="13"/>
      <c r="IE145" s="13"/>
      <c r="JT145" s="12"/>
      <c r="JW145" s="12"/>
      <c r="KE145" s="12"/>
      <c r="NT145" s="13"/>
      <c r="NW145" s="13"/>
    </row>
    <row r="146" spans="76:387" ht="10.75" customHeight="1" x14ac:dyDescent="0.2">
      <c r="BX146" s="12"/>
      <c r="DO146" s="13"/>
      <c r="DS146" s="12"/>
      <c r="DZ146" s="13"/>
      <c r="GV146" s="13"/>
      <c r="GY146" s="13"/>
      <c r="GZ146" s="12"/>
      <c r="HC146" s="13"/>
      <c r="IE146" s="13"/>
      <c r="JT146" s="12"/>
      <c r="JW146" s="12"/>
      <c r="KE146" s="12"/>
      <c r="NT146" s="13"/>
      <c r="NW146" s="13"/>
    </row>
    <row r="147" spans="76:387" ht="10.75" customHeight="1" x14ac:dyDescent="0.2">
      <c r="BX147" s="12"/>
      <c r="DO147" s="13"/>
      <c r="DS147" s="12"/>
      <c r="DZ147" s="13"/>
      <c r="GV147" s="13"/>
      <c r="GY147" s="13"/>
      <c r="GZ147" s="12"/>
      <c r="HC147" s="13"/>
      <c r="IE147" s="13"/>
      <c r="JT147" s="12"/>
      <c r="JW147" s="12"/>
      <c r="KE147" s="12"/>
      <c r="NT147" s="13"/>
      <c r="NW147" s="13"/>
    </row>
    <row r="148" spans="76:387" ht="10.75" customHeight="1" x14ac:dyDescent="0.2">
      <c r="BX148" s="12"/>
      <c r="DO148" s="13"/>
      <c r="DS148" s="12"/>
      <c r="DZ148" s="13"/>
      <c r="GV148" s="13"/>
      <c r="GY148" s="13"/>
      <c r="GZ148" s="12"/>
      <c r="HC148" s="13"/>
      <c r="IE148" s="13"/>
      <c r="JT148" s="12"/>
      <c r="JW148" s="12"/>
      <c r="KE148" s="12"/>
      <c r="NT148" s="13"/>
      <c r="NW148" s="13"/>
    </row>
    <row r="149" spans="76:387" ht="10.75" customHeight="1" x14ac:dyDescent="0.2">
      <c r="BX149" s="12"/>
      <c r="DO149" s="13"/>
      <c r="DS149" s="12"/>
      <c r="DZ149" s="13"/>
      <c r="GV149" s="13"/>
      <c r="GY149" s="13"/>
      <c r="GZ149" s="12"/>
      <c r="HC149" s="13"/>
      <c r="IE149" s="13"/>
      <c r="JT149" s="12"/>
      <c r="JW149" s="12"/>
      <c r="KE149" s="12"/>
      <c r="NT149" s="13"/>
      <c r="NW149" s="13"/>
    </row>
    <row r="150" spans="76:387" ht="10.75" customHeight="1" x14ac:dyDescent="0.2">
      <c r="BX150" s="12"/>
      <c r="DO150" s="13"/>
      <c r="DS150" s="12"/>
      <c r="DZ150" s="13"/>
      <c r="GV150" s="13"/>
      <c r="GY150" s="13"/>
      <c r="GZ150" s="12"/>
      <c r="HC150" s="13"/>
      <c r="IE150" s="13"/>
      <c r="JT150" s="12"/>
      <c r="JW150" s="12"/>
      <c r="KE150" s="12"/>
      <c r="NT150" s="13"/>
      <c r="NW150" s="13"/>
    </row>
    <row r="151" spans="76:387" ht="10.75" customHeight="1" x14ac:dyDescent="0.2">
      <c r="BX151" s="12"/>
      <c r="DO151" s="13"/>
      <c r="DS151" s="14"/>
      <c r="DT151" s="15"/>
      <c r="DU151" s="15"/>
      <c r="DV151" s="15"/>
      <c r="DW151" s="15"/>
      <c r="DX151" s="15"/>
      <c r="DY151" s="15"/>
      <c r="DZ151" s="16"/>
      <c r="EA151" s="15"/>
      <c r="EB151" s="15"/>
      <c r="EC151" s="15"/>
      <c r="ED151" s="15"/>
      <c r="EE151" s="15"/>
      <c r="EF151" s="15"/>
      <c r="EG151" s="15"/>
      <c r="EH151" s="15"/>
      <c r="EI151" s="15"/>
      <c r="EJ151" s="15"/>
      <c r="EK151" s="15"/>
      <c r="EL151" s="15"/>
      <c r="EM151" s="15"/>
      <c r="EN151" s="15"/>
      <c r="EO151" s="15"/>
      <c r="EP151" s="15"/>
      <c r="EQ151" s="15"/>
      <c r="ER151" s="15"/>
      <c r="ES151" s="15"/>
      <c r="ET151" s="15"/>
      <c r="EU151" s="15"/>
      <c r="EV151" s="15"/>
      <c r="EW151" s="15"/>
      <c r="EX151" s="15"/>
      <c r="EY151" s="15"/>
      <c r="EZ151" s="15"/>
      <c r="FA151" s="15"/>
      <c r="FB151" s="15"/>
      <c r="FC151" s="15"/>
      <c r="FD151" s="15"/>
      <c r="FE151" s="15"/>
      <c r="FF151" s="15"/>
      <c r="FG151" s="15"/>
      <c r="FH151" s="15"/>
      <c r="FI151" s="15"/>
      <c r="FJ151" s="15"/>
      <c r="FK151" s="15"/>
      <c r="FL151" s="15"/>
      <c r="FM151" s="15"/>
      <c r="FN151" s="15"/>
      <c r="FO151" s="15"/>
      <c r="FP151" s="15"/>
      <c r="FQ151" s="15"/>
      <c r="FR151" s="15"/>
      <c r="FS151" s="15"/>
      <c r="FT151" s="15"/>
      <c r="FU151" s="15"/>
      <c r="FV151" s="15"/>
      <c r="FW151" s="15"/>
      <c r="FX151" s="15"/>
      <c r="FY151" s="15"/>
      <c r="FZ151" s="15"/>
      <c r="GA151" s="15"/>
      <c r="GB151" s="15"/>
      <c r="GC151" s="15"/>
      <c r="GD151" s="15"/>
      <c r="GE151" s="15"/>
      <c r="GF151" s="15"/>
      <c r="GG151" s="15"/>
      <c r="GH151" s="15"/>
      <c r="GI151" s="15"/>
      <c r="GJ151" s="15"/>
      <c r="GK151" s="15"/>
      <c r="GL151" s="15"/>
      <c r="GM151" s="15"/>
      <c r="GN151" s="15"/>
      <c r="GO151" s="15"/>
      <c r="GP151" s="15"/>
      <c r="GQ151" s="15"/>
      <c r="GR151" s="15"/>
      <c r="GS151" s="15"/>
      <c r="GT151" s="15"/>
      <c r="GU151" s="15"/>
      <c r="GV151" s="16"/>
      <c r="GY151" s="13"/>
      <c r="GZ151" s="12"/>
      <c r="HC151" s="13"/>
      <c r="IE151" s="13"/>
      <c r="JT151" s="12"/>
      <c r="JW151" s="12"/>
      <c r="KE151" s="12"/>
      <c r="NT151" s="13"/>
      <c r="NW151" s="13"/>
    </row>
    <row r="152" spans="76:387" ht="10.75" customHeight="1" x14ac:dyDescent="0.2">
      <c r="BX152" s="12"/>
      <c r="CB152" s="96"/>
      <c r="CC152" s="97"/>
      <c r="CD152" s="97"/>
      <c r="CE152" s="97"/>
      <c r="DO152" s="13"/>
      <c r="EL152" s="97"/>
      <c r="EM152" s="97"/>
      <c r="EN152" s="97"/>
      <c r="EO152" s="97"/>
      <c r="GV152" s="97"/>
      <c r="GW152" s="97"/>
      <c r="GX152" s="97"/>
      <c r="GY152" s="98"/>
      <c r="GZ152" s="12"/>
      <c r="HC152" s="13"/>
      <c r="IE152" s="13"/>
      <c r="JT152" s="12"/>
      <c r="JW152" s="12"/>
      <c r="KE152" s="12"/>
      <c r="NT152" s="13"/>
      <c r="NW152" s="13"/>
    </row>
    <row r="153" spans="76:387" ht="10.75" customHeight="1" x14ac:dyDescent="0.2">
      <c r="BX153" s="12"/>
      <c r="CB153" s="96"/>
      <c r="CC153" s="97"/>
      <c r="CD153" s="97"/>
      <c r="CE153" s="97"/>
      <c r="DO153" s="13"/>
      <c r="EL153" s="97"/>
      <c r="EM153" s="97"/>
      <c r="EN153" s="97"/>
      <c r="EO153" s="97"/>
      <c r="GV153" s="97"/>
      <c r="GW153" s="97"/>
      <c r="GX153" s="97"/>
      <c r="GY153" s="98"/>
      <c r="GZ153" s="12"/>
      <c r="HC153" s="13"/>
      <c r="IE153" s="13"/>
      <c r="JT153" s="12"/>
      <c r="JW153" s="12"/>
      <c r="KE153" s="12"/>
      <c r="NT153" s="13"/>
      <c r="NW153" s="13"/>
    </row>
    <row r="154" spans="76:387" ht="10.75" customHeight="1" x14ac:dyDescent="0.2">
      <c r="BX154" s="12"/>
      <c r="CB154" s="59"/>
      <c r="CC154" s="60"/>
      <c r="CD154" s="60"/>
      <c r="CE154" s="60"/>
      <c r="DO154" s="13"/>
      <c r="DP154" s="15"/>
      <c r="DQ154" s="15"/>
      <c r="DR154" s="15"/>
      <c r="DS154" s="15"/>
      <c r="DT154" s="15"/>
      <c r="DU154" s="15"/>
      <c r="DV154" s="15"/>
      <c r="DW154" s="15"/>
      <c r="DX154" s="15"/>
      <c r="DY154" s="15"/>
      <c r="DZ154" s="15"/>
      <c r="EA154" s="15"/>
      <c r="EB154" s="15"/>
      <c r="EC154" s="15"/>
      <c r="ED154" s="15"/>
      <c r="EE154" s="15"/>
      <c r="EF154" s="15"/>
      <c r="EG154" s="15"/>
      <c r="EH154" s="15"/>
      <c r="EI154" s="15"/>
      <c r="EJ154" s="15"/>
      <c r="EK154" s="15"/>
      <c r="EL154" s="60"/>
      <c r="EM154" s="60"/>
      <c r="EN154" s="60"/>
      <c r="EO154" s="60"/>
      <c r="EP154" s="15"/>
      <c r="EQ154" s="15"/>
      <c r="ER154" s="15"/>
      <c r="ES154" s="15"/>
      <c r="ET154" s="15"/>
      <c r="EU154" s="15"/>
      <c r="EV154" s="15"/>
      <c r="EW154" s="15"/>
      <c r="EX154" s="15"/>
      <c r="EY154" s="15"/>
      <c r="EZ154" s="15"/>
      <c r="FA154" s="15"/>
      <c r="FB154" s="15"/>
      <c r="FC154" s="15"/>
      <c r="FD154" s="15"/>
      <c r="FE154" s="15"/>
      <c r="FF154" s="15"/>
      <c r="FG154" s="15"/>
      <c r="FH154" s="15"/>
      <c r="FI154" s="15"/>
      <c r="FJ154" s="15"/>
      <c r="FK154" s="15"/>
      <c r="FL154" s="15"/>
      <c r="FM154" s="15"/>
      <c r="FN154" s="15"/>
      <c r="FO154" s="15"/>
      <c r="FP154" s="15"/>
      <c r="FQ154" s="15"/>
      <c r="FR154" s="15"/>
      <c r="FS154" s="15"/>
      <c r="FT154" s="15"/>
      <c r="FU154" s="15"/>
      <c r="FV154" s="15"/>
      <c r="FW154" s="15"/>
      <c r="FX154" s="15"/>
      <c r="FY154" s="15"/>
      <c r="FZ154" s="15"/>
      <c r="GA154" s="15"/>
      <c r="GB154" s="15"/>
      <c r="GC154" s="15"/>
      <c r="GD154" s="15"/>
      <c r="GE154" s="15"/>
      <c r="GF154" s="15"/>
      <c r="GG154" s="15"/>
      <c r="GH154" s="15"/>
      <c r="GI154" s="15"/>
      <c r="GJ154" s="15"/>
      <c r="GK154" s="15"/>
      <c r="GL154" s="15"/>
      <c r="GM154" s="15"/>
      <c r="GN154" s="15"/>
      <c r="GO154" s="15"/>
      <c r="GP154" s="15"/>
      <c r="GQ154" s="15"/>
      <c r="GR154" s="15"/>
      <c r="GS154" s="15"/>
      <c r="GT154" s="15"/>
      <c r="GU154" s="15"/>
      <c r="GV154" s="60"/>
      <c r="GW154" s="60"/>
      <c r="GX154" s="60"/>
      <c r="GY154" s="61"/>
      <c r="GZ154" s="12"/>
      <c r="HC154" s="13"/>
      <c r="IE154" s="13"/>
      <c r="JT154" s="12"/>
      <c r="JW154" s="12"/>
      <c r="KE154" s="14"/>
      <c r="KF154" s="15"/>
      <c r="KG154" s="15"/>
      <c r="KH154" s="15"/>
      <c r="KI154" s="15"/>
      <c r="KJ154" s="15"/>
      <c r="KK154" s="15"/>
      <c r="KL154" s="15"/>
      <c r="KM154" s="15"/>
      <c r="KN154" s="15"/>
      <c r="KO154" s="15"/>
      <c r="KP154" s="15"/>
      <c r="KQ154" s="15"/>
      <c r="KR154" s="15"/>
      <c r="KS154" s="15"/>
      <c r="KT154" s="15"/>
      <c r="KU154" s="15"/>
      <c r="KV154" s="15"/>
      <c r="KW154" s="15"/>
      <c r="KX154" s="15"/>
      <c r="KY154" s="15"/>
      <c r="KZ154" s="15"/>
      <c r="LA154" s="15"/>
      <c r="LB154" s="15"/>
      <c r="NT154" s="13"/>
      <c r="NW154" s="13"/>
    </row>
    <row r="155" spans="76:387" ht="10.75" customHeight="1" x14ac:dyDescent="0.2">
      <c r="BX155" s="12"/>
      <c r="DP155" s="9"/>
      <c r="DQ155" s="10"/>
      <c r="DR155" s="10"/>
      <c r="DS155" s="10"/>
      <c r="DT155" s="10"/>
      <c r="DU155" s="10"/>
      <c r="DV155" s="10"/>
      <c r="DW155" s="10"/>
      <c r="DX155" s="10"/>
      <c r="DY155" s="10"/>
      <c r="DZ155" s="10"/>
      <c r="EA155" s="10"/>
      <c r="EB155" s="10"/>
      <c r="EC155" s="10"/>
      <c r="ED155" s="10"/>
      <c r="EE155" s="10"/>
      <c r="EF155" s="10"/>
      <c r="EG155" s="10"/>
      <c r="EH155" s="10"/>
      <c r="EI155" s="10"/>
      <c r="EJ155" s="10"/>
      <c r="EK155" s="10"/>
      <c r="EL155" s="10"/>
      <c r="EM155" s="10"/>
      <c r="EN155" s="10"/>
      <c r="EO155" s="10"/>
      <c r="EP155" s="10"/>
      <c r="EQ155" s="10"/>
      <c r="ER155" s="10"/>
      <c r="ES155" s="10"/>
      <c r="ET155" s="10"/>
      <c r="EU155" s="10"/>
      <c r="EV155" s="10"/>
      <c r="EW155" s="10"/>
      <c r="EX155" s="10"/>
      <c r="EY155" s="10"/>
      <c r="EZ155" s="10"/>
      <c r="FA155" s="10"/>
      <c r="FB155" s="10"/>
      <c r="FC155" s="10"/>
      <c r="FD155" s="10"/>
      <c r="FE155" s="10"/>
      <c r="FF155" s="10"/>
      <c r="FG155" s="10"/>
      <c r="FH155" s="10"/>
      <c r="FI155" s="10"/>
      <c r="FJ155" s="10"/>
      <c r="FK155" s="10"/>
      <c r="FL155" s="10"/>
      <c r="FM155" s="10"/>
      <c r="FN155" s="10"/>
      <c r="FO155" s="10"/>
      <c r="FP155" s="10"/>
      <c r="FQ155" s="10"/>
      <c r="FR155" s="10"/>
      <c r="FS155" s="10"/>
      <c r="FT155" s="10"/>
      <c r="FU155" s="10"/>
      <c r="FV155" s="10"/>
      <c r="FW155" s="10"/>
      <c r="FX155" s="10"/>
      <c r="FY155" s="10"/>
      <c r="FZ155" s="10"/>
      <c r="GA155" s="10"/>
      <c r="GB155" s="10"/>
      <c r="GC155" s="10"/>
      <c r="GD155" s="10"/>
      <c r="GE155" s="10"/>
      <c r="GF155" s="10"/>
      <c r="GG155" s="10"/>
      <c r="GH155" s="10"/>
      <c r="GI155" s="10"/>
      <c r="GJ155" s="10"/>
      <c r="GK155" s="10"/>
      <c r="GL155" s="10"/>
      <c r="GM155" s="10"/>
      <c r="GN155" s="10"/>
      <c r="GO155" s="10"/>
      <c r="GP155" s="10"/>
      <c r="GQ155" s="10"/>
      <c r="GR155" s="10"/>
      <c r="GS155" s="10"/>
      <c r="GT155" s="10"/>
      <c r="GU155" s="10"/>
      <c r="GV155" s="10"/>
      <c r="GW155" s="10"/>
      <c r="GX155" s="10"/>
      <c r="GY155" s="10"/>
      <c r="HC155" s="13"/>
      <c r="IE155" s="13"/>
      <c r="JT155" s="12"/>
      <c r="JW155" s="12"/>
      <c r="LC155" s="9"/>
      <c r="LD155" s="11"/>
      <c r="NT155" s="13"/>
      <c r="NW155" s="13"/>
    </row>
    <row r="156" spans="76:387" ht="10.75" customHeight="1" x14ac:dyDescent="0.2">
      <c r="BX156" s="12"/>
      <c r="DP156" s="12"/>
      <c r="HC156" s="13"/>
      <c r="IE156" s="13"/>
      <c r="JT156" s="12"/>
      <c r="JW156" s="12"/>
      <c r="LC156" s="12"/>
      <c r="LD156" s="13"/>
      <c r="NT156" s="13"/>
      <c r="NW156" s="13"/>
    </row>
    <row r="157" spans="76:387" ht="10.75" customHeight="1" x14ac:dyDescent="0.2">
      <c r="BX157" s="12"/>
      <c r="DP157" s="12"/>
      <c r="HC157" s="13"/>
      <c r="IE157" s="13"/>
      <c r="JT157" s="12"/>
      <c r="JW157" s="12"/>
      <c r="LC157" s="12"/>
      <c r="LD157" s="13"/>
      <c r="NT157" s="13"/>
      <c r="NW157" s="13"/>
    </row>
    <row r="158" spans="76:387" ht="10.75" customHeight="1" x14ac:dyDescent="0.2">
      <c r="BX158" s="14"/>
      <c r="BY158" s="15"/>
      <c r="BZ158" s="15"/>
      <c r="CA158" s="15"/>
      <c r="CB158" s="15"/>
      <c r="CC158" s="15"/>
      <c r="CD158" s="15"/>
      <c r="CE158" s="15"/>
      <c r="CF158" s="15"/>
      <c r="CG158" s="15"/>
      <c r="CH158" s="15"/>
      <c r="CI158" s="15"/>
      <c r="CJ158" s="15"/>
      <c r="CK158" s="15"/>
      <c r="CL158" s="15"/>
      <c r="CM158" s="15"/>
      <c r="CN158" s="15"/>
      <c r="CO158" s="15"/>
      <c r="CP158" s="15"/>
      <c r="CQ158" s="15"/>
      <c r="CR158" s="15"/>
      <c r="CS158" s="15"/>
      <c r="CT158" s="15"/>
      <c r="CU158" s="15"/>
      <c r="CV158" s="15"/>
      <c r="CW158" s="15"/>
      <c r="CX158" s="15"/>
      <c r="CY158" s="15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  <c r="DL158" s="15"/>
      <c r="DM158" s="15"/>
      <c r="DN158" s="15"/>
      <c r="DO158" s="15"/>
      <c r="DP158" s="14"/>
      <c r="DQ158" s="15"/>
      <c r="DR158" s="15"/>
      <c r="DS158" s="15"/>
      <c r="DT158" s="15"/>
      <c r="DU158" s="15"/>
      <c r="DV158" s="15"/>
      <c r="DW158" s="15"/>
      <c r="DX158" s="15"/>
      <c r="DY158" s="15"/>
      <c r="DZ158" s="15"/>
      <c r="EA158" s="15"/>
      <c r="EB158" s="15"/>
      <c r="EC158" s="15"/>
      <c r="ED158" s="15"/>
      <c r="EE158" s="15"/>
      <c r="EF158" s="15"/>
      <c r="EG158" s="15"/>
      <c r="EH158" s="15"/>
      <c r="EI158" s="15"/>
      <c r="EJ158" s="15"/>
      <c r="EK158" s="15"/>
      <c r="EL158" s="15"/>
      <c r="EM158" s="15"/>
      <c r="EN158" s="15"/>
      <c r="EO158" s="15"/>
      <c r="EP158" s="15"/>
      <c r="EQ158" s="15"/>
      <c r="ER158" s="15"/>
      <c r="ES158" s="15"/>
      <c r="ET158" s="15"/>
      <c r="EU158" s="15"/>
      <c r="EV158" s="15"/>
      <c r="EW158" s="15"/>
      <c r="EX158" s="15"/>
      <c r="EY158" s="15"/>
      <c r="EZ158" s="15"/>
      <c r="FA158" s="15"/>
      <c r="FB158" s="15"/>
      <c r="FC158" s="15"/>
      <c r="FD158" s="15"/>
      <c r="FE158" s="15"/>
      <c r="FF158" s="15"/>
      <c r="FG158" s="15"/>
      <c r="FH158" s="15"/>
      <c r="FI158" s="15"/>
      <c r="FJ158" s="15"/>
      <c r="FK158" s="15"/>
      <c r="FL158" s="15"/>
      <c r="FM158" s="15"/>
      <c r="FN158" s="15"/>
      <c r="FO158" s="15"/>
      <c r="FP158" s="15"/>
      <c r="FQ158" s="15"/>
      <c r="FR158" s="15"/>
      <c r="FS158" s="15"/>
      <c r="FT158" s="15"/>
      <c r="FU158" s="15"/>
      <c r="FV158" s="15"/>
      <c r="FW158" s="15"/>
      <c r="FX158" s="15"/>
      <c r="FY158" s="15"/>
      <c r="FZ158" s="15"/>
      <c r="GA158" s="15"/>
      <c r="GB158" s="15"/>
      <c r="GC158" s="15"/>
      <c r="GD158" s="15"/>
      <c r="GE158" s="15"/>
      <c r="GF158" s="15"/>
      <c r="GG158" s="15"/>
      <c r="GH158" s="15"/>
      <c r="GI158" s="15"/>
      <c r="GJ158" s="15"/>
      <c r="GK158" s="15"/>
      <c r="GL158" s="15"/>
      <c r="GM158" s="15"/>
      <c r="GN158" s="15"/>
      <c r="GO158" s="15"/>
      <c r="GP158" s="15"/>
      <c r="GQ158" s="15"/>
      <c r="GR158" s="15"/>
      <c r="GS158" s="15"/>
      <c r="GT158" s="15"/>
      <c r="GU158" s="15"/>
      <c r="GV158" s="15"/>
      <c r="GW158" s="15"/>
      <c r="GX158" s="15"/>
      <c r="GY158" s="15"/>
      <c r="GZ158" s="15"/>
      <c r="HA158" s="15"/>
      <c r="HB158" s="15"/>
      <c r="HC158" s="16"/>
      <c r="IE158" s="13"/>
      <c r="JT158" s="12"/>
      <c r="JW158" s="12"/>
      <c r="LC158" s="12"/>
      <c r="LD158" s="13"/>
      <c r="NT158" s="13"/>
      <c r="NW158" s="13"/>
    </row>
    <row r="159" spans="76:387" ht="10.75" customHeight="1" x14ac:dyDescent="0.2">
      <c r="DP159" s="12"/>
      <c r="IE159" s="13"/>
      <c r="JT159" s="12"/>
      <c r="JW159" s="12"/>
      <c r="LC159" s="12"/>
      <c r="LD159" s="13"/>
      <c r="NT159" s="13"/>
      <c r="NW159" s="13"/>
    </row>
    <row r="160" spans="76:387" ht="10.75" customHeight="1" x14ac:dyDescent="0.2">
      <c r="DP160" s="12"/>
      <c r="IE160" s="13"/>
      <c r="JT160" s="12"/>
      <c r="JW160" s="12"/>
      <c r="LC160" s="12"/>
      <c r="LD160" s="13"/>
      <c r="NT160" s="13"/>
      <c r="NW160" s="13"/>
    </row>
    <row r="161" spans="120:387" ht="10.75" customHeight="1" x14ac:dyDescent="0.2">
      <c r="DP161" s="12"/>
      <c r="IE161" s="13"/>
      <c r="JT161" s="12"/>
      <c r="JW161" s="12"/>
      <c r="LC161" s="12"/>
      <c r="LD161" s="13"/>
      <c r="NT161" s="13"/>
      <c r="NW161" s="13"/>
    </row>
    <row r="162" spans="120:387" ht="10.75" customHeight="1" x14ac:dyDescent="0.2">
      <c r="DP162" s="12"/>
      <c r="IE162" s="13"/>
      <c r="JT162" s="12"/>
      <c r="JW162" s="14"/>
      <c r="JX162" s="15"/>
      <c r="JY162" s="15"/>
      <c r="JZ162" s="15"/>
      <c r="KA162" s="15"/>
      <c r="KB162" s="15"/>
      <c r="KC162" s="15"/>
      <c r="KD162" s="15"/>
      <c r="KE162" s="15"/>
      <c r="KF162" s="15"/>
      <c r="KG162" s="15"/>
      <c r="KH162" s="15"/>
      <c r="KI162" s="15"/>
      <c r="KJ162" s="15"/>
      <c r="KK162" s="15"/>
      <c r="KL162" s="15"/>
      <c r="KM162" s="15"/>
      <c r="KN162" s="15"/>
      <c r="KO162" s="15"/>
      <c r="KP162" s="15"/>
      <c r="KQ162" s="15"/>
      <c r="KR162" s="15"/>
      <c r="KS162" s="15"/>
      <c r="KT162" s="15"/>
      <c r="KU162" s="15"/>
      <c r="KV162" s="15"/>
      <c r="KW162" s="15"/>
      <c r="KX162" s="15"/>
      <c r="KY162" s="15"/>
      <c r="KZ162" s="15"/>
      <c r="LA162" s="15"/>
      <c r="LB162" s="15"/>
      <c r="LC162" s="14"/>
      <c r="LD162" s="16"/>
      <c r="LE162" s="15"/>
      <c r="LF162" s="15"/>
      <c r="LG162" s="15"/>
      <c r="LH162" s="15"/>
      <c r="LI162" s="15"/>
      <c r="LJ162" s="15"/>
      <c r="LK162" s="15"/>
      <c r="LL162" s="15"/>
      <c r="LM162" s="15"/>
      <c r="LN162" s="15"/>
      <c r="LO162" s="15"/>
      <c r="LP162" s="15"/>
      <c r="LQ162" s="15"/>
      <c r="LR162" s="15"/>
      <c r="LS162" s="15"/>
      <c r="LT162" s="15"/>
      <c r="LU162" s="15"/>
      <c r="LV162" s="15"/>
      <c r="LW162" s="15"/>
      <c r="LX162" s="15"/>
      <c r="LY162" s="15"/>
      <c r="LZ162" s="15"/>
      <c r="MA162" s="15"/>
      <c r="MB162" s="15"/>
      <c r="MC162" s="15"/>
      <c r="MD162" s="15"/>
      <c r="ME162" s="15"/>
      <c r="MF162" s="15"/>
      <c r="MG162" s="15"/>
      <c r="MH162" s="15"/>
      <c r="MI162" s="15"/>
      <c r="MJ162" s="15"/>
      <c r="MK162" s="15"/>
      <c r="ML162" s="15"/>
      <c r="MM162" s="15"/>
      <c r="MN162" s="15"/>
      <c r="MO162" s="15"/>
      <c r="MP162" s="15"/>
      <c r="MQ162" s="15"/>
      <c r="MR162" s="15"/>
      <c r="MS162" s="15"/>
      <c r="MT162" s="15"/>
      <c r="MU162" s="15"/>
      <c r="MV162" s="15"/>
      <c r="MW162" s="15"/>
      <c r="MX162" s="15"/>
      <c r="MY162" s="15"/>
      <c r="MZ162" s="15"/>
      <c r="NA162" s="15"/>
      <c r="NB162" s="15"/>
      <c r="NC162" s="15"/>
      <c r="ND162" s="15"/>
      <c r="NE162" s="15"/>
      <c r="NF162" s="15"/>
      <c r="NG162" s="15"/>
      <c r="NH162" s="15"/>
      <c r="NI162" s="15"/>
      <c r="NJ162" s="15"/>
      <c r="NK162" s="15"/>
      <c r="NL162" s="15"/>
      <c r="NM162" s="15"/>
      <c r="NN162" s="15"/>
      <c r="NO162" s="15"/>
      <c r="NP162" s="15"/>
      <c r="NQ162" s="15"/>
      <c r="NR162" s="15"/>
      <c r="NS162" s="15"/>
      <c r="NT162" s="16"/>
      <c r="NW162" s="13"/>
    </row>
    <row r="163" spans="120:387" ht="10.75" customHeight="1" x14ac:dyDescent="0.2">
      <c r="DP163" s="12"/>
      <c r="IE163" s="13"/>
      <c r="JT163" s="12"/>
      <c r="NW163" s="13"/>
    </row>
    <row r="164" spans="120:387" ht="10.75" customHeight="1" x14ac:dyDescent="0.2">
      <c r="DP164" s="12"/>
      <c r="IE164" s="13"/>
      <c r="JT164" s="12"/>
      <c r="NW164" s="13"/>
    </row>
    <row r="165" spans="120:387" ht="10.75" customHeight="1" x14ac:dyDescent="0.2">
      <c r="DP165" s="12"/>
      <c r="IE165" s="13"/>
      <c r="JT165" s="14"/>
      <c r="JU165" s="15"/>
      <c r="JV165" s="15"/>
      <c r="JW165" s="15"/>
      <c r="JX165" s="15"/>
      <c r="JY165" s="15"/>
      <c r="JZ165" s="15"/>
      <c r="KA165" s="15"/>
      <c r="KB165" s="15"/>
      <c r="KC165" s="15"/>
      <c r="KD165" s="15"/>
      <c r="KE165" s="15"/>
      <c r="KF165" s="15"/>
      <c r="KG165" s="15"/>
      <c r="KH165" s="15"/>
      <c r="KI165" s="15"/>
      <c r="KJ165" s="15"/>
      <c r="KK165" s="15"/>
      <c r="KL165" s="15"/>
      <c r="KM165" s="15"/>
      <c r="KN165" s="15"/>
      <c r="KO165" s="15"/>
      <c r="KP165" s="15"/>
      <c r="KQ165" s="15"/>
      <c r="KR165" s="15"/>
      <c r="KS165" s="15"/>
      <c r="KT165" s="15"/>
      <c r="KU165" s="15"/>
      <c r="KV165" s="15"/>
      <c r="KW165" s="15"/>
      <c r="KX165" s="15"/>
      <c r="KY165" s="15"/>
      <c r="KZ165" s="15"/>
      <c r="LA165" s="15"/>
      <c r="LB165" s="15"/>
      <c r="LC165" s="15"/>
      <c r="LD165" s="15"/>
      <c r="LE165" s="15"/>
      <c r="LF165" s="15"/>
      <c r="LG165" s="15"/>
      <c r="LH165" s="15"/>
      <c r="LI165" s="15"/>
      <c r="LJ165" s="15"/>
      <c r="LK165" s="15"/>
      <c r="LL165" s="15"/>
      <c r="LM165" s="15"/>
      <c r="LN165" s="15"/>
      <c r="LO165" s="15"/>
      <c r="LP165" s="15"/>
      <c r="LQ165" s="15"/>
      <c r="LR165" s="15"/>
      <c r="LS165" s="15"/>
      <c r="LT165" s="15"/>
      <c r="LU165" s="15"/>
      <c r="LV165" s="15"/>
      <c r="LW165" s="15"/>
      <c r="LX165" s="15"/>
      <c r="LY165" s="15"/>
      <c r="LZ165" s="15"/>
      <c r="MA165" s="15"/>
      <c r="MB165" s="15"/>
      <c r="MC165" s="15"/>
      <c r="MD165" s="15"/>
      <c r="ME165" s="15"/>
      <c r="MF165" s="15"/>
      <c r="MG165" s="15"/>
      <c r="MH165" s="15"/>
      <c r="MI165" s="15"/>
      <c r="MJ165" s="15"/>
      <c r="MK165" s="15"/>
      <c r="ML165" s="15"/>
      <c r="MM165" s="15"/>
      <c r="MN165" s="15"/>
      <c r="MO165" s="15"/>
      <c r="MP165" s="15"/>
      <c r="MQ165" s="15"/>
      <c r="MR165" s="15"/>
      <c r="MS165" s="15"/>
      <c r="MT165" s="15"/>
      <c r="MU165" s="15"/>
      <c r="MV165" s="15"/>
      <c r="MW165" s="15"/>
      <c r="MX165" s="15"/>
      <c r="MY165" s="15"/>
      <c r="MZ165" s="15"/>
      <c r="NA165" s="15"/>
      <c r="NB165" s="15"/>
      <c r="NC165" s="15"/>
      <c r="ND165" s="15"/>
      <c r="NE165" s="15"/>
      <c r="NF165" s="15"/>
      <c r="NG165" s="15"/>
      <c r="NH165" s="15"/>
      <c r="NI165" s="15"/>
      <c r="NJ165" s="15"/>
      <c r="NK165" s="15"/>
      <c r="NL165" s="15"/>
      <c r="NM165" s="15"/>
      <c r="NN165" s="15"/>
      <c r="NO165" s="15"/>
      <c r="NP165" s="15"/>
      <c r="NQ165" s="15"/>
      <c r="NR165" s="15"/>
      <c r="NS165" s="15"/>
      <c r="NT165" s="15"/>
      <c r="NU165" s="15"/>
      <c r="NV165" s="15"/>
      <c r="NW165" s="16"/>
    </row>
    <row r="166" spans="120:387" ht="10.75" customHeight="1" x14ac:dyDescent="0.2">
      <c r="DP166" s="12"/>
      <c r="IE166" s="13"/>
    </row>
    <row r="167" spans="120:387" ht="10.75" customHeight="1" x14ac:dyDescent="0.2">
      <c r="DP167" s="12"/>
      <c r="IE167" s="13"/>
    </row>
    <row r="168" spans="120:387" ht="10.75" customHeight="1" x14ac:dyDescent="0.2">
      <c r="DP168" s="12"/>
      <c r="IE168" s="13"/>
    </row>
    <row r="169" spans="120:387" ht="10.75" customHeight="1" x14ac:dyDescent="0.2">
      <c r="DP169" s="12"/>
      <c r="IE169" s="13"/>
    </row>
    <row r="170" spans="120:387" ht="10.75" customHeight="1" x14ac:dyDescent="0.2">
      <c r="DP170" s="12"/>
      <c r="IE170" s="13"/>
    </row>
    <row r="171" spans="120:387" ht="10.75" customHeight="1" x14ac:dyDescent="0.2">
      <c r="DP171" s="12"/>
      <c r="IE171" s="13"/>
    </row>
    <row r="172" spans="120:387" ht="10.75" customHeight="1" x14ac:dyDescent="0.2">
      <c r="DP172" s="12"/>
      <c r="IE172" s="13"/>
    </row>
    <row r="173" spans="120:387" ht="10.75" customHeight="1" x14ac:dyDescent="0.2">
      <c r="DP173" s="12"/>
      <c r="IE173" s="13"/>
    </row>
    <row r="174" spans="120:387" ht="10.75" customHeight="1" x14ac:dyDescent="0.2">
      <c r="DP174" s="12"/>
      <c r="IE174" s="13"/>
    </row>
    <row r="175" spans="120:387" ht="10.75" customHeight="1" x14ac:dyDescent="0.2">
      <c r="DP175" s="12"/>
      <c r="IE175" s="13"/>
    </row>
    <row r="176" spans="120:387" ht="10.75" customHeight="1" x14ac:dyDescent="0.2">
      <c r="DP176" s="12"/>
      <c r="IE176" s="13"/>
    </row>
    <row r="177" spans="120:239" ht="10.75" customHeight="1" x14ac:dyDescent="0.2">
      <c r="DP177" s="12"/>
      <c r="IE177" s="13"/>
    </row>
    <row r="178" spans="120:239" ht="10.75" customHeight="1" x14ac:dyDescent="0.2">
      <c r="DP178" s="12"/>
      <c r="IE178" s="13"/>
    </row>
    <row r="179" spans="120:239" ht="10.75" customHeight="1" x14ac:dyDescent="0.2">
      <c r="DP179" s="12"/>
      <c r="IE179" s="13"/>
    </row>
    <row r="180" spans="120:239" ht="10.75" customHeight="1" x14ac:dyDescent="0.2">
      <c r="DP180" s="12"/>
      <c r="IE180" s="13"/>
    </row>
    <row r="181" spans="120:239" ht="10.75" customHeight="1" x14ac:dyDescent="0.2">
      <c r="DP181" s="12"/>
      <c r="IE181" s="13"/>
    </row>
    <row r="182" spans="120:239" ht="10.75" customHeight="1" x14ac:dyDescent="0.2">
      <c r="DP182" s="12"/>
      <c r="IE182" s="13"/>
    </row>
    <row r="183" spans="120:239" ht="10.75" customHeight="1" x14ac:dyDescent="0.2">
      <c r="DP183" s="12"/>
      <c r="IE183" s="13"/>
    </row>
    <row r="184" spans="120:239" ht="10.75" customHeight="1" x14ac:dyDescent="0.2">
      <c r="DP184" s="12"/>
      <c r="IE184" s="13"/>
    </row>
    <row r="185" spans="120:239" ht="10.75" customHeight="1" x14ac:dyDescent="0.2">
      <c r="DP185" s="12"/>
      <c r="IE185" s="13"/>
    </row>
    <row r="186" spans="120:239" ht="10.75" customHeight="1" x14ac:dyDescent="0.2">
      <c r="DP186" s="14"/>
      <c r="DQ186" s="15"/>
      <c r="DR186" s="15"/>
      <c r="DS186" s="15"/>
      <c r="DT186" s="15"/>
      <c r="DU186" s="15"/>
      <c r="DV186" s="15"/>
      <c r="DW186" s="15"/>
      <c r="DX186" s="15"/>
      <c r="DY186" s="15"/>
      <c r="DZ186" s="15"/>
      <c r="EA186" s="15"/>
      <c r="EB186" s="15"/>
      <c r="EC186" s="15"/>
      <c r="ED186" s="15"/>
      <c r="EE186" s="15"/>
      <c r="EF186" s="15"/>
      <c r="EG186" s="15"/>
      <c r="EH186" s="15"/>
      <c r="EI186" s="15"/>
      <c r="EJ186" s="15"/>
      <c r="EK186" s="15"/>
      <c r="EL186" s="15"/>
      <c r="EM186" s="15"/>
      <c r="EN186" s="15"/>
      <c r="EO186" s="15"/>
      <c r="EP186" s="15"/>
      <c r="EQ186" s="15"/>
      <c r="ER186" s="15"/>
      <c r="ES186" s="15"/>
      <c r="ET186" s="15"/>
      <c r="EU186" s="15"/>
      <c r="EV186" s="15"/>
      <c r="EW186" s="15"/>
      <c r="EX186" s="15"/>
      <c r="EY186" s="15"/>
      <c r="EZ186" s="15"/>
      <c r="FA186" s="15"/>
      <c r="FB186" s="15"/>
      <c r="FC186" s="15"/>
      <c r="FD186" s="15"/>
      <c r="FE186" s="15"/>
      <c r="FF186" s="15"/>
      <c r="FG186" s="15"/>
      <c r="FH186" s="15"/>
      <c r="FI186" s="15"/>
      <c r="FJ186" s="15"/>
      <c r="FK186" s="15"/>
      <c r="FL186" s="15"/>
      <c r="FM186" s="15"/>
      <c r="FN186" s="15"/>
      <c r="FO186" s="15"/>
      <c r="FP186" s="15"/>
      <c r="FQ186" s="15"/>
      <c r="FR186" s="15"/>
      <c r="FS186" s="15"/>
      <c r="FT186" s="15"/>
      <c r="FU186" s="15"/>
      <c r="FV186" s="15"/>
      <c r="FW186" s="15"/>
      <c r="FX186" s="15"/>
      <c r="FY186" s="15"/>
      <c r="FZ186" s="15"/>
      <c r="GA186" s="15"/>
      <c r="GB186" s="15"/>
      <c r="GC186" s="15"/>
      <c r="GD186" s="15"/>
      <c r="GE186" s="15"/>
      <c r="GF186" s="15"/>
      <c r="GG186" s="15"/>
      <c r="GH186" s="15"/>
      <c r="GI186" s="15"/>
      <c r="GJ186" s="15"/>
      <c r="GK186" s="15"/>
      <c r="GL186" s="15"/>
      <c r="GM186" s="15"/>
      <c r="GN186" s="15"/>
      <c r="GO186" s="15"/>
      <c r="GP186" s="15"/>
      <c r="GQ186" s="15"/>
      <c r="GR186" s="15"/>
      <c r="GS186" s="15"/>
      <c r="GT186" s="15"/>
      <c r="GU186" s="15"/>
      <c r="GV186" s="15"/>
      <c r="GW186" s="15"/>
      <c r="GX186" s="15"/>
      <c r="GY186" s="15"/>
      <c r="GZ186" s="15"/>
      <c r="HA186" s="15"/>
      <c r="HB186" s="15"/>
      <c r="HC186" s="15"/>
      <c r="HD186" s="15"/>
      <c r="HE186" s="15"/>
      <c r="HF186" s="15"/>
      <c r="HG186" s="15"/>
      <c r="HH186" s="15"/>
      <c r="HI186" s="15"/>
      <c r="HJ186" s="15"/>
      <c r="HK186" s="15"/>
      <c r="HL186" s="15"/>
      <c r="HM186" s="15"/>
      <c r="HN186" s="15"/>
      <c r="HO186" s="15"/>
      <c r="HP186" s="15"/>
      <c r="HQ186" s="15"/>
      <c r="HR186" s="15"/>
      <c r="HS186" s="15"/>
      <c r="HT186" s="15"/>
      <c r="HU186" s="15"/>
      <c r="HV186" s="15"/>
      <c r="HW186" s="15"/>
      <c r="HX186" s="15"/>
      <c r="HY186" s="15"/>
      <c r="HZ186" s="15"/>
      <c r="IA186" s="15"/>
      <c r="IB186" s="15"/>
      <c r="IC186" s="15"/>
      <c r="ID186" s="15"/>
      <c r="IE186" s="16"/>
    </row>
    <row r="206" spans="268:536" ht="10.75" customHeight="1" x14ac:dyDescent="0.2">
      <c r="JH206" s="56"/>
      <c r="JI206" s="57"/>
      <c r="JJ206" s="57"/>
      <c r="JK206" s="57"/>
      <c r="JL206" s="10"/>
      <c r="JM206" s="10"/>
      <c r="JN206" s="10"/>
      <c r="JO206" s="10"/>
      <c r="JP206" s="10"/>
      <c r="JQ206" s="10"/>
      <c r="JR206" s="10"/>
      <c r="JS206" s="10"/>
      <c r="JT206" s="10"/>
      <c r="JU206" s="10"/>
      <c r="JV206" s="10"/>
      <c r="JW206" s="10"/>
      <c r="JX206" s="10"/>
      <c r="JY206" s="10"/>
      <c r="JZ206" s="10"/>
      <c r="KA206" s="10"/>
      <c r="KB206" s="10"/>
      <c r="KC206" s="10"/>
      <c r="KD206" s="10"/>
      <c r="KE206" s="10"/>
      <c r="KF206" s="10"/>
      <c r="KG206" s="10"/>
      <c r="KH206" s="10"/>
      <c r="KI206" s="10"/>
      <c r="KJ206" s="10"/>
      <c r="KK206" s="10"/>
      <c r="KL206" s="10"/>
      <c r="KM206" s="10"/>
      <c r="KN206" s="10"/>
      <c r="KO206" s="10"/>
      <c r="KP206" s="10"/>
      <c r="KQ206" s="10"/>
      <c r="KR206" s="10"/>
      <c r="KS206" s="10"/>
      <c r="KT206" s="10"/>
      <c r="KU206" s="10"/>
      <c r="KV206" s="10"/>
      <c r="KW206" s="10"/>
      <c r="KX206" s="10"/>
      <c r="KY206" s="10"/>
      <c r="KZ206" s="10"/>
      <c r="LA206" s="10"/>
      <c r="LB206" s="10"/>
      <c r="LC206" s="10"/>
      <c r="LD206" s="10"/>
      <c r="LE206" s="10"/>
      <c r="LF206" s="10"/>
      <c r="LG206" s="10"/>
      <c r="LH206" s="10"/>
      <c r="LI206" s="10"/>
      <c r="LJ206" s="10"/>
      <c r="LK206" s="10"/>
      <c r="LL206" s="10"/>
      <c r="LM206" s="57"/>
      <c r="LN206" s="57"/>
      <c r="LO206" s="57"/>
      <c r="LP206" s="58"/>
      <c r="LQ206" s="10"/>
      <c r="LR206" s="10"/>
      <c r="LS206" s="10"/>
      <c r="LT206" s="10"/>
      <c r="LU206" s="10"/>
      <c r="LV206" s="10"/>
      <c r="LW206" s="10"/>
      <c r="LX206" s="10"/>
      <c r="LY206" s="10"/>
      <c r="LZ206" s="10"/>
      <c r="MA206" s="10"/>
      <c r="MB206" s="10"/>
      <c r="MC206" s="10"/>
      <c r="MD206" s="10"/>
      <c r="ME206" s="10"/>
      <c r="MF206" s="10"/>
      <c r="MG206" s="10"/>
      <c r="MH206" s="10"/>
      <c r="MI206" s="10"/>
      <c r="MJ206" s="10"/>
      <c r="MK206" s="10"/>
      <c r="ML206" s="10"/>
      <c r="MM206" s="10"/>
      <c r="MN206" s="10"/>
      <c r="MO206" s="10"/>
      <c r="MP206" s="10"/>
      <c r="MQ206" s="10"/>
      <c r="MR206" s="10"/>
      <c r="MS206" s="10"/>
      <c r="MT206" s="10"/>
      <c r="MU206" s="10"/>
      <c r="MV206" s="10"/>
      <c r="MW206" s="10"/>
      <c r="MX206" s="10"/>
      <c r="MY206" s="10"/>
      <c r="MZ206" s="10"/>
      <c r="NA206" s="10"/>
      <c r="NB206" s="10"/>
      <c r="NC206" s="10"/>
      <c r="ND206" s="10"/>
      <c r="NE206" s="10"/>
      <c r="NF206" s="10"/>
      <c r="NG206" s="10"/>
      <c r="NH206" s="10"/>
      <c r="NI206" s="10"/>
      <c r="NJ206" s="10"/>
      <c r="NK206" s="10"/>
      <c r="NL206" s="10"/>
      <c r="NM206" s="10"/>
      <c r="NN206" s="10"/>
      <c r="NO206" s="10"/>
      <c r="NP206" s="10"/>
      <c r="NQ206" s="10"/>
      <c r="NR206" s="10"/>
      <c r="NS206" s="10"/>
      <c r="NT206" s="57"/>
      <c r="NU206" s="57"/>
      <c r="NV206" s="57"/>
      <c r="NW206" s="58"/>
      <c r="PA206" s="56"/>
      <c r="PB206" s="57"/>
      <c r="PC206" s="57"/>
      <c r="PD206" s="57"/>
      <c r="PE206" s="10"/>
      <c r="PF206" s="10"/>
      <c r="PG206" s="10"/>
      <c r="PH206" s="10"/>
      <c r="PI206" s="10"/>
      <c r="PJ206" s="10"/>
      <c r="PK206" s="10"/>
      <c r="PL206" s="10"/>
      <c r="PM206" s="10"/>
      <c r="PN206" s="10"/>
      <c r="PO206" s="10"/>
      <c r="PP206" s="10"/>
      <c r="PQ206" s="10"/>
      <c r="PR206" s="10"/>
      <c r="PS206" s="10"/>
      <c r="PT206" s="10"/>
      <c r="PU206" s="10"/>
      <c r="PV206" s="10"/>
      <c r="PW206" s="10"/>
      <c r="PX206" s="10"/>
      <c r="PY206" s="10"/>
      <c r="PZ206" s="10"/>
      <c r="QA206" s="10"/>
      <c r="QB206" s="10"/>
      <c r="QC206" s="10"/>
      <c r="QD206" s="10"/>
      <c r="QE206" s="10"/>
      <c r="QF206" s="10"/>
      <c r="QG206" s="10"/>
      <c r="QH206" s="10"/>
      <c r="QI206" s="10"/>
      <c r="QJ206" s="10"/>
      <c r="QK206" s="10"/>
      <c r="QL206" s="10"/>
      <c r="QM206" s="10"/>
      <c r="QN206" s="10"/>
      <c r="QO206" s="10"/>
      <c r="QP206" s="10"/>
      <c r="QQ206" s="10"/>
      <c r="QR206" s="10"/>
      <c r="QS206" s="10"/>
      <c r="QT206" s="10"/>
      <c r="QU206" s="10"/>
      <c r="QV206" s="10"/>
      <c r="QW206" s="10"/>
      <c r="QX206" s="10"/>
      <c r="QY206" s="10"/>
      <c r="QZ206" s="10"/>
      <c r="RA206" s="10"/>
      <c r="RB206" s="10"/>
      <c r="RC206" s="10"/>
      <c r="RD206" s="10"/>
      <c r="RE206" s="10"/>
      <c r="RF206" s="57"/>
      <c r="RG206" s="57"/>
      <c r="RH206" s="57"/>
      <c r="RI206" s="58"/>
      <c r="RJ206" s="10"/>
      <c r="RK206" s="10"/>
      <c r="RL206" s="10"/>
      <c r="RM206" s="10"/>
      <c r="RN206" s="10"/>
      <c r="RO206" s="10"/>
      <c r="RP206" s="10"/>
      <c r="RQ206" s="10"/>
      <c r="RR206" s="10"/>
      <c r="RS206" s="10"/>
      <c r="RT206" s="10"/>
      <c r="RU206" s="10"/>
      <c r="RV206" s="10"/>
      <c r="RW206" s="10"/>
      <c r="RX206" s="10"/>
      <c r="RY206" s="10"/>
      <c r="RZ206" s="10"/>
      <c r="SA206" s="10"/>
      <c r="SB206" s="10"/>
      <c r="SC206" s="10"/>
      <c r="SD206" s="10"/>
      <c r="SE206" s="10"/>
      <c r="SF206" s="10"/>
      <c r="SG206" s="10"/>
      <c r="SH206" s="10"/>
      <c r="SI206" s="10"/>
      <c r="SJ206" s="10"/>
      <c r="SK206" s="10"/>
      <c r="SL206" s="10"/>
      <c r="SM206" s="10"/>
      <c r="SN206" s="10"/>
      <c r="SO206" s="10"/>
      <c r="SP206" s="10"/>
      <c r="SQ206" s="10"/>
      <c r="SR206" s="10"/>
      <c r="SS206" s="10"/>
      <c r="ST206" s="10"/>
      <c r="SU206" s="10"/>
      <c r="SV206" s="10"/>
      <c r="SW206" s="10"/>
      <c r="SX206" s="10"/>
      <c r="SY206" s="10"/>
      <c r="SZ206" s="10"/>
      <c r="TA206" s="10"/>
      <c r="TB206" s="10"/>
      <c r="TC206" s="10"/>
      <c r="TD206" s="10"/>
      <c r="TE206" s="10"/>
      <c r="TF206" s="10"/>
      <c r="TG206" s="10"/>
      <c r="TH206" s="10"/>
      <c r="TI206" s="10"/>
      <c r="TJ206" s="10"/>
      <c r="TK206" s="10"/>
      <c r="TL206" s="10"/>
      <c r="TM206" s="57"/>
      <c r="TN206" s="57"/>
      <c r="TO206" s="57"/>
      <c r="TP206" s="58"/>
    </row>
    <row r="207" spans="268:536" ht="10.75" customHeight="1" x14ac:dyDescent="0.2">
      <c r="JH207" s="96"/>
      <c r="JI207" s="97"/>
      <c r="JJ207" s="97"/>
      <c r="JK207" s="97"/>
      <c r="LM207" s="97"/>
      <c r="LN207" s="97"/>
      <c r="LO207" s="97"/>
      <c r="LP207" s="98"/>
      <c r="NT207" s="97"/>
      <c r="NU207" s="97"/>
      <c r="NV207" s="97"/>
      <c r="NW207" s="98"/>
      <c r="PA207" s="96"/>
      <c r="PB207" s="97"/>
      <c r="PC207" s="97"/>
      <c r="PD207" s="97"/>
      <c r="RF207" s="97"/>
      <c r="RG207" s="97"/>
      <c r="RH207" s="97"/>
      <c r="RI207" s="98"/>
      <c r="TM207" s="97"/>
      <c r="TN207" s="97"/>
      <c r="TO207" s="97"/>
      <c r="TP207" s="98"/>
    </row>
    <row r="208" spans="268:536" ht="10.75" customHeight="1" x14ac:dyDescent="0.2">
      <c r="JH208" s="96"/>
      <c r="JI208" s="97"/>
      <c r="JJ208" s="97"/>
      <c r="JK208" s="97"/>
      <c r="LM208" s="97"/>
      <c r="LN208" s="97"/>
      <c r="LO208" s="97"/>
      <c r="LP208" s="98"/>
      <c r="NT208" s="97"/>
      <c r="NU208" s="97"/>
      <c r="NV208" s="97"/>
      <c r="NW208" s="98"/>
      <c r="PA208" s="96"/>
      <c r="PB208" s="97"/>
      <c r="PC208" s="97"/>
      <c r="PD208" s="97"/>
      <c r="RF208" s="97"/>
      <c r="RG208" s="97"/>
      <c r="RH208" s="97"/>
      <c r="RI208" s="98"/>
      <c r="TM208" s="97"/>
      <c r="TN208" s="97"/>
      <c r="TO208" s="97"/>
      <c r="TP208" s="98"/>
    </row>
    <row r="209" spans="74:536" ht="10.75" customHeight="1" x14ac:dyDescent="0.2">
      <c r="JH209" s="12"/>
      <c r="JK209" s="9"/>
      <c r="JL209" s="10"/>
      <c r="JM209" s="10"/>
      <c r="JN209" s="10"/>
      <c r="JO209" s="10"/>
      <c r="JP209" s="10"/>
      <c r="JQ209" s="10"/>
      <c r="JR209" s="10"/>
      <c r="JS209" s="10"/>
      <c r="JT209" s="10"/>
      <c r="JU209" s="10"/>
      <c r="JV209" s="10"/>
      <c r="JW209" s="10"/>
      <c r="JX209" s="10"/>
      <c r="JY209" s="10"/>
      <c r="JZ209" s="10"/>
      <c r="KA209" s="10"/>
      <c r="KB209" s="10"/>
      <c r="KC209" s="10"/>
      <c r="KD209" s="10"/>
      <c r="KE209" s="10"/>
      <c r="KF209" s="10"/>
      <c r="KG209" s="10"/>
      <c r="KH209" s="10"/>
      <c r="KI209" s="10"/>
      <c r="KJ209" s="10"/>
      <c r="KK209" s="10"/>
      <c r="KL209" s="10"/>
      <c r="KM209" s="10"/>
      <c r="KN209" s="10"/>
      <c r="KO209" s="10"/>
      <c r="KP209" s="10"/>
      <c r="KQ209" s="10"/>
      <c r="KR209" s="10"/>
      <c r="KS209" s="10"/>
      <c r="KT209" s="10"/>
      <c r="KU209" s="10"/>
      <c r="KV209" s="10"/>
      <c r="KW209" s="10"/>
      <c r="KX209" s="10"/>
      <c r="KY209" s="10"/>
      <c r="KZ209" s="10"/>
      <c r="LA209" s="9"/>
      <c r="LB209" s="10"/>
      <c r="LC209" s="10"/>
      <c r="LD209" s="10"/>
      <c r="LE209" s="10"/>
      <c r="LF209" s="10"/>
      <c r="LG209" s="10"/>
      <c r="LH209" s="10"/>
      <c r="LI209" s="10"/>
      <c r="LJ209" s="10"/>
      <c r="LK209" s="10"/>
      <c r="LL209" s="10"/>
      <c r="LM209" s="10"/>
      <c r="LN209" s="11"/>
      <c r="LO209" s="9"/>
      <c r="LP209" s="11"/>
      <c r="LQ209" s="9"/>
      <c r="LR209" s="10"/>
      <c r="LS209" s="10"/>
      <c r="LT209" s="10"/>
      <c r="LU209" s="10"/>
      <c r="LV209" s="10"/>
      <c r="LW209" s="10"/>
      <c r="LX209" s="10"/>
      <c r="LY209" s="10"/>
      <c r="LZ209" s="10"/>
      <c r="MA209" s="10"/>
      <c r="MB209" s="10"/>
      <c r="MC209" s="10"/>
      <c r="MD209" s="10"/>
      <c r="ME209" s="10"/>
      <c r="MF209" s="10"/>
      <c r="MG209" s="10"/>
      <c r="MH209" s="11"/>
      <c r="MI209" s="10"/>
      <c r="MJ209" s="11"/>
      <c r="MK209" s="10"/>
      <c r="ML209" s="10"/>
      <c r="MM209" s="10"/>
      <c r="MN209" s="10"/>
      <c r="MO209" s="10"/>
      <c r="MP209" s="10"/>
      <c r="MQ209" s="10"/>
      <c r="MR209" s="10"/>
      <c r="MS209" s="10"/>
      <c r="MT209" s="10"/>
      <c r="MU209" s="10"/>
      <c r="MV209" s="10"/>
      <c r="MW209" s="10"/>
      <c r="MX209" s="10"/>
      <c r="MY209" s="10"/>
      <c r="MZ209" s="10"/>
      <c r="NA209" s="10"/>
      <c r="NB209" s="10"/>
      <c r="NC209" s="10"/>
      <c r="ND209" s="10"/>
      <c r="NE209" s="10"/>
      <c r="NF209" s="10"/>
      <c r="NG209" s="10"/>
      <c r="NH209" s="11"/>
      <c r="NI209" s="9"/>
      <c r="NJ209" s="10"/>
      <c r="NK209" s="10"/>
      <c r="NL209" s="10"/>
      <c r="NM209" s="10"/>
      <c r="NN209" s="10"/>
      <c r="NO209" s="10"/>
      <c r="NP209" s="10"/>
      <c r="NQ209" s="10"/>
      <c r="NR209" s="10"/>
      <c r="NS209" s="10"/>
      <c r="NT209" s="11"/>
      <c r="NW209" s="13"/>
      <c r="PA209" s="12"/>
      <c r="PD209" s="9"/>
      <c r="PE209" s="10"/>
      <c r="PF209" s="10"/>
      <c r="PG209" s="10"/>
      <c r="PH209" s="10"/>
      <c r="PI209" s="10"/>
      <c r="PJ209" s="10"/>
      <c r="PK209" s="10"/>
      <c r="PL209" s="10"/>
      <c r="PM209" s="10"/>
      <c r="PN209" s="10"/>
      <c r="PO209" s="10"/>
      <c r="PP209" s="10"/>
      <c r="PQ209" s="10"/>
      <c r="PR209" s="10"/>
      <c r="PS209" s="10"/>
      <c r="PT209" s="10"/>
      <c r="PU209" s="10"/>
      <c r="PV209" s="10"/>
      <c r="PW209" s="10"/>
      <c r="PX209" s="10"/>
      <c r="PY209" s="10"/>
      <c r="PZ209" s="10"/>
      <c r="QA209" s="10"/>
      <c r="QB209" s="10"/>
      <c r="QC209" s="10"/>
      <c r="QD209" s="10"/>
      <c r="QE209" s="10"/>
      <c r="QF209" s="10"/>
      <c r="QG209" s="10"/>
      <c r="QH209" s="10"/>
      <c r="QI209" s="11"/>
      <c r="QJ209" s="10"/>
      <c r="QK209" s="11"/>
      <c r="QL209" s="10"/>
      <c r="QM209" s="10"/>
      <c r="QN209" s="10"/>
      <c r="QO209" s="10"/>
      <c r="QP209" s="10"/>
      <c r="QQ209" s="10"/>
      <c r="QR209" s="10"/>
      <c r="QS209" s="10"/>
      <c r="QT209" s="10"/>
      <c r="QU209" s="10"/>
      <c r="QV209" s="10"/>
      <c r="QW209" s="10"/>
      <c r="QX209" s="10"/>
      <c r="QY209" s="10"/>
      <c r="QZ209" s="10"/>
      <c r="RA209" s="10"/>
      <c r="RB209" s="10"/>
      <c r="RC209" s="10"/>
      <c r="RD209" s="10"/>
      <c r="RE209" s="10"/>
      <c r="RF209" s="10"/>
      <c r="RG209" s="11"/>
      <c r="RH209" s="9"/>
      <c r="RI209" s="11"/>
      <c r="RJ209" s="10"/>
      <c r="RK209" s="10"/>
      <c r="RL209" s="10"/>
      <c r="RM209" s="10"/>
      <c r="RN209" s="10"/>
      <c r="RO209" s="10"/>
      <c r="RP209" s="10"/>
      <c r="RQ209" s="10"/>
      <c r="RR209" s="10"/>
      <c r="RS209" s="10"/>
      <c r="RT209" s="10"/>
      <c r="RU209" s="10"/>
      <c r="RV209" s="10"/>
      <c r="RW209" s="10"/>
      <c r="RX209" s="10"/>
      <c r="RY209" s="10"/>
      <c r="RZ209" s="10"/>
      <c r="SA209" s="10"/>
      <c r="SB209" s="10"/>
      <c r="SC209" s="10"/>
      <c r="SD209" s="10"/>
      <c r="SE209" s="10"/>
      <c r="SF209" s="10"/>
      <c r="SG209" s="10"/>
      <c r="SH209" s="10"/>
      <c r="SI209" s="10"/>
      <c r="SJ209" s="10"/>
      <c r="SK209" s="10"/>
      <c r="SL209" s="10"/>
      <c r="SM209" s="10"/>
      <c r="SN209" s="10"/>
      <c r="SO209" s="10"/>
      <c r="SP209" s="10"/>
      <c r="SQ209" s="10"/>
      <c r="SR209" s="10"/>
      <c r="SS209" s="10"/>
      <c r="ST209" s="10"/>
      <c r="SU209" s="10"/>
      <c r="SV209" s="10"/>
      <c r="SW209" s="10"/>
      <c r="SX209" s="10"/>
      <c r="SY209" s="10"/>
      <c r="SZ209" s="10"/>
      <c r="TA209" s="10"/>
      <c r="TB209" s="10"/>
      <c r="TC209" s="10"/>
      <c r="TD209" s="10"/>
      <c r="TE209" s="10"/>
      <c r="TF209" s="10"/>
      <c r="TG209" s="10"/>
      <c r="TH209" s="10"/>
      <c r="TI209" s="10"/>
      <c r="TJ209" s="10"/>
      <c r="TK209" s="10"/>
      <c r="TL209" s="10"/>
      <c r="TM209" s="11"/>
      <c r="TP209" s="13"/>
    </row>
    <row r="210" spans="74:536" ht="10.75" customHeight="1" x14ac:dyDescent="0.2">
      <c r="JH210" s="12"/>
      <c r="JK210" s="12"/>
      <c r="LA210" s="12"/>
      <c r="LN210" s="13"/>
      <c r="LO210" s="12"/>
      <c r="LP210" s="13"/>
      <c r="LQ210" s="12"/>
      <c r="MH210" s="13"/>
      <c r="MJ210" s="13"/>
      <c r="NH210" s="13"/>
      <c r="NI210" s="12"/>
      <c r="NT210" s="13"/>
      <c r="NW210" s="13"/>
      <c r="PA210" s="12"/>
      <c r="PD210" s="12"/>
      <c r="QI210" s="13"/>
      <c r="QK210" s="13"/>
      <c r="RG210" s="13"/>
      <c r="RH210" s="12"/>
      <c r="RI210" s="13"/>
      <c r="TM210" s="13"/>
      <c r="TP210" s="13"/>
    </row>
    <row r="211" spans="74:536" ht="10.75" customHeight="1" x14ac:dyDescent="0.2">
      <c r="JH211" s="12"/>
      <c r="JK211" s="12"/>
      <c r="LA211" s="12"/>
      <c r="LN211" s="13"/>
      <c r="LO211" s="12"/>
      <c r="LP211" s="13"/>
      <c r="LQ211" s="12"/>
      <c r="MH211" s="13"/>
      <c r="MJ211" s="13"/>
      <c r="NH211" s="13"/>
      <c r="NI211" s="12"/>
      <c r="NT211" s="13"/>
      <c r="NW211" s="13"/>
      <c r="PA211" s="12"/>
      <c r="PD211" s="12"/>
      <c r="QI211" s="13"/>
      <c r="QK211" s="13"/>
      <c r="RG211" s="13"/>
      <c r="RH211" s="12"/>
      <c r="RI211" s="13"/>
      <c r="TM211" s="13"/>
      <c r="TP211" s="13"/>
    </row>
    <row r="212" spans="74:536" ht="10.75" customHeight="1" x14ac:dyDescent="0.2">
      <c r="BV212" s="9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  <c r="CQ212" s="10"/>
      <c r="CR212" s="10"/>
      <c r="CS212" s="10"/>
      <c r="CT212" s="10"/>
      <c r="CU212" s="10"/>
      <c r="CV212" s="10"/>
      <c r="CW212" s="10"/>
      <c r="CX212" s="10"/>
      <c r="CY212" s="10"/>
      <c r="CZ212" s="10"/>
      <c r="DA212" s="10"/>
      <c r="DB212" s="10"/>
      <c r="DC212" s="10"/>
      <c r="DD212" s="10"/>
      <c r="DE212" s="10"/>
      <c r="DF212" s="10"/>
      <c r="DG212" s="10"/>
      <c r="DH212" s="10"/>
      <c r="DI212" s="10"/>
      <c r="DJ212" s="10"/>
      <c r="DK212" s="10"/>
      <c r="DL212" s="10"/>
      <c r="DM212" s="10"/>
      <c r="DN212" s="10"/>
      <c r="DO212" s="10"/>
      <c r="DP212" s="10"/>
      <c r="DQ212" s="10"/>
      <c r="DR212" s="10"/>
      <c r="DS212" s="10"/>
      <c r="DT212" s="10"/>
      <c r="DU212" s="10"/>
      <c r="DV212" s="10"/>
      <c r="DW212" s="10"/>
      <c r="DX212" s="10"/>
      <c r="DY212" s="10"/>
      <c r="DZ212" s="10"/>
      <c r="EA212" s="10"/>
      <c r="EB212" s="10"/>
      <c r="EC212" s="10"/>
      <c r="ED212" s="10"/>
      <c r="EE212" s="10"/>
      <c r="EF212" s="10"/>
      <c r="EG212" s="10"/>
      <c r="EH212" s="10"/>
      <c r="EI212" s="10"/>
      <c r="EJ212" s="10"/>
      <c r="EK212" s="10"/>
      <c r="EL212" s="10"/>
      <c r="EM212" s="10"/>
      <c r="EN212" s="10"/>
      <c r="EO212" s="10"/>
      <c r="EP212" s="10"/>
      <c r="EQ212" s="10"/>
      <c r="ER212" s="10"/>
      <c r="ES212" s="10"/>
      <c r="ET212" s="10"/>
      <c r="EU212" s="10"/>
      <c r="EV212" s="10"/>
      <c r="EW212" s="10"/>
      <c r="EX212" s="10"/>
      <c r="EY212" s="10"/>
      <c r="EZ212" s="10"/>
      <c r="FA212" s="10"/>
      <c r="FB212" s="10"/>
      <c r="FC212" s="10"/>
      <c r="FD212" s="10"/>
      <c r="FE212" s="10"/>
      <c r="FF212" s="10"/>
      <c r="FG212" s="10"/>
      <c r="FH212" s="10"/>
      <c r="FI212" s="10"/>
      <c r="FJ212" s="10"/>
      <c r="FK212" s="10"/>
      <c r="FL212" s="10"/>
      <c r="FM212" s="11"/>
      <c r="JH212" s="12"/>
      <c r="JK212" s="12"/>
      <c r="LA212" s="12"/>
      <c r="LN212" s="13"/>
      <c r="LO212" s="12"/>
      <c r="LP212" s="13"/>
      <c r="LQ212" s="12"/>
      <c r="MH212" s="13"/>
      <c r="MJ212" s="13"/>
      <c r="NH212" s="13"/>
      <c r="NI212" s="12"/>
      <c r="NT212" s="13"/>
      <c r="NW212" s="13"/>
      <c r="PA212" s="12"/>
      <c r="PD212" s="12"/>
      <c r="QI212" s="13"/>
      <c r="QK212" s="13"/>
      <c r="RG212" s="13"/>
      <c r="RH212" s="12"/>
      <c r="RI212" s="13"/>
      <c r="TM212" s="13"/>
      <c r="TP212" s="13"/>
    </row>
    <row r="213" spans="74:536" ht="10.75" customHeight="1" x14ac:dyDescent="0.2">
      <c r="BV213" s="14"/>
      <c r="BW213" s="15"/>
      <c r="BX213" s="15"/>
      <c r="BY213" s="15"/>
      <c r="BZ213" s="15"/>
      <c r="CA213" s="15"/>
      <c r="CB213" s="15"/>
      <c r="CC213" s="15"/>
      <c r="CD213" s="15"/>
      <c r="CE213" s="15"/>
      <c r="CF213" s="15"/>
      <c r="CG213" s="15"/>
      <c r="CH213" s="15"/>
      <c r="CI213" s="15"/>
      <c r="CJ213" s="15"/>
      <c r="CK213" s="15"/>
      <c r="CL213" s="15"/>
      <c r="CM213" s="15"/>
      <c r="CN213" s="15"/>
      <c r="CO213" s="15"/>
      <c r="CP213" s="15"/>
      <c r="CQ213" s="15"/>
      <c r="CR213" s="15"/>
      <c r="CS213" s="15"/>
      <c r="CT213" s="15"/>
      <c r="CU213" s="15"/>
      <c r="CV213" s="15"/>
      <c r="CW213" s="15"/>
      <c r="CX213" s="15"/>
      <c r="CY213" s="15"/>
      <c r="CZ213" s="15"/>
      <c r="DA213" s="15"/>
      <c r="DB213" s="15"/>
      <c r="DC213" s="15"/>
      <c r="DD213" s="15"/>
      <c r="DE213" s="15"/>
      <c r="DF213" s="15"/>
      <c r="DG213" s="15"/>
      <c r="DH213" s="15"/>
      <c r="DI213" s="15"/>
      <c r="DJ213" s="15"/>
      <c r="DK213" s="15"/>
      <c r="DL213" s="15"/>
      <c r="DM213" s="15"/>
      <c r="DN213" s="15"/>
      <c r="DO213" s="15"/>
      <c r="DP213" s="15"/>
      <c r="DQ213" s="15"/>
      <c r="DR213" s="15"/>
      <c r="DS213" s="15"/>
      <c r="DT213" s="15"/>
      <c r="DU213" s="15"/>
      <c r="DV213" s="15"/>
      <c r="DW213" s="15"/>
      <c r="DX213" s="15"/>
      <c r="DY213" s="15"/>
      <c r="DZ213" s="15"/>
      <c r="EA213" s="15"/>
      <c r="EB213" s="15"/>
      <c r="EC213" s="15"/>
      <c r="ED213" s="15"/>
      <c r="EE213" s="15"/>
      <c r="EF213" s="15"/>
      <c r="EG213" s="15"/>
      <c r="EH213" s="15"/>
      <c r="EI213" s="15"/>
      <c r="EJ213" s="15"/>
      <c r="EK213" s="15"/>
      <c r="EL213" s="15"/>
      <c r="EM213" s="15"/>
      <c r="EN213" s="15"/>
      <c r="EO213" s="15"/>
      <c r="EP213" s="15"/>
      <c r="EQ213" s="15"/>
      <c r="ER213" s="15"/>
      <c r="ES213" s="15"/>
      <c r="ET213" s="15"/>
      <c r="EU213" s="15"/>
      <c r="EV213" s="15"/>
      <c r="EW213" s="15"/>
      <c r="EX213" s="15"/>
      <c r="EY213" s="15"/>
      <c r="EZ213" s="15"/>
      <c r="FA213" s="15"/>
      <c r="FB213" s="15"/>
      <c r="FC213" s="15"/>
      <c r="FD213" s="15"/>
      <c r="FE213" s="15"/>
      <c r="FF213" s="15"/>
      <c r="FG213" s="15"/>
      <c r="FH213" s="15"/>
      <c r="FI213" s="15"/>
      <c r="FJ213" s="15"/>
      <c r="FK213" s="15"/>
      <c r="FL213" s="15"/>
      <c r="FM213" s="16"/>
      <c r="JH213" s="12"/>
      <c r="JK213" s="12"/>
      <c r="LA213" s="12"/>
      <c r="LN213" s="13"/>
      <c r="LO213" s="12"/>
      <c r="LP213" s="13"/>
      <c r="LQ213" s="12"/>
      <c r="MH213" s="13"/>
      <c r="MJ213" s="13"/>
      <c r="NH213" s="13"/>
      <c r="NI213" s="12"/>
      <c r="NT213" s="13"/>
      <c r="NW213" s="13"/>
      <c r="PA213" s="12"/>
      <c r="PD213" s="12"/>
      <c r="QI213" s="13"/>
      <c r="QK213" s="13"/>
      <c r="RG213" s="13"/>
      <c r="RH213" s="12"/>
      <c r="RI213" s="13"/>
      <c r="TM213" s="13"/>
      <c r="TP213" s="13"/>
    </row>
    <row r="214" spans="74:536" ht="10.75" customHeight="1" x14ac:dyDescent="0.2">
      <c r="CB214" s="12"/>
      <c r="CC214" s="13"/>
      <c r="CD214" s="9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  <c r="CQ214" s="11"/>
      <c r="FF214" s="12"/>
      <c r="FG214" s="13"/>
      <c r="JH214" s="12"/>
      <c r="JK214" s="12"/>
      <c r="LA214" s="12"/>
      <c r="LN214" s="13"/>
      <c r="LO214" s="12"/>
      <c r="LP214" s="13"/>
      <c r="LQ214" s="12"/>
      <c r="MH214" s="13"/>
      <c r="MJ214" s="13"/>
      <c r="NH214" s="13"/>
      <c r="NI214" s="12"/>
      <c r="NT214" s="13"/>
      <c r="NW214" s="13"/>
      <c r="PA214" s="12"/>
      <c r="PD214" s="12"/>
      <c r="QI214" s="13"/>
      <c r="QK214" s="13"/>
      <c r="RG214" s="13"/>
      <c r="RH214" s="12"/>
      <c r="RI214" s="13"/>
      <c r="TM214" s="13"/>
      <c r="TP214" s="13"/>
    </row>
    <row r="215" spans="74:536" ht="10.75" customHeight="1" x14ac:dyDescent="0.2">
      <c r="CB215" s="12"/>
      <c r="CC215" s="13"/>
      <c r="CD215" s="12"/>
      <c r="CE215" s="9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1"/>
      <c r="CQ215" s="13"/>
      <c r="FF215" s="12"/>
      <c r="FG215" s="13"/>
      <c r="JH215" s="12"/>
      <c r="JK215" s="12"/>
      <c r="LA215" s="12"/>
      <c r="LN215" s="13"/>
      <c r="LO215" s="12"/>
      <c r="LP215" s="13"/>
      <c r="LQ215" s="12"/>
      <c r="MH215" s="13"/>
      <c r="MJ215" s="13"/>
      <c r="NH215" s="13"/>
      <c r="NI215" s="12"/>
      <c r="NT215" s="13"/>
      <c r="NW215" s="13"/>
      <c r="PA215" s="12"/>
      <c r="PD215" s="12"/>
      <c r="QI215" s="13"/>
      <c r="QK215" s="13"/>
      <c r="RG215" s="13"/>
      <c r="RH215" s="12"/>
      <c r="RI215" s="13"/>
      <c r="TM215" s="13"/>
      <c r="TP215" s="13"/>
    </row>
    <row r="216" spans="74:536" ht="10.75" customHeight="1" x14ac:dyDescent="0.2">
      <c r="CB216" s="12"/>
      <c r="CC216" s="13"/>
      <c r="CD216" s="12"/>
      <c r="CE216" s="12"/>
      <c r="CP216" s="13"/>
      <c r="CQ216" s="13"/>
      <c r="FF216" s="12"/>
      <c r="FG216" s="13"/>
      <c r="JH216" s="12"/>
      <c r="JK216" s="12"/>
      <c r="LA216" s="12"/>
      <c r="LN216" s="13"/>
      <c r="LO216" s="12"/>
      <c r="LP216" s="13"/>
      <c r="LQ216" s="12"/>
      <c r="MH216" s="13"/>
      <c r="MJ216" s="13"/>
      <c r="NH216" s="13"/>
      <c r="NI216" s="14"/>
      <c r="NJ216" s="15"/>
      <c r="NK216" s="15"/>
      <c r="NL216" s="15"/>
      <c r="NM216" s="15"/>
      <c r="NN216" s="15"/>
      <c r="NO216" s="15"/>
      <c r="NP216" s="15"/>
      <c r="NQ216" s="15"/>
      <c r="NR216" s="15"/>
      <c r="NS216" s="15"/>
      <c r="NT216" s="16"/>
      <c r="NW216" s="13"/>
      <c r="PA216" s="12"/>
      <c r="PD216" s="12"/>
      <c r="QI216" s="13"/>
      <c r="QK216" s="13"/>
      <c r="RG216" s="13"/>
      <c r="RH216" s="12"/>
      <c r="RI216" s="13"/>
      <c r="TM216" s="13"/>
      <c r="TP216" s="13"/>
    </row>
    <row r="217" spans="74:536" ht="10.75" customHeight="1" x14ac:dyDescent="0.2">
      <c r="CB217" s="12"/>
      <c r="CC217" s="13"/>
      <c r="CD217" s="12"/>
      <c r="CE217" s="12"/>
      <c r="CP217" s="13"/>
      <c r="CQ217" s="13"/>
      <c r="FF217" s="12"/>
      <c r="FG217" s="13"/>
      <c r="JH217" s="12"/>
      <c r="JK217" s="12"/>
      <c r="LA217" s="12"/>
      <c r="LN217" s="13"/>
      <c r="LO217" s="12"/>
      <c r="LP217" s="13"/>
      <c r="LQ217" s="12"/>
      <c r="MH217" s="13"/>
      <c r="MJ217" s="13"/>
      <c r="NH217" s="13"/>
      <c r="NI217" s="9"/>
      <c r="NJ217" s="10"/>
      <c r="NK217" s="10"/>
      <c r="NL217" s="10"/>
      <c r="NM217" s="10"/>
      <c r="NN217" s="10"/>
      <c r="NO217" s="10"/>
      <c r="NP217" s="10"/>
      <c r="NQ217" s="10"/>
      <c r="NR217" s="10"/>
      <c r="NS217" s="10"/>
      <c r="NT217" s="11"/>
      <c r="NW217" s="13"/>
      <c r="PA217" s="12"/>
      <c r="PD217" s="12"/>
      <c r="QI217" s="13"/>
      <c r="QK217" s="13"/>
      <c r="RG217" s="13"/>
      <c r="RH217" s="12"/>
      <c r="RI217" s="13"/>
      <c r="TM217" s="13"/>
      <c r="TP217" s="13"/>
    </row>
    <row r="218" spans="74:536" ht="10.75" customHeight="1" x14ac:dyDescent="0.2">
      <c r="CB218" s="12"/>
      <c r="CC218" s="13"/>
      <c r="CD218" s="12"/>
      <c r="CE218" s="12"/>
      <c r="CP218" s="13"/>
      <c r="CQ218" s="13"/>
      <c r="FF218" s="12"/>
      <c r="FG218" s="13"/>
      <c r="JH218" s="12"/>
      <c r="JK218" s="12"/>
      <c r="LA218" s="12"/>
      <c r="LN218" s="13"/>
      <c r="LO218" s="12"/>
      <c r="LP218" s="13"/>
      <c r="LQ218" s="12"/>
      <c r="MH218" s="13"/>
      <c r="MJ218" s="13"/>
      <c r="NH218" s="13"/>
      <c r="NI218" s="12"/>
      <c r="NT218" s="13"/>
      <c r="NW218" s="13"/>
      <c r="PA218" s="12"/>
      <c r="PD218" s="12"/>
      <c r="QI218" s="13"/>
      <c r="QK218" s="13"/>
      <c r="RG218" s="13"/>
      <c r="RH218" s="12"/>
      <c r="RI218" s="13"/>
      <c r="TM218" s="13"/>
      <c r="TP218" s="13"/>
    </row>
    <row r="219" spans="74:536" ht="10.75" customHeight="1" x14ac:dyDescent="0.2">
      <c r="CB219" s="12"/>
      <c r="CC219" s="13"/>
      <c r="CD219" s="12"/>
      <c r="CE219" s="12"/>
      <c r="CP219" s="13"/>
      <c r="CQ219" s="13"/>
      <c r="FF219" s="12"/>
      <c r="FG219" s="13"/>
      <c r="JH219" s="12"/>
      <c r="JK219" s="12"/>
      <c r="LA219" s="12"/>
      <c r="LN219" s="13"/>
      <c r="LO219" s="12"/>
      <c r="LP219" s="13"/>
      <c r="LQ219" s="12"/>
      <c r="MH219" s="13"/>
      <c r="MJ219" s="13"/>
      <c r="NH219" s="13"/>
      <c r="NI219" s="12"/>
      <c r="NT219" s="13"/>
      <c r="NW219" s="13"/>
      <c r="PA219" s="12"/>
      <c r="PD219" s="12"/>
      <c r="QI219" s="13"/>
      <c r="QK219" s="13"/>
      <c r="RG219" s="13"/>
      <c r="RH219" s="12"/>
      <c r="RI219" s="13"/>
      <c r="TM219" s="13"/>
      <c r="TP219" s="13"/>
    </row>
    <row r="220" spans="74:536" ht="10.75" customHeight="1" x14ac:dyDescent="0.2">
      <c r="CB220" s="12"/>
      <c r="CC220" s="13"/>
      <c r="CD220" s="12"/>
      <c r="CE220" s="12"/>
      <c r="CP220" s="13"/>
      <c r="CQ220" s="13"/>
      <c r="FF220" s="12"/>
      <c r="FG220" s="13"/>
      <c r="JH220" s="12"/>
      <c r="JK220" s="12"/>
      <c r="LA220" s="14"/>
      <c r="LB220" s="15"/>
      <c r="LC220" s="15"/>
      <c r="LD220" s="15"/>
      <c r="LE220" s="15"/>
      <c r="LF220" s="15"/>
      <c r="LG220" s="15"/>
      <c r="LH220" s="15"/>
      <c r="LI220" s="15"/>
      <c r="LJ220" s="15"/>
      <c r="LK220" s="15"/>
      <c r="LL220" s="15"/>
      <c r="LM220" s="15"/>
      <c r="LN220" s="16"/>
      <c r="LO220" s="14"/>
      <c r="LP220" s="16"/>
      <c r="LQ220" s="14"/>
      <c r="LR220" s="15"/>
      <c r="LS220" s="15"/>
      <c r="LT220" s="15"/>
      <c r="LU220" s="15"/>
      <c r="LV220" s="15"/>
      <c r="LW220" s="15"/>
      <c r="LX220" s="15"/>
      <c r="LY220" s="15"/>
      <c r="LZ220" s="15"/>
      <c r="MA220" s="15"/>
      <c r="MB220" s="15"/>
      <c r="MC220" s="15"/>
      <c r="MD220" s="15"/>
      <c r="ME220" s="15"/>
      <c r="MF220" s="15"/>
      <c r="MG220" s="15"/>
      <c r="MH220" s="16"/>
      <c r="MI220" s="15"/>
      <c r="MJ220" s="16"/>
      <c r="MK220" s="15"/>
      <c r="ML220" s="15"/>
      <c r="MM220" s="15"/>
      <c r="MN220" s="15"/>
      <c r="MO220" s="15"/>
      <c r="MP220" s="15"/>
      <c r="MQ220" s="15"/>
      <c r="MR220" s="15"/>
      <c r="MS220" s="15"/>
      <c r="MT220" s="15"/>
      <c r="MU220" s="15"/>
      <c r="MV220" s="15"/>
      <c r="MW220" s="15"/>
      <c r="MX220" s="15"/>
      <c r="MY220" s="15"/>
      <c r="MZ220" s="15"/>
      <c r="NA220" s="15"/>
      <c r="NB220" s="15"/>
      <c r="NC220" s="15"/>
      <c r="ND220" s="15"/>
      <c r="NE220" s="15"/>
      <c r="NF220" s="15"/>
      <c r="NG220" s="15"/>
      <c r="NH220" s="16"/>
      <c r="NI220" s="12"/>
      <c r="NT220" s="13"/>
      <c r="NW220" s="13"/>
      <c r="PA220" s="12"/>
      <c r="PD220" s="12"/>
      <c r="QI220" s="13"/>
      <c r="QK220" s="13"/>
      <c r="RG220" s="13"/>
      <c r="RH220" s="12"/>
      <c r="RI220" s="13"/>
      <c r="TM220" s="13"/>
      <c r="TP220" s="13"/>
    </row>
    <row r="221" spans="74:536" ht="10.75" customHeight="1" x14ac:dyDescent="0.2">
      <c r="CB221" s="12"/>
      <c r="CC221" s="13"/>
      <c r="CD221" s="12"/>
      <c r="CE221" s="12"/>
      <c r="CP221" s="13"/>
      <c r="CQ221" s="13"/>
      <c r="FF221" s="12"/>
      <c r="FG221" s="13"/>
      <c r="JH221" s="12"/>
      <c r="JK221" s="12"/>
      <c r="LA221" s="9"/>
      <c r="LB221" s="10"/>
      <c r="LC221" s="10"/>
      <c r="LD221" s="10"/>
      <c r="LE221" s="10"/>
      <c r="LF221" s="10"/>
      <c r="LG221" s="10"/>
      <c r="LH221" s="10"/>
      <c r="LI221" s="10"/>
      <c r="LJ221" s="10"/>
      <c r="LK221" s="10"/>
      <c r="LL221" s="10"/>
      <c r="LM221" s="10"/>
      <c r="LN221" s="11"/>
      <c r="LO221" s="12"/>
      <c r="LP221" s="13"/>
      <c r="NG221" s="9"/>
      <c r="NH221" s="11"/>
      <c r="NI221" s="12"/>
      <c r="NT221" s="13"/>
      <c r="NW221" s="13"/>
      <c r="PA221" s="12"/>
      <c r="PD221" s="12"/>
      <c r="QI221" s="13"/>
      <c r="QK221" s="13"/>
      <c r="RG221" s="13"/>
      <c r="RH221" s="12"/>
      <c r="RI221" s="13"/>
      <c r="TM221" s="13"/>
      <c r="TP221" s="13"/>
    </row>
    <row r="222" spans="74:536" ht="10.75" customHeight="1" x14ac:dyDescent="0.2">
      <c r="CB222" s="12"/>
      <c r="CC222" s="13"/>
      <c r="CD222" s="12"/>
      <c r="CE222" s="12"/>
      <c r="CP222" s="13"/>
      <c r="CQ222" s="13"/>
      <c r="FF222" s="12"/>
      <c r="FG222" s="13"/>
      <c r="JH222" s="12"/>
      <c r="JK222" s="12"/>
      <c r="LA222" s="14"/>
      <c r="LB222" s="15"/>
      <c r="LC222" s="15"/>
      <c r="LD222" s="15"/>
      <c r="LE222" s="15"/>
      <c r="LF222" s="15"/>
      <c r="LG222" s="15"/>
      <c r="LH222" s="15"/>
      <c r="LI222" s="15"/>
      <c r="LJ222" s="15"/>
      <c r="LK222" s="15"/>
      <c r="LL222" s="15"/>
      <c r="LM222" s="15"/>
      <c r="LN222" s="16"/>
      <c r="LO222" s="12"/>
      <c r="LP222" s="13"/>
      <c r="LQ222" s="15"/>
      <c r="LR222" s="15"/>
      <c r="LS222" s="15"/>
      <c r="LT222" s="15"/>
      <c r="LU222" s="15"/>
      <c r="LV222" s="15"/>
      <c r="LW222" s="15"/>
      <c r="LX222" s="15"/>
      <c r="LY222" s="15"/>
      <c r="LZ222" s="15"/>
      <c r="MA222" s="15"/>
      <c r="MB222" s="15"/>
      <c r="MC222" s="15"/>
      <c r="MD222" s="15"/>
      <c r="ME222" s="15"/>
      <c r="MF222" s="15"/>
      <c r="MG222" s="15"/>
      <c r="MH222" s="15"/>
      <c r="MI222" s="15"/>
      <c r="MJ222" s="15"/>
      <c r="MK222" s="15"/>
      <c r="ML222" s="15"/>
      <c r="MM222" s="15"/>
      <c r="MN222" s="15"/>
      <c r="MO222" s="15"/>
      <c r="MP222" s="15"/>
      <c r="MQ222" s="15"/>
      <c r="MR222" s="15"/>
      <c r="MS222" s="15"/>
      <c r="MT222" s="15"/>
      <c r="MU222" s="15"/>
      <c r="MV222" s="15"/>
      <c r="MW222" s="15"/>
      <c r="MX222" s="15"/>
      <c r="MY222" s="15"/>
      <c r="MZ222" s="15"/>
      <c r="NA222" s="15"/>
      <c r="NB222" s="15"/>
      <c r="NC222" s="15"/>
      <c r="ND222" s="15"/>
      <c r="NE222" s="15"/>
      <c r="NF222" s="15"/>
      <c r="NG222" s="14"/>
      <c r="NH222" s="16"/>
      <c r="NI222" s="12"/>
      <c r="NT222" s="13"/>
      <c r="NW222" s="13"/>
      <c r="PA222" s="12"/>
      <c r="PD222" s="12"/>
      <c r="QI222" s="13"/>
      <c r="QK222" s="13"/>
      <c r="RG222" s="13"/>
      <c r="RH222" s="12"/>
      <c r="RI222" s="13"/>
      <c r="TM222" s="13"/>
      <c r="TP222" s="13"/>
    </row>
    <row r="223" spans="74:536" ht="10.75" customHeight="1" x14ac:dyDescent="0.2">
      <c r="CB223" s="12"/>
      <c r="CC223" s="13"/>
      <c r="CD223" s="12"/>
      <c r="CE223" s="12"/>
      <c r="CP223" s="13"/>
      <c r="CQ223" s="13"/>
      <c r="FF223" s="12"/>
      <c r="FG223" s="13"/>
      <c r="JH223" s="12"/>
      <c r="JK223" s="12"/>
      <c r="LN223" s="13"/>
      <c r="LO223" s="12"/>
      <c r="LP223" s="13"/>
      <c r="NG223" s="12"/>
      <c r="NH223" s="13"/>
      <c r="NI223" s="12"/>
      <c r="NT223" s="13"/>
      <c r="NW223" s="13"/>
      <c r="PA223" s="12"/>
      <c r="PD223" s="12"/>
      <c r="QI223" s="13"/>
      <c r="QK223" s="13"/>
      <c r="RG223" s="13"/>
      <c r="RH223" s="12"/>
      <c r="RI223" s="13"/>
      <c r="TM223" s="13"/>
      <c r="TP223" s="13"/>
    </row>
    <row r="224" spans="74:536" ht="10.75" customHeight="1" x14ac:dyDescent="0.2">
      <c r="CB224" s="12"/>
      <c r="CC224" s="13"/>
      <c r="CD224" s="12"/>
      <c r="CE224" s="12"/>
      <c r="CP224" s="13"/>
      <c r="CQ224" s="13"/>
      <c r="FF224" s="12"/>
      <c r="FG224" s="13"/>
      <c r="JH224" s="12"/>
      <c r="JK224" s="12"/>
      <c r="LN224" s="13"/>
      <c r="LO224" s="12"/>
      <c r="LP224" s="13"/>
      <c r="NG224" s="12"/>
      <c r="NH224" s="13"/>
      <c r="NI224" s="12"/>
      <c r="NT224" s="13"/>
      <c r="NW224" s="13"/>
      <c r="PA224" s="12"/>
      <c r="PD224" s="12"/>
      <c r="QI224" s="13"/>
      <c r="QK224" s="13"/>
      <c r="RG224" s="13"/>
      <c r="RH224" s="12"/>
      <c r="RI224" s="13"/>
      <c r="TM224" s="13"/>
      <c r="TP224" s="13"/>
    </row>
    <row r="225" spans="80:536" ht="10.75" customHeight="1" x14ac:dyDescent="0.2">
      <c r="CB225" s="12"/>
      <c r="CC225" s="13"/>
      <c r="CD225" s="12"/>
      <c r="CE225" s="12"/>
      <c r="CP225" s="13"/>
      <c r="CQ225" s="13"/>
      <c r="FF225" s="12"/>
      <c r="FG225" s="13"/>
      <c r="JH225" s="12"/>
      <c r="JK225" s="12"/>
      <c r="LN225" s="13"/>
      <c r="LO225" s="12"/>
      <c r="LP225" s="13"/>
      <c r="NG225" s="12"/>
      <c r="NH225" s="13"/>
      <c r="NI225" s="12"/>
      <c r="NT225" s="13"/>
      <c r="NW225" s="13"/>
      <c r="PA225" s="12"/>
      <c r="PD225" s="12"/>
      <c r="QI225" s="13"/>
      <c r="QK225" s="13"/>
      <c r="RG225" s="13"/>
      <c r="RH225" s="12"/>
      <c r="RI225" s="13"/>
      <c r="TM225" s="13"/>
      <c r="TP225" s="13"/>
    </row>
    <row r="226" spans="80:536" ht="10.75" customHeight="1" x14ac:dyDescent="0.2">
      <c r="CB226" s="12"/>
      <c r="CC226" s="13"/>
      <c r="CD226" s="12"/>
      <c r="CE226" s="12"/>
      <c r="CP226" s="13"/>
      <c r="CQ226" s="13"/>
      <c r="FF226" s="12"/>
      <c r="FG226" s="13"/>
      <c r="JH226" s="12"/>
      <c r="JK226" s="12"/>
      <c r="LN226" s="13"/>
      <c r="LO226" s="12"/>
      <c r="LP226" s="13"/>
      <c r="NG226" s="12"/>
      <c r="NH226" s="13"/>
      <c r="NI226" s="12"/>
      <c r="NT226" s="13"/>
      <c r="NW226" s="13"/>
      <c r="PA226" s="12"/>
      <c r="PD226" s="14"/>
      <c r="PE226" s="15"/>
      <c r="PF226" s="15"/>
      <c r="PG226" s="15"/>
      <c r="PH226" s="15"/>
      <c r="PI226" s="15"/>
      <c r="PJ226" s="15"/>
      <c r="PK226" s="15"/>
      <c r="PL226" s="15"/>
      <c r="PM226" s="15"/>
      <c r="PN226" s="15"/>
      <c r="PO226" s="15"/>
      <c r="PP226" s="15"/>
      <c r="PQ226" s="15"/>
      <c r="PR226" s="15"/>
      <c r="PS226" s="15"/>
      <c r="PT226" s="15"/>
      <c r="PU226" s="15"/>
      <c r="PV226" s="15"/>
      <c r="PW226" s="15"/>
      <c r="PX226" s="15"/>
      <c r="PY226" s="15"/>
      <c r="PZ226" s="15"/>
      <c r="QA226" s="15"/>
      <c r="QB226" s="15"/>
      <c r="QC226" s="15"/>
      <c r="QD226" s="15"/>
      <c r="QE226" s="15"/>
      <c r="QF226" s="15"/>
      <c r="QG226" s="15"/>
      <c r="QH226" s="15"/>
      <c r="QI226" s="16"/>
      <c r="QJ226" s="15"/>
      <c r="QK226" s="16"/>
      <c r="QL226" s="15"/>
      <c r="QM226" s="15"/>
      <c r="QN226" s="15"/>
      <c r="QO226" s="15"/>
      <c r="QP226" s="15"/>
      <c r="QQ226" s="15"/>
      <c r="QR226" s="15"/>
      <c r="QS226" s="15"/>
      <c r="QT226" s="15"/>
      <c r="QU226" s="15"/>
      <c r="QV226" s="15"/>
      <c r="QW226" s="15"/>
      <c r="QX226" s="15"/>
      <c r="QY226" s="15"/>
      <c r="QZ226" s="15"/>
      <c r="RA226" s="15"/>
      <c r="RB226" s="15"/>
      <c r="RC226" s="15"/>
      <c r="RD226" s="15"/>
      <c r="RE226" s="15"/>
      <c r="RF226" s="15"/>
      <c r="RG226" s="16"/>
      <c r="RH226" s="12"/>
      <c r="RI226" s="13"/>
      <c r="TM226" s="13"/>
      <c r="TP226" s="13"/>
    </row>
    <row r="227" spans="80:536" ht="10.75" customHeight="1" x14ac:dyDescent="0.2">
      <c r="CB227" s="12"/>
      <c r="CC227" s="13"/>
      <c r="CD227" s="12"/>
      <c r="CE227" s="12"/>
      <c r="CP227" s="13"/>
      <c r="CQ227" s="13"/>
      <c r="FF227" s="12"/>
      <c r="FG227" s="13"/>
      <c r="JH227" s="12"/>
      <c r="JK227" s="12"/>
      <c r="LN227" s="13"/>
      <c r="LO227" s="12"/>
      <c r="LP227" s="13"/>
      <c r="NG227" s="12"/>
      <c r="NH227" s="13"/>
      <c r="NI227" s="12"/>
      <c r="NT227" s="13"/>
      <c r="NW227" s="13"/>
      <c r="PA227" s="12"/>
      <c r="PD227" s="9"/>
      <c r="PE227" s="10"/>
      <c r="PF227" s="10"/>
      <c r="PG227" s="10"/>
      <c r="PH227" s="10"/>
      <c r="PI227" s="10"/>
      <c r="PJ227" s="10"/>
      <c r="PK227" s="10"/>
      <c r="PL227" s="10"/>
      <c r="PM227" s="10"/>
      <c r="PN227" s="10"/>
      <c r="PO227" s="10"/>
      <c r="PP227" s="10"/>
      <c r="PQ227" s="10"/>
      <c r="PR227" s="10"/>
      <c r="PS227" s="10"/>
      <c r="PT227" s="10"/>
      <c r="PU227" s="10"/>
      <c r="PV227" s="10"/>
      <c r="PW227" s="10"/>
      <c r="PX227" s="10"/>
      <c r="PY227" s="10"/>
      <c r="PZ227" s="10"/>
      <c r="QA227" s="10"/>
      <c r="QB227" s="10"/>
      <c r="QC227" s="10"/>
      <c r="QD227" s="10"/>
      <c r="QE227" s="10"/>
      <c r="QF227" s="10"/>
      <c r="QG227" s="10"/>
      <c r="QH227" s="10"/>
      <c r="QI227" s="10"/>
      <c r="QJ227" s="10"/>
      <c r="QK227" s="10"/>
      <c r="QL227" s="10"/>
      <c r="QM227" s="10"/>
      <c r="QN227" s="10"/>
      <c r="QO227" s="10"/>
      <c r="QP227" s="10"/>
      <c r="QQ227" s="10"/>
      <c r="QR227" s="10"/>
      <c r="QS227" s="10"/>
      <c r="QT227" s="10"/>
      <c r="QU227" s="10"/>
      <c r="QV227" s="10"/>
      <c r="QW227" s="10"/>
      <c r="QX227" s="10"/>
      <c r="QY227" s="10"/>
      <c r="QZ227" s="10"/>
      <c r="RA227" s="10"/>
      <c r="RB227" s="10"/>
      <c r="RC227" s="10"/>
      <c r="RD227" s="10"/>
      <c r="RE227" s="10"/>
      <c r="RF227" s="10"/>
      <c r="RG227" s="11"/>
      <c r="RH227" s="12"/>
      <c r="RI227" s="13"/>
      <c r="TM227" s="13"/>
      <c r="TP227" s="13"/>
    </row>
    <row r="228" spans="80:536" ht="10.75" customHeight="1" x14ac:dyDescent="0.2">
      <c r="CB228" s="12"/>
      <c r="CC228" s="13"/>
      <c r="CD228" s="12"/>
      <c r="CE228" s="12"/>
      <c r="CP228" s="13"/>
      <c r="CQ228" s="13"/>
      <c r="FF228" s="12"/>
      <c r="FG228" s="13"/>
      <c r="JH228" s="12"/>
      <c r="JK228" s="12"/>
      <c r="LN228" s="13"/>
      <c r="LO228" s="12"/>
      <c r="LP228" s="13"/>
      <c r="NG228" s="14"/>
      <c r="NH228" s="16"/>
      <c r="NI228" s="14"/>
      <c r="NJ228" s="15"/>
      <c r="NK228" s="15"/>
      <c r="NL228" s="15"/>
      <c r="NM228" s="15"/>
      <c r="NN228" s="15"/>
      <c r="NO228" s="15"/>
      <c r="NP228" s="15"/>
      <c r="NQ228" s="15"/>
      <c r="NR228" s="15"/>
      <c r="NS228" s="15"/>
      <c r="NT228" s="16"/>
      <c r="NW228" s="13"/>
      <c r="PA228" s="12"/>
      <c r="PD228" s="12"/>
      <c r="RG228" s="13"/>
      <c r="RH228" s="12"/>
      <c r="RI228" s="13"/>
      <c r="TM228" s="13"/>
      <c r="TP228" s="13"/>
    </row>
    <row r="229" spans="80:536" ht="10.75" customHeight="1" x14ac:dyDescent="0.2">
      <c r="CB229" s="12"/>
      <c r="CC229" s="13"/>
      <c r="CD229" s="12"/>
      <c r="CE229" s="12"/>
      <c r="CP229" s="13"/>
      <c r="CQ229" s="13"/>
      <c r="FF229" s="12"/>
      <c r="FG229" s="13"/>
      <c r="JH229" s="12"/>
      <c r="JK229" s="12"/>
      <c r="LN229" s="13"/>
      <c r="LO229" s="12"/>
      <c r="LP229" s="13"/>
      <c r="NT229" s="13"/>
      <c r="NW229" s="13"/>
      <c r="PA229" s="12"/>
      <c r="PD229" s="9"/>
      <c r="PE229" s="10"/>
      <c r="PF229" s="10"/>
      <c r="PG229" s="10"/>
      <c r="PH229" s="10"/>
      <c r="PI229" s="10"/>
      <c r="PJ229" s="10"/>
      <c r="PK229" s="10"/>
      <c r="PL229" s="10"/>
      <c r="PM229" s="10"/>
      <c r="PN229" s="10"/>
      <c r="PO229" s="10"/>
      <c r="PP229" s="10"/>
      <c r="PQ229" s="10"/>
      <c r="PR229" s="10"/>
      <c r="PS229" s="10"/>
      <c r="PT229" s="10"/>
      <c r="PU229" s="10"/>
      <c r="PV229" s="10"/>
      <c r="PW229" s="10"/>
      <c r="PX229" s="10"/>
      <c r="PY229" s="10"/>
      <c r="PZ229" s="10"/>
      <c r="QA229" s="10"/>
      <c r="QB229" s="10"/>
      <c r="QC229" s="10"/>
      <c r="QD229" s="10"/>
      <c r="QE229" s="10"/>
      <c r="QF229" s="10"/>
      <c r="QG229" s="10"/>
      <c r="QH229" s="10"/>
      <c r="QI229" s="10"/>
      <c r="QJ229" s="10"/>
      <c r="QK229" s="10"/>
      <c r="QL229" s="10"/>
      <c r="QM229" s="10"/>
      <c r="QN229" s="10"/>
      <c r="QO229" s="10"/>
      <c r="QP229" s="10"/>
      <c r="QQ229" s="10"/>
      <c r="QR229" s="10"/>
      <c r="QS229" s="10"/>
      <c r="QT229" s="10"/>
      <c r="QU229" s="10"/>
      <c r="QV229" s="10"/>
      <c r="QW229" s="10"/>
      <c r="QX229" s="10"/>
      <c r="QY229" s="10"/>
      <c r="QZ229" s="10"/>
      <c r="RA229" s="10"/>
      <c r="RB229" s="10"/>
      <c r="RC229" s="10"/>
      <c r="RD229" s="10"/>
      <c r="RE229" s="10"/>
      <c r="RF229" s="10"/>
      <c r="RG229" s="11"/>
      <c r="RH229" s="12"/>
      <c r="RI229" s="13"/>
      <c r="TM229" s="13"/>
      <c r="TP229" s="13"/>
    </row>
    <row r="230" spans="80:536" ht="10.75" customHeight="1" x14ac:dyDescent="0.2">
      <c r="CB230" s="12"/>
      <c r="CC230" s="13"/>
      <c r="CD230" s="12"/>
      <c r="CE230" s="12"/>
      <c r="CP230" s="13"/>
      <c r="CQ230" s="13"/>
      <c r="FF230" s="12"/>
      <c r="FG230" s="13"/>
      <c r="JH230" s="12"/>
      <c r="JK230" s="12"/>
      <c r="LN230" s="13"/>
      <c r="LO230" s="12"/>
      <c r="LP230" s="13"/>
      <c r="NT230" s="13"/>
      <c r="NW230" s="13"/>
      <c r="PA230" s="12"/>
      <c r="PD230" s="12"/>
      <c r="RG230" s="13"/>
      <c r="RH230" s="12"/>
      <c r="RI230" s="13"/>
      <c r="TM230" s="13"/>
      <c r="TP230" s="13"/>
    </row>
    <row r="231" spans="80:536" ht="10.75" customHeight="1" x14ac:dyDescent="0.2">
      <c r="CB231" s="12"/>
      <c r="CC231" s="13"/>
      <c r="CD231" s="12"/>
      <c r="CE231" s="12"/>
      <c r="CP231" s="13"/>
      <c r="CQ231" s="13"/>
      <c r="FF231" s="12"/>
      <c r="FG231" s="13"/>
      <c r="JH231" s="12"/>
      <c r="JK231" s="12"/>
      <c r="LN231" s="13"/>
      <c r="LO231" s="12"/>
      <c r="LP231" s="13"/>
      <c r="NT231" s="13"/>
      <c r="NW231" s="13"/>
      <c r="PA231" s="12"/>
      <c r="PD231" s="12"/>
      <c r="RG231" s="13"/>
      <c r="RH231" s="12"/>
      <c r="RI231" s="13"/>
      <c r="TM231" s="13"/>
      <c r="TP231" s="13"/>
    </row>
    <row r="232" spans="80:536" ht="10.75" customHeight="1" x14ac:dyDescent="0.2">
      <c r="CB232" s="12"/>
      <c r="CC232" s="13"/>
      <c r="CD232" s="12"/>
      <c r="CE232" s="12"/>
      <c r="CP232" s="13"/>
      <c r="CQ232" s="13"/>
      <c r="DK232" s="17"/>
      <c r="FF232" s="12"/>
      <c r="FG232" s="13"/>
      <c r="JH232" s="12"/>
      <c r="JK232" s="12"/>
      <c r="LN232" s="13"/>
      <c r="LO232" s="12"/>
      <c r="LP232" s="13"/>
      <c r="NT232" s="13"/>
      <c r="NW232" s="13"/>
      <c r="PA232" s="12"/>
      <c r="PD232" s="12"/>
      <c r="RG232" s="13"/>
      <c r="RH232" s="12"/>
      <c r="RI232" s="13"/>
      <c r="TM232" s="13"/>
      <c r="TP232" s="13"/>
    </row>
    <row r="233" spans="80:536" ht="10.75" customHeight="1" x14ac:dyDescent="0.2">
      <c r="CB233" s="12"/>
      <c r="CC233" s="13"/>
      <c r="CD233" s="12"/>
      <c r="CE233" s="12"/>
      <c r="CP233" s="13"/>
      <c r="CQ233" s="13"/>
      <c r="DK233" s="18"/>
      <c r="FF233" s="12"/>
      <c r="FG233" s="13"/>
      <c r="JH233" s="12"/>
      <c r="JK233" s="12"/>
      <c r="LN233" s="13"/>
      <c r="LO233" s="12"/>
      <c r="LP233" s="13"/>
      <c r="NT233" s="13"/>
      <c r="NW233" s="13"/>
      <c r="PA233" s="12"/>
      <c r="PD233" s="12"/>
      <c r="RG233" s="13"/>
      <c r="RH233" s="12"/>
      <c r="RI233" s="13"/>
      <c r="TM233" s="13"/>
      <c r="TP233" s="13"/>
    </row>
    <row r="234" spans="80:536" ht="10.75" customHeight="1" x14ac:dyDescent="0.2">
      <c r="CB234" s="12"/>
      <c r="CC234" s="13"/>
      <c r="CD234" s="12"/>
      <c r="CE234" s="12"/>
      <c r="CP234" s="13"/>
      <c r="CQ234" s="13"/>
      <c r="DK234" s="18"/>
      <c r="FF234" s="12"/>
      <c r="FG234" s="13"/>
      <c r="JH234" s="12"/>
      <c r="JK234" s="12"/>
      <c r="LN234" s="13"/>
      <c r="LO234" s="12"/>
      <c r="LP234" s="13"/>
      <c r="NT234" s="13"/>
      <c r="NW234" s="13"/>
      <c r="PA234" s="12"/>
      <c r="PD234" s="12"/>
      <c r="RG234" s="13"/>
      <c r="RH234" s="12"/>
      <c r="RI234" s="13"/>
      <c r="TM234" s="13"/>
      <c r="TP234" s="13"/>
    </row>
    <row r="235" spans="80:536" ht="10.75" customHeight="1" x14ac:dyDescent="0.2">
      <c r="CB235" s="12"/>
      <c r="CC235" s="13"/>
      <c r="CD235" s="12"/>
      <c r="CE235" s="12"/>
      <c r="CP235" s="13"/>
      <c r="CQ235" s="13"/>
      <c r="DK235" s="18"/>
      <c r="DP235" s="17"/>
      <c r="FF235" s="12"/>
      <c r="FG235" s="13"/>
      <c r="JH235" s="12"/>
      <c r="JK235" s="12"/>
      <c r="LN235" s="13"/>
      <c r="LO235" s="12"/>
      <c r="LP235" s="13"/>
      <c r="NT235" s="13"/>
      <c r="NW235" s="13"/>
      <c r="PA235" s="12"/>
      <c r="PD235" s="12"/>
      <c r="RG235" s="13"/>
      <c r="RH235" s="12"/>
      <c r="RI235" s="13"/>
      <c r="TM235" s="13"/>
      <c r="TP235" s="13"/>
    </row>
    <row r="236" spans="80:536" ht="10.75" customHeight="1" x14ac:dyDescent="0.2">
      <c r="CB236" s="12"/>
      <c r="CC236" s="13"/>
      <c r="CD236" s="12"/>
      <c r="CE236" s="12"/>
      <c r="CP236" s="13"/>
      <c r="CQ236" s="13"/>
      <c r="DK236" s="18"/>
      <c r="DP236" s="18"/>
      <c r="FF236" s="12"/>
      <c r="FG236" s="13"/>
      <c r="JH236" s="12"/>
      <c r="JK236" s="12"/>
      <c r="LN236" s="13"/>
      <c r="LO236" s="12"/>
      <c r="LP236" s="13"/>
      <c r="NT236" s="13"/>
      <c r="NW236" s="13"/>
      <c r="PA236" s="12"/>
      <c r="PD236" s="12"/>
      <c r="RG236" s="13"/>
      <c r="RH236" s="12"/>
      <c r="RI236" s="13"/>
      <c r="TM236" s="13"/>
      <c r="TP236" s="13"/>
    </row>
    <row r="237" spans="80:536" ht="10.75" customHeight="1" x14ac:dyDescent="0.2">
      <c r="CB237" s="12"/>
      <c r="CC237" s="13"/>
      <c r="CD237" s="12"/>
      <c r="CE237" s="12"/>
      <c r="CP237" s="13"/>
      <c r="CQ237" s="13"/>
      <c r="DK237" s="18"/>
      <c r="DP237" s="18"/>
      <c r="FF237" s="12"/>
      <c r="FG237" s="13"/>
      <c r="JH237" s="12"/>
      <c r="JK237" s="12"/>
      <c r="LN237" s="13"/>
      <c r="LO237" s="12"/>
      <c r="LP237" s="13"/>
      <c r="NT237" s="13"/>
      <c r="NW237" s="13"/>
      <c r="PA237" s="12"/>
      <c r="PD237" s="12"/>
      <c r="RG237" s="13"/>
      <c r="RH237" s="12"/>
      <c r="RI237" s="13"/>
      <c r="TM237" s="13"/>
      <c r="TP237" s="13"/>
    </row>
    <row r="238" spans="80:536" ht="10.75" customHeight="1" x14ac:dyDescent="0.2">
      <c r="CB238" s="12"/>
      <c r="CC238" s="13"/>
      <c r="CD238" s="12"/>
      <c r="CE238" s="14"/>
      <c r="CF238" s="15"/>
      <c r="CG238" s="15"/>
      <c r="CH238" s="15"/>
      <c r="CI238" s="15"/>
      <c r="CJ238" s="15"/>
      <c r="CK238" s="15"/>
      <c r="CL238" s="15"/>
      <c r="CM238" s="15"/>
      <c r="CN238" s="15"/>
      <c r="CO238" s="15"/>
      <c r="CP238" s="16"/>
      <c r="CQ238" s="13"/>
      <c r="DK238" s="18"/>
      <c r="DP238" s="18"/>
      <c r="DU238" s="17"/>
      <c r="FF238" s="12"/>
      <c r="FG238" s="13"/>
      <c r="JH238" s="12"/>
      <c r="JK238" s="12"/>
      <c r="LN238" s="13"/>
      <c r="LO238" s="12"/>
      <c r="LP238" s="13"/>
      <c r="NT238" s="13"/>
      <c r="NW238" s="13"/>
      <c r="PA238" s="12"/>
      <c r="PD238" s="12"/>
      <c r="RG238" s="13"/>
      <c r="RH238" s="12"/>
      <c r="RI238" s="13"/>
      <c r="TM238" s="13"/>
      <c r="TP238" s="13"/>
    </row>
    <row r="239" spans="80:536" ht="10.75" customHeight="1" x14ac:dyDescent="0.2">
      <c r="CB239" s="12"/>
      <c r="CC239" s="13"/>
      <c r="CD239" s="12"/>
      <c r="CQ239" s="13"/>
      <c r="DK239" s="18"/>
      <c r="DP239" s="18"/>
      <c r="DU239" s="18"/>
      <c r="FF239" s="12"/>
      <c r="FG239" s="13"/>
      <c r="JH239" s="12"/>
      <c r="JK239" s="12"/>
      <c r="LN239" s="13"/>
      <c r="LO239" s="12"/>
      <c r="LP239" s="13"/>
      <c r="NT239" s="13"/>
      <c r="NW239" s="13"/>
      <c r="PA239" s="12"/>
      <c r="PD239" s="12"/>
      <c r="RG239" s="13"/>
      <c r="RH239" s="12"/>
      <c r="RI239" s="13"/>
      <c r="TM239" s="13"/>
      <c r="TP239" s="13"/>
    </row>
    <row r="240" spans="80:536" ht="10.75" customHeight="1" x14ac:dyDescent="0.2">
      <c r="CB240" s="12"/>
      <c r="CC240" s="13"/>
      <c r="CD240" s="9"/>
      <c r="CE240" s="10"/>
      <c r="CF240" s="10"/>
      <c r="CG240" s="10"/>
      <c r="CH240" s="10"/>
      <c r="CI240" s="10"/>
      <c r="CJ240" s="10"/>
      <c r="CK240" s="10"/>
      <c r="CL240" s="10"/>
      <c r="CM240" s="10"/>
      <c r="CN240" s="10"/>
      <c r="CO240" s="10"/>
      <c r="CP240" s="10"/>
      <c r="CQ240" s="11"/>
      <c r="DK240" s="18"/>
      <c r="DP240" s="18"/>
      <c r="DU240" s="18"/>
      <c r="FF240" s="12"/>
      <c r="FG240" s="13"/>
      <c r="JH240" s="12"/>
      <c r="JK240" s="12"/>
      <c r="LN240" s="13"/>
      <c r="LO240" s="12"/>
      <c r="LP240" s="13"/>
      <c r="NT240" s="13"/>
      <c r="NW240" s="13"/>
      <c r="PA240" s="12"/>
      <c r="PD240" s="12"/>
      <c r="RG240" s="13"/>
      <c r="RH240" s="12"/>
      <c r="RI240" s="13"/>
      <c r="TM240" s="13"/>
      <c r="TP240" s="13"/>
    </row>
    <row r="241" spans="74:536" ht="10.75" customHeight="1" x14ac:dyDescent="0.2">
      <c r="CB241" s="14"/>
      <c r="CC241" s="16"/>
      <c r="CD241" s="14"/>
      <c r="CE241" s="15"/>
      <c r="CF241" s="15"/>
      <c r="CG241" s="15"/>
      <c r="CH241" s="15"/>
      <c r="CI241" s="15"/>
      <c r="CJ241" s="15"/>
      <c r="CK241" s="15"/>
      <c r="CL241" s="15"/>
      <c r="CM241" s="15"/>
      <c r="CN241" s="15"/>
      <c r="CO241" s="15"/>
      <c r="CP241" s="15"/>
      <c r="CQ241" s="16"/>
      <c r="DK241" s="18"/>
      <c r="DP241" s="18"/>
      <c r="DU241" s="18"/>
      <c r="DZ241" s="17"/>
      <c r="FF241" s="12"/>
      <c r="FG241" s="13"/>
      <c r="JH241" s="12"/>
      <c r="JK241" s="12"/>
      <c r="LN241" s="13"/>
      <c r="LO241" s="12"/>
      <c r="LP241" s="13"/>
      <c r="NT241" s="13"/>
      <c r="NW241" s="13"/>
      <c r="PA241" s="12"/>
      <c r="PD241" s="12"/>
      <c r="RG241" s="13"/>
      <c r="RH241" s="12"/>
      <c r="RI241" s="13"/>
      <c r="TM241" s="13"/>
      <c r="TP241" s="13"/>
    </row>
    <row r="242" spans="74:536" ht="10.75" customHeight="1" x14ac:dyDescent="0.2">
      <c r="BV242" s="9"/>
      <c r="BW242" s="10"/>
      <c r="BX242" s="10"/>
      <c r="BY242" s="10"/>
      <c r="BZ242" s="10"/>
      <c r="CA242" s="10"/>
      <c r="CB242" s="10"/>
      <c r="CC242" s="10"/>
      <c r="CD242" s="10"/>
      <c r="CE242" s="10"/>
      <c r="CF242" s="10"/>
      <c r="CG242" s="10"/>
      <c r="CH242" s="10"/>
      <c r="CI242" s="10"/>
      <c r="CJ242" s="10"/>
      <c r="CK242" s="10"/>
      <c r="CL242" s="10"/>
      <c r="CM242" s="10"/>
      <c r="CN242" s="10"/>
      <c r="CO242" s="10"/>
      <c r="CP242" s="10"/>
      <c r="CQ242" s="10"/>
      <c r="CR242" s="10"/>
      <c r="CS242" s="10"/>
      <c r="CT242" s="10"/>
      <c r="CU242" s="10"/>
      <c r="CV242" s="10"/>
      <c r="CW242" s="10"/>
      <c r="CX242" s="10"/>
      <c r="CY242" s="10"/>
      <c r="CZ242" s="10"/>
      <c r="DA242" s="10"/>
      <c r="DB242" s="10"/>
      <c r="DC242" s="10"/>
      <c r="DD242" s="10"/>
      <c r="DE242" s="10"/>
      <c r="DF242" s="10"/>
      <c r="DG242" s="10"/>
      <c r="DH242" s="11"/>
      <c r="DI242" s="255"/>
      <c r="DJ242" s="255"/>
      <c r="DK242" s="256"/>
      <c r="DL242" s="255"/>
      <c r="DM242" s="255"/>
      <c r="DN242" s="255"/>
      <c r="DO242" s="255"/>
      <c r="DP242" s="256"/>
      <c r="DQ242" s="255"/>
      <c r="DR242" s="255"/>
      <c r="DS242" s="255"/>
      <c r="DT242" s="255"/>
      <c r="DU242" s="256"/>
      <c r="DV242" s="255"/>
      <c r="DW242" s="255"/>
      <c r="DX242" s="255"/>
      <c r="DY242" s="255"/>
      <c r="DZ242" s="256"/>
      <c r="EA242" s="255"/>
      <c r="EB242" s="255"/>
      <c r="EC242" s="255"/>
      <c r="ED242" s="255"/>
      <c r="EE242" s="255"/>
      <c r="EF242" s="255"/>
      <c r="EG242" s="255"/>
      <c r="EH242" s="255"/>
      <c r="EI242" s="255"/>
      <c r="EJ242" s="255"/>
      <c r="EK242" s="255"/>
      <c r="EL242" s="255"/>
      <c r="EM242" s="255"/>
      <c r="EN242" s="255"/>
      <c r="EO242" s="255"/>
      <c r="EP242" s="255"/>
      <c r="EQ242" s="255"/>
      <c r="ER242" s="255"/>
      <c r="ES242" s="255"/>
      <c r="ET242" s="255"/>
      <c r="EU242" s="255"/>
      <c r="EV242" s="255"/>
      <c r="EW242" s="255"/>
      <c r="EX242" s="255"/>
      <c r="EY242" s="255"/>
      <c r="EZ242" s="255"/>
      <c r="FA242" s="255"/>
      <c r="FB242" s="255"/>
      <c r="FC242" s="255"/>
      <c r="FD242" s="255"/>
      <c r="FE242" s="255"/>
      <c r="FF242" s="9"/>
      <c r="FG242" s="10"/>
      <c r="FH242" s="10"/>
      <c r="FI242" s="10"/>
      <c r="FJ242" s="10"/>
      <c r="FK242" s="10"/>
      <c r="FL242" s="10"/>
      <c r="FM242" s="10"/>
      <c r="FN242" s="10"/>
      <c r="FO242" s="10"/>
      <c r="FP242" s="10"/>
      <c r="FQ242" s="10"/>
      <c r="FR242" s="10"/>
      <c r="FS242" s="10"/>
      <c r="FT242" s="10"/>
      <c r="FU242" s="10"/>
      <c r="FV242" s="10"/>
      <c r="FW242" s="10"/>
      <c r="FX242" s="10"/>
      <c r="FY242" s="10"/>
      <c r="FZ242" s="10"/>
      <c r="GA242" s="10"/>
      <c r="GB242" s="10"/>
      <c r="GC242" s="10"/>
      <c r="GD242" s="10"/>
      <c r="GE242" s="10"/>
      <c r="GF242" s="10"/>
      <c r="GG242" s="10"/>
      <c r="GH242" s="10"/>
      <c r="GI242" s="10"/>
      <c r="GJ242" s="10"/>
      <c r="GK242" s="10"/>
      <c r="GL242" s="10"/>
      <c r="GM242" s="10"/>
      <c r="GN242" s="10"/>
      <c r="GO242" s="10"/>
      <c r="GP242" s="10"/>
      <c r="GQ242" s="10"/>
      <c r="GR242" s="10"/>
      <c r="GS242" s="10"/>
      <c r="GT242" s="10"/>
      <c r="GU242" s="10"/>
      <c r="GV242" s="10"/>
      <c r="GW242" s="10"/>
      <c r="GX242" s="10"/>
      <c r="GY242" s="10"/>
      <c r="GZ242" s="10"/>
      <c r="HA242" s="10"/>
      <c r="HB242" s="10"/>
      <c r="HC242" s="10"/>
      <c r="HD242" s="10"/>
      <c r="HE242" s="11"/>
      <c r="JH242" s="12"/>
      <c r="JK242" s="12"/>
      <c r="LN242" s="13"/>
      <c r="LO242" s="12"/>
      <c r="LP242" s="13"/>
      <c r="NT242" s="13"/>
      <c r="NW242" s="13"/>
      <c r="PA242" s="12"/>
      <c r="PD242" s="12"/>
      <c r="RG242" s="13"/>
      <c r="RH242" s="12"/>
      <c r="RI242" s="13"/>
      <c r="TM242" s="13"/>
      <c r="TP242" s="13"/>
    </row>
    <row r="243" spans="74:536" ht="10.75" customHeight="1" x14ac:dyDescent="0.2">
      <c r="BV243" s="14"/>
      <c r="BW243" s="15"/>
      <c r="BX243" s="15"/>
      <c r="BY243" s="15"/>
      <c r="BZ243" s="15"/>
      <c r="CA243" s="15"/>
      <c r="CB243" s="15"/>
      <c r="CC243" s="15"/>
      <c r="CD243" s="15"/>
      <c r="CE243" s="15"/>
      <c r="CF243" s="15"/>
      <c r="CG243" s="15"/>
      <c r="CH243" s="15"/>
      <c r="CI243" s="15"/>
      <c r="CJ243" s="15"/>
      <c r="CK243" s="15"/>
      <c r="CL243" s="15"/>
      <c r="CM243" s="15"/>
      <c r="CN243" s="15"/>
      <c r="CO243" s="15"/>
      <c r="CP243" s="15"/>
      <c r="CQ243" s="15"/>
      <c r="CR243" s="15"/>
      <c r="CS243" s="15"/>
      <c r="CT243" s="15"/>
      <c r="CU243" s="15"/>
      <c r="CV243" s="15"/>
      <c r="CW243" s="15"/>
      <c r="CX243" s="15"/>
      <c r="CY243" s="15"/>
      <c r="CZ243" s="15"/>
      <c r="DA243" s="15"/>
      <c r="DB243" s="15"/>
      <c r="DC243" s="15"/>
      <c r="DD243" s="15"/>
      <c r="DE243" s="15"/>
      <c r="DF243" s="15"/>
      <c r="DG243" s="15"/>
      <c r="DH243" s="16"/>
      <c r="DK243" s="18"/>
      <c r="DN243" s="257"/>
      <c r="DO243" s="257"/>
      <c r="DP243" s="258"/>
      <c r="DQ243" s="257"/>
      <c r="DR243" s="257"/>
      <c r="DS243" s="257"/>
      <c r="DT243" s="257"/>
      <c r="DU243" s="258"/>
      <c r="DV243" s="257"/>
      <c r="DW243" s="257"/>
      <c r="DX243" s="257"/>
      <c r="DY243" s="257"/>
      <c r="DZ243" s="258"/>
      <c r="EA243" s="257"/>
      <c r="EB243" s="257"/>
      <c r="EC243" s="257"/>
      <c r="ED243" s="257"/>
      <c r="EE243" s="257"/>
      <c r="EF243" s="257"/>
      <c r="EG243" s="257"/>
      <c r="EH243" s="257"/>
      <c r="EI243" s="257"/>
      <c r="EJ243" s="257"/>
      <c r="EK243" s="257"/>
      <c r="EL243" s="257"/>
      <c r="EM243" s="257"/>
      <c r="EN243" s="257"/>
      <c r="EO243" s="257"/>
      <c r="EP243" s="257"/>
      <c r="EQ243" s="257"/>
      <c r="ER243" s="257"/>
      <c r="ES243" s="257"/>
      <c r="ET243" s="257"/>
      <c r="EU243" s="257"/>
      <c r="EV243" s="257"/>
      <c r="EW243" s="257"/>
      <c r="EX243" s="257"/>
      <c r="EY243" s="257"/>
      <c r="EZ243" s="257"/>
      <c r="FA243" s="257"/>
      <c r="FB243" s="257"/>
      <c r="FC243" s="257"/>
      <c r="FD243" s="257"/>
      <c r="FE243" s="257"/>
      <c r="FF243" s="14"/>
      <c r="FG243" s="15"/>
      <c r="FH243" s="15"/>
      <c r="FI243" s="15"/>
      <c r="FJ243" s="15"/>
      <c r="FK243" s="15"/>
      <c r="FL243" s="15"/>
      <c r="FM243" s="15"/>
      <c r="FN243" s="15"/>
      <c r="FO243" s="15"/>
      <c r="FP243" s="15"/>
      <c r="FQ243" s="15"/>
      <c r="FR243" s="15"/>
      <c r="FS243" s="15"/>
      <c r="FT243" s="15"/>
      <c r="FU243" s="15"/>
      <c r="FV243" s="15"/>
      <c r="FW243" s="15"/>
      <c r="FX243" s="15"/>
      <c r="FY243" s="15"/>
      <c r="FZ243" s="15"/>
      <c r="GA243" s="15"/>
      <c r="GB243" s="15"/>
      <c r="GC243" s="15"/>
      <c r="GD243" s="15"/>
      <c r="GE243" s="15"/>
      <c r="GF243" s="15"/>
      <c r="GG243" s="15"/>
      <c r="GH243" s="15"/>
      <c r="GI243" s="15"/>
      <c r="GJ243" s="15"/>
      <c r="GK243" s="15"/>
      <c r="GL243" s="15"/>
      <c r="GM243" s="15"/>
      <c r="GN243" s="15"/>
      <c r="GO243" s="15"/>
      <c r="GP243" s="15"/>
      <c r="GQ243" s="15"/>
      <c r="GR243" s="15"/>
      <c r="GS243" s="15"/>
      <c r="GT243" s="15"/>
      <c r="GU243" s="15"/>
      <c r="GV243" s="15"/>
      <c r="GW243" s="15"/>
      <c r="GX243" s="15"/>
      <c r="GY243" s="15"/>
      <c r="GZ243" s="15"/>
      <c r="HA243" s="15"/>
      <c r="HB243" s="15"/>
      <c r="HC243" s="15"/>
      <c r="HD243" s="15"/>
      <c r="HE243" s="16"/>
      <c r="JH243" s="12"/>
      <c r="JK243" s="12"/>
      <c r="LN243" s="13"/>
      <c r="LO243" s="12"/>
      <c r="LP243" s="13"/>
      <c r="NT243" s="13"/>
      <c r="NW243" s="13"/>
      <c r="PA243" s="12"/>
      <c r="PD243" s="12"/>
      <c r="RG243" s="13"/>
      <c r="RH243" s="12"/>
      <c r="RI243" s="13"/>
      <c r="TM243" s="13"/>
      <c r="TP243" s="13"/>
    </row>
    <row r="244" spans="74:536" ht="10.75" customHeight="1" x14ac:dyDescent="0.2">
      <c r="CB244" s="9"/>
      <c r="CC244" s="10"/>
      <c r="CD244" s="11"/>
      <c r="DI244" s="9"/>
      <c r="DJ244" s="10"/>
      <c r="DK244" s="10"/>
      <c r="DL244" s="10"/>
      <c r="DM244" s="11"/>
      <c r="DP244" s="18"/>
      <c r="DU244" s="18"/>
      <c r="DZ244" s="18"/>
      <c r="EB244" s="13"/>
      <c r="EE244" s="18"/>
      <c r="GW244" s="9"/>
      <c r="GX244" s="10"/>
      <c r="GY244" s="11"/>
      <c r="JH244" s="12"/>
      <c r="JK244" s="12"/>
      <c r="LN244" s="13"/>
      <c r="LO244" s="12"/>
      <c r="LP244" s="13"/>
      <c r="NT244" s="13"/>
      <c r="NW244" s="13"/>
      <c r="PA244" s="12"/>
      <c r="PD244" s="12"/>
      <c r="RG244" s="13"/>
      <c r="RH244" s="12"/>
      <c r="RI244" s="13"/>
      <c r="TM244" s="13"/>
      <c r="TP244" s="13"/>
    </row>
    <row r="245" spans="74:536" ht="10.75" customHeight="1" x14ac:dyDescent="0.2">
      <c r="CB245" s="12"/>
      <c r="CD245" s="13"/>
      <c r="DI245" s="14"/>
      <c r="DJ245" s="15"/>
      <c r="DK245" s="15"/>
      <c r="DL245" s="15"/>
      <c r="DM245" s="16"/>
      <c r="DP245" s="18"/>
      <c r="DU245" s="18"/>
      <c r="DZ245" s="18"/>
      <c r="EB245" s="13"/>
      <c r="EE245" s="18"/>
      <c r="GW245" s="12"/>
      <c r="GY245" s="13"/>
      <c r="JH245" s="12"/>
      <c r="JK245" s="12"/>
      <c r="LN245" s="13"/>
      <c r="LO245" s="12"/>
      <c r="LP245" s="13"/>
      <c r="NT245" s="13"/>
      <c r="NW245" s="13"/>
      <c r="PA245" s="12"/>
      <c r="PD245" s="12"/>
      <c r="RG245" s="13"/>
      <c r="RH245" s="12"/>
      <c r="RI245" s="13"/>
      <c r="TM245" s="13"/>
      <c r="TP245" s="13"/>
    </row>
    <row r="246" spans="74:536" ht="10.75" customHeight="1" x14ac:dyDescent="0.2">
      <c r="CB246" s="12"/>
      <c r="CD246" s="13"/>
      <c r="DP246" s="19"/>
      <c r="DU246" s="18"/>
      <c r="DZ246" s="18"/>
      <c r="EB246" s="13"/>
      <c r="EE246" s="18"/>
      <c r="GW246" s="12"/>
      <c r="GY246" s="13"/>
      <c r="JH246" s="12"/>
      <c r="JK246" s="12"/>
      <c r="LN246" s="13"/>
      <c r="LO246" s="12"/>
      <c r="LP246" s="13"/>
      <c r="NT246" s="13"/>
      <c r="NW246" s="13"/>
      <c r="PA246" s="12"/>
      <c r="PD246" s="12"/>
      <c r="RG246" s="13"/>
      <c r="RH246" s="12"/>
      <c r="RI246" s="13"/>
      <c r="TM246" s="13"/>
      <c r="TP246" s="13"/>
    </row>
    <row r="247" spans="74:536" ht="10.75" customHeight="1" x14ac:dyDescent="0.2">
      <c r="CB247" s="12"/>
      <c r="CD247" s="13"/>
      <c r="DN247" s="9"/>
      <c r="DO247" s="10"/>
      <c r="DP247" s="10"/>
      <c r="DQ247" s="10"/>
      <c r="DR247" s="11"/>
      <c r="DU247" s="18"/>
      <c r="DZ247" s="18"/>
      <c r="EB247" s="13"/>
      <c r="EE247" s="18"/>
      <c r="EJ247" s="17"/>
      <c r="GW247" s="12"/>
      <c r="GY247" s="13"/>
      <c r="JH247" s="12"/>
      <c r="JK247" s="12"/>
      <c r="LN247" s="13"/>
      <c r="LO247" s="12"/>
      <c r="LP247" s="13"/>
      <c r="NT247" s="13"/>
      <c r="NW247" s="13"/>
      <c r="PA247" s="12"/>
      <c r="PD247" s="12"/>
      <c r="RG247" s="13"/>
      <c r="RH247" s="12"/>
      <c r="RI247" s="13"/>
      <c r="TM247" s="13"/>
      <c r="TP247" s="13"/>
    </row>
    <row r="248" spans="74:536" ht="10.75" customHeight="1" x14ac:dyDescent="0.2">
      <c r="CB248" s="12"/>
      <c r="CD248" s="13"/>
      <c r="DN248" s="14"/>
      <c r="DO248" s="15"/>
      <c r="DP248" s="15"/>
      <c r="DQ248" s="15"/>
      <c r="DR248" s="16"/>
      <c r="DU248" s="18"/>
      <c r="DZ248" s="18"/>
      <c r="EB248" s="13"/>
      <c r="EE248" s="18"/>
      <c r="EJ248" s="18"/>
      <c r="GW248" s="12"/>
      <c r="GY248" s="13"/>
      <c r="JH248" s="12"/>
      <c r="JK248" s="12"/>
      <c r="LN248" s="13"/>
      <c r="LO248" s="12"/>
      <c r="LP248" s="13"/>
      <c r="NT248" s="13"/>
      <c r="NW248" s="13"/>
      <c r="PA248" s="12"/>
      <c r="PD248" s="12"/>
      <c r="RG248" s="13"/>
      <c r="RH248" s="12"/>
      <c r="RI248" s="13"/>
      <c r="TM248" s="13"/>
      <c r="TP248" s="13"/>
    </row>
    <row r="249" spans="74:536" ht="10.75" customHeight="1" x14ac:dyDescent="0.2">
      <c r="CB249" s="12"/>
      <c r="CD249" s="13"/>
      <c r="DU249" s="19"/>
      <c r="DZ249" s="18"/>
      <c r="EB249" s="13"/>
      <c r="EE249" s="18"/>
      <c r="EJ249" s="18"/>
      <c r="GW249" s="12"/>
      <c r="GY249" s="13"/>
      <c r="JH249" s="12"/>
      <c r="JK249" s="12"/>
      <c r="LN249" s="13"/>
      <c r="LO249" s="12"/>
      <c r="LP249" s="13"/>
      <c r="NT249" s="13"/>
      <c r="NW249" s="13"/>
      <c r="PA249" s="12"/>
      <c r="PD249" s="12"/>
      <c r="RG249" s="13"/>
      <c r="RH249" s="12"/>
      <c r="RI249" s="13"/>
      <c r="TM249" s="13"/>
      <c r="TP249" s="13"/>
    </row>
    <row r="250" spans="74:536" ht="10.75" customHeight="1" x14ac:dyDescent="0.2">
      <c r="CB250" s="12"/>
      <c r="CD250" s="13"/>
      <c r="DS250" s="9"/>
      <c r="DT250" s="10"/>
      <c r="DU250" s="10"/>
      <c r="DV250" s="10"/>
      <c r="DW250" s="11"/>
      <c r="DZ250" s="18"/>
      <c r="EB250" s="13"/>
      <c r="EE250" s="18"/>
      <c r="EJ250" s="18"/>
      <c r="EO250" s="17"/>
      <c r="GW250" s="12"/>
      <c r="GY250" s="13"/>
      <c r="JH250" s="12"/>
      <c r="JK250" s="12"/>
      <c r="LN250" s="13"/>
      <c r="LO250" s="12"/>
      <c r="LP250" s="13"/>
      <c r="NT250" s="13"/>
      <c r="NW250" s="13"/>
      <c r="PA250" s="12"/>
      <c r="PD250" s="12"/>
      <c r="RG250" s="13"/>
      <c r="RH250" s="12"/>
      <c r="RI250" s="13"/>
      <c r="TM250" s="13"/>
      <c r="TP250" s="13"/>
    </row>
    <row r="251" spans="74:536" ht="10.75" customHeight="1" x14ac:dyDescent="0.2">
      <c r="CB251" s="12"/>
      <c r="CD251" s="13"/>
      <c r="DS251" s="14"/>
      <c r="DT251" s="15"/>
      <c r="DU251" s="15"/>
      <c r="DV251" s="15"/>
      <c r="DW251" s="16"/>
      <c r="DZ251" s="18"/>
      <c r="EB251" s="13"/>
      <c r="EE251" s="18"/>
      <c r="EJ251" s="18"/>
      <c r="EO251" s="18"/>
      <c r="GW251" s="12"/>
      <c r="GY251" s="13"/>
      <c r="JH251" s="12"/>
      <c r="JK251" s="12"/>
      <c r="LN251" s="13"/>
      <c r="LO251" s="12"/>
      <c r="LP251" s="13"/>
      <c r="NT251" s="13"/>
      <c r="NW251" s="13"/>
      <c r="PA251" s="12"/>
      <c r="PD251" s="12"/>
      <c r="RG251" s="13"/>
      <c r="RH251" s="12"/>
      <c r="RI251" s="13"/>
      <c r="TM251" s="13"/>
      <c r="TP251" s="13"/>
    </row>
    <row r="252" spans="74:536" ht="10.75" customHeight="1" x14ac:dyDescent="0.2">
      <c r="CB252" s="12"/>
      <c r="CD252" s="13"/>
      <c r="DZ252" s="19"/>
      <c r="EB252" s="13"/>
      <c r="EE252" s="18"/>
      <c r="EJ252" s="18"/>
      <c r="EO252" s="18"/>
      <c r="GW252" s="12"/>
      <c r="GY252" s="13"/>
      <c r="JH252" s="12"/>
      <c r="JK252" s="12"/>
      <c r="LN252" s="13"/>
      <c r="LO252" s="12"/>
      <c r="LP252" s="13"/>
      <c r="NT252" s="13"/>
      <c r="NW252" s="13"/>
      <c r="PA252" s="12"/>
      <c r="PD252" s="12"/>
      <c r="RG252" s="13"/>
      <c r="RH252" s="12"/>
      <c r="RI252" s="13"/>
      <c r="TM252" s="13"/>
      <c r="TP252" s="13"/>
    </row>
    <row r="253" spans="74:536" ht="10.75" customHeight="1" x14ac:dyDescent="0.2">
      <c r="CB253" s="12"/>
      <c r="CD253" s="13"/>
      <c r="DX253" s="9"/>
      <c r="DY253" s="10"/>
      <c r="DZ253" s="10"/>
      <c r="EA253" s="9"/>
      <c r="EB253" s="11"/>
      <c r="EE253" s="18"/>
      <c r="EJ253" s="18"/>
      <c r="EO253" s="18"/>
      <c r="ET253" s="17"/>
      <c r="GW253" s="12"/>
      <c r="GY253" s="13"/>
      <c r="JH253" s="12"/>
      <c r="JK253" s="12"/>
      <c r="LN253" s="13"/>
      <c r="LO253" s="12"/>
      <c r="LP253" s="13"/>
      <c r="NT253" s="13"/>
      <c r="NW253" s="13"/>
      <c r="PA253" s="12"/>
      <c r="PD253" s="12"/>
      <c r="RG253" s="13"/>
      <c r="RH253" s="12"/>
      <c r="RI253" s="13"/>
      <c r="TM253" s="13"/>
      <c r="TP253" s="13"/>
    </row>
    <row r="254" spans="74:536" ht="10.75" customHeight="1" x14ac:dyDescent="0.2">
      <c r="CB254" s="12"/>
      <c r="CD254" s="13"/>
      <c r="DX254" s="14"/>
      <c r="DY254" s="15"/>
      <c r="DZ254" s="15"/>
      <c r="EA254" s="14"/>
      <c r="EB254" s="16"/>
      <c r="EE254" s="18"/>
      <c r="EJ254" s="18"/>
      <c r="EO254" s="18"/>
      <c r="ET254" s="18"/>
      <c r="GW254" s="12"/>
      <c r="GY254" s="13"/>
      <c r="JH254" s="12"/>
      <c r="JK254" s="12"/>
      <c r="LN254" s="13"/>
      <c r="LO254" s="12"/>
      <c r="LP254" s="13"/>
      <c r="NT254" s="13"/>
      <c r="NW254" s="13"/>
      <c r="PA254" s="12"/>
      <c r="PD254" s="12"/>
      <c r="RG254" s="13"/>
      <c r="RH254" s="12"/>
      <c r="RI254" s="13"/>
      <c r="TM254" s="13"/>
      <c r="TP254" s="13"/>
    </row>
    <row r="255" spans="74:536" ht="10.75" customHeight="1" x14ac:dyDescent="0.2">
      <c r="CB255" s="12"/>
      <c r="CD255" s="13"/>
      <c r="EA255" s="12"/>
      <c r="EB255" s="13"/>
      <c r="EE255" s="19"/>
      <c r="EJ255" s="18"/>
      <c r="EO255" s="18"/>
      <c r="ET255" s="18"/>
      <c r="GW255" s="12"/>
      <c r="GY255" s="13"/>
      <c r="JH255" s="12"/>
      <c r="JK255" s="12"/>
      <c r="LN255" s="13"/>
      <c r="LO255" s="12"/>
      <c r="LP255" s="13"/>
      <c r="NT255" s="13"/>
      <c r="NW255" s="13"/>
      <c r="PA255" s="12"/>
      <c r="PD255" s="12"/>
      <c r="RG255" s="13"/>
      <c r="RH255" s="12"/>
      <c r="RI255" s="13"/>
      <c r="TM255" s="13"/>
      <c r="TP255" s="13"/>
    </row>
    <row r="256" spans="74:536" ht="10.75" customHeight="1" x14ac:dyDescent="0.2">
      <c r="CB256" s="12"/>
      <c r="CD256" s="13"/>
      <c r="EA256" s="12"/>
      <c r="EB256" s="13"/>
      <c r="EC256" s="9"/>
      <c r="ED256" s="10"/>
      <c r="EE256" s="10"/>
      <c r="EF256" s="10"/>
      <c r="EG256" s="11"/>
      <c r="EJ256" s="18"/>
      <c r="EO256" s="18"/>
      <c r="ET256" s="18"/>
      <c r="EY256" s="17"/>
      <c r="GW256" s="12"/>
      <c r="GY256" s="13"/>
      <c r="JH256" s="96"/>
      <c r="JI256" s="97"/>
      <c r="JJ256" s="97"/>
      <c r="JK256" s="14"/>
      <c r="JL256" s="15"/>
      <c r="JM256" s="15"/>
      <c r="JN256" s="15"/>
      <c r="JO256" s="15"/>
      <c r="JP256" s="15"/>
      <c r="JQ256" s="15"/>
      <c r="JR256" s="15"/>
      <c r="JS256" s="15"/>
      <c r="JT256" s="15"/>
      <c r="JU256" s="15"/>
      <c r="JV256" s="15"/>
      <c r="JW256" s="15"/>
      <c r="JX256" s="15"/>
      <c r="JY256" s="15"/>
      <c r="JZ256" s="15"/>
      <c r="KA256" s="15"/>
      <c r="KB256" s="15"/>
      <c r="KC256" s="15"/>
      <c r="KD256" s="15"/>
      <c r="KE256" s="15"/>
      <c r="KF256" s="15"/>
      <c r="KG256" s="15"/>
      <c r="KH256" s="15"/>
      <c r="KI256" s="15"/>
      <c r="KJ256" s="15"/>
      <c r="KK256" s="15"/>
      <c r="KL256" s="15"/>
      <c r="KM256" s="15"/>
      <c r="KN256" s="15"/>
      <c r="KO256" s="15"/>
      <c r="KP256" s="15"/>
      <c r="KQ256" s="15"/>
      <c r="KR256" s="15"/>
      <c r="KS256" s="15"/>
      <c r="KT256" s="15"/>
      <c r="KU256" s="15"/>
      <c r="KV256" s="15"/>
      <c r="KW256" s="15"/>
      <c r="KX256" s="15"/>
      <c r="KY256" s="15"/>
      <c r="KZ256" s="15"/>
      <c r="LA256" s="15"/>
      <c r="LB256" s="15"/>
      <c r="LC256" s="15"/>
      <c r="LD256" s="15"/>
      <c r="LE256" s="15"/>
      <c r="LF256" s="15"/>
      <c r="LG256" s="15"/>
      <c r="LH256" s="15"/>
      <c r="LI256" s="15"/>
      <c r="LJ256" s="15"/>
      <c r="LK256" s="15"/>
      <c r="LL256" s="15"/>
      <c r="LM256" s="60"/>
      <c r="LN256" s="61"/>
      <c r="LO256" s="96"/>
      <c r="LP256" s="98"/>
      <c r="NT256" s="13"/>
      <c r="NU256" s="97"/>
      <c r="NV256" s="97"/>
      <c r="NW256" s="98"/>
      <c r="PA256" s="96"/>
      <c r="PB256" s="97"/>
      <c r="PC256" s="97"/>
      <c r="PD256" s="12"/>
      <c r="RF256" s="97"/>
      <c r="RG256" s="98"/>
      <c r="RH256" s="96"/>
      <c r="RI256" s="98"/>
      <c r="TM256" s="13"/>
      <c r="TN256" s="97"/>
      <c r="TO256" s="97"/>
      <c r="TP256" s="98"/>
    </row>
    <row r="257" spans="80:536" ht="10.75" customHeight="1" x14ac:dyDescent="0.2">
      <c r="CB257" s="12"/>
      <c r="CD257" s="13"/>
      <c r="EA257" s="12"/>
      <c r="EB257" s="13"/>
      <c r="EC257" s="14"/>
      <c r="ED257" s="15"/>
      <c r="EE257" s="15"/>
      <c r="EF257" s="15"/>
      <c r="EG257" s="16"/>
      <c r="EJ257" s="18"/>
      <c r="EO257" s="18"/>
      <c r="ET257" s="18"/>
      <c r="EY257" s="18"/>
      <c r="GW257" s="12"/>
      <c r="GY257" s="13"/>
      <c r="JH257" s="96"/>
      <c r="JI257" s="97"/>
      <c r="JJ257" s="97"/>
      <c r="JK257" s="12"/>
      <c r="LM257" s="97"/>
      <c r="LN257" s="98"/>
      <c r="LO257" s="96"/>
      <c r="LP257" s="98"/>
      <c r="NT257" s="13"/>
      <c r="NU257" s="97"/>
      <c r="NV257" s="97"/>
      <c r="NW257" s="98"/>
      <c r="PA257" s="96"/>
      <c r="PB257" s="97"/>
      <c r="PC257" s="97"/>
      <c r="PD257" s="12"/>
      <c r="RF257" s="97"/>
      <c r="RG257" s="98"/>
      <c r="RH257" s="96"/>
      <c r="RI257" s="98"/>
      <c r="TM257" s="13"/>
      <c r="TN257" s="97"/>
      <c r="TO257" s="97"/>
      <c r="TP257" s="98"/>
    </row>
    <row r="258" spans="80:536" ht="10.75" customHeight="1" x14ac:dyDescent="0.2">
      <c r="CB258" s="12"/>
      <c r="CD258" s="13"/>
      <c r="EA258" s="12"/>
      <c r="EB258" s="13"/>
      <c r="EJ258" s="19"/>
      <c r="EO258" s="18"/>
      <c r="ET258" s="18"/>
      <c r="EY258" s="18"/>
      <c r="GW258" s="12"/>
      <c r="GY258" s="13"/>
      <c r="JH258" s="59"/>
      <c r="JI258" s="60"/>
      <c r="JJ258" s="60"/>
      <c r="JK258" s="14"/>
      <c r="JL258" s="15"/>
      <c r="JM258" s="15"/>
      <c r="JN258" s="15"/>
      <c r="JO258" s="15"/>
      <c r="JP258" s="15"/>
      <c r="JQ258" s="15"/>
      <c r="JR258" s="15"/>
      <c r="JS258" s="15"/>
      <c r="JT258" s="15"/>
      <c r="JU258" s="15"/>
      <c r="JV258" s="15"/>
      <c r="JW258" s="15"/>
      <c r="JX258" s="15"/>
      <c r="JY258" s="15"/>
      <c r="JZ258" s="15"/>
      <c r="KA258" s="15"/>
      <c r="KB258" s="15"/>
      <c r="KC258" s="15"/>
      <c r="KD258" s="15"/>
      <c r="KE258" s="15"/>
      <c r="KF258" s="15"/>
      <c r="KG258" s="15"/>
      <c r="KH258" s="15"/>
      <c r="KI258" s="15"/>
      <c r="KJ258" s="15"/>
      <c r="KK258" s="15"/>
      <c r="KL258" s="15"/>
      <c r="KM258" s="15"/>
      <c r="KN258" s="15"/>
      <c r="KO258" s="15"/>
      <c r="KP258" s="15"/>
      <c r="KQ258" s="15"/>
      <c r="KR258" s="15"/>
      <c r="KS258" s="15"/>
      <c r="KT258" s="15"/>
      <c r="KU258" s="15"/>
      <c r="KV258" s="15"/>
      <c r="KW258" s="15"/>
      <c r="KX258" s="15"/>
      <c r="KY258" s="15"/>
      <c r="KZ258" s="15"/>
      <c r="LA258" s="15"/>
      <c r="LB258" s="15"/>
      <c r="LC258" s="15"/>
      <c r="LD258" s="15"/>
      <c r="LE258" s="15"/>
      <c r="LF258" s="15"/>
      <c r="LG258" s="15"/>
      <c r="LH258" s="15"/>
      <c r="LI258" s="15"/>
      <c r="LJ258" s="15"/>
      <c r="LK258" s="15"/>
      <c r="LL258" s="15"/>
      <c r="LM258" s="60"/>
      <c r="LN258" s="61"/>
      <c r="LO258" s="59"/>
      <c r="LP258" s="61"/>
      <c r="NT258" s="13"/>
      <c r="NU258" s="97"/>
      <c r="NV258" s="97"/>
      <c r="NW258" s="98"/>
      <c r="PA258" s="59"/>
      <c r="PB258" s="60"/>
      <c r="PC258" s="60"/>
      <c r="PD258" s="12"/>
      <c r="RF258" s="97"/>
      <c r="RG258" s="98"/>
      <c r="RH258" s="96"/>
      <c r="RI258" s="98"/>
      <c r="TM258" s="13"/>
      <c r="TN258" s="97"/>
      <c r="TO258" s="97"/>
      <c r="TP258" s="98"/>
    </row>
    <row r="259" spans="80:536" ht="10.75" customHeight="1" x14ac:dyDescent="0.2">
      <c r="CB259" s="12"/>
      <c r="CD259" s="13"/>
      <c r="EA259" s="12"/>
      <c r="EB259" s="13"/>
      <c r="EH259" s="9"/>
      <c r="EI259" s="10"/>
      <c r="EJ259" s="10"/>
      <c r="EK259" s="10"/>
      <c r="EL259" s="11"/>
      <c r="EO259" s="18"/>
      <c r="ET259" s="18"/>
      <c r="EY259" s="18"/>
      <c r="FD259" s="17"/>
      <c r="GW259" s="12"/>
      <c r="GY259" s="13"/>
      <c r="JH259" s="96"/>
      <c r="JI259" s="97"/>
      <c r="JJ259" s="97"/>
      <c r="JK259" s="12"/>
      <c r="KP259" s="13"/>
      <c r="KQ259" s="12"/>
      <c r="KS259" s="12"/>
      <c r="NT259" s="13"/>
      <c r="NU259" s="97"/>
      <c r="NV259" s="97"/>
      <c r="NW259" s="98"/>
      <c r="PA259" s="96"/>
      <c r="PB259" s="97"/>
      <c r="PC259" s="97"/>
      <c r="PD259" s="12"/>
      <c r="RG259" s="13"/>
      <c r="RH259" s="9"/>
      <c r="RI259" s="11"/>
      <c r="TM259" s="13"/>
      <c r="TN259" s="97"/>
      <c r="TO259" s="97"/>
      <c r="TP259" s="98"/>
    </row>
    <row r="260" spans="80:536" ht="10.75" customHeight="1" x14ac:dyDescent="0.2">
      <c r="CB260" s="12"/>
      <c r="CD260" s="13"/>
      <c r="EA260" s="12"/>
      <c r="EB260" s="13"/>
      <c r="EH260" s="14"/>
      <c r="EI260" s="15"/>
      <c r="EJ260" s="15"/>
      <c r="EK260" s="15"/>
      <c r="EL260" s="16"/>
      <c r="EO260" s="18"/>
      <c r="ET260" s="18"/>
      <c r="EY260" s="18"/>
      <c r="FD260" s="18"/>
      <c r="GW260" s="12"/>
      <c r="GY260" s="13"/>
      <c r="JH260" s="12"/>
      <c r="JK260" s="12"/>
      <c r="KP260" s="13"/>
      <c r="KQ260" s="12"/>
      <c r="KS260" s="12"/>
      <c r="NT260" s="13"/>
      <c r="NW260" s="13"/>
      <c r="PA260" s="12"/>
      <c r="PD260" s="9"/>
      <c r="PE260" s="10"/>
      <c r="PF260" s="10"/>
      <c r="PG260" s="10"/>
      <c r="PH260" s="10"/>
      <c r="PI260" s="10"/>
      <c r="PJ260" s="10"/>
      <c r="PK260" s="10"/>
      <c r="PL260" s="10"/>
      <c r="PM260" s="10"/>
      <c r="PN260" s="10"/>
      <c r="PO260" s="11"/>
      <c r="PP260" s="10"/>
      <c r="PQ260" s="11"/>
      <c r="RG260" s="13"/>
      <c r="RH260" s="12"/>
      <c r="RI260" s="13"/>
      <c r="TM260" s="13"/>
      <c r="TP260" s="13"/>
    </row>
    <row r="261" spans="80:536" ht="10.75" customHeight="1" x14ac:dyDescent="0.2">
      <c r="CB261" s="12"/>
      <c r="CD261" s="13"/>
      <c r="EA261" s="12"/>
      <c r="EB261" s="13"/>
      <c r="EO261" s="18"/>
      <c r="ET261" s="18"/>
      <c r="EY261" s="18"/>
      <c r="FD261" s="18"/>
      <c r="GW261" s="12"/>
      <c r="GY261" s="13"/>
      <c r="JH261" s="12"/>
      <c r="JK261" s="12"/>
      <c r="KP261" s="13"/>
      <c r="KQ261" s="12"/>
      <c r="KS261" s="12"/>
      <c r="LY261" s="9"/>
      <c r="LZ261" s="10"/>
      <c r="MA261" s="10"/>
      <c r="MB261" s="10"/>
      <c r="MC261" s="10"/>
      <c r="MD261" s="10"/>
      <c r="ME261" s="10"/>
      <c r="MF261" s="10"/>
      <c r="MG261" s="10"/>
      <c r="MH261" s="10"/>
      <c r="MI261" s="10"/>
      <c r="MJ261" s="11"/>
      <c r="MK261" s="10"/>
      <c r="ML261" s="10"/>
      <c r="MM261" s="10"/>
      <c r="MN261" s="10"/>
      <c r="MO261" s="10"/>
      <c r="MP261" s="10"/>
      <c r="MQ261" s="10"/>
      <c r="MR261" s="10"/>
      <c r="MS261" s="10"/>
      <c r="MT261" s="10"/>
      <c r="MU261" s="10"/>
      <c r="MV261" s="10"/>
      <c r="MW261" s="10"/>
      <c r="MX261" s="10"/>
      <c r="MY261" s="10"/>
      <c r="MZ261" s="10"/>
      <c r="NA261" s="10"/>
      <c r="NB261" s="10"/>
      <c r="NC261" s="10"/>
      <c r="ND261" s="10"/>
      <c r="NE261" s="10"/>
      <c r="NF261" s="10"/>
      <c r="NG261" s="10"/>
      <c r="NH261" s="10"/>
      <c r="NI261" s="10"/>
      <c r="NJ261" s="10"/>
      <c r="NK261" s="10"/>
      <c r="NL261" s="10"/>
      <c r="NM261" s="10"/>
      <c r="NN261" s="10"/>
      <c r="NO261" s="10"/>
      <c r="NP261" s="10"/>
      <c r="NQ261" s="10"/>
      <c r="NR261" s="10"/>
      <c r="NS261" s="10"/>
      <c r="NT261" s="11"/>
      <c r="NW261" s="13"/>
      <c r="PA261" s="12"/>
      <c r="PD261" s="12"/>
      <c r="PO261" s="13"/>
      <c r="PQ261" s="13"/>
      <c r="RG261" s="13"/>
      <c r="RH261" s="12"/>
      <c r="RI261" s="13"/>
      <c r="TM261" s="13"/>
      <c r="TP261" s="13"/>
    </row>
    <row r="262" spans="80:536" ht="10.75" customHeight="1" x14ac:dyDescent="0.2">
      <c r="CB262" s="12"/>
      <c r="CD262" s="13"/>
      <c r="EA262" s="12"/>
      <c r="EC262" s="9"/>
      <c r="ED262" s="10"/>
      <c r="EE262" s="10"/>
      <c r="EF262" s="10"/>
      <c r="EG262" s="10"/>
      <c r="EH262" s="10"/>
      <c r="EI262" s="10"/>
      <c r="EJ262" s="10"/>
      <c r="EK262" s="10"/>
      <c r="EL262" s="10"/>
      <c r="EM262" s="9"/>
      <c r="EN262" s="10"/>
      <c r="EO262" s="10"/>
      <c r="EP262" s="10"/>
      <c r="EQ262" s="11"/>
      <c r="ER262" s="10"/>
      <c r="ES262" s="11"/>
      <c r="ET262" s="11"/>
      <c r="EU262" s="10"/>
      <c r="EV262" s="10"/>
      <c r="EW262" s="10"/>
      <c r="EX262" s="10"/>
      <c r="EY262" s="18"/>
      <c r="FD262" s="18"/>
      <c r="FI262" s="17"/>
      <c r="GW262" s="12"/>
      <c r="GY262" s="13"/>
      <c r="JH262" s="12"/>
      <c r="JK262" s="12"/>
      <c r="KP262" s="13"/>
      <c r="KQ262" s="12"/>
      <c r="KS262" s="12"/>
      <c r="LY262" s="12"/>
      <c r="MJ262" s="13"/>
      <c r="NT262" s="13"/>
      <c r="NW262" s="13"/>
      <c r="PA262" s="12"/>
      <c r="PD262" s="12"/>
      <c r="PO262" s="13"/>
      <c r="PQ262" s="13"/>
      <c r="RG262" s="13"/>
      <c r="RH262" s="12"/>
      <c r="RI262" s="13"/>
      <c r="TM262" s="13"/>
      <c r="TP262" s="13"/>
    </row>
    <row r="263" spans="80:536" ht="10.75" customHeight="1" x14ac:dyDescent="0.2">
      <c r="CB263" s="12"/>
      <c r="CD263" s="13"/>
      <c r="EA263" s="12"/>
      <c r="EC263" s="14"/>
      <c r="ED263" s="15"/>
      <c r="EE263" s="15"/>
      <c r="EF263" s="15"/>
      <c r="EG263" s="15"/>
      <c r="EH263" s="15"/>
      <c r="EI263" s="15"/>
      <c r="EJ263" s="15"/>
      <c r="EK263" s="15"/>
      <c r="EL263" s="15"/>
      <c r="EM263" s="14"/>
      <c r="EN263" s="15"/>
      <c r="EO263" s="15"/>
      <c r="EP263" s="15"/>
      <c r="EQ263" s="16"/>
      <c r="ER263" s="15"/>
      <c r="ES263" s="16"/>
      <c r="ET263" s="16"/>
      <c r="EU263" s="15"/>
      <c r="EV263" s="15"/>
      <c r="EY263" s="18"/>
      <c r="FD263" s="18"/>
      <c r="FI263" s="18"/>
      <c r="GW263" s="12"/>
      <c r="GY263" s="13"/>
      <c r="JH263" s="12"/>
      <c r="JK263" s="12"/>
      <c r="KP263" s="13"/>
      <c r="KQ263" s="12"/>
      <c r="KS263" s="12"/>
      <c r="LY263" s="12"/>
      <c r="MJ263" s="13"/>
      <c r="NT263" s="13"/>
      <c r="NW263" s="13"/>
      <c r="PA263" s="12"/>
      <c r="PD263" s="12"/>
      <c r="PO263" s="13"/>
      <c r="PQ263" s="13"/>
      <c r="RG263" s="13"/>
      <c r="RH263" s="12"/>
      <c r="RI263" s="13"/>
      <c r="TM263" s="13"/>
      <c r="TP263" s="13"/>
    </row>
    <row r="264" spans="80:536" ht="10.75" customHeight="1" x14ac:dyDescent="0.2">
      <c r="CB264" s="12"/>
      <c r="CD264" s="13"/>
      <c r="EA264" s="12"/>
      <c r="EB264" s="13"/>
      <c r="ET264" s="19"/>
      <c r="EW264" s="12"/>
      <c r="EY264" s="18"/>
      <c r="FD264" s="18"/>
      <c r="FI264" s="18"/>
      <c r="GA264" s="9"/>
      <c r="GB264" s="10"/>
      <c r="GC264" s="10"/>
      <c r="GD264" s="10"/>
      <c r="GE264" s="10"/>
      <c r="GF264" s="10"/>
      <c r="GG264" s="10"/>
      <c r="GH264" s="10"/>
      <c r="GI264" s="10"/>
      <c r="GJ264" s="10"/>
      <c r="GK264" s="10"/>
      <c r="GL264" s="10"/>
      <c r="GM264" s="10"/>
      <c r="GN264" s="11"/>
      <c r="GW264" s="12"/>
      <c r="GY264" s="13"/>
      <c r="JH264" s="12"/>
      <c r="JK264" s="12"/>
      <c r="KP264" s="13"/>
      <c r="KQ264" s="12"/>
      <c r="KS264" s="12"/>
      <c r="LY264" s="12"/>
      <c r="MJ264" s="13"/>
      <c r="NT264" s="13"/>
      <c r="NW264" s="13"/>
      <c r="PA264" s="12"/>
      <c r="PD264" s="12"/>
      <c r="PO264" s="13"/>
      <c r="PQ264" s="13"/>
      <c r="RG264" s="13"/>
      <c r="RH264" s="12"/>
      <c r="RI264" s="13"/>
      <c r="TM264" s="13"/>
      <c r="TP264" s="13"/>
    </row>
    <row r="265" spans="80:536" ht="10.75" customHeight="1" x14ac:dyDescent="0.2">
      <c r="CB265" s="12"/>
      <c r="CD265" s="13"/>
      <c r="EA265" s="12"/>
      <c r="EB265" s="13"/>
      <c r="ER265" s="9"/>
      <c r="ES265" s="10"/>
      <c r="ET265" s="10"/>
      <c r="EU265" s="10"/>
      <c r="EV265" s="10"/>
      <c r="EW265" s="12"/>
      <c r="EY265" s="18"/>
      <c r="FD265" s="18"/>
      <c r="FI265" s="18"/>
      <c r="FN265" s="17"/>
      <c r="GA265" s="12"/>
      <c r="GB265" s="9"/>
      <c r="GC265" s="10"/>
      <c r="GD265" s="10"/>
      <c r="GE265" s="10"/>
      <c r="GF265" s="10"/>
      <c r="GG265" s="10"/>
      <c r="GH265" s="9"/>
      <c r="GI265" s="10"/>
      <c r="GJ265" s="10"/>
      <c r="GK265" s="10"/>
      <c r="GL265" s="10"/>
      <c r="GM265" s="11"/>
      <c r="GN265" s="13"/>
      <c r="GW265" s="12"/>
      <c r="GY265" s="13"/>
      <c r="JH265" s="12"/>
      <c r="JK265" s="12"/>
      <c r="KP265" s="13"/>
      <c r="KQ265" s="12"/>
      <c r="KS265" s="12"/>
      <c r="LY265" s="12"/>
      <c r="MJ265" s="13"/>
      <c r="NT265" s="13"/>
      <c r="NW265" s="13"/>
      <c r="PA265" s="12"/>
      <c r="PD265" s="12"/>
      <c r="PO265" s="13"/>
      <c r="PQ265" s="13"/>
      <c r="RG265" s="13"/>
      <c r="RH265" s="9"/>
      <c r="RI265" s="11"/>
      <c r="TM265" s="13"/>
      <c r="TP265" s="13"/>
    </row>
    <row r="266" spans="80:536" ht="10.75" customHeight="1" x14ac:dyDescent="0.2">
      <c r="CB266" s="12"/>
      <c r="CD266" s="13"/>
      <c r="EA266" s="12"/>
      <c r="EB266" s="13"/>
      <c r="ER266" s="14"/>
      <c r="ES266" s="15"/>
      <c r="ET266" s="15"/>
      <c r="EU266" s="15"/>
      <c r="EV266" s="15"/>
      <c r="EW266" s="12"/>
      <c r="EY266" s="18"/>
      <c r="FD266" s="18"/>
      <c r="FI266" s="18"/>
      <c r="FN266" s="18"/>
      <c r="GA266" s="12"/>
      <c r="GB266" s="12"/>
      <c r="GH266" s="12"/>
      <c r="GM266" s="13"/>
      <c r="GN266" s="13"/>
      <c r="GW266" s="12"/>
      <c r="GY266" s="13"/>
      <c r="JH266" s="12"/>
      <c r="JK266" s="12"/>
      <c r="KP266" s="13"/>
      <c r="KQ266" s="12"/>
      <c r="KS266" s="12"/>
      <c r="LY266" s="12"/>
      <c r="MJ266" s="13"/>
      <c r="NT266" s="13"/>
      <c r="NW266" s="13"/>
      <c r="PA266" s="12"/>
      <c r="PD266" s="12"/>
      <c r="PO266" s="13"/>
      <c r="PQ266" s="13"/>
      <c r="RG266" s="13"/>
      <c r="RH266" s="14"/>
      <c r="RI266" s="16"/>
      <c r="TM266" s="13"/>
      <c r="TP266" s="13"/>
    </row>
    <row r="267" spans="80:536" ht="10.75" customHeight="1" x14ac:dyDescent="0.2">
      <c r="CB267" s="12"/>
      <c r="CD267" s="13"/>
      <c r="EA267" s="12"/>
      <c r="EB267" s="13"/>
      <c r="EW267" s="12"/>
      <c r="EY267" s="19"/>
      <c r="FD267" s="18"/>
      <c r="FI267" s="18"/>
      <c r="FN267" s="18"/>
      <c r="GA267" s="12"/>
      <c r="GB267" s="12"/>
      <c r="GH267" s="12"/>
      <c r="GM267" s="13"/>
      <c r="GN267" s="13"/>
      <c r="GW267" s="12"/>
      <c r="GY267" s="13"/>
      <c r="JH267" s="12"/>
      <c r="JK267" s="12"/>
      <c r="KP267" s="13"/>
      <c r="KQ267" s="12"/>
      <c r="KS267" s="12"/>
      <c r="LY267" s="12"/>
      <c r="MJ267" s="13"/>
      <c r="NT267" s="13"/>
      <c r="NW267" s="13"/>
      <c r="PA267" s="12"/>
      <c r="PD267" s="12"/>
      <c r="PO267" s="13"/>
      <c r="PQ267" s="13"/>
      <c r="RG267" s="13"/>
      <c r="RH267" s="12"/>
      <c r="RI267" s="13"/>
      <c r="TM267" s="13"/>
      <c r="TP267" s="13"/>
    </row>
    <row r="268" spans="80:536" ht="10.75" customHeight="1" x14ac:dyDescent="0.2">
      <c r="CB268" s="12"/>
      <c r="CD268" s="13"/>
      <c r="EA268" s="12"/>
      <c r="EB268" s="13"/>
      <c r="EW268" s="9"/>
      <c r="EX268" s="11"/>
      <c r="EY268" s="10"/>
      <c r="EZ268" s="10"/>
      <c r="FA268" s="11"/>
      <c r="FD268" s="18"/>
      <c r="FI268" s="18"/>
      <c r="FN268" s="18"/>
      <c r="FS268" s="17"/>
      <c r="GA268" s="12"/>
      <c r="GB268" s="12"/>
      <c r="GH268" s="12"/>
      <c r="GM268" s="13"/>
      <c r="GN268" s="13"/>
      <c r="GW268" s="12"/>
      <c r="GY268" s="13"/>
      <c r="JH268" s="12"/>
      <c r="JK268" s="12"/>
      <c r="KP268" s="13"/>
      <c r="KQ268" s="12"/>
      <c r="KS268" s="12"/>
      <c r="LY268" s="12"/>
      <c r="MJ268" s="13"/>
      <c r="NT268" s="13"/>
      <c r="NW268" s="13"/>
      <c r="PA268" s="12"/>
      <c r="PD268" s="12"/>
      <c r="PO268" s="13"/>
      <c r="PQ268" s="13"/>
      <c r="RG268" s="13"/>
      <c r="RH268" s="12"/>
      <c r="RI268" s="13"/>
      <c r="TM268" s="13"/>
      <c r="TP268" s="13"/>
    </row>
    <row r="269" spans="80:536" ht="10.75" customHeight="1" x14ac:dyDescent="0.2">
      <c r="CB269" s="12"/>
      <c r="CD269" s="13"/>
      <c r="EA269" s="12"/>
      <c r="EB269" s="13"/>
      <c r="EW269" s="14"/>
      <c r="EX269" s="16"/>
      <c r="EY269" s="15"/>
      <c r="EZ269" s="15"/>
      <c r="FA269" s="16"/>
      <c r="FD269" s="18"/>
      <c r="FI269" s="18"/>
      <c r="FN269" s="18"/>
      <c r="FS269" s="18"/>
      <c r="GA269" s="12"/>
      <c r="GB269" s="12"/>
      <c r="GH269" s="12"/>
      <c r="GM269" s="13"/>
      <c r="GN269" s="13"/>
      <c r="GW269" s="12"/>
      <c r="GY269" s="13"/>
      <c r="JH269" s="12"/>
      <c r="JK269" s="12"/>
      <c r="KP269" s="13"/>
      <c r="KQ269" s="12"/>
      <c r="KS269" s="12"/>
      <c r="LY269" s="12"/>
      <c r="MJ269" s="13"/>
      <c r="NT269" s="13"/>
      <c r="NW269" s="13"/>
      <c r="PA269" s="12"/>
      <c r="PD269" s="12"/>
      <c r="PO269" s="13"/>
      <c r="PQ269" s="13"/>
      <c r="RG269" s="13"/>
      <c r="RH269" s="12"/>
      <c r="RI269" s="13"/>
      <c r="TM269" s="13"/>
      <c r="TP269" s="13"/>
    </row>
    <row r="270" spans="80:536" ht="10.75" customHeight="1" x14ac:dyDescent="0.2">
      <c r="CB270" s="12"/>
      <c r="CD270" s="13"/>
      <c r="EA270" s="12"/>
      <c r="EB270" s="13"/>
      <c r="EW270" s="12"/>
      <c r="EX270" s="13"/>
      <c r="FD270" s="19"/>
      <c r="FI270" s="18"/>
      <c r="FN270" s="18"/>
      <c r="FS270" s="18"/>
      <c r="GA270" s="12"/>
      <c r="GB270" s="14"/>
      <c r="GC270" s="15"/>
      <c r="GD270" s="15"/>
      <c r="GE270" s="15"/>
      <c r="GF270" s="15"/>
      <c r="GG270" s="15"/>
      <c r="GH270" s="14"/>
      <c r="GI270" s="15"/>
      <c r="GJ270" s="15"/>
      <c r="GK270" s="15"/>
      <c r="GL270" s="15"/>
      <c r="GM270" s="16"/>
      <c r="GN270" s="13"/>
      <c r="GW270" s="12"/>
      <c r="GY270" s="13"/>
      <c r="JH270" s="12"/>
      <c r="JK270" s="12"/>
      <c r="KP270" s="13"/>
      <c r="KQ270" s="12"/>
      <c r="KS270" s="12"/>
      <c r="LY270" s="12"/>
      <c r="MJ270" s="13"/>
      <c r="NT270" s="13"/>
      <c r="NW270" s="13"/>
      <c r="PA270" s="12"/>
      <c r="PD270" s="12"/>
      <c r="PO270" s="13"/>
      <c r="PQ270" s="13"/>
      <c r="RG270" s="13"/>
      <c r="RH270" s="12"/>
      <c r="RI270" s="13"/>
      <c r="TM270" s="13"/>
      <c r="TP270" s="13"/>
    </row>
    <row r="271" spans="80:536" ht="10.75" customHeight="1" x14ac:dyDescent="0.2">
      <c r="CB271" s="12"/>
      <c r="CD271" s="13"/>
      <c r="EA271" s="12"/>
      <c r="EB271" s="13"/>
      <c r="EW271" s="12"/>
      <c r="EX271" s="13"/>
      <c r="FB271" s="9"/>
      <c r="FC271" s="10"/>
      <c r="FD271" s="10"/>
      <c r="FE271" s="10"/>
      <c r="FF271" s="11"/>
      <c r="FI271" s="18"/>
      <c r="FN271" s="18"/>
      <c r="FS271" s="18"/>
      <c r="FX271" s="17"/>
      <c r="GA271" s="12"/>
      <c r="GB271" s="12"/>
      <c r="GH271" s="12"/>
      <c r="GM271" s="13"/>
      <c r="GN271" s="13"/>
      <c r="GW271" s="12"/>
      <c r="GY271" s="13"/>
      <c r="JH271" s="12"/>
      <c r="JK271" s="12"/>
      <c r="KP271" s="13"/>
      <c r="KQ271" s="12"/>
      <c r="KS271" s="12"/>
      <c r="LY271" s="12"/>
      <c r="MJ271" s="13"/>
      <c r="NT271" s="13"/>
      <c r="NW271" s="13"/>
      <c r="PA271" s="12"/>
      <c r="PD271" s="12"/>
      <c r="PO271" s="13"/>
      <c r="PQ271" s="13"/>
      <c r="RG271" s="13"/>
      <c r="RH271" s="12"/>
      <c r="RI271" s="13"/>
      <c r="TM271" s="13"/>
      <c r="TP271" s="13"/>
    </row>
    <row r="272" spans="80:536" ht="10.75" customHeight="1" x14ac:dyDescent="0.2">
      <c r="CB272" s="12"/>
      <c r="CD272" s="13"/>
      <c r="EA272" s="12"/>
      <c r="EB272" s="13"/>
      <c r="EW272" s="12"/>
      <c r="EX272" s="13"/>
      <c r="FB272" s="14"/>
      <c r="FC272" s="15"/>
      <c r="FD272" s="15"/>
      <c r="FE272" s="15"/>
      <c r="FF272" s="16"/>
      <c r="FI272" s="18"/>
      <c r="FN272" s="18"/>
      <c r="FS272" s="18"/>
      <c r="FX272" s="18"/>
      <c r="GA272" s="12"/>
      <c r="GB272" s="12"/>
      <c r="GH272" s="12"/>
      <c r="GM272" s="13"/>
      <c r="GN272" s="13"/>
      <c r="GW272" s="12"/>
      <c r="GY272" s="13"/>
      <c r="JH272" s="12"/>
      <c r="JK272" s="12"/>
      <c r="KP272" s="13"/>
      <c r="KQ272" s="12"/>
      <c r="KS272" s="12"/>
      <c r="LY272" s="12"/>
      <c r="MJ272" s="13"/>
      <c r="NT272" s="13"/>
      <c r="NW272" s="13"/>
      <c r="PA272" s="12"/>
      <c r="PD272" s="12"/>
      <c r="PO272" s="13"/>
      <c r="PQ272" s="13"/>
      <c r="RG272" s="13"/>
      <c r="RH272" s="12"/>
      <c r="RI272" s="13"/>
      <c r="TM272" s="13"/>
      <c r="TP272" s="13"/>
    </row>
    <row r="273" spans="80:536" ht="10.75" customHeight="1" x14ac:dyDescent="0.2">
      <c r="CB273" s="12"/>
      <c r="CD273" s="13"/>
      <c r="EA273" s="12"/>
      <c r="EB273" s="13"/>
      <c r="EW273" s="12"/>
      <c r="EX273" s="13"/>
      <c r="FI273" s="19"/>
      <c r="FN273" s="18"/>
      <c r="FS273" s="18"/>
      <c r="FX273" s="18"/>
      <c r="GA273" s="12"/>
      <c r="GB273" s="12"/>
      <c r="GH273" s="12"/>
      <c r="GM273" s="13"/>
      <c r="GN273" s="13"/>
      <c r="GW273" s="12"/>
      <c r="GY273" s="13"/>
      <c r="JH273" s="12"/>
      <c r="JK273" s="12"/>
      <c r="KP273" s="13"/>
      <c r="KQ273" s="12"/>
      <c r="KS273" s="12"/>
      <c r="LY273" s="12"/>
      <c r="MJ273" s="13"/>
      <c r="NT273" s="13"/>
      <c r="NW273" s="13"/>
      <c r="PA273" s="12"/>
      <c r="PD273" s="12"/>
      <c r="PO273" s="13"/>
      <c r="PQ273" s="13"/>
      <c r="RG273" s="13"/>
      <c r="RH273" s="12"/>
      <c r="RI273" s="13"/>
      <c r="TM273" s="13"/>
      <c r="TP273" s="13"/>
    </row>
    <row r="274" spans="80:536" ht="10.75" customHeight="1" x14ac:dyDescent="0.2">
      <c r="CB274" s="12"/>
      <c r="CD274" s="13"/>
      <c r="EA274" s="12"/>
      <c r="EB274" s="13"/>
      <c r="EW274" s="12"/>
      <c r="EX274" s="13"/>
      <c r="FG274" s="9"/>
      <c r="FH274" s="10"/>
      <c r="FI274" s="10"/>
      <c r="FJ274" s="10"/>
      <c r="FK274" s="11"/>
      <c r="FN274" s="18"/>
      <c r="FS274" s="18"/>
      <c r="FX274" s="18"/>
      <c r="GA274" s="12"/>
      <c r="GB274" s="12"/>
      <c r="GC274" s="17"/>
      <c r="GH274" s="12"/>
      <c r="GM274" s="13"/>
      <c r="GN274" s="13"/>
      <c r="GW274" s="12"/>
      <c r="GY274" s="13"/>
      <c r="JH274" s="12"/>
      <c r="JK274" s="12"/>
      <c r="KP274" s="13"/>
      <c r="KQ274" s="12"/>
      <c r="KS274" s="12"/>
      <c r="LY274" s="12"/>
      <c r="MJ274" s="13"/>
      <c r="NT274" s="13"/>
      <c r="NW274" s="13"/>
      <c r="PA274" s="12"/>
      <c r="PD274" s="14"/>
      <c r="PE274" s="15"/>
      <c r="PF274" s="15"/>
      <c r="PG274" s="15"/>
      <c r="PH274" s="15"/>
      <c r="PI274" s="15"/>
      <c r="PJ274" s="15"/>
      <c r="PK274" s="15"/>
      <c r="PL274" s="15"/>
      <c r="PM274" s="15"/>
      <c r="PN274" s="15"/>
      <c r="PO274" s="16"/>
      <c r="PP274" s="15"/>
      <c r="PQ274" s="16"/>
      <c r="PR274" s="15"/>
      <c r="PS274" s="15"/>
      <c r="PT274" s="15"/>
      <c r="PU274" s="15"/>
      <c r="PV274" s="15"/>
      <c r="PW274" s="15"/>
      <c r="PX274" s="15"/>
      <c r="PY274" s="15"/>
      <c r="PZ274" s="15"/>
      <c r="QA274" s="15"/>
      <c r="QB274" s="15"/>
      <c r="QC274" s="15"/>
      <c r="QD274" s="15"/>
      <c r="QE274" s="15"/>
      <c r="QF274" s="15"/>
      <c r="QG274" s="15"/>
      <c r="QH274" s="15"/>
      <c r="QI274" s="15"/>
      <c r="QJ274" s="15"/>
      <c r="QK274" s="15"/>
      <c r="QL274" s="15"/>
      <c r="QM274" s="15"/>
      <c r="QN274" s="15"/>
      <c r="QO274" s="15"/>
      <c r="QP274" s="15"/>
      <c r="QQ274" s="15"/>
      <c r="QR274" s="15"/>
      <c r="QS274" s="15"/>
      <c r="QT274" s="15"/>
      <c r="QU274" s="15"/>
      <c r="QV274" s="15"/>
      <c r="QW274" s="15"/>
      <c r="QX274" s="15"/>
      <c r="QY274" s="15"/>
      <c r="QZ274" s="15"/>
      <c r="RA274" s="15"/>
      <c r="RB274" s="15"/>
      <c r="RC274" s="15"/>
      <c r="RD274" s="15"/>
      <c r="RE274" s="15"/>
      <c r="RF274" s="15"/>
      <c r="RG274" s="16"/>
      <c r="RH274" s="12"/>
      <c r="RI274" s="13"/>
      <c r="TM274" s="13"/>
      <c r="TP274" s="13"/>
    </row>
    <row r="275" spans="80:536" ht="10.75" customHeight="1" x14ac:dyDescent="0.2">
      <c r="CB275" s="12"/>
      <c r="CD275" s="13"/>
      <c r="EA275" s="12"/>
      <c r="EB275" s="13"/>
      <c r="EW275" s="12"/>
      <c r="EX275" s="13"/>
      <c r="FG275" s="14"/>
      <c r="FH275" s="15"/>
      <c r="FI275" s="15"/>
      <c r="FJ275" s="15"/>
      <c r="FK275" s="16"/>
      <c r="FN275" s="18"/>
      <c r="FS275" s="18"/>
      <c r="FX275" s="18"/>
      <c r="GA275" s="12"/>
      <c r="GB275" s="12"/>
      <c r="GC275" s="18"/>
      <c r="GH275" s="12"/>
      <c r="GM275" s="13"/>
      <c r="GN275" s="13"/>
      <c r="GW275" s="12"/>
      <c r="GY275" s="13"/>
      <c r="JH275" s="12"/>
      <c r="JK275" s="12"/>
      <c r="KP275" s="13"/>
      <c r="KQ275" s="12"/>
      <c r="KS275" s="12"/>
      <c r="LY275" s="12"/>
      <c r="MJ275" s="13"/>
      <c r="NT275" s="13"/>
      <c r="NW275" s="13"/>
      <c r="PA275" s="12"/>
      <c r="PD275" s="12"/>
      <c r="PO275" s="13"/>
      <c r="PQ275" s="13"/>
      <c r="RG275" s="13"/>
      <c r="RH275" s="12"/>
      <c r="RI275" s="13"/>
      <c r="TM275" s="13"/>
      <c r="TP275" s="13"/>
    </row>
    <row r="276" spans="80:536" ht="10.75" customHeight="1" x14ac:dyDescent="0.2">
      <c r="CB276" s="12"/>
      <c r="CD276" s="13"/>
      <c r="EA276" s="12"/>
      <c r="EB276" s="13"/>
      <c r="EW276" s="12"/>
      <c r="EX276" s="13"/>
      <c r="FN276" s="19"/>
      <c r="FS276" s="18"/>
      <c r="FX276" s="18"/>
      <c r="GA276" s="12"/>
      <c r="GB276" s="14"/>
      <c r="GC276" s="19"/>
      <c r="GD276" s="15"/>
      <c r="GE276" s="15"/>
      <c r="GF276" s="15"/>
      <c r="GG276" s="15"/>
      <c r="GH276" s="14"/>
      <c r="GI276" s="15"/>
      <c r="GJ276" s="15"/>
      <c r="GK276" s="15"/>
      <c r="GL276" s="15"/>
      <c r="GM276" s="16"/>
      <c r="GN276" s="13"/>
      <c r="GW276" s="12"/>
      <c r="GY276" s="13"/>
      <c r="JH276" s="12"/>
      <c r="JK276" s="12"/>
      <c r="KP276" s="13"/>
      <c r="KQ276" s="12"/>
      <c r="KS276" s="12"/>
      <c r="LY276" s="12"/>
      <c r="MJ276" s="13"/>
      <c r="NT276" s="13"/>
      <c r="NW276" s="13"/>
      <c r="PA276" s="12"/>
      <c r="PD276" s="14"/>
      <c r="PE276" s="15"/>
      <c r="PF276" s="15"/>
      <c r="PG276" s="15"/>
      <c r="PH276" s="15"/>
      <c r="PI276" s="15"/>
      <c r="PJ276" s="15"/>
      <c r="PK276" s="15"/>
      <c r="PL276" s="15"/>
      <c r="PM276" s="15"/>
      <c r="PN276" s="15"/>
      <c r="PO276" s="16"/>
      <c r="PP276" s="15"/>
      <c r="PQ276" s="16"/>
      <c r="PR276" s="15"/>
      <c r="PS276" s="15"/>
      <c r="PT276" s="15"/>
      <c r="PU276" s="15"/>
      <c r="PV276" s="15"/>
      <c r="PW276" s="15"/>
      <c r="PX276" s="15"/>
      <c r="PY276" s="15"/>
      <c r="PZ276" s="15"/>
      <c r="QA276" s="15"/>
      <c r="QB276" s="15"/>
      <c r="QC276" s="15"/>
      <c r="QD276" s="15"/>
      <c r="QE276" s="15"/>
      <c r="QF276" s="15"/>
      <c r="QG276" s="15"/>
      <c r="QH276" s="15"/>
      <c r="QI276" s="15"/>
      <c r="QJ276" s="15"/>
      <c r="QK276" s="15"/>
      <c r="QL276" s="15"/>
      <c r="QM276" s="15"/>
      <c r="QN276" s="15"/>
      <c r="QO276" s="15"/>
      <c r="QP276" s="15"/>
      <c r="QQ276" s="15"/>
      <c r="QR276" s="15"/>
      <c r="QS276" s="15"/>
      <c r="QT276" s="15"/>
      <c r="QU276" s="15"/>
      <c r="QV276" s="15"/>
      <c r="QW276" s="15"/>
      <c r="QX276" s="15"/>
      <c r="QY276" s="15"/>
      <c r="QZ276" s="15"/>
      <c r="RA276" s="15"/>
      <c r="RB276" s="15"/>
      <c r="RC276" s="15"/>
      <c r="RD276" s="15"/>
      <c r="RE276" s="15"/>
      <c r="RF276" s="15"/>
      <c r="RG276" s="16"/>
      <c r="RH276" s="12"/>
      <c r="RI276" s="13"/>
      <c r="TM276" s="13"/>
      <c r="TP276" s="13"/>
    </row>
    <row r="277" spans="80:536" ht="10.75" customHeight="1" x14ac:dyDescent="0.2">
      <c r="CB277" s="12"/>
      <c r="CD277" s="13"/>
      <c r="EA277" s="12"/>
      <c r="EB277" s="13"/>
      <c r="EW277" s="12"/>
      <c r="EX277" s="13"/>
      <c r="FL277" s="9"/>
      <c r="FM277" s="10"/>
      <c r="FN277" s="10"/>
      <c r="FO277" s="10"/>
      <c r="FP277" s="11"/>
      <c r="FS277" s="18"/>
      <c r="FX277" s="18"/>
      <c r="GA277" s="14"/>
      <c r="GB277" s="15"/>
      <c r="GC277" s="19"/>
      <c r="GD277" s="15"/>
      <c r="GE277" s="15"/>
      <c r="GF277" s="15"/>
      <c r="GG277" s="15"/>
      <c r="GH277" s="19"/>
      <c r="GI277" s="15"/>
      <c r="GJ277" s="15"/>
      <c r="GK277" s="15"/>
      <c r="GL277" s="15"/>
      <c r="GM277" s="15"/>
      <c r="GN277" s="16"/>
      <c r="GW277" s="12"/>
      <c r="GY277" s="13"/>
      <c r="JH277" s="12"/>
      <c r="JK277" s="12"/>
      <c r="KP277" s="13"/>
      <c r="KQ277" s="12"/>
      <c r="KS277" s="12"/>
      <c r="LY277" s="12"/>
      <c r="MJ277" s="13"/>
      <c r="NT277" s="13"/>
      <c r="NW277" s="13"/>
      <c r="PA277" s="12"/>
      <c r="PD277" s="12"/>
      <c r="PO277" s="13"/>
      <c r="PQ277" s="13"/>
      <c r="PR277" s="12"/>
      <c r="RG277" s="13"/>
      <c r="RH277" s="12"/>
      <c r="RI277" s="13"/>
      <c r="TM277" s="13"/>
      <c r="TP277" s="13"/>
    </row>
    <row r="278" spans="80:536" ht="10.75" customHeight="1" x14ac:dyDescent="0.2">
      <c r="CB278" s="12"/>
      <c r="CD278" s="13"/>
      <c r="EA278" s="12"/>
      <c r="EB278" s="13"/>
      <c r="EL278" s="12"/>
      <c r="EO278" s="13"/>
      <c r="EW278" s="12"/>
      <c r="EX278" s="13"/>
      <c r="FL278" s="14"/>
      <c r="FM278" s="15"/>
      <c r="FN278" s="15"/>
      <c r="FO278" s="15"/>
      <c r="FP278" s="16"/>
      <c r="FS278" s="18"/>
      <c r="FX278" s="18"/>
      <c r="GC278" s="18"/>
      <c r="GH278" s="18"/>
      <c r="GW278" s="12"/>
      <c r="GY278" s="13"/>
      <c r="JH278" s="12"/>
      <c r="JK278" s="14"/>
      <c r="JL278" s="15"/>
      <c r="JM278" s="15"/>
      <c r="JN278" s="15"/>
      <c r="JO278" s="15"/>
      <c r="JP278" s="15"/>
      <c r="JQ278" s="15"/>
      <c r="JR278" s="15"/>
      <c r="JS278" s="15"/>
      <c r="JT278" s="15"/>
      <c r="JU278" s="15"/>
      <c r="JV278" s="15"/>
      <c r="JW278" s="15"/>
      <c r="JX278" s="15"/>
      <c r="JY278" s="15"/>
      <c r="JZ278" s="15"/>
      <c r="KA278" s="15"/>
      <c r="KB278" s="15"/>
      <c r="KC278" s="15"/>
      <c r="KD278" s="15"/>
      <c r="KE278" s="15"/>
      <c r="KF278" s="15"/>
      <c r="KG278" s="15"/>
      <c r="KH278" s="15"/>
      <c r="KI278" s="15"/>
      <c r="KJ278" s="15"/>
      <c r="KK278" s="15"/>
      <c r="KL278" s="15"/>
      <c r="KM278" s="15"/>
      <c r="KN278" s="15"/>
      <c r="KO278" s="15"/>
      <c r="KP278" s="16"/>
      <c r="KQ278" s="14"/>
      <c r="KR278" s="15"/>
      <c r="KS278" s="12"/>
      <c r="LY278" s="12"/>
      <c r="MJ278" s="13"/>
      <c r="NT278" s="13"/>
      <c r="NW278" s="13"/>
      <c r="PA278" s="12"/>
      <c r="PD278" s="12"/>
      <c r="PO278" s="13"/>
      <c r="PQ278" s="13"/>
      <c r="PR278" s="12"/>
      <c r="RG278" s="13"/>
      <c r="RH278" s="12"/>
      <c r="RI278" s="13"/>
      <c r="TM278" s="13"/>
      <c r="TP278" s="13"/>
    </row>
    <row r="279" spans="80:536" ht="10.75" customHeight="1" x14ac:dyDescent="0.2">
      <c r="CB279" s="12"/>
      <c r="CD279" s="13"/>
      <c r="EA279" s="12"/>
      <c r="EB279" s="13"/>
      <c r="EL279" s="12"/>
      <c r="EO279" s="13"/>
      <c r="EW279" s="12"/>
      <c r="EX279" s="13"/>
      <c r="FS279" s="19"/>
      <c r="FX279" s="18"/>
      <c r="GC279" s="18"/>
      <c r="GH279" s="18"/>
      <c r="GW279" s="12"/>
      <c r="GY279" s="13"/>
      <c r="JH279" s="12"/>
      <c r="JK279" s="9"/>
      <c r="JL279" s="10"/>
      <c r="JM279" s="10"/>
      <c r="JN279" s="10"/>
      <c r="JO279" s="10"/>
      <c r="JP279" s="10"/>
      <c r="JQ279" s="10"/>
      <c r="JR279" s="10"/>
      <c r="JS279" s="10"/>
      <c r="JT279" s="10"/>
      <c r="JU279" s="10"/>
      <c r="JV279" s="10"/>
      <c r="JW279" s="10"/>
      <c r="JX279" s="10"/>
      <c r="JY279" s="10"/>
      <c r="JZ279" s="10"/>
      <c r="KA279" s="10"/>
      <c r="KB279" s="10"/>
      <c r="KC279" s="10"/>
      <c r="KD279" s="10"/>
      <c r="KE279" s="10"/>
      <c r="KF279" s="10"/>
      <c r="KG279" s="10"/>
      <c r="KH279" s="10"/>
      <c r="KI279" s="10"/>
      <c r="KJ279" s="10"/>
      <c r="KK279" s="10"/>
      <c r="KL279" s="10"/>
      <c r="KM279" s="10"/>
      <c r="KN279" s="10"/>
      <c r="KO279" s="10"/>
      <c r="KP279" s="10"/>
      <c r="KQ279" s="10"/>
      <c r="KR279" s="10"/>
      <c r="KS279" s="12"/>
      <c r="LY279" s="12"/>
      <c r="MJ279" s="13"/>
      <c r="NT279" s="13"/>
      <c r="NW279" s="13"/>
      <c r="PA279" s="12"/>
      <c r="PD279" s="12"/>
      <c r="PO279" s="13"/>
      <c r="PQ279" s="13"/>
      <c r="PR279" s="12"/>
      <c r="RG279" s="13"/>
      <c r="RH279" s="12"/>
      <c r="RI279" s="13"/>
      <c r="TM279" s="13"/>
      <c r="TP279" s="13"/>
    </row>
    <row r="280" spans="80:536" ht="10.75" customHeight="1" x14ac:dyDescent="0.2">
      <c r="CB280" s="12"/>
      <c r="CD280" s="13"/>
      <c r="EA280" s="12"/>
      <c r="EB280" s="13"/>
      <c r="EL280" s="12"/>
      <c r="EO280" s="13"/>
      <c r="EW280" s="12"/>
      <c r="EX280" s="13"/>
      <c r="FQ280" s="9"/>
      <c r="FR280" s="10"/>
      <c r="FS280" s="10"/>
      <c r="FT280" s="10"/>
      <c r="FU280" s="11"/>
      <c r="FX280" s="18"/>
      <c r="GC280" s="18"/>
      <c r="GH280" s="18"/>
      <c r="GW280" s="12"/>
      <c r="GY280" s="13"/>
      <c r="JH280" s="12"/>
      <c r="JK280" s="14"/>
      <c r="JL280" s="15"/>
      <c r="JM280" s="15"/>
      <c r="JN280" s="15"/>
      <c r="JO280" s="15"/>
      <c r="JP280" s="15"/>
      <c r="JQ280" s="15"/>
      <c r="JR280" s="15"/>
      <c r="JS280" s="15"/>
      <c r="JT280" s="15"/>
      <c r="JU280" s="15"/>
      <c r="JV280" s="15"/>
      <c r="JW280" s="15"/>
      <c r="JX280" s="15"/>
      <c r="JY280" s="15"/>
      <c r="JZ280" s="15"/>
      <c r="KA280" s="15"/>
      <c r="KB280" s="15"/>
      <c r="KC280" s="15"/>
      <c r="KD280" s="15"/>
      <c r="KE280" s="15"/>
      <c r="KF280" s="15"/>
      <c r="KG280" s="15"/>
      <c r="KH280" s="15"/>
      <c r="KI280" s="15"/>
      <c r="KJ280" s="15"/>
      <c r="KK280" s="15"/>
      <c r="KL280" s="15"/>
      <c r="KM280" s="15"/>
      <c r="KN280" s="15"/>
      <c r="KO280" s="15"/>
      <c r="KP280" s="15"/>
      <c r="KQ280" s="15"/>
      <c r="KR280" s="15"/>
      <c r="KS280" s="12"/>
      <c r="LY280" s="12"/>
      <c r="MJ280" s="13"/>
      <c r="NT280" s="13"/>
      <c r="NW280" s="13"/>
      <c r="PA280" s="12"/>
      <c r="PD280" s="12"/>
      <c r="PO280" s="13"/>
      <c r="PQ280" s="13"/>
      <c r="PR280" s="12"/>
      <c r="RG280" s="13"/>
      <c r="RH280" s="12"/>
      <c r="RI280" s="13"/>
      <c r="TM280" s="13"/>
      <c r="TP280" s="13"/>
    </row>
    <row r="281" spans="80:536" ht="10.75" customHeight="1" x14ac:dyDescent="0.2">
      <c r="CB281" s="12"/>
      <c r="CD281" s="13"/>
      <c r="EA281" s="12"/>
      <c r="EB281" s="13"/>
      <c r="EL281" s="12"/>
      <c r="EO281" s="13"/>
      <c r="EW281" s="12"/>
      <c r="EX281" s="13"/>
      <c r="FQ281" s="14"/>
      <c r="FR281" s="15"/>
      <c r="FS281" s="15"/>
      <c r="FT281" s="15"/>
      <c r="FU281" s="16"/>
      <c r="FX281" s="18"/>
      <c r="GC281" s="18"/>
      <c r="GH281" s="18"/>
      <c r="GW281" s="12"/>
      <c r="GY281" s="13"/>
      <c r="JH281" s="12"/>
      <c r="JK281" s="12"/>
      <c r="KQ281" s="9"/>
      <c r="KR281" s="10"/>
      <c r="KS281" s="12"/>
      <c r="LY281" s="12"/>
      <c r="MJ281" s="13"/>
      <c r="NT281" s="13"/>
      <c r="NW281" s="13"/>
      <c r="PA281" s="12"/>
      <c r="PD281" s="12"/>
      <c r="PO281" s="13"/>
      <c r="PQ281" s="13"/>
      <c r="PR281" s="12"/>
      <c r="RG281" s="13"/>
      <c r="RH281" s="12"/>
      <c r="RI281" s="13"/>
      <c r="TM281" s="13"/>
      <c r="TP281" s="13"/>
    </row>
    <row r="282" spans="80:536" ht="10.75" customHeight="1" x14ac:dyDescent="0.2">
      <c r="CB282" s="12"/>
      <c r="CD282" s="13"/>
      <c r="EA282" s="12"/>
      <c r="EB282" s="13"/>
      <c r="EL282" s="12"/>
      <c r="EO282" s="13"/>
      <c r="EW282" s="12"/>
      <c r="EX282" s="13"/>
      <c r="FX282" s="19"/>
      <c r="GC282" s="18"/>
      <c r="GH282" s="18"/>
      <c r="GW282" s="12"/>
      <c r="GY282" s="13"/>
      <c r="JH282" s="12"/>
      <c r="JK282" s="12"/>
      <c r="KQ282" s="12"/>
      <c r="KS282" s="12"/>
      <c r="LY282" s="12"/>
      <c r="MJ282" s="13"/>
      <c r="NT282" s="13"/>
      <c r="NW282" s="13"/>
      <c r="PA282" s="12"/>
      <c r="PD282" s="12"/>
      <c r="PO282" s="13"/>
      <c r="PQ282" s="13"/>
      <c r="PR282" s="12"/>
      <c r="RG282" s="13"/>
      <c r="RH282" s="12"/>
      <c r="RI282" s="13"/>
      <c r="TM282" s="13"/>
      <c r="TP282" s="13"/>
    </row>
    <row r="283" spans="80:536" ht="10.75" customHeight="1" x14ac:dyDescent="0.2">
      <c r="CB283" s="12"/>
      <c r="CD283" s="13"/>
      <c r="EA283" s="12"/>
      <c r="EB283" s="13"/>
      <c r="EL283" s="12"/>
      <c r="EO283" s="13"/>
      <c r="EW283" s="12"/>
      <c r="EX283" s="13"/>
      <c r="FV283" s="9"/>
      <c r="FW283" s="10"/>
      <c r="FX283" s="10"/>
      <c r="FY283" s="10"/>
      <c r="FZ283" s="11"/>
      <c r="GC283" s="18"/>
      <c r="GH283" s="18"/>
      <c r="GW283" s="12"/>
      <c r="GY283" s="13"/>
      <c r="JH283" s="12"/>
      <c r="JK283" s="12"/>
      <c r="KQ283" s="12"/>
      <c r="KS283" s="12"/>
      <c r="LY283" s="12"/>
      <c r="MJ283" s="13"/>
      <c r="NT283" s="13"/>
      <c r="NW283" s="13"/>
      <c r="PA283" s="12"/>
      <c r="PD283" s="12"/>
      <c r="PO283" s="13"/>
      <c r="PQ283" s="13"/>
      <c r="PR283" s="12"/>
      <c r="RG283" s="13"/>
      <c r="RH283" s="12"/>
      <c r="RI283" s="13"/>
      <c r="TM283" s="13"/>
      <c r="TP283" s="13"/>
    </row>
    <row r="284" spans="80:536" ht="10.75" customHeight="1" x14ac:dyDescent="0.2">
      <c r="CB284" s="12"/>
      <c r="CD284" s="13"/>
      <c r="EA284" s="12"/>
      <c r="EB284" s="13"/>
      <c r="EL284" s="12"/>
      <c r="EO284" s="13"/>
      <c r="EW284" s="12"/>
      <c r="EX284" s="13"/>
      <c r="FV284" s="14"/>
      <c r="FW284" s="15"/>
      <c r="FX284" s="15"/>
      <c r="FY284" s="15"/>
      <c r="FZ284" s="16"/>
      <c r="GC284" s="18"/>
      <c r="GH284" s="18"/>
      <c r="GW284" s="12"/>
      <c r="GY284" s="13"/>
      <c r="JH284" s="12"/>
      <c r="JK284" s="12"/>
      <c r="KQ284" s="12"/>
      <c r="KS284" s="12"/>
      <c r="LY284" s="12"/>
      <c r="MJ284" s="13"/>
      <c r="NT284" s="13"/>
      <c r="NW284" s="13"/>
      <c r="PA284" s="12"/>
      <c r="PD284" s="12"/>
      <c r="PO284" s="13"/>
      <c r="PQ284" s="13"/>
      <c r="PR284" s="12"/>
      <c r="RG284" s="13"/>
      <c r="RH284" s="12"/>
      <c r="RI284" s="13"/>
      <c r="TM284" s="13"/>
      <c r="TP284" s="13"/>
    </row>
    <row r="285" spans="80:536" ht="10.75" customHeight="1" x14ac:dyDescent="0.2">
      <c r="CB285" s="12"/>
      <c r="CD285" s="13"/>
      <c r="EA285" s="12"/>
      <c r="EB285" s="13"/>
      <c r="EL285" s="12"/>
      <c r="EO285" s="13"/>
      <c r="EW285" s="12"/>
      <c r="EX285" s="13"/>
      <c r="GC285" s="19"/>
      <c r="GH285" s="18"/>
      <c r="GW285" s="12"/>
      <c r="GY285" s="13"/>
      <c r="JH285" s="12"/>
      <c r="JK285" s="12"/>
      <c r="KQ285" s="12"/>
      <c r="KS285" s="12"/>
      <c r="LY285" s="12"/>
      <c r="MJ285" s="13"/>
      <c r="NT285" s="13"/>
      <c r="NW285" s="13"/>
      <c r="PA285" s="12"/>
      <c r="PD285" s="12"/>
      <c r="PO285" s="13"/>
      <c r="PQ285" s="13"/>
      <c r="PR285" s="12"/>
      <c r="RG285" s="13"/>
      <c r="RH285" s="12"/>
      <c r="RI285" s="13"/>
      <c r="TM285" s="13"/>
      <c r="TP285" s="13"/>
    </row>
    <row r="286" spans="80:536" ht="10.75" customHeight="1" x14ac:dyDescent="0.2">
      <c r="CB286" s="12"/>
      <c r="CD286" s="13"/>
      <c r="EA286" s="12"/>
      <c r="EB286" s="13"/>
      <c r="EL286" s="12"/>
      <c r="EO286" s="13"/>
      <c r="EW286" s="12"/>
      <c r="EX286" s="13"/>
      <c r="GA286" s="9"/>
      <c r="GB286" s="10"/>
      <c r="GC286" s="10"/>
      <c r="GD286" s="10"/>
      <c r="GE286" s="11"/>
      <c r="GH286" s="18"/>
      <c r="GW286" s="12"/>
      <c r="GY286" s="13"/>
      <c r="JH286" s="12"/>
      <c r="JK286" s="12"/>
      <c r="KQ286" s="12"/>
      <c r="KS286" s="12"/>
      <c r="LY286" s="12"/>
      <c r="MJ286" s="13"/>
      <c r="NT286" s="13"/>
      <c r="NW286" s="13"/>
      <c r="PA286" s="12"/>
      <c r="PD286" s="12"/>
      <c r="PO286" s="13"/>
      <c r="PQ286" s="13"/>
      <c r="PR286" s="12"/>
      <c r="RG286" s="13"/>
      <c r="RH286" s="12"/>
      <c r="RI286" s="13"/>
      <c r="TM286" s="13"/>
      <c r="TP286" s="13"/>
    </row>
    <row r="287" spans="80:536" ht="10.75" customHeight="1" x14ac:dyDescent="0.2">
      <c r="CB287" s="12"/>
      <c r="CD287" s="13"/>
      <c r="EA287" s="12"/>
      <c r="EB287" s="13"/>
      <c r="EL287" s="12"/>
      <c r="EO287" s="13"/>
      <c r="EW287" s="12"/>
      <c r="EX287" s="13"/>
      <c r="GA287" s="14"/>
      <c r="GB287" s="15"/>
      <c r="GC287" s="15"/>
      <c r="GD287" s="15"/>
      <c r="GE287" s="16"/>
      <c r="GH287" s="18"/>
      <c r="GW287" s="12"/>
      <c r="GY287" s="13"/>
      <c r="JH287" s="12"/>
      <c r="JK287" s="12"/>
      <c r="KQ287" s="12"/>
      <c r="KS287" s="12"/>
      <c r="LY287" s="12"/>
      <c r="MJ287" s="13"/>
      <c r="NT287" s="13"/>
      <c r="NW287" s="13"/>
      <c r="PA287" s="12"/>
      <c r="PD287" s="12"/>
      <c r="PO287" s="13"/>
      <c r="PQ287" s="13"/>
      <c r="PR287" s="12"/>
      <c r="RG287" s="13"/>
      <c r="RH287" s="12"/>
      <c r="RI287" s="13"/>
      <c r="TM287" s="13"/>
      <c r="TP287" s="13"/>
    </row>
    <row r="288" spans="80:536" ht="10.75" customHeight="1" x14ac:dyDescent="0.2">
      <c r="CB288" s="12"/>
      <c r="CD288" s="13"/>
      <c r="EA288" s="12"/>
      <c r="EB288" s="13"/>
      <c r="EL288" s="12"/>
      <c r="EO288" s="13"/>
      <c r="EW288" s="12"/>
      <c r="EX288" s="13"/>
      <c r="GH288" s="19"/>
      <c r="GW288" s="12"/>
      <c r="GY288" s="13"/>
      <c r="JH288" s="12"/>
      <c r="JK288" s="12"/>
      <c r="KQ288" s="14"/>
      <c r="KR288" s="15"/>
      <c r="KS288" s="12"/>
      <c r="LY288" s="14"/>
      <c r="LZ288" s="15"/>
      <c r="MA288" s="15"/>
      <c r="MB288" s="15"/>
      <c r="MC288" s="15"/>
      <c r="MD288" s="15"/>
      <c r="ME288" s="15"/>
      <c r="MF288" s="15"/>
      <c r="MG288" s="15"/>
      <c r="MH288" s="15"/>
      <c r="MI288" s="15"/>
      <c r="MJ288" s="16"/>
      <c r="MK288" s="15"/>
      <c r="ML288" s="15"/>
      <c r="MM288" s="15"/>
      <c r="MN288" s="15"/>
      <c r="MO288" s="15"/>
      <c r="MP288" s="15"/>
      <c r="MQ288" s="15"/>
      <c r="MR288" s="15"/>
      <c r="MS288" s="15"/>
      <c r="MT288" s="15"/>
      <c r="MU288" s="15"/>
      <c r="MV288" s="15"/>
      <c r="MW288" s="15"/>
      <c r="MX288" s="15"/>
      <c r="MY288" s="15"/>
      <c r="MZ288" s="15"/>
      <c r="NA288" s="15"/>
      <c r="NB288" s="15"/>
      <c r="NC288" s="15"/>
      <c r="ND288" s="15"/>
      <c r="NE288" s="15"/>
      <c r="NF288" s="15"/>
      <c r="NG288" s="15"/>
      <c r="NH288" s="15"/>
      <c r="NI288" s="15"/>
      <c r="NJ288" s="15"/>
      <c r="NK288" s="15"/>
      <c r="NL288" s="15"/>
      <c r="NM288" s="15"/>
      <c r="NN288" s="15"/>
      <c r="NO288" s="15"/>
      <c r="NP288" s="15"/>
      <c r="NQ288" s="15"/>
      <c r="NR288" s="15"/>
      <c r="NS288" s="15"/>
      <c r="NT288" s="16"/>
      <c r="NW288" s="13"/>
      <c r="PA288" s="12"/>
      <c r="PD288" s="12"/>
      <c r="PO288" s="13"/>
      <c r="PQ288" s="13"/>
      <c r="PR288" s="12"/>
      <c r="RG288" s="13"/>
      <c r="RH288" s="12"/>
      <c r="RI288" s="13"/>
      <c r="TM288" s="13"/>
      <c r="TP288" s="13"/>
    </row>
    <row r="289" spans="80:536" ht="10.75" customHeight="1" x14ac:dyDescent="0.2">
      <c r="CB289" s="12"/>
      <c r="CD289" s="13"/>
      <c r="EA289" s="12"/>
      <c r="EB289" s="13"/>
      <c r="EL289" s="12"/>
      <c r="EO289" s="13"/>
      <c r="EW289" s="12"/>
      <c r="EX289" s="13"/>
      <c r="GF289" s="9"/>
      <c r="GG289" s="10"/>
      <c r="GH289" s="10"/>
      <c r="GI289" s="10"/>
      <c r="GJ289" s="11"/>
      <c r="GK289" s="12"/>
      <c r="GW289" s="12"/>
      <c r="GY289" s="13"/>
      <c r="JH289" s="12"/>
      <c r="JK289" s="12"/>
      <c r="JS289" s="9"/>
      <c r="JT289" s="10"/>
      <c r="JU289" s="10"/>
      <c r="JV289" s="10"/>
      <c r="JW289" s="10"/>
      <c r="JX289" s="10"/>
      <c r="JY289" s="10"/>
      <c r="JZ289" s="10"/>
      <c r="KA289" s="10"/>
      <c r="KB289" s="10"/>
      <c r="KC289" s="10"/>
      <c r="KD289" s="10"/>
      <c r="KE289" s="10"/>
      <c r="KF289" s="10"/>
      <c r="KG289" s="10"/>
      <c r="KH289" s="10"/>
      <c r="KI289" s="10"/>
      <c r="KJ289" s="10"/>
      <c r="KK289" s="10"/>
      <c r="KL289" s="10"/>
      <c r="KM289" s="10"/>
      <c r="KN289" s="10"/>
      <c r="KO289" s="10"/>
      <c r="KP289" s="10"/>
      <c r="NT289" s="13"/>
      <c r="NW289" s="13"/>
      <c r="PA289" s="12"/>
      <c r="PD289" s="12"/>
      <c r="PO289" s="13"/>
      <c r="PQ289" s="13"/>
      <c r="PR289" s="12"/>
      <c r="RG289" s="13"/>
      <c r="RH289" s="12"/>
      <c r="RI289" s="13"/>
      <c r="TM289" s="13"/>
      <c r="TP289" s="13"/>
    </row>
    <row r="290" spans="80:536" ht="10.75" customHeight="1" x14ac:dyDescent="0.2">
      <c r="CB290" s="12"/>
      <c r="CD290" s="13"/>
      <c r="EA290" s="12"/>
      <c r="EB290" s="13"/>
      <c r="EL290" s="12"/>
      <c r="EO290" s="13"/>
      <c r="EW290" s="12"/>
      <c r="EX290" s="13"/>
      <c r="GF290" s="14"/>
      <c r="GG290" s="15"/>
      <c r="GH290" s="15"/>
      <c r="GI290" s="15"/>
      <c r="GJ290" s="16"/>
      <c r="GK290" s="12"/>
      <c r="GW290" s="12"/>
      <c r="GY290" s="13"/>
      <c r="JH290" s="12"/>
      <c r="JK290" s="12"/>
      <c r="JS290" s="12"/>
      <c r="NT290" s="13"/>
      <c r="NW290" s="13"/>
      <c r="PA290" s="12"/>
      <c r="PD290" s="12"/>
      <c r="PO290" s="13"/>
      <c r="PQ290" s="13"/>
      <c r="PR290" s="12"/>
      <c r="RG290" s="13"/>
      <c r="RH290" s="12"/>
      <c r="RI290" s="13"/>
      <c r="TM290" s="13"/>
      <c r="TP290" s="13"/>
    </row>
    <row r="291" spans="80:536" ht="10.75" customHeight="1" x14ac:dyDescent="0.2">
      <c r="CB291" s="14"/>
      <c r="CC291" s="15"/>
      <c r="CD291" s="16"/>
      <c r="CE291" s="15"/>
      <c r="CF291" s="15"/>
      <c r="CG291" s="15"/>
      <c r="CH291" s="15"/>
      <c r="CI291" s="15"/>
      <c r="CJ291" s="15"/>
      <c r="CK291" s="15"/>
      <c r="CL291" s="15"/>
      <c r="CM291" s="15"/>
      <c r="CN291" s="15"/>
      <c r="CO291" s="15"/>
      <c r="CP291" s="15"/>
      <c r="CQ291" s="15"/>
      <c r="CR291" s="15"/>
      <c r="CS291" s="15"/>
      <c r="CT291" s="15"/>
      <c r="CU291" s="15"/>
      <c r="CV291" s="15"/>
      <c r="CW291" s="15"/>
      <c r="CX291" s="15"/>
      <c r="CY291" s="15"/>
      <c r="CZ291" s="15"/>
      <c r="DA291" s="15"/>
      <c r="DB291" s="15"/>
      <c r="DC291" s="15"/>
      <c r="DD291" s="15"/>
      <c r="DE291" s="15"/>
      <c r="DF291" s="15"/>
      <c r="DG291" s="15"/>
      <c r="DH291" s="15"/>
      <c r="DI291" s="15"/>
      <c r="DJ291" s="15"/>
      <c r="DK291" s="15"/>
      <c r="DL291" s="15"/>
      <c r="DM291" s="15"/>
      <c r="DN291" s="15"/>
      <c r="DO291" s="15"/>
      <c r="DP291" s="15"/>
      <c r="DQ291" s="15"/>
      <c r="DR291" s="15"/>
      <c r="DS291" s="15"/>
      <c r="DT291" s="15"/>
      <c r="DU291" s="15"/>
      <c r="DV291" s="15"/>
      <c r="DW291" s="15"/>
      <c r="DX291" s="15"/>
      <c r="DY291" s="15"/>
      <c r="DZ291" s="15"/>
      <c r="EA291" s="14"/>
      <c r="EB291" s="16"/>
      <c r="EC291" s="15"/>
      <c r="ED291" s="15"/>
      <c r="EE291" s="15"/>
      <c r="EF291" s="15"/>
      <c r="EG291" s="15"/>
      <c r="EH291" s="15"/>
      <c r="EI291" s="15"/>
      <c r="EJ291" s="15"/>
      <c r="EK291" s="15"/>
      <c r="EL291" s="14"/>
      <c r="EM291" s="15"/>
      <c r="EN291" s="15"/>
      <c r="EO291" s="16"/>
      <c r="EP291" s="15"/>
      <c r="EQ291" s="15"/>
      <c r="ER291" s="15"/>
      <c r="ES291" s="15"/>
      <c r="ET291" s="15"/>
      <c r="EU291" s="15"/>
      <c r="EV291" s="15"/>
      <c r="EW291" s="14"/>
      <c r="EX291" s="16"/>
      <c r="EY291" s="15"/>
      <c r="EZ291" s="15"/>
      <c r="FA291" s="15"/>
      <c r="FB291" s="15"/>
      <c r="FC291" s="15"/>
      <c r="FD291" s="15"/>
      <c r="FE291" s="15"/>
      <c r="FF291" s="15"/>
      <c r="FG291" s="15"/>
      <c r="FH291" s="15"/>
      <c r="FI291" s="15"/>
      <c r="FJ291" s="15"/>
      <c r="FK291" s="15"/>
      <c r="FL291" s="15"/>
      <c r="FM291" s="15"/>
      <c r="FN291" s="15"/>
      <c r="FO291" s="15"/>
      <c r="FP291" s="15"/>
      <c r="FQ291" s="15"/>
      <c r="FR291" s="15"/>
      <c r="FS291" s="15"/>
      <c r="FT291" s="15"/>
      <c r="FU291" s="15"/>
      <c r="FV291" s="15"/>
      <c r="FW291" s="15"/>
      <c r="FX291" s="15"/>
      <c r="FY291" s="15"/>
      <c r="FZ291" s="15"/>
      <c r="GA291" s="15"/>
      <c r="GB291" s="15"/>
      <c r="GC291" s="15"/>
      <c r="GD291" s="15"/>
      <c r="GE291" s="15"/>
      <c r="GF291" s="15"/>
      <c r="GG291" s="15"/>
      <c r="GH291" s="15"/>
      <c r="GI291" s="15"/>
      <c r="GJ291" s="15"/>
      <c r="GK291" s="15"/>
      <c r="GL291" s="15"/>
      <c r="GM291" s="15"/>
      <c r="GN291" s="15"/>
      <c r="GO291" s="15"/>
      <c r="GP291" s="15"/>
      <c r="GQ291" s="15"/>
      <c r="GR291" s="15"/>
      <c r="GS291" s="15"/>
      <c r="GT291" s="15"/>
      <c r="GU291" s="15"/>
      <c r="GV291" s="15"/>
      <c r="GW291" s="14"/>
      <c r="GX291" s="15"/>
      <c r="GY291" s="16"/>
      <c r="JH291" s="12"/>
      <c r="JK291" s="12"/>
      <c r="JS291" s="12"/>
      <c r="NT291" s="13"/>
      <c r="NW291" s="13"/>
      <c r="PA291" s="12"/>
      <c r="PD291" s="12"/>
      <c r="PO291" s="13"/>
      <c r="PQ291" s="13"/>
      <c r="PR291" s="12"/>
      <c r="RG291" s="13"/>
      <c r="RH291" s="12"/>
      <c r="RI291" s="13"/>
      <c r="TM291" s="13"/>
      <c r="TP291" s="13"/>
    </row>
    <row r="292" spans="80:536" ht="10.75" customHeight="1" x14ac:dyDescent="0.2">
      <c r="CB292" s="9"/>
      <c r="CC292" s="10"/>
      <c r="CD292" s="10"/>
      <c r="CE292" s="10"/>
      <c r="CF292" s="10"/>
      <c r="CG292" s="10"/>
      <c r="CH292" s="10"/>
      <c r="CI292" s="10"/>
      <c r="CJ292" s="10"/>
      <c r="CK292" s="10"/>
      <c r="CL292" s="10"/>
      <c r="CM292" s="10"/>
      <c r="CN292" s="10"/>
      <c r="CO292" s="10"/>
      <c r="CP292" s="10"/>
      <c r="CQ292" s="10"/>
      <c r="CR292" s="10"/>
      <c r="CS292" s="10"/>
      <c r="CT292" s="10"/>
      <c r="CU292" s="10"/>
      <c r="CV292" s="10"/>
      <c r="CW292" s="10"/>
      <c r="CX292" s="10"/>
      <c r="CY292" s="10"/>
      <c r="CZ292" s="10"/>
      <c r="DA292" s="10"/>
      <c r="DB292" s="10"/>
      <c r="DC292" s="10"/>
      <c r="DD292" s="10"/>
      <c r="DE292" s="10"/>
      <c r="DF292" s="10"/>
      <c r="DG292" s="10"/>
      <c r="DH292" s="10"/>
      <c r="DI292" s="10"/>
      <c r="DJ292" s="10"/>
      <c r="DK292" s="10"/>
      <c r="DL292" s="10"/>
      <c r="DM292" s="10"/>
      <c r="DN292" s="10"/>
      <c r="DO292" s="10"/>
      <c r="DP292" s="10"/>
      <c r="DQ292" s="10"/>
      <c r="DR292" s="10"/>
      <c r="DS292" s="10"/>
      <c r="DT292" s="10"/>
      <c r="DU292" s="10"/>
      <c r="DV292" s="10"/>
      <c r="DW292" s="10"/>
      <c r="DX292" s="10"/>
      <c r="DY292" s="10"/>
      <c r="DZ292" s="10"/>
      <c r="EA292" s="10"/>
      <c r="EB292" s="10"/>
      <c r="EC292" s="10"/>
      <c r="ED292" s="10"/>
      <c r="EE292" s="10"/>
      <c r="EF292" s="10"/>
      <c r="EG292" s="10"/>
      <c r="EH292" s="10"/>
      <c r="EI292" s="10"/>
      <c r="EJ292" s="10"/>
      <c r="EK292" s="10"/>
      <c r="EL292" s="10"/>
      <c r="EM292" s="10"/>
      <c r="EN292" s="10"/>
      <c r="EO292" s="10"/>
      <c r="EP292" s="10"/>
      <c r="EQ292" s="10"/>
      <c r="ER292" s="10"/>
      <c r="ES292" s="10"/>
      <c r="ET292" s="10"/>
      <c r="EU292" s="10"/>
      <c r="EV292" s="10"/>
      <c r="EW292" s="10"/>
      <c r="EX292" s="10"/>
      <c r="EY292" s="10"/>
      <c r="EZ292" s="10"/>
      <c r="FA292" s="10"/>
      <c r="FB292" s="10"/>
      <c r="FC292" s="10"/>
      <c r="FD292" s="10"/>
      <c r="FE292" s="10"/>
      <c r="FF292" s="10"/>
      <c r="FG292" s="10"/>
      <c r="FH292" s="10"/>
      <c r="FI292" s="10"/>
      <c r="FJ292" s="10"/>
      <c r="FK292" s="10"/>
      <c r="FL292" s="10"/>
      <c r="FM292" s="10"/>
      <c r="FN292" s="10"/>
      <c r="FO292" s="10"/>
      <c r="FP292" s="10"/>
      <c r="FQ292" s="10"/>
      <c r="FR292" s="10"/>
      <c r="FS292" s="10"/>
      <c r="FT292" s="10"/>
      <c r="FU292" s="10"/>
      <c r="FV292" s="10"/>
      <c r="FW292" s="10"/>
      <c r="FX292" s="10"/>
      <c r="FY292" s="10"/>
      <c r="FZ292" s="10"/>
      <c r="GA292" s="10"/>
      <c r="GB292" s="10"/>
      <c r="GC292" s="10"/>
      <c r="GD292" s="10"/>
      <c r="GE292" s="10"/>
      <c r="GF292" s="10"/>
      <c r="GG292" s="10"/>
      <c r="GH292" s="10"/>
      <c r="GI292" s="10"/>
      <c r="GJ292" s="10"/>
      <c r="GK292" s="10"/>
      <c r="GL292" s="10"/>
      <c r="GM292" s="10"/>
      <c r="GN292" s="10"/>
      <c r="GO292" s="10"/>
      <c r="GP292" s="10"/>
      <c r="GQ292" s="10"/>
      <c r="GR292" s="10"/>
      <c r="GS292" s="10"/>
      <c r="GT292" s="10"/>
      <c r="GU292" s="10"/>
      <c r="GV292" s="10"/>
      <c r="GW292" s="10"/>
      <c r="GX292" s="10"/>
      <c r="GY292" s="11"/>
      <c r="JH292" s="12"/>
      <c r="JK292" s="12"/>
      <c r="JS292" s="12"/>
      <c r="NT292" s="13"/>
      <c r="NW292" s="13"/>
      <c r="PA292" s="12"/>
      <c r="PD292" s="12"/>
      <c r="PO292" s="13"/>
      <c r="PQ292" s="13"/>
      <c r="PR292" s="12"/>
      <c r="RG292" s="13"/>
      <c r="RH292" s="12"/>
      <c r="RI292" s="13"/>
      <c r="TM292" s="13"/>
      <c r="TP292" s="13"/>
    </row>
    <row r="293" spans="80:536" ht="10.75" customHeight="1" x14ac:dyDescent="0.2">
      <c r="CB293" s="12"/>
      <c r="GY293" s="13"/>
      <c r="JH293" s="12"/>
      <c r="JK293" s="12"/>
      <c r="JS293" s="12"/>
      <c r="NT293" s="13"/>
      <c r="NW293" s="13"/>
      <c r="PA293" s="12"/>
      <c r="PD293" s="12"/>
      <c r="PO293" s="13"/>
      <c r="PQ293" s="13"/>
      <c r="PR293" s="12"/>
      <c r="RG293" s="13"/>
      <c r="RH293" s="12"/>
      <c r="RI293" s="13"/>
      <c r="TM293" s="13"/>
      <c r="TP293" s="13"/>
    </row>
    <row r="294" spans="80:536" ht="10.75" customHeight="1" x14ac:dyDescent="0.2">
      <c r="CB294" s="12"/>
      <c r="GY294" s="13"/>
      <c r="JH294" s="12"/>
      <c r="JK294" s="12"/>
      <c r="JS294" s="12"/>
      <c r="NT294" s="13"/>
      <c r="NW294" s="13"/>
      <c r="PA294" s="12"/>
      <c r="PD294" s="12"/>
      <c r="PO294" s="13"/>
      <c r="PQ294" s="13"/>
      <c r="PR294" s="12"/>
      <c r="RG294" s="13"/>
      <c r="RH294" s="12"/>
      <c r="RI294" s="13"/>
      <c r="TM294" s="13"/>
      <c r="TP294" s="13"/>
    </row>
    <row r="295" spans="80:536" ht="10.75" customHeight="1" x14ac:dyDescent="0.2">
      <c r="CB295" s="12"/>
      <c r="GY295" s="13"/>
      <c r="JH295" s="12"/>
      <c r="JK295" s="12"/>
      <c r="JS295" s="12"/>
      <c r="NT295" s="13"/>
      <c r="NW295" s="13"/>
      <c r="PA295" s="12"/>
      <c r="PD295" s="12"/>
      <c r="PO295" s="13"/>
      <c r="PQ295" s="13"/>
      <c r="PR295" s="12"/>
      <c r="RG295" s="13"/>
      <c r="RH295" s="12"/>
      <c r="RI295" s="13"/>
      <c r="TM295" s="13"/>
      <c r="TP295" s="13"/>
    </row>
    <row r="296" spans="80:536" ht="10.75" customHeight="1" x14ac:dyDescent="0.2">
      <c r="CB296" s="12"/>
      <c r="GY296" s="13"/>
      <c r="JH296" s="12"/>
      <c r="JK296" s="12"/>
      <c r="JS296" s="12"/>
      <c r="NT296" s="13"/>
      <c r="NW296" s="13"/>
      <c r="PA296" s="12"/>
      <c r="PD296" s="12"/>
      <c r="PO296" s="13"/>
      <c r="PQ296" s="13"/>
      <c r="PR296" s="12"/>
      <c r="RG296" s="13"/>
      <c r="RH296" s="12"/>
      <c r="RI296" s="13"/>
      <c r="TM296" s="13"/>
      <c r="TP296" s="13"/>
    </row>
    <row r="297" spans="80:536" ht="10.75" customHeight="1" x14ac:dyDescent="0.2">
      <c r="CB297" s="12"/>
      <c r="GY297" s="13"/>
      <c r="JH297" s="12"/>
      <c r="JK297" s="12"/>
      <c r="JS297" s="12"/>
      <c r="NT297" s="13"/>
      <c r="NW297" s="13"/>
      <c r="PA297" s="12"/>
      <c r="PD297" s="12"/>
      <c r="PO297" s="13"/>
      <c r="PQ297" s="13"/>
      <c r="PR297" s="12"/>
      <c r="RG297" s="13"/>
      <c r="RH297" s="12"/>
      <c r="RI297" s="13"/>
      <c r="TM297" s="13"/>
      <c r="TP297" s="13"/>
    </row>
    <row r="298" spans="80:536" ht="10.75" customHeight="1" x14ac:dyDescent="0.2">
      <c r="CB298" s="12"/>
      <c r="GY298" s="13"/>
      <c r="JH298" s="12"/>
      <c r="JK298" s="12"/>
      <c r="JS298" s="12"/>
      <c r="NT298" s="13"/>
      <c r="NW298" s="13"/>
      <c r="PA298" s="12"/>
      <c r="PD298" s="12"/>
      <c r="PO298" s="13"/>
      <c r="PQ298" s="13"/>
      <c r="PR298" s="12"/>
      <c r="RG298" s="13"/>
      <c r="RH298" s="12"/>
      <c r="RI298" s="13"/>
      <c r="TM298" s="13"/>
      <c r="TP298" s="13"/>
    </row>
    <row r="299" spans="80:536" ht="10.75" customHeight="1" x14ac:dyDescent="0.2">
      <c r="CB299" s="14"/>
      <c r="CC299" s="15"/>
      <c r="CD299" s="15"/>
      <c r="CE299" s="15"/>
      <c r="CF299" s="15"/>
      <c r="CG299" s="15"/>
      <c r="CH299" s="15"/>
      <c r="CI299" s="15"/>
      <c r="CJ299" s="15"/>
      <c r="CK299" s="15"/>
      <c r="CL299" s="15"/>
      <c r="CM299" s="15"/>
      <c r="CN299" s="15"/>
      <c r="CO299" s="15"/>
      <c r="CP299" s="15"/>
      <c r="CQ299" s="15"/>
      <c r="CR299" s="15"/>
      <c r="CS299" s="15"/>
      <c r="CT299" s="15"/>
      <c r="CU299" s="15"/>
      <c r="CV299" s="15"/>
      <c r="CW299" s="15"/>
      <c r="CX299" s="15"/>
      <c r="CY299" s="15"/>
      <c r="CZ299" s="15"/>
      <c r="DA299" s="15"/>
      <c r="DB299" s="15"/>
      <c r="DC299" s="15"/>
      <c r="DD299" s="15"/>
      <c r="DE299" s="15"/>
      <c r="DF299" s="15"/>
      <c r="DG299" s="15"/>
      <c r="DH299" s="15"/>
      <c r="DI299" s="15"/>
      <c r="DJ299" s="15"/>
      <c r="DK299" s="15"/>
      <c r="DL299" s="15"/>
      <c r="DM299" s="15"/>
      <c r="DN299" s="15"/>
      <c r="DO299" s="15"/>
      <c r="DP299" s="15"/>
      <c r="DQ299" s="15"/>
      <c r="DR299" s="15"/>
      <c r="DS299" s="15"/>
      <c r="DT299" s="15"/>
      <c r="DU299" s="15"/>
      <c r="DV299" s="15"/>
      <c r="DW299" s="15"/>
      <c r="DX299" s="15"/>
      <c r="DY299" s="15"/>
      <c r="DZ299" s="15"/>
      <c r="EA299" s="15"/>
      <c r="EB299" s="15"/>
      <c r="EC299" s="15"/>
      <c r="ED299" s="15"/>
      <c r="EE299" s="15"/>
      <c r="EF299" s="15"/>
      <c r="EG299" s="15"/>
      <c r="EH299" s="15"/>
      <c r="EI299" s="15"/>
      <c r="EJ299" s="15"/>
      <c r="EK299" s="15"/>
      <c r="EL299" s="15"/>
      <c r="EM299" s="15"/>
      <c r="EN299" s="15"/>
      <c r="EO299" s="15"/>
      <c r="EP299" s="15"/>
      <c r="EQ299" s="15"/>
      <c r="ER299" s="15"/>
      <c r="ES299" s="15"/>
      <c r="ET299" s="15"/>
      <c r="EU299" s="15"/>
      <c r="EV299" s="15"/>
      <c r="EW299" s="15"/>
      <c r="EX299" s="15"/>
      <c r="EY299" s="15"/>
      <c r="EZ299" s="15"/>
      <c r="FA299" s="15"/>
      <c r="FB299" s="15"/>
      <c r="FC299" s="15"/>
      <c r="FD299" s="15"/>
      <c r="FE299" s="15"/>
      <c r="FF299" s="15"/>
      <c r="FG299" s="15"/>
      <c r="FH299" s="15"/>
      <c r="FI299" s="15"/>
      <c r="FJ299" s="15"/>
      <c r="FK299" s="15"/>
      <c r="FL299" s="15"/>
      <c r="FM299" s="15"/>
      <c r="FN299" s="15"/>
      <c r="FO299" s="15"/>
      <c r="FP299" s="15"/>
      <c r="FQ299" s="15"/>
      <c r="FR299" s="15"/>
      <c r="FS299" s="15"/>
      <c r="FT299" s="15"/>
      <c r="FU299" s="15"/>
      <c r="FV299" s="15"/>
      <c r="FW299" s="15"/>
      <c r="FX299" s="15"/>
      <c r="FY299" s="15"/>
      <c r="FZ299" s="15"/>
      <c r="GA299" s="15"/>
      <c r="GB299" s="15"/>
      <c r="GC299" s="15"/>
      <c r="GD299" s="15"/>
      <c r="GE299" s="15"/>
      <c r="GF299" s="15"/>
      <c r="GG299" s="15"/>
      <c r="GH299" s="15"/>
      <c r="GI299" s="15"/>
      <c r="GJ299" s="15"/>
      <c r="GK299" s="15"/>
      <c r="GL299" s="15"/>
      <c r="GM299" s="15"/>
      <c r="GN299" s="15"/>
      <c r="GO299" s="15"/>
      <c r="GP299" s="15"/>
      <c r="GQ299" s="15"/>
      <c r="GR299" s="15"/>
      <c r="GS299" s="15"/>
      <c r="GT299" s="15"/>
      <c r="GU299" s="15"/>
      <c r="GV299" s="15"/>
      <c r="GW299" s="15"/>
      <c r="GX299" s="15"/>
      <c r="GY299" s="16"/>
      <c r="JH299" s="12"/>
      <c r="JK299" s="12"/>
      <c r="JS299" s="12"/>
      <c r="NT299" s="13"/>
      <c r="NW299" s="13"/>
      <c r="PA299" s="12"/>
      <c r="PD299" s="12"/>
      <c r="PO299" s="13"/>
      <c r="PQ299" s="13"/>
      <c r="PR299" s="12"/>
      <c r="RG299" s="13"/>
      <c r="RH299" s="12"/>
      <c r="RI299" s="13"/>
      <c r="TM299" s="13"/>
      <c r="TP299" s="13"/>
    </row>
    <row r="300" spans="80:536" ht="10.75" customHeight="1" x14ac:dyDescent="0.2">
      <c r="JH300" s="12"/>
      <c r="JK300" s="12"/>
      <c r="JS300" s="12"/>
      <c r="NT300" s="13"/>
      <c r="NW300" s="13"/>
      <c r="PA300" s="12"/>
      <c r="PD300" s="12"/>
      <c r="PO300" s="13"/>
      <c r="PQ300" s="13"/>
      <c r="PR300" s="14"/>
      <c r="PS300" s="15"/>
      <c r="PT300" s="15"/>
      <c r="PU300" s="15"/>
      <c r="PV300" s="15"/>
      <c r="PW300" s="15"/>
      <c r="PX300" s="15"/>
      <c r="PY300" s="15"/>
      <c r="PZ300" s="15"/>
      <c r="QA300" s="15"/>
      <c r="QB300" s="15"/>
      <c r="QC300" s="15"/>
      <c r="QD300" s="15"/>
      <c r="QE300" s="15"/>
      <c r="QF300" s="15"/>
      <c r="QG300" s="15"/>
      <c r="QH300" s="15"/>
      <c r="QI300" s="15"/>
      <c r="QJ300" s="15"/>
      <c r="QK300" s="15"/>
      <c r="QL300" s="15"/>
      <c r="QM300" s="15"/>
      <c r="QN300" s="15"/>
      <c r="QO300" s="15"/>
      <c r="QP300" s="15"/>
      <c r="QQ300" s="15"/>
      <c r="QR300" s="15"/>
      <c r="QS300" s="15"/>
      <c r="QT300" s="15"/>
      <c r="QU300" s="15"/>
      <c r="QV300" s="15"/>
      <c r="QW300" s="15"/>
      <c r="QX300" s="15"/>
      <c r="QY300" s="15"/>
      <c r="QZ300" s="15"/>
      <c r="RA300" s="15"/>
      <c r="RB300" s="15"/>
      <c r="RC300" s="15"/>
      <c r="RD300" s="15"/>
      <c r="RE300" s="15"/>
      <c r="RF300" s="15"/>
      <c r="RG300" s="16"/>
      <c r="RH300" s="14"/>
      <c r="RI300" s="16"/>
      <c r="TM300" s="13"/>
      <c r="TP300" s="13"/>
    </row>
    <row r="301" spans="80:536" ht="10.75" customHeight="1" x14ac:dyDescent="0.2">
      <c r="JH301" s="12"/>
      <c r="JK301" s="12"/>
      <c r="JS301" s="12"/>
      <c r="NT301" s="13"/>
      <c r="NW301" s="13"/>
      <c r="PA301" s="12"/>
      <c r="PD301" s="12"/>
      <c r="PO301" s="13"/>
      <c r="PQ301" s="13"/>
      <c r="PR301" s="9"/>
      <c r="PS301" s="10"/>
      <c r="PT301" s="10"/>
      <c r="PU301" s="10"/>
      <c r="PV301" s="10"/>
      <c r="PW301" s="10"/>
      <c r="PX301" s="10"/>
      <c r="PY301" s="10"/>
      <c r="PZ301" s="10"/>
      <c r="QA301" s="10"/>
      <c r="QB301" s="10"/>
      <c r="QC301" s="10"/>
      <c r="QD301" s="10"/>
      <c r="QE301" s="10"/>
      <c r="QF301" s="10"/>
      <c r="QG301" s="10"/>
      <c r="QH301" s="10"/>
      <c r="QI301" s="10"/>
      <c r="QJ301" s="10"/>
      <c r="QK301" s="10"/>
      <c r="QL301" s="10"/>
      <c r="QM301" s="10"/>
      <c r="QN301" s="10"/>
      <c r="QO301" s="10"/>
      <c r="QP301" s="10"/>
      <c r="QQ301" s="10"/>
      <c r="QR301" s="10"/>
      <c r="QS301" s="10"/>
      <c r="QT301" s="10"/>
      <c r="QU301" s="10"/>
      <c r="QV301" s="10"/>
      <c r="QW301" s="10"/>
      <c r="QX301" s="10"/>
      <c r="QY301" s="10"/>
      <c r="QZ301" s="10"/>
      <c r="RA301" s="10"/>
      <c r="RB301" s="10"/>
      <c r="RC301" s="10"/>
      <c r="RD301" s="10"/>
      <c r="RE301" s="10"/>
      <c r="RF301" s="10"/>
      <c r="RG301" s="11"/>
      <c r="RH301" s="9"/>
      <c r="RI301" s="11"/>
      <c r="TM301" s="13"/>
      <c r="TP301" s="13"/>
    </row>
    <row r="302" spans="80:536" ht="10.75" customHeight="1" x14ac:dyDescent="0.2">
      <c r="JH302" s="12"/>
      <c r="JK302" s="12"/>
      <c r="JS302" s="12"/>
      <c r="NT302" s="13"/>
      <c r="NW302" s="13"/>
      <c r="PA302" s="12"/>
      <c r="PD302" s="12"/>
      <c r="PO302" s="13"/>
      <c r="PQ302" s="13"/>
      <c r="PR302" s="14"/>
      <c r="PS302" s="15"/>
      <c r="PT302" s="15"/>
      <c r="PU302" s="15"/>
      <c r="PV302" s="15"/>
      <c r="PW302" s="15"/>
      <c r="PX302" s="15"/>
      <c r="PY302" s="15"/>
      <c r="PZ302" s="15"/>
      <c r="QA302" s="15"/>
      <c r="QB302" s="15"/>
      <c r="QC302" s="15"/>
      <c r="QD302" s="15"/>
      <c r="QE302" s="15"/>
      <c r="QF302" s="15"/>
      <c r="QG302" s="15"/>
      <c r="QH302" s="15"/>
      <c r="QI302" s="15"/>
      <c r="QJ302" s="15"/>
      <c r="QK302" s="15"/>
      <c r="QL302" s="15"/>
      <c r="QM302" s="15"/>
      <c r="QN302" s="15"/>
      <c r="QO302" s="15"/>
      <c r="QP302" s="15"/>
      <c r="QQ302" s="15"/>
      <c r="QR302" s="15"/>
      <c r="QS302" s="15"/>
      <c r="QT302" s="15"/>
      <c r="QU302" s="15"/>
      <c r="QV302" s="15"/>
      <c r="QW302" s="15"/>
      <c r="QX302" s="15"/>
      <c r="QY302" s="15"/>
      <c r="QZ302" s="15"/>
      <c r="RA302" s="15"/>
      <c r="RB302" s="15"/>
      <c r="RC302" s="15"/>
      <c r="RD302" s="15"/>
      <c r="RE302" s="15"/>
      <c r="RF302" s="15"/>
      <c r="RG302" s="16"/>
      <c r="RH302" s="14"/>
      <c r="RI302" s="16"/>
      <c r="TM302" s="13"/>
      <c r="TP302" s="13"/>
    </row>
    <row r="303" spans="80:536" ht="10.75" customHeight="1" x14ac:dyDescent="0.2">
      <c r="JH303" s="12"/>
      <c r="JK303" s="12"/>
      <c r="JS303" s="12"/>
      <c r="NT303" s="13"/>
      <c r="NW303" s="13"/>
      <c r="PA303" s="12"/>
      <c r="PD303" s="9"/>
      <c r="PE303" s="10"/>
      <c r="PF303" s="10"/>
      <c r="PG303" s="10"/>
      <c r="PH303" s="10"/>
      <c r="PI303" s="10"/>
      <c r="PJ303" s="10"/>
      <c r="PK303" s="10"/>
      <c r="PL303" s="10"/>
      <c r="PM303" s="10"/>
      <c r="PN303" s="10"/>
      <c r="PO303" s="11"/>
      <c r="PP303" s="10"/>
      <c r="PQ303" s="11"/>
      <c r="PR303" s="10"/>
      <c r="PS303" s="10"/>
      <c r="PT303" s="10"/>
      <c r="PU303" s="10"/>
      <c r="PV303" s="10"/>
      <c r="PW303" s="10"/>
      <c r="PX303" s="10"/>
      <c r="PY303" s="10"/>
      <c r="PZ303" s="10"/>
      <c r="QA303" s="10"/>
      <c r="QB303" s="10"/>
      <c r="QC303" s="10"/>
      <c r="QD303" s="10"/>
      <c r="QE303" s="10"/>
      <c r="QF303" s="10"/>
      <c r="QG303" s="10"/>
      <c r="QH303" s="10"/>
      <c r="QI303" s="10"/>
      <c r="QJ303" s="10"/>
      <c r="QK303" s="10"/>
      <c r="QL303" s="10"/>
      <c r="QM303" s="10"/>
      <c r="QN303" s="10"/>
      <c r="QO303" s="10"/>
      <c r="QP303" s="10"/>
      <c r="QQ303" s="10"/>
      <c r="QR303" s="10"/>
      <c r="QS303" s="10"/>
      <c r="QT303" s="10"/>
      <c r="QU303" s="10"/>
      <c r="QV303" s="10"/>
      <c r="QW303" s="10"/>
      <c r="QX303" s="10"/>
      <c r="QY303" s="10"/>
      <c r="QZ303" s="10"/>
      <c r="RA303" s="10"/>
      <c r="RB303" s="10"/>
      <c r="RC303" s="10"/>
      <c r="RD303" s="10"/>
      <c r="RE303" s="10"/>
      <c r="RF303" s="10"/>
      <c r="RG303" s="11"/>
      <c r="RH303" s="9"/>
      <c r="RI303" s="11"/>
      <c r="TM303" s="13"/>
      <c r="TP303" s="13"/>
    </row>
    <row r="304" spans="80:536" ht="10.75" customHeight="1" x14ac:dyDescent="0.2">
      <c r="JH304" s="12"/>
      <c r="JK304" s="12"/>
      <c r="JS304" s="12"/>
      <c r="NT304" s="13"/>
      <c r="NW304" s="13"/>
      <c r="PA304" s="12"/>
      <c r="PD304" s="12"/>
      <c r="PO304" s="13"/>
      <c r="PQ304" s="13"/>
      <c r="RG304" s="13"/>
      <c r="RH304" s="12"/>
      <c r="RI304" s="13"/>
      <c r="TM304" s="13"/>
      <c r="TP304" s="13"/>
    </row>
    <row r="305" spans="268:536" ht="10.75" customHeight="1" x14ac:dyDescent="0.2">
      <c r="JH305" s="12"/>
      <c r="JK305" s="12"/>
      <c r="JS305" s="12"/>
      <c r="NT305" s="13"/>
      <c r="NW305" s="13"/>
      <c r="PA305" s="12"/>
      <c r="PD305" s="12"/>
      <c r="PO305" s="13"/>
      <c r="PQ305" s="13"/>
      <c r="RG305" s="13"/>
      <c r="RH305" s="12"/>
      <c r="RI305" s="13"/>
      <c r="TM305" s="13"/>
      <c r="TP305" s="13"/>
    </row>
    <row r="306" spans="268:536" ht="10.75" customHeight="1" x14ac:dyDescent="0.2">
      <c r="JH306" s="12"/>
      <c r="JK306" s="12"/>
      <c r="JS306" s="14"/>
      <c r="JT306" s="15"/>
      <c r="JU306" s="15"/>
      <c r="JV306" s="15"/>
      <c r="JW306" s="15"/>
      <c r="JX306" s="15"/>
      <c r="JY306" s="15"/>
      <c r="JZ306" s="15"/>
      <c r="KA306" s="15"/>
      <c r="KB306" s="15"/>
      <c r="KC306" s="15"/>
      <c r="KD306" s="15"/>
      <c r="KE306" s="15"/>
      <c r="KF306" s="15"/>
      <c r="KG306" s="15"/>
      <c r="KH306" s="15"/>
      <c r="KI306" s="15"/>
      <c r="KJ306" s="15"/>
      <c r="KK306" s="15"/>
      <c r="KL306" s="15"/>
      <c r="KM306" s="15"/>
      <c r="KN306" s="15"/>
      <c r="KO306" s="15"/>
      <c r="KP306" s="15"/>
      <c r="NT306" s="13"/>
      <c r="NW306" s="13"/>
      <c r="PA306" s="12"/>
      <c r="PD306" s="12"/>
      <c r="PO306" s="13"/>
      <c r="PQ306" s="13"/>
      <c r="RG306" s="13"/>
      <c r="RH306" s="12"/>
      <c r="RI306" s="13"/>
      <c r="TM306" s="13"/>
      <c r="TP306" s="13"/>
    </row>
    <row r="307" spans="268:536" ht="10.75" customHeight="1" x14ac:dyDescent="0.2">
      <c r="JH307" s="12"/>
      <c r="JK307" s="12"/>
      <c r="KQ307" s="9"/>
      <c r="KR307" s="10"/>
      <c r="KS307" s="12"/>
      <c r="NT307" s="13"/>
      <c r="NW307" s="13"/>
      <c r="PA307" s="12"/>
      <c r="PD307" s="12"/>
      <c r="PO307" s="13"/>
      <c r="PQ307" s="13"/>
      <c r="RG307" s="13"/>
      <c r="RH307" s="12"/>
      <c r="RI307" s="13"/>
      <c r="TM307" s="13"/>
      <c r="TP307" s="13"/>
    </row>
    <row r="308" spans="268:536" ht="10.75" customHeight="1" x14ac:dyDescent="0.2">
      <c r="JH308" s="12"/>
      <c r="JK308" s="12"/>
      <c r="KQ308" s="12"/>
      <c r="KS308" s="12"/>
      <c r="NT308" s="13"/>
      <c r="NW308" s="13"/>
      <c r="PA308" s="12"/>
      <c r="PD308" s="12"/>
      <c r="PO308" s="13"/>
      <c r="PQ308" s="13"/>
      <c r="RG308" s="13"/>
      <c r="RH308" s="12"/>
      <c r="RI308" s="13"/>
      <c r="TM308" s="13"/>
      <c r="TP308" s="13"/>
    </row>
    <row r="309" spans="268:536" ht="10.75" customHeight="1" x14ac:dyDescent="0.2">
      <c r="JH309" s="12"/>
      <c r="JK309" s="12"/>
      <c r="KQ309" s="12"/>
      <c r="KS309" s="12"/>
      <c r="NT309" s="13"/>
      <c r="NW309" s="13"/>
      <c r="PA309" s="12"/>
      <c r="PD309" s="12"/>
      <c r="PO309" s="13"/>
      <c r="PQ309" s="13"/>
      <c r="RG309" s="13"/>
      <c r="RH309" s="12"/>
      <c r="RI309" s="13"/>
      <c r="TM309" s="13"/>
      <c r="TP309" s="13"/>
    </row>
    <row r="310" spans="268:536" ht="10.75" customHeight="1" x14ac:dyDescent="0.2">
      <c r="JH310" s="12"/>
      <c r="JK310" s="12"/>
      <c r="KQ310" s="12"/>
      <c r="KS310" s="12"/>
      <c r="NT310" s="13"/>
      <c r="NW310" s="13"/>
      <c r="PA310" s="12"/>
      <c r="PD310" s="12"/>
      <c r="PO310" s="13"/>
      <c r="PQ310" s="13"/>
      <c r="RG310" s="13"/>
      <c r="RH310" s="12"/>
      <c r="RI310" s="13"/>
      <c r="TM310" s="13"/>
      <c r="TP310" s="13"/>
    </row>
    <row r="311" spans="268:536" ht="10.75" customHeight="1" x14ac:dyDescent="0.2">
      <c r="JH311" s="12"/>
      <c r="JK311" s="12"/>
      <c r="KQ311" s="12"/>
      <c r="KS311" s="12"/>
      <c r="NT311" s="13"/>
      <c r="NW311" s="13"/>
      <c r="PA311" s="12"/>
      <c r="PD311" s="12"/>
      <c r="PO311" s="13"/>
      <c r="PQ311" s="13"/>
      <c r="RG311" s="13"/>
      <c r="RH311" s="12"/>
      <c r="RI311" s="13"/>
      <c r="TM311" s="13"/>
      <c r="TP311" s="13"/>
    </row>
    <row r="312" spans="268:536" ht="10.75" customHeight="1" x14ac:dyDescent="0.2">
      <c r="JH312" s="12"/>
      <c r="JK312" s="12"/>
      <c r="KQ312" s="12"/>
      <c r="KS312" s="12"/>
      <c r="NT312" s="13"/>
      <c r="NW312" s="13"/>
      <c r="PA312" s="12"/>
      <c r="PD312" s="12"/>
      <c r="PO312" s="13"/>
      <c r="PQ312" s="13"/>
      <c r="RG312" s="13"/>
      <c r="RH312" s="12"/>
      <c r="RI312" s="13"/>
      <c r="TM312" s="13"/>
      <c r="TP312" s="13"/>
    </row>
    <row r="313" spans="268:536" ht="10.75" customHeight="1" x14ac:dyDescent="0.2">
      <c r="JH313" s="12"/>
      <c r="JK313" s="12"/>
      <c r="KQ313" s="12"/>
      <c r="KS313" s="12"/>
      <c r="NT313" s="13"/>
      <c r="NW313" s="13"/>
      <c r="PA313" s="12"/>
      <c r="PD313" s="12"/>
      <c r="PO313" s="13"/>
      <c r="PQ313" s="13"/>
      <c r="RG313" s="13"/>
      <c r="RH313" s="12"/>
      <c r="RI313" s="13"/>
      <c r="TM313" s="13"/>
      <c r="TP313" s="13"/>
    </row>
    <row r="314" spans="268:536" ht="10.75" customHeight="1" x14ac:dyDescent="0.2">
      <c r="JH314" s="96"/>
      <c r="JI314" s="97"/>
      <c r="JJ314" s="97"/>
      <c r="JK314" s="14"/>
      <c r="JL314" s="15"/>
      <c r="JM314" s="15"/>
      <c r="JN314" s="15"/>
      <c r="JO314" s="15"/>
      <c r="JP314" s="15"/>
      <c r="JQ314" s="15"/>
      <c r="JR314" s="15"/>
      <c r="JS314" s="15"/>
      <c r="JT314" s="15"/>
      <c r="JU314" s="15"/>
      <c r="JV314" s="15"/>
      <c r="JW314" s="15"/>
      <c r="JX314" s="15"/>
      <c r="JY314" s="15"/>
      <c r="JZ314" s="15"/>
      <c r="KA314" s="15"/>
      <c r="KB314" s="15"/>
      <c r="KC314" s="15"/>
      <c r="KD314" s="15"/>
      <c r="KE314" s="15"/>
      <c r="KF314" s="15"/>
      <c r="KG314" s="15"/>
      <c r="KH314" s="15"/>
      <c r="KI314" s="15"/>
      <c r="KJ314" s="15"/>
      <c r="KK314" s="15"/>
      <c r="KL314" s="15"/>
      <c r="KM314" s="15"/>
      <c r="KN314" s="15"/>
      <c r="KO314" s="15"/>
      <c r="KP314" s="15"/>
      <c r="KQ314" s="14"/>
      <c r="KR314" s="15"/>
      <c r="KS314" s="14"/>
      <c r="KT314" s="15"/>
      <c r="KU314" s="15"/>
      <c r="KV314" s="15"/>
      <c r="KW314" s="15"/>
      <c r="KX314" s="15"/>
      <c r="KY314" s="15"/>
      <c r="KZ314" s="15"/>
      <c r="LA314" s="15"/>
      <c r="LB314" s="15"/>
      <c r="LC314" s="15"/>
      <c r="LD314" s="15"/>
      <c r="LE314" s="15"/>
      <c r="LF314" s="15"/>
      <c r="LG314" s="15"/>
      <c r="LH314" s="15"/>
      <c r="LI314" s="15"/>
      <c r="LJ314" s="15"/>
      <c r="LK314" s="15"/>
      <c r="LL314" s="15"/>
      <c r="LM314" s="15"/>
      <c r="LN314" s="15"/>
      <c r="LO314" s="15"/>
      <c r="LP314" s="15"/>
      <c r="LQ314" s="15"/>
      <c r="LR314" s="15"/>
      <c r="LS314" s="15"/>
      <c r="LT314" s="15"/>
      <c r="LU314" s="15"/>
      <c r="LV314" s="15"/>
      <c r="LW314" s="15"/>
      <c r="LX314" s="15"/>
      <c r="LY314" s="15"/>
      <c r="LZ314" s="15"/>
      <c r="MA314" s="15"/>
      <c r="MB314" s="15"/>
      <c r="MC314" s="15"/>
      <c r="MD314" s="15"/>
      <c r="ME314" s="15"/>
      <c r="MF314" s="15"/>
      <c r="MG314" s="15"/>
      <c r="MH314" s="15"/>
      <c r="MI314" s="15"/>
      <c r="MJ314" s="15"/>
      <c r="MK314" s="15"/>
      <c r="ML314" s="15"/>
      <c r="MM314" s="15"/>
      <c r="MN314" s="15"/>
      <c r="MO314" s="15"/>
      <c r="MP314" s="15"/>
      <c r="MQ314" s="15"/>
      <c r="MR314" s="15"/>
      <c r="MS314" s="15"/>
      <c r="MT314" s="15"/>
      <c r="MU314" s="15"/>
      <c r="MV314" s="15"/>
      <c r="MW314" s="15"/>
      <c r="MX314" s="15"/>
      <c r="MY314" s="15"/>
      <c r="MZ314" s="15"/>
      <c r="NA314" s="15"/>
      <c r="NB314" s="15"/>
      <c r="NC314" s="15"/>
      <c r="ND314" s="15"/>
      <c r="NE314" s="15"/>
      <c r="NF314" s="15"/>
      <c r="NG314" s="15"/>
      <c r="NH314" s="15"/>
      <c r="NI314" s="15"/>
      <c r="NJ314" s="15"/>
      <c r="NK314" s="15"/>
      <c r="NL314" s="15"/>
      <c r="NM314" s="15"/>
      <c r="NN314" s="15"/>
      <c r="NO314" s="15"/>
      <c r="NP314" s="15"/>
      <c r="NQ314" s="15"/>
      <c r="NR314" s="15"/>
      <c r="NS314" s="15"/>
      <c r="NT314" s="16"/>
      <c r="NU314" s="97"/>
      <c r="NV314" s="97"/>
      <c r="NW314" s="98"/>
      <c r="PA314" s="96"/>
      <c r="PB314" s="97"/>
      <c r="PC314" s="97"/>
      <c r="PD314" s="14"/>
      <c r="PE314" s="15"/>
      <c r="PF314" s="15"/>
      <c r="PG314" s="15"/>
      <c r="PH314" s="15"/>
      <c r="PI314" s="15"/>
      <c r="PJ314" s="15"/>
      <c r="PK314" s="15"/>
      <c r="PL314" s="15"/>
      <c r="PM314" s="15"/>
      <c r="PN314" s="15"/>
      <c r="PO314" s="16"/>
      <c r="PP314" s="15"/>
      <c r="PQ314" s="16"/>
      <c r="PR314" s="15"/>
      <c r="PS314" s="15"/>
      <c r="PT314" s="15"/>
      <c r="PU314" s="15"/>
      <c r="PV314" s="15"/>
      <c r="PW314" s="15"/>
      <c r="PX314" s="15"/>
      <c r="PY314" s="15"/>
      <c r="PZ314" s="15"/>
      <c r="QA314" s="15"/>
      <c r="QB314" s="15"/>
      <c r="QC314" s="15"/>
      <c r="QD314" s="15"/>
      <c r="QE314" s="15"/>
      <c r="QF314" s="15"/>
      <c r="QG314" s="15"/>
      <c r="QH314" s="15"/>
      <c r="QI314" s="15"/>
      <c r="QJ314" s="15"/>
      <c r="QK314" s="15"/>
      <c r="QL314" s="15"/>
      <c r="QM314" s="15"/>
      <c r="QN314" s="15"/>
      <c r="QO314" s="15"/>
      <c r="QP314" s="15"/>
      <c r="QQ314" s="15"/>
      <c r="QR314" s="15"/>
      <c r="QS314" s="15"/>
      <c r="QT314" s="15"/>
      <c r="QU314" s="15"/>
      <c r="QV314" s="15"/>
      <c r="QW314" s="15"/>
      <c r="QX314" s="15"/>
      <c r="QY314" s="15"/>
      <c r="QZ314" s="15"/>
      <c r="RA314" s="15"/>
      <c r="RB314" s="15"/>
      <c r="RC314" s="15"/>
      <c r="RD314" s="15"/>
      <c r="RE314" s="15"/>
      <c r="RF314" s="15"/>
      <c r="RG314" s="16"/>
      <c r="RH314" s="14"/>
      <c r="RI314" s="16"/>
      <c r="RJ314" s="15"/>
      <c r="RK314" s="15"/>
      <c r="RL314" s="15"/>
      <c r="RM314" s="15"/>
      <c r="RN314" s="15"/>
      <c r="RO314" s="15"/>
      <c r="RP314" s="15"/>
      <c r="RQ314" s="15"/>
      <c r="RR314" s="15"/>
      <c r="RS314" s="15"/>
      <c r="RT314" s="15"/>
      <c r="RU314" s="15"/>
      <c r="RV314" s="15"/>
      <c r="RW314" s="15"/>
      <c r="RX314" s="15"/>
      <c r="RY314" s="15"/>
      <c r="RZ314" s="15"/>
      <c r="SA314" s="15"/>
      <c r="SB314" s="15"/>
      <c r="SC314" s="15"/>
      <c r="SD314" s="15"/>
      <c r="SE314" s="15"/>
      <c r="SF314" s="15"/>
      <c r="SG314" s="15"/>
      <c r="SH314" s="15"/>
      <c r="SI314" s="15"/>
      <c r="SJ314" s="15"/>
      <c r="SK314" s="15"/>
      <c r="SL314" s="15"/>
      <c r="SM314" s="15"/>
      <c r="SN314" s="15"/>
      <c r="SO314" s="15"/>
      <c r="SP314" s="15"/>
      <c r="SQ314" s="15"/>
      <c r="SR314" s="15"/>
      <c r="SS314" s="15"/>
      <c r="ST314" s="15"/>
      <c r="SU314" s="15"/>
      <c r="SV314" s="15"/>
      <c r="SW314" s="15"/>
      <c r="SX314" s="15"/>
      <c r="SY314" s="15"/>
      <c r="SZ314" s="15"/>
      <c r="TA314" s="15"/>
      <c r="TB314" s="15"/>
      <c r="TC314" s="15"/>
      <c r="TD314" s="15"/>
      <c r="TE314" s="15"/>
      <c r="TF314" s="15"/>
      <c r="TG314" s="15"/>
      <c r="TH314" s="15"/>
      <c r="TI314" s="15"/>
      <c r="TJ314" s="15"/>
      <c r="TK314" s="15"/>
      <c r="TL314" s="15"/>
      <c r="TM314" s="16"/>
      <c r="TN314" s="97"/>
      <c r="TO314" s="97"/>
      <c r="TP314" s="98"/>
    </row>
    <row r="315" spans="268:536" ht="10.75" customHeight="1" x14ac:dyDescent="0.2">
      <c r="JH315" s="96"/>
      <c r="JI315" s="97"/>
      <c r="JJ315" s="97"/>
      <c r="JK315" s="12"/>
      <c r="LM315" s="97"/>
      <c r="LN315" s="98"/>
      <c r="LO315" s="96"/>
      <c r="LP315" s="98"/>
      <c r="NU315" s="97"/>
      <c r="NV315" s="97"/>
      <c r="NW315" s="98"/>
      <c r="PA315" s="96"/>
      <c r="PB315" s="97"/>
      <c r="PC315" s="97"/>
      <c r="PD315" s="12"/>
      <c r="RF315" s="97"/>
      <c r="RG315" s="98"/>
      <c r="RH315" s="96"/>
      <c r="RI315" s="98"/>
      <c r="TN315" s="97"/>
      <c r="TO315" s="97"/>
      <c r="TP315" s="98"/>
    </row>
    <row r="316" spans="268:536" ht="10.75" customHeight="1" x14ac:dyDescent="0.2">
      <c r="JH316" s="96"/>
      <c r="JI316" s="97"/>
      <c r="JJ316" s="97"/>
      <c r="JK316" s="12"/>
      <c r="LM316" s="97"/>
      <c r="LN316" s="98"/>
      <c r="LO316" s="96"/>
      <c r="LP316" s="98"/>
      <c r="NU316" s="97"/>
      <c r="NV316" s="97"/>
      <c r="NW316" s="98"/>
      <c r="PA316" s="96"/>
      <c r="PB316" s="97"/>
      <c r="PC316" s="97"/>
      <c r="PD316" s="12"/>
      <c r="RF316" s="97"/>
      <c r="RG316" s="98"/>
      <c r="RH316" s="96"/>
      <c r="RI316" s="98"/>
      <c r="TN316" s="97"/>
      <c r="TO316" s="97"/>
      <c r="TP316" s="98"/>
    </row>
    <row r="317" spans="268:536" ht="10.75" customHeight="1" x14ac:dyDescent="0.2">
      <c r="JH317" s="59"/>
      <c r="JI317" s="60"/>
      <c r="JJ317" s="60"/>
      <c r="JK317" s="14"/>
      <c r="JL317" s="15"/>
      <c r="JM317" s="15"/>
      <c r="JN317" s="15"/>
      <c r="JO317" s="15"/>
      <c r="JP317" s="15"/>
      <c r="JQ317" s="15"/>
      <c r="JR317" s="15"/>
      <c r="JS317" s="15"/>
      <c r="JT317" s="15"/>
      <c r="JU317" s="15"/>
      <c r="JV317" s="15"/>
      <c r="JW317" s="15"/>
      <c r="JX317" s="15"/>
      <c r="JY317" s="15"/>
      <c r="JZ317" s="15"/>
      <c r="KA317" s="15"/>
      <c r="KB317" s="15"/>
      <c r="KC317" s="15"/>
      <c r="KD317" s="15"/>
      <c r="KE317" s="15"/>
      <c r="KF317" s="15"/>
      <c r="KG317" s="15"/>
      <c r="KH317" s="15"/>
      <c r="KI317" s="15"/>
      <c r="KJ317" s="15"/>
      <c r="KK317" s="15"/>
      <c r="KL317" s="15"/>
      <c r="KM317" s="15"/>
      <c r="KN317" s="15"/>
      <c r="KO317" s="15"/>
      <c r="KP317" s="15"/>
      <c r="KQ317" s="15"/>
      <c r="KR317" s="15"/>
      <c r="KS317" s="15"/>
      <c r="KT317" s="15"/>
      <c r="KU317" s="15"/>
      <c r="KV317" s="15"/>
      <c r="KW317" s="15"/>
      <c r="KX317" s="15"/>
      <c r="KY317" s="15"/>
      <c r="KZ317" s="15"/>
      <c r="LA317" s="15"/>
      <c r="LB317" s="15"/>
      <c r="LC317" s="15"/>
      <c r="LD317" s="15"/>
      <c r="LE317" s="15"/>
      <c r="LF317" s="15"/>
      <c r="LG317" s="15"/>
      <c r="LH317" s="15"/>
      <c r="LI317" s="15"/>
      <c r="LJ317" s="15"/>
      <c r="LK317" s="15"/>
      <c r="LL317" s="15"/>
      <c r="LM317" s="60"/>
      <c r="LN317" s="61"/>
      <c r="LO317" s="59"/>
      <c r="LP317" s="61"/>
      <c r="LQ317" s="15"/>
      <c r="LR317" s="15"/>
      <c r="LS317" s="15"/>
      <c r="LT317" s="15"/>
      <c r="LU317" s="15"/>
      <c r="LV317" s="15"/>
      <c r="LW317" s="15"/>
      <c r="LX317" s="15"/>
      <c r="LY317" s="15"/>
      <c r="LZ317" s="15"/>
      <c r="MA317" s="15"/>
      <c r="MB317" s="15"/>
      <c r="MC317" s="15"/>
      <c r="MD317" s="15"/>
      <c r="ME317" s="15"/>
      <c r="MF317" s="15"/>
      <c r="MG317" s="15"/>
      <c r="MH317" s="15"/>
      <c r="MI317" s="15"/>
      <c r="MJ317" s="15"/>
      <c r="MK317" s="15"/>
      <c r="ML317" s="15"/>
      <c r="MM317" s="15"/>
      <c r="MN317" s="15"/>
      <c r="MO317" s="15"/>
      <c r="MP317" s="15"/>
      <c r="MQ317" s="15"/>
      <c r="MR317" s="15"/>
      <c r="MS317" s="15"/>
      <c r="MT317" s="15"/>
      <c r="MU317" s="15"/>
      <c r="MV317" s="15"/>
      <c r="MW317" s="15"/>
      <c r="MX317" s="15"/>
      <c r="MY317" s="15"/>
      <c r="MZ317" s="15"/>
      <c r="NA317" s="15"/>
      <c r="NB317" s="15"/>
      <c r="NC317" s="15"/>
      <c r="ND317" s="15"/>
      <c r="NE317" s="15"/>
      <c r="NF317" s="15"/>
      <c r="NG317" s="15"/>
      <c r="NH317" s="15"/>
      <c r="NI317" s="15"/>
      <c r="NJ317" s="15"/>
      <c r="NK317" s="15"/>
      <c r="NL317" s="15"/>
      <c r="NM317" s="15"/>
      <c r="NN317" s="15"/>
      <c r="NO317" s="15"/>
      <c r="NP317" s="15"/>
      <c r="NQ317" s="15"/>
      <c r="NR317" s="15"/>
      <c r="NS317" s="15"/>
      <c r="NT317" s="15"/>
      <c r="NU317" s="60"/>
      <c r="NV317" s="60"/>
      <c r="NW317" s="61"/>
      <c r="PA317" s="59"/>
      <c r="PB317" s="60"/>
      <c r="PC317" s="60"/>
      <c r="PD317" s="14"/>
      <c r="PE317" s="15"/>
      <c r="PF317" s="15"/>
      <c r="PG317" s="15"/>
      <c r="PH317" s="15"/>
      <c r="PI317" s="15"/>
      <c r="PJ317" s="15"/>
      <c r="PK317" s="15"/>
      <c r="PL317" s="15"/>
      <c r="PM317" s="15"/>
      <c r="PN317" s="15"/>
      <c r="PO317" s="15"/>
      <c r="PP317" s="15"/>
      <c r="PQ317" s="15"/>
      <c r="PR317" s="15"/>
      <c r="PS317" s="15"/>
      <c r="PT317" s="15"/>
      <c r="PU317" s="15"/>
      <c r="PV317" s="15"/>
      <c r="PW317" s="15"/>
      <c r="PX317" s="15"/>
      <c r="PY317" s="15"/>
      <c r="PZ317" s="15"/>
      <c r="QA317" s="15"/>
      <c r="QB317" s="15"/>
      <c r="QC317" s="15"/>
      <c r="QD317" s="15"/>
      <c r="QE317" s="15"/>
      <c r="QF317" s="15"/>
      <c r="QG317" s="15"/>
      <c r="QH317" s="15"/>
      <c r="QI317" s="15"/>
      <c r="QJ317" s="15"/>
      <c r="QK317" s="15"/>
      <c r="QL317" s="15"/>
      <c r="QM317" s="15"/>
      <c r="QN317" s="15"/>
      <c r="QO317" s="15"/>
      <c r="QP317" s="15"/>
      <c r="QQ317" s="15"/>
      <c r="QR317" s="15"/>
      <c r="QS317" s="15"/>
      <c r="QT317" s="15"/>
      <c r="QU317" s="15"/>
      <c r="QV317" s="15"/>
      <c r="QW317" s="15"/>
      <c r="QX317" s="15"/>
      <c r="QY317" s="15"/>
      <c r="QZ317" s="15"/>
      <c r="RA317" s="15"/>
      <c r="RB317" s="15"/>
      <c r="RC317" s="15"/>
      <c r="RD317" s="15"/>
      <c r="RE317" s="15"/>
      <c r="RF317" s="60"/>
      <c r="RG317" s="61"/>
      <c r="RH317" s="59"/>
      <c r="RI317" s="61"/>
      <c r="RJ317" s="15"/>
      <c r="RK317" s="15"/>
      <c r="RL317" s="15"/>
      <c r="RM317" s="15"/>
      <c r="RN317" s="15"/>
      <c r="RO317" s="15"/>
      <c r="RP317" s="15"/>
      <c r="RQ317" s="15"/>
      <c r="RR317" s="15"/>
      <c r="RS317" s="15"/>
      <c r="RT317" s="15"/>
      <c r="RU317" s="15"/>
      <c r="RV317" s="15"/>
      <c r="RW317" s="15"/>
      <c r="RX317" s="15"/>
      <c r="RY317" s="15"/>
      <c r="RZ317" s="15"/>
      <c r="SA317" s="15"/>
      <c r="SB317" s="15"/>
      <c r="SC317" s="15"/>
      <c r="SD317" s="15"/>
      <c r="SE317" s="15"/>
      <c r="SF317" s="15"/>
      <c r="SG317" s="15"/>
      <c r="SH317" s="15"/>
      <c r="SI317" s="15"/>
      <c r="SJ317" s="15"/>
      <c r="SK317" s="15"/>
      <c r="SL317" s="15"/>
      <c r="SM317" s="15"/>
      <c r="SN317" s="15"/>
      <c r="SO317" s="15"/>
      <c r="SP317" s="15"/>
      <c r="SQ317" s="15"/>
      <c r="SR317" s="15"/>
      <c r="SS317" s="15"/>
      <c r="ST317" s="15"/>
      <c r="SU317" s="15"/>
      <c r="SV317" s="15"/>
      <c r="SW317" s="15"/>
      <c r="SX317" s="15"/>
      <c r="SY317" s="15"/>
      <c r="SZ317" s="15"/>
      <c r="TA317" s="15"/>
      <c r="TB317" s="15"/>
      <c r="TC317" s="15"/>
      <c r="TD317" s="15"/>
      <c r="TE317" s="15"/>
      <c r="TF317" s="15"/>
      <c r="TG317" s="15"/>
      <c r="TH317" s="15"/>
      <c r="TI317" s="15"/>
      <c r="TJ317" s="15"/>
      <c r="TK317" s="15"/>
      <c r="TL317" s="15"/>
      <c r="TM317" s="15"/>
      <c r="TN317" s="60"/>
      <c r="TO317" s="60"/>
      <c r="TP317" s="61"/>
    </row>
    <row r="323" spans="44:155" ht="10.75" customHeight="1" x14ac:dyDescent="0.2">
      <c r="AR323" s="56"/>
      <c r="AS323" s="57"/>
      <c r="AT323" s="57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57"/>
      <c r="CV323" s="57"/>
      <c r="CW323" s="57"/>
      <c r="CX323" s="57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57"/>
      <c r="EW323" s="57"/>
      <c r="EX323" s="57"/>
      <c r="EY323" s="58"/>
    </row>
    <row r="324" spans="44:155" ht="10.75" customHeight="1" x14ac:dyDescent="0.2">
      <c r="AR324" s="96"/>
      <c r="AS324" s="97"/>
      <c r="AT324" s="97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43"/>
      <c r="CB324" s="43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97"/>
      <c r="CV324" s="97"/>
      <c r="CW324" s="97"/>
      <c r="CX324" s="97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  <c r="EA324" s="43"/>
      <c r="EB324" s="43"/>
      <c r="EC324" s="43"/>
      <c r="ED324" s="43"/>
      <c r="EE324" s="43"/>
      <c r="EF324" s="43"/>
      <c r="EG324" s="43"/>
      <c r="EH324" s="43"/>
      <c r="EI324" s="43"/>
      <c r="EJ324" s="43"/>
      <c r="EK324" s="43"/>
      <c r="EL324" s="43"/>
      <c r="EM324" s="43"/>
      <c r="EN324" s="43"/>
      <c r="EO324" s="43"/>
      <c r="EP324" s="43"/>
      <c r="EQ324" s="43"/>
      <c r="ER324" s="43"/>
      <c r="ES324" s="43"/>
      <c r="ET324" s="43"/>
      <c r="EU324" s="43"/>
      <c r="EV324" s="97"/>
      <c r="EW324" s="97"/>
      <c r="EX324" s="97"/>
      <c r="EY324" s="98"/>
    </row>
    <row r="325" spans="44:155" ht="10.75" customHeight="1" x14ac:dyDescent="0.2">
      <c r="AR325" s="96"/>
      <c r="AS325" s="97"/>
      <c r="AT325" s="97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43"/>
      <c r="CB325" s="43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97"/>
      <c r="CV325" s="97"/>
      <c r="CW325" s="97"/>
      <c r="CX325" s="97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  <c r="EA325" s="43"/>
      <c r="EB325" s="43"/>
      <c r="EC325" s="43"/>
      <c r="ED325" s="43"/>
      <c r="EE325" s="43"/>
      <c r="EF325" s="43"/>
      <c r="EG325" s="43"/>
      <c r="EH325" s="43"/>
      <c r="EI325" s="43"/>
      <c r="EJ325" s="43"/>
      <c r="EK325" s="43"/>
      <c r="EL325" s="43"/>
      <c r="EM325" s="43"/>
      <c r="EN325" s="43"/>
      <c r="EO325" s="43"/>
      <c r="EP325" s="43"/>
      <c r="EQ325" s="43"/>
      <c r="ER325" s="43"/>
      <c r="ES325" s="43"/>
      <c r="ET325" s="43"/>
      <c r="EU325" s="43"/>
      <c r="EV325" s="97"/>
      <c r="EW325" s="97"/>
      <c r="EX325" s="97"/>
      <c r="EY325" s="98"/>
    </row>
    <row r="326" spans="44:155" ht="10.75" customHeight="1" x14ac:dyDescent="0.2">
      <c r="AR326" s="96"/>
      <c r="AS326" s="97"/>
      <c r="AT326" s="97"/>
      <c r="AU326" s="9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10"/>
      <c r="BK326" s="10"/>
      <c r="BL326" s="10"/>
      <c r="BM326" s="10"/>
      <c r="BN326" s="10"/>
      <c r="BO326" s="10"/>
      <c r="BP326" s="10"/>
      <c r="BQ326" s="10"/>
      <c r="BR326" s="10"/>
      <c r="BS326" s="10"/>
      <c r="BT326" s="10"/>
      <c r="BU326" s="10"/>
      <c r="BV326" s="10"/>
      <c r="BW326" s="10"/>
      <c r="BX326" s="10"/>
      <c r="BY326" s="10"/>
      <c r="BZ326" s="11"/>
      <c r="CA326" s="10"/>
      <c r="CB326" s="11"/>
      <c r="CC326" s="10"/>
      <c r="CD326" s="10"/>
      <c r="CE326" s="10"/>
      <c r="CF326" s="10"/>
      <c r="CG326" s="10"/>
      <c r="CH326" s="10"/>
      <c r="CI326" s="10"/>
      <c r="CJ326" s="10"/>
      <c r="CK326" s="10"/>
      <c r="CL326" s="10"/>
      <c r="CM326" s="10"/>
      <c r="CN326" s="10"/>
      <c r="CO326" s="10"/>
      <c r="CP326" s="10"/>
      <c r="CQ326" s="10"/>
      <c r="CR326" s="10"/>
      <c r="CS326" s="10"/>
      <c r="CT326" s="10"/>
      <c r="CU326" s="10"/>
      <c r="CV326" s="11"/>
      <c r="CW326" s="10"/>
      <c r="CX326" s="11"/>
      <c r="CY326" s="10"/>
      <c r="CZ326" s="10"/>
      <c r="DA326" s="10"/>
      <c r="DB326" s="10"/>
      <c r="DC326" s="10"/>
      <c r="DD326" s="10"/>
      <c r="DE326" s="10"/>
      <c r="DF326" s="10"/>
      <c r="DG326" s="10"/>
      <c r="DH326" s="10"/>
      <c r="DI326" s="10"/>
      <c r="DJ326" s="10"/>
      <c r="DK326" s="10"/>
      <c r="DL326" s="10"/>
      <c r="DM326" s="10"/>
      <c r="DN326" s="10"/>
      <c r="DO326" s="10"/>
      <c r="DP326" s="10"/>
      <c r="DQ326" s="10"/>
      <c r="DR326" s="10"/>
      <c r="DS326" s="10"/>
      <c r="DT326" s="10"/>
      <c r="DU326" s="10"/>
      <c r="DV326" s="10"/>
      <c r="DW326" s="10"/>
      <c r="DX326" s="10"/>
      <c r="DY326" s="10"/>
      <c r="DZ326" s="10"/>
      <c r="EA326" s="10"/>
      <c r="EB326" s="10"/>
      <c r="EC326" s="10"/>
      <c r="ED326" s="10"/>
      <c r="EE326" s="10"/>
      <c r="EF326" s="10"/>
      <c r="EG326" s="10"/>
      <c r="EH326" s="10"/>
      <c r="EI326" s="10"/>
      <c r="EJ326" s="10"/>
      <c r="EK326" s="10"/>
      <c r="EL326" s="10"/>
      <c r="EM326" s="10"/>
      <c r="EN326" s="10"/>
      <c r="EO326" s="10"/>
      <c r="EP326" s="10"/>
      <c r="EQ326" s="10"/>
      <c r="ER326" s="10"/>
      <c r="ES326" s="10"/>
      <c r="ET326" s="10"/>
      <c r="EU326" s="10"/>
      <c r="EV326" s="11"/>
      <c r="EW326" s="43"/>
      <c r="EX326" s="43"/>
      <c r="EY326" s="45"/>
    </row>
    <row r="327" spans="44:155" ht="10.75" customHeight="1" x14ac:dyDescent="0.2">
      <c r="AR327" s="42"/>
      <c r="AS327" s="43"/>
      <c r="AT327" s="43"/>
      <c r="AU327" s="12"/>
      <c r="AV327" s="280"/>
      <c r="AW327" s="280"/>
      <c r="AX327" s="280"/>
      <c r="AY327" s="280"/>
      <c r="AZ327" s="280"/>
      <c r="BA327" s="280"/>
      <c r="BB327" s="280"/>
      <c r="BC327" s="280"/>
      <c r="BD327" s="280"/>
      <c r="BE327" s="280"/>
      <c r="BF327" s="280"/>
      <c r="BG327" s="280"/>
      <c r="BH327" s="280"/>
      <c r="BI327" s="280"/>
      <c r="BJ327" s="280"/>
      <c r="BK327" s="280"/>
      <c r="BL327" s="280"/>
      <c r="BM327" s="280"/>
      <c r="BN327" s="280"/>
      <c r="BO327" s="280"/>
      <c r="BP327" s="280"/>
      <c r="BQ327" s="280"/>
      <c r="BR327" s="280"/>
      <c r="BS327" s="280"/>
      <c r="BT327" s="280"/>
      <c r="BU327" s="280"/>
      <c r="BV327" s="280"/>
      <c r="BW327" s="280"/>
      <c r="BX327" s="280"/>
      <c r="BY327" s="280"/>
      <c r="BZ327" s="13"/>
      <c r="CA327" s="280"/>
      <c r="CB327" s="13"/>
      <c r="CC327" s="280"/>
      <c r="CD327" s="280"/>
      <c r="CE327" s="280"/>
      <c r="CF327" s="280"/>
      <c r="CG327" s="280"/>
      <c r="CH327" s="280"/>
      <c r="CI327" s="280"/>
      <c r="CJ327" s="280"/>
      <c r="CK327" s="280"/>
      <c r="CL327" s="280"/>
      <c r="CM327" s="280"/>
      <c r="CN327" s="280"/>
      <c r="CO327" s="280"/>
      <c r="CP327" s="280"/>
      <c r="CQ327" s="280"/>
      <c r="CR327" s="280"/>
      <c r="CS327" s="280"/>
      <c r="CT327" s="280"/>
      <c r="CU327" s="280"/>
      <c r="CV327" s="13"/>
      <c r="CW327" s="280"/>
      <c r="CX327" s="122"/>
      <c r="CY327" s="280"/>
      <c r="CZ327" s="280"/>
      <c r="DA327" s="280"/>
      <c r="DB327" s="280"/>
      <c r="DC327" s="280"/>
      <c r="DD327" s="280"/>
      <c r="DE327" s="280"/>
      <c r="DF327" s="280"/>
      <c r="DG327" s="280"/>
      <c r="DH327" s="280"/>
      <c r="DI327" s="280"/>
      <c r="DJ327" s="280"/>
      <c r="DK327" s="280"/>
      <c r="DL327" s="280"/>
      <c r="DM327" s="280"/>
      <c r="DN327" s="280"/>
      <c r="DO327" s="280"/>
      <c r="DP327" s="280"/>
      <c r="DQ327" s="280"/>
      <c r="DR327" s="280"/>
      <c r="DS327" s="280"/>
      <c r="DT327" s="280"/>
      <c r="DU327" s="280"/>
      <c r="DV327" s="280"/>
      <c r="DW327" s="280"/>
      <c r="DX327" s="280"/>
      <c r="DY327" s="280"/>
      <c r="DZ327" s="280"/>
      <c r="EA327" s="280"/>
      <c r="EB327" s="280"/>
      <c r="EC327" s="280"/>
      <c r="ED327" s="280"/>
      <c r="EE327" s="280"/>
      <c r="EF327" s="280"/>
      <c r="EG327" s="280"/>
      <c r="EH327" s="280"/>
      <c r="EI327" s="280"/>
      <c r="EJ327" s="280"/>
      <c r="EK327" s="280"/>
      <c r="EL327" s="280"/>
      <c r="EM327" s="280"/>
      <c r="EN327" s="280"/>
      <c r="EO327" s="280"/>
      <c r="EP327" s="280"/>
      <c r="EQ327" s="280"/>
      <c r="ER327" s="280"/>
      <c r="ES327" s="280"/>
      <c r="ET327" s="280"/>
      <c r="EU327" s="280"/>
      <c r="EV327" s="13"/>
      <c r="EW327" s="43"/>
      <c r="EX327" s="43"/>
      <c r="EY327" s="45"/>
    </row>
    <row r="328" spans="44:155" ht="10.75" customHeight="1" x14ac:dyDescent="0.2">
      <c r="AR328" s="42"/>
      <c r="AS328" s="43"/>
      <c r="AT328" s="43"/>
      <c r="AU328" s="12"/>
      <c r="AV328" s="280"/>
      <c r="AW328" s="280"/>
      <c r="AX328" s="280"/>
      <c r="AY328" s="280"/>
      <c r="AZ328" s="280"/>
      <c r="BA328" s="280"/>
      <c r="BB328" s="280"/>
      <c r="BC328" s="280"/>
      <c r="BD328" s="280"/>
      <c r="BE328" s="280"/>
      <c r="BF328" s="280"/>
      <c r="BG328" s="280"/>
      <c r="BH328" s="280"/>
      <c r="BI328" s="280"/>
      <c r="BJ328" s="280"/>
      <c r="BK328" s="280"/>
      <c r="BL328" s="280"/>
      <c r="BM328" s="280"/>
      <c r="BN328" s="280"/>
      <c r="BO328" s="280"/>
      <c r="BP328" s="280"/>
      <c r="BQ328" s="280"/>
      <c r="BR328" s="280"/>
      <c r="BS328" s="280"/>
      <c r="BT328" s="280"/>
      <c r="BU328" s="280"/>
      <c r="BV328" s="280"/>
      <c r="BW328" s="280"/>
      <c r="BX328" s="280"/>
      <c r="BY328" s="280"/>
      <c r="BZ328" s="13"/>
      <c r="CA328" s="280"/>
      <c r="CB328" s="13"/>
      <c r="CC328" s="280"/>
      <c r="CD328" s="280"/>
      <c r="CE328" s="280"/>
      <c r="CF328" s="280"/>
      <c r="CG328" s="280"/>
      <c r="CH328" s="280"/>
      <c r="CI328" s="280"/>
      <c r="CJ328" s="280"/>
      <c r="CK328" s="280"/>
      <c r="CL328" s="280"/>
      <c r="CM328" s="280"/>
      <c r="CN328" s="280"/>
      <c r="CO328" s="280"/>
      <c r="CP328" s="280"/>
      <c r="CQ328" s="280"/>
      <c r="CR328" s="280"/>
      <c r="CS328" s="280"/>
      <c r="CT328" s="280"/>
      <c r="CU328" s="280"/>
      <c r="CV328" s="13"/>
      <c r="CW328" s="280"/>
      <c r="CX328" s="122"/>
      <c r="CY328" s="280"/>
      <c r="CZ328" s="280"/>
      <c r="DA328" s="280"/>
      <c r="DB328" s="280"/>
      <c r="DC328" s="280"/>
      <c r="DD328" s="280"/>
      <c r="DE328" s="280"/>
      <c r="DF328" s="280"/>
      <c r="DG328" s="280"/>
      <c r="DH328" s="280"/>
      <c r="DI328" s="280"/>
      <c r="DJ328" s="280"/>
      <c r="DK328" s="280"/>
      <c r="DL328" s="280"/>
      <c r="DM328" s="280"/>
      <c r="DN328" s="280"/>
      <c r="DO328" s="280"/>
      <c r="DP328" s="280"/>
      <c r="DQ328" s="280"/>
      <c r="DR328" s="280"/>
      <c r="DS328" s="280"/>
      <c r="DT328" s="280"/>
      <c r="DU328" s="280"/>
      <c r="DV328" s="280"/>
      <c r="DW328" s="280"/>
      <c r="DX328" s="280"/>
      <c r="DY328" s="280"/>
      <c r="DZ328" s="280"/>
      <c r="EA328" s="280"/>
      <c r="EB328" s="280"/>
      <c r="EC328" s="280"/>
      <c r="ED328" s="280"/>
      <c r="EE328" s="280"/>
      <c r="EF328" s="280"/>
      <c r="EG328" s="280"/>
      <c r="EH328" s="280"/>
      <c r="EI328" s="280"/>
      <c r="EJ328" s="280"/>
      <c r="EK328" s="280"/>
      <c r="EL328" s="280"/>
      <c r="EM328" s="280"/>
      <c r="EN328" s="280"/>
      <c r="EO328" s="280"/>
      <c r="EP328" s="280"/>
      <c r="EQ328" s="280"/>
      <c r="ER328" s="280"/>
      <c r="ES328" s="280"/>
      <c r="ET328" s="280"/>
      <c r="EU328" s="280"/>
      <c r="EV328" s="13"/>
      <c r="EW328" s="43"/>
      <c r="EX328" s="43"/>
      <c r="EY328" s="45"/>
    </row>
    <row r="329" spans="44:155" ht="10.75" customHeight="1" x14ac:dyDescent="0.2">
      <c r="AR329" s="42"/>
      <c r="AS329" s="43"/>
      <c r="AT329" s="43"/>
      <c r="AU329" s="12"/>
      <c r="AV329" s="280"/>
      <c r="AW329" s="280"/>
      <c r="AX329" s="280"/>
      <c r="AY329" s="280"/>
      <c r="AZ329" s="280"/>
      <c r="BA329" s="280"/>
      <c r="BB329" s="280"/>
      <c r="BC329" s="280"/>
      <c r="BD329" s="280"/>
      <c r="BE329" s="280"/>
      <c r="BF329" s="280"/>
      <c r="BG329" s="280"/>
      <c r="BH329" s="280"/>
      <c r="BI329" s="280"/>
      <c r="BJ329" s="280"/>
      <c r="BK329" s="280"/>
      <c r="BL329" s="280"/>
      <c r="BM329" s="280"/>
      <c r="BN329" s="280"/>
      <c r="BO329" s="280"/>
      <c r="BP329" s="280"/>
      <c r="BQ329" s="280"/>
      <c r="BR329" s="280"/>
      <c r="BS329" s="280"/>
      <c r="BT329" s="280"/>
      <c r="BU329" s="280"/>
      <c r="BV329" s="280"/>
      <c r="BW329" s="280"/>
      <c r="BX329" s="280"/>
      <c r="BY329" s="280"/>
      <c r="BZ329" s="13"/>
      <c r="CA329" s="280"/>
      <c r="CB329" s="13"/>
      <c r="CC329" s="280"/>
      <c r="CD329" s="280"/>
      <c r="CE329" s="280"/>
      <c r="CF329" s="280"/>
      <c r="CG329" s="280"/>
      <c r="CH329" s="280"/>
      <c r="CI329" s="280"/>
      <c r="CJ329" s="280"/>
      <c r="CK329" s="280"/>
      <c r="CL329" s="280"/>
      <c r="CM329" s="280"/>
      <c r="CN329" s="280"/>
      <c r="CO329" s="280"/>
      <c r="CP329" s="280"/>
      <c r="CQ329" s="280"/>
      <c r="CR329" s="280"/>
      <c r="CS329" s="280"/>
      <c r="CT329" s="280"/>
      <c r="CU329" s="280"/>
      <c r="CV329" s="13"/>
      <c r="CW329" s="280"/>
      <c r="CX329" s="122"/>
      <c r="CY329" s="280"/>
      <c r="CZ329" s="280"/>
      <c r="DA329" s="280"/>
      <c r="DB329" s="280"/>
      <c r="DC329" s="280"/>
      <c r="DD329" s="280"/>
      <c r="DE329" s="280"/>
      <c r="DF329" s="280"/>
      <c r="DG329" s="280"/>
      <c r="DH329" s="280"/>
      <c r="DI329" s="280"/>
      <c r="DJ329" s="280"/>
      <c r="DK329" s="280"/>
      <c r="DL329" s="280"/>
      <c r="DM329" s="280"/>
      <c r="DN329" s="280"/>
      <c r="DO329" s="280"/>
      <c r="DP329" s="280"/>
      <c r="DQ329" s="280"/>
      <c r="DR329" s="280"/>
      <c r="DS329" s="280"/>
      <c r="DT329" s="280"/>
      <c r="DU329" s="280"/>
      <c r="DV329" s="280"/>
      <c r="DW329" s="280"/>
      <c r="DX329" s="280"/>
      <c r="DY329" s="280"/>
      <c r="DZ329" s="280"/>
      <c r="EA329" s="280"/>
      <c r="EB329" s="280"/>
      <c r="EC329" s="280"/>
      <c r="ED329" s="280"/>
      <c r="EE329" s="280"/>
      <c r="EF329" s="280"/>
      <c r="EG329" s="280"/>
      <c r="EH329" s="280"/>
      <c r="EI329" s="280"/>
      <c r="EJ329" s="280"/>
      <c r="EK329" s="280"/>
      <c r="EL329" s="280"/>
      <c r="EM329" s="280"/>
      <c r="EN329" s="280"/>
      <c r="EO329" s="280"/>
      <c r="EP329" s="280"/>
      <c r="EQ329" s="280"/>
      <c r="ER329" s="280"/>
      <c r="ES329" s="280"/>
      <c r="ET329" s="280"/>
      <c r="EU329" s="280"/>
      <c r="EV329" s="13"/>
      <c r="EW329" s="43"/>
      <c r="EX329" s="43"/>
      <c r="EY329" s="45"/>
    </row>
    <row r="330" spans="44:155" ht="10.75" customHeight="1" x14ac:dyDescent="0.2">
      <c r="AR330" s="42"/>
      <c r="AS330" s="43"/>
      <c r="AT330" s="43"/>
      <c r="AU330" s="12"/>
      <c r="AV330" s="280"/>
      <c r="AW330" s="280"/>
      <c r="AX330" s="280"/>
      <c r="AY330" s="280"/>
      <c r="AZ330" s="280"/>
      <c r="BA330" s="280"/>
      <c r="BB330" s="280"/>
      <c r="BC330" s="280"/>
      <c r="BD330" s="280"/>
      <c r="BE330" s="280"/>
      <c r="BF330" s="280"/>
      <c r="BG330" s="280"/>
      <c r="BH330" s="280"/>
      <c r="BI330" s="280"/>
      <c r="BJ330" s="280"/>
      <c r="BK330" s="280"/>
      <c r="BL330" s="280"/>
      <c r="BM330" s="280"/>
      <c r="BN330" s="280"/>
      <c r="BO330" s="280"/>
      <c r="BP330" s="280"/>
      <c r="BQ330" s="280"/>
      <c r="BR330" s="280"/>
      <c r="BS330" s="280"/>
      <c r="BT330" s="280"/>
      <c r="BU330" s="280"/>
      <c r="BV330" s="280"/>
      <c r="BW330" s="280"/>
      <c r="BX330" s="280"/>
      <c r="BY330" s="280"/>
      <c r="BZ330" s="13"/>
      <c r="CA330" s="280"/>
      <c r="CB330" s="13"/>
      <c r="CC330" s="280"/>
      <c r="CD330" s="280"/>
      <c r="CE330" s="280"/>
      <c r="CF330" s="280"/>
      <c r="CG330" s="280"/>
      <c r="CH330" s="280"/>
      <c r="CI330" s="280"/>
      <c r="CJ330" s="280"/>
      <c r="CK330" s="280"/>
      <c r="CL330" s="280"/>
      <c r="CM330" s="280"/>
      <c r="CN330" s="280"/>
      <c r="CO330" s="280"/>
      <c r="CP330" s="280"/>
      <c r="CQ330" s="280"/>
      <c r="CR330" s="280"/>
      <c r="CS330" s="280"/>
      <c r="CT330" s="280"/>
      <c r="CU330" s="280"/>
      <c r="CV330" s="13"/>
      <c r="CW330" s="280"/>
      <c r="CX330" s="122"/>
      <c r="CY330" s="280"/>
      <c r="CZ330" s="280"/>
      <c r="DA330" s="280"/>
      <c r="DB330" s="280"/>
      <c r="DC330" s="280"/>
      <c r="DD330" s="280"/>
      <c r="DE330" s="280"/>
      <c r="DF330" s="280"/>
      <c r="DG330" s="280"/>
      <c r="DH330" s="280"/>
      <c r="DI330" s="280"/>
      <c r="DJ330" s="280"/>
      <c r="DK330" s="280"/>
      <c r="DL330" s="280"/>
      <c r="DM330" s="280"/>
      <c r="DN330" s="280"/>
      <c r="DO330" s="280"/>
      <c r="DP330" s="280"/>
      <c r="DQ330" s="280"/>
      <c r="DR330" s="280"/>
      <c r="DS330" s="280"/>
      <c r="DT330" s="280"/>
      <c r="DU330" s="280"/>
      <c r="DV330" s="280"/>
      <c r="DW330" s="280"/>
      <c r="DX330" s="280"/>
      <c r="DY330" s="280"/>
      <c r="DZ330" s="280"/>
      <c r="EA330" s="280"/>
      <c r="EB330" s="280"/>
      <c r="EC330" s="280"/>
      <c r="ED330" s="280"/>
      <c r="EE330" s="280"/>
      <c r="EF330" s="280"/>
      <c r="EG330" s="280"/>
      <c r="EH330" s="280"/>
      <c r="EI330" s="280"/>
      <c r="EJ330" s="280"/>
      <c r="EK330" s="280"/>
      <c r="EL330" s="280"/>
      <c r="EM330" s="280"/>
      <c r="EN330" s="280"/>
      <c r="EO330" s="280"/>
      <c r="EP330" s="280"/>
      <c r="EQ330" s="280"/>
      <c r="ER330" s="280"/>
      <c r="ES330" s="280"/>
      <c r="ET330" s="280"/>
      <c r="EU330" s="280"/>
      <c r="EV330" s="13"/>
      <c r="EW330" s="43"/>
      <c r="EX330" s="43"/>
      <c r="EY330" s="45"/>
    </row>
    <row r="331" spans="44:155" ht="10.75" customHeight="1" x14ac:dyDescent="0.2">
      <c r="AR331" s="42"/>
      <c r="AS331" s="43"/>
      <c r="AT331" s="43"/>
      <c r="AU331" s="12"/>
      <c r="AV331" s="280"/>
      <c r="AW331" s="280"/>
      <c r="AX331" s="280"/>
      <c r="AY331" s="280"/>
      <c r="AZ331" s="280"/>
      <c r="BA331" s="280"/>
      <c r="BB331" s="280"/>
      <c r="BC331" s="280"/>
      <c r="BD331" s="280"/>
      <c r="BE331" s="280"/>
      <c r="BF331" s="280"/>
      <c r="BG331" s="280"/>
      <c r="BH331" s="280"/>
      <c r="BI331" s="280"/>
      <c r="BJ331" s="280"/>
      <c r="BK331" s="280"/>
      <c r="BL331" s="280"/>
      <c r="BM331" s="280"/>
      <c r="BN331" s="280"/>
      <c r="BO331" s="280"/>
      <c r="BP331" s="280"/>
      <c r="BQ331" s="280"/>
      <c r="BR331" s="280"/>
      <c r="BS331" s="280"/>
      <c r="BT331" s="280"/>
      <c r="BU331" s="280"/>
      <c r="BV331" s="280"/>
      <c r="BW331" s="280"/>
      <c r="BX331" s="280"/>
      <c r="BY331" s="280"/>
      <c r="BZ331" s="13"/>
      <c r="CA331" s="280"/>
      <c r="CB331" s="13"/>
      <c r="CC331" s="280"/>
      <c r="CD331" s="280"/>
      <c r="CE331" s="280"/>
      <c r="CF331" s="280"/>
      <c r="CG331" s="280"/>
      <c r="CH331" s="280"/>
      <c r="CI331" s="280"/>
      <c r="CJ331" s="280"/>
      <c r="CK331" s="280"/>
      <c r="CL331" s="280"/>
      <c r="CM331" s="280"/>
      <c r="CN331" s="280"/>
      <c r="CO331" s="280"/>
      <c r="CP331" s="280"/>
      <c r="CQ331" s="280"/>
      <c r="CR331" s="280"/>
      <c r="CS331" s="280"/>
      <c r="CT331" s="280"/>
      <c r="CU331" s="280"/>
      <c r="CV331" s="13"/>
      <c r="CW331" s="280"/>
      <c r="CX331" s="122"/>
      <c r="CY331" s="280"/>
      <c r="CZ331" s="280"/>
      <c r="DA331" s="280"/>
      <c r="DB331" s="280"/>
      <c r="DC331" s="280"/>
      <c r="DD331" s="280"/>
      <c r="DE331" s="280"/>
      <c r="DF331" s="280"/>
      <c r="DG331" s="280"/>
      <c r="DH331" s="280"/>
      <c r="DI331" s="280"/>
      <c r="DJ331" s="280"/>
      <c r="DK331" s="280"/>
      <c r="DL331" s="280"/>
      <c r="DM331" s="280"/>
      <c r="DN331" s="280"/>
      <c r="DO331" s="280"/>
      <c r="DP331" s="280"/>
      <c r="DQ331" s="280"/>
      <c r="DR331" s="280"/>
      <c r="DS331" s="280"/>
      <c r="DT331" s="280"/>
      <c r="DU331" s="280"/>
      <c r="DV331" s="280"/>
      <c r="DW331" s="280"/>
      <c r="DX331" s="280"/>
      <c r="DY331" s="280"/>
      <c r="DZ331" s="280"/>
      <c r="EA331" s="280"/>
      <c r="EB331" s="280"/>
      <c r="EC331" s="280"/>
      <c r="ED331" s="280"/>
      <c r="EE331" s="280"/>
      <c r="EF331" s="280"/>
      <c r="EG331" s="280"/>
      <c r="EH331" s="280"/>
      <c r="EI331" s="280"/>
      <c r="EJ331" s="280"/>
      <c r="EK331" s="280"/>
      <c r="EL331" s="280"/>
      <c r="EM331" s="280"/>
      <c r="EN331" s="280"/>
      <c r="EO331" s="280"/>
      <c r="EP331" s="280"/>
      <c r="EQ331" s="280"/>
      <c r="ER331" s="280"/>
      <c r="ES331" s="280"/>
      <c r="ET331" s="280"/>
      <c r="EU331" s="280"/>
      <c r="EV331" s="13"/>
      <c r="EW331" s="43"/>
      <c r="EX331" s="43"/>
      <c r="EY331" s="45"/>
    </row>
    <row r="332" spans="44:155" ht="10.75" customHeight="1" x14ac:dyDescent="0.2">
      <c r="AR332" s="42"/>
      <c r="AS332" s="43"/>
      <c r="AT332" s="43"/>
      <c r="AU332" s="12"/>
      <c r="AV332" s="280"/>
      <c r="AW332" s="280"/>
      <c r="AX332" s="280"/>
      <c r="AY332" s="280"/>
      <c r="AZ332" s="280"/>
      <c r="BA332" s="280"/>
      <c r="BB332" s="280"/>
      <c r="BC332" s="280"/>
      <c r="BD332" s="280"/>
      <c r="BE332" s="280"/>
      <c r="BF332" s="280"/>
      <c r="BG332" s="280"/>
      <c r="BH332" s="280"/>
      <c r="BI332" s="280"/>
      <c r="BJ332" s="280"/>
      <c r="BK332" s="280"/>
      <c r="BL332" s="280"/>
      <c r="BM332" s="280"/>
      <c r="BN332" s="280"/>
      <c r="BO332" s="280"/>
      <c r="BP332" s="280"/>
      <c r="BQ332" s="280"/>
      <c r="BR332" s="280"/>
      <c r="BS332" s="280"/>
      <c r="BT332" s="280"/>
      <c r="BU332" s="280"/>
      <c r="BV332" s="280"/>
      <c r="BW332" s="280"/>
      <c r="BX332" s="280"/>
      <c r="BY332" s="280"/>
      <c r="BZ332" s="13"/>
      <c r="CA332" s="280"/>
      <c r="CB332" s="13"/>
      <c r="CC332" s="280"/>
      <c r="CD332" s="280"/>
      <c r="CE332" s="280"/>
      <c r="CF332" s="280"/>
      <c r="CG332" s="280"/>
      <c r="CH332" s="280"/>
      <c r="CI332" s="280"/>
      <c r="CJ332" s="280"/>
      <c r="CK332" s="280"/>
      <c r="CL332" s="280"/>
      <c r="CM332" s="280"/>
      <c r="CN332" s="280"/>
      <c r="CO332" s="280"/>
      <c r="CP332" s="280"/>
      <c r="CQ332" s="280"/>
      <c r="CR332" s="280"/>
      <c r="CS332" s="280"/>
      <c r="CT332" s="280"/>
      <c r="CU332" s="280"/>
      <c r="CV332" s="13"/>
      <c r="CW332" s="280"/>
      <c r="CX332" s="122"/>
      <c r="CY332" s="280"/>
      <c r="CZ332" s="280"/>
      <c r="DA332" s="280"/>
      <c r="DB332" s="280"/>
      <c r="DC332" s="280"/>
      <c r="DD332" s="280"/>
      <c r="DE332" s="280"/>
      <c r="DF332" s="280"/>
      <c r="DG332" s="280"/>
      <c r="DH332" s="280"/>
      <c r="DI332" s="280"/>
      <c r="DJ332" s="280"/>
      <c r="DK332" s="280"/>
      <c r="DL332" s="280"/>
      <c r="DM332" s="280"/>
      <c r="DN332" s="280"/>
      <c r="DO332" s="280"/>
      <c r="DP332" s="280"/>
      <c r="DQ332" s="280"/>
      <c r="DR332" s="280"/>
      <c r="DS332" s="280"/>
      <c r="DT332" s="280"/>
      <c r="DU332" s="280"/>
      <c r="DV332" s="280"/>
      <c r="DW332" s="280"/>
      <c r="DX332" s="280"/>
      <c r="DY332" s="280"/>
      <c r="DZ332" s="280"/>
      <c r="EA332" s="280"/>
      <c r="EB332" s="280"/>
      <c r="EC332" s="280"/>
      <c r="ED332" s="280"/>
      <c r="EE332" s="280"/>
      <c r="EF332" s="280"/>
      <c r="EG332" s="280"/>
      <c r="EH332" s="280"/>
      <c r="EI332" s="280"/>
      <c r="EJ332" s="280"/>
      <c r="EK332" s="280"/>
      <c r="EL332" s="280"/>
      <c r="EM332" s="280"/>
      <c r="EN332" s="280"/>
      <c r="EO332" s="280"/>
      <c r="EP332" s="280"/>
      <c r="EQ332" s="280"/>
      <c r="ER332" s="280"/>
      <c r="ES332" s="280"/>
      <c r="ET332" s="280"/>
      <c r="EU332" s="280"/>
      <c r="EV332" s="13"/>
      <c r="EW332" s="43"/>
      <c r="EX332" s="43"/>
      <c r="EY332" s="45"/>
    </row>
    <row r="333" spans="44:155" ht="10.75" customHeight="1" x14ac:dyDescent="0.2">
      <c r="AR333" s="42"/>
      <c r="AS333" s="43"/>
      <c r="AT333" s="43"/>
      <c r="AU333" s="12"/>
      <c r="AV333" s="280"/>
      <c r="AW333" s="280"/>
      <c r="AX333" s="280"/>
      <c r="AY333" s="280"/>
      <c r="AZ333" s="280"/>
      <c r="BA333" s="280"/>
      <c r="BB333" s="280"/>
      <c r="BC333" s="280"/>
      <c r="BD333" s="280"/>
      <c r="BE333" s="280"/>
      <c r="BF333" s="280"/>
      <c r="BG333" s="280"/>
      <c r="BH333" s="280"/>
      <c r="BI333" s="280"/>
      <c r="BJ333" s="280"/>
      <c r="BK333" s="280"/>
      <c r="BL333" s="280"/>
      <c r="BM333" s="280"/>
      <c r="BN333" s="280"/>
      <c r="BO333" s="280"/>
      <c r="BP333" s="280"/>
      <c r="BQ333" s="280"/>
      <c r="BR333" s="280"/>
      <c r="BS333" s="280"/>
      <c r="BT333" s="280"/>
      <c r="BU333" s="280"/>
      <c r="BV333" s="280"/>
      <c r="BW333" s="280"/>
      <c r="BX333" s="280"/>
      <c r="BY333" s="280"/>
      <c r="BZ333" s="13"/>
      <c r="CA333" s="280"/>
      <c r="CB333" s="13"/>
      <c r="CC333" s="280"/>
      <c r="CD333" s="280"/>
      <c r="CE333" s="280"/>
      <c r="CF333" s="280"/>
      <c r="CG333" s="280"/>
      <c r="CH333" s="280"/>
      <c r="CI333" s="280"/>
      <c r="CJ333" s="280"/>
      <c r="CK333" s="280"/>
      <c r="CL333" s="280"/>
      <c r="CM333" s="280"/>
      <c r="CN333" s="280"/>
      <c r="CO333" s="280"/>
      <c r="CP333" s="280"/>
      <c r="CQ333" s="280"/>
      <c r="CR333" s="280"/>
      <c r="CS333" s="280"/>
      <c r="CT333" s="280"/>
      <c r="CU333" s="280"/>
      <c r="CV333" s="13"/>
      <c r="CW333" s="280"/>
      <c r="CX333" s="122"/>
      <c r="CY333" s="280"/>
      <c r="CZ333" s="280"/>
      <c r="DA333" s="280"/>
      <c r="DB333" s="280"/>
      <c r="DC333" s="280"/>
      <c r="DD333" s="280"/>
      <c r="DE333" s="280"/>
      <c r="DF333" s="280"/>
      <c r="DG333" s="280"/>
      <c r="DH333" s="280"/>
      <c r="DI333" s="280"/>
      <c r="DJ333" s="280"/>
      <c r="DK333" s="280"/>
      <c r="DL333" s="280"/>
      <c r="DM333" s="280"/>
      <c r="DN333" s="280"/>
      <c r="DO333" s="280"/>
      <c r="DP333" s="280"/>
      <c r="DQ333" s="280"/>
      <c r="DR333" s="280"/>
      <c r="DS333" s="280"/>
      <c r="DT333" s="280"/>
      <c r="DU333" s="280"/>
      <c r="DV333" s="280"/>
      <c r="DW333" s="280"/>
      <c r="DX333" s="280"/>
      <c r="DY333" s="280"/>
      <c r="DZ333" s="280"/>
      <c r="EA333" s="280"/>
      <c r="EB333" s="280"/>
      <c r="EC333" s="280"/>
      <c r="ED333" s="280"/>
      <c r="EE333" s="280"/>
      <c r="EF333" s="280"/>
      <c r="EG333" s="280"/>
      <c r="EH333" s="280"/>
      <c r="EI333" s="280"/>
      <c r="EJ333" s="280"/>
      <c r="EK333" s="280"/>
      <c r="EL333" s="280"/>
      <c r="EM333" s="280"/>
      <c r="EN333" s="280"/>
      <c r="EO333" s="280"/>
      <c r="EP333" s="280"/>
      <c r="EQ333" s="280"/>
      <c r="ER333" s="280"/>
      <c r="ES333" s="280"/>
      <c r="ET333" s="280"/>
      <c r="EU333" s="280"/>
      <c r="EV333" s="13"/>
      <c r="EW333" s="43"/>
      <c r="EX333" s="43"/>
      <c r="EY333" s="45"/>
    </row>
    <row r="334" spans="44:155" ht="10.75" customHeight="1" x14ac:dyDescent="0.2">
      <c r="AR334" s="42"/>
      <c r="AS334" s="43"/>
      <c r="AT334" s="43"/>
      <c r="AU334" s="12"/>
      <c r="AV334" s="280"/>
      <c r="AW334" s="280"/>
      <c r="AX334" s="280"/>
      <c r="AY334" s="280"/>
      <c r="AZ334" s="280"/>
      <c r="BA334" s="280"/>
      <c r="BB334" s="280"/>
      <c r="BC334" s="280"/>
      <c r="BD334" s="280"/>
      <c r="BE334" s="280"/>
      <c r="BF334" s="280"/>
      <c r="BG334" s="280"/>
      <c r="BH334" s="280"/>
      <c r="BI334" s="280"/>
      <c r="BJ334" s="280"/>
      <c r="BK334" s="280"/>
      <c r="BL334" s="280"/>
      <c r="BM334" s="280"/>
      <c r="BN334" s="280"/>
      <c r="BO334" s="280"/>
      <c r="BP334" s="280"/>
      <c r="BQ334" s="280"/>
      <c r="BR334" s="280"/>
      <c r="BS334" s="280"/>
      <c r="BT334" s="280"/>
      <c r="BU334" s="280"/>
      <c r="BV334" s="280"/>
      <c r="BW334" s="280"/>
      <c r="BX334" s="280"/>
      <c r="BY334" s="280"/>
      <c r="BZ334" s="13"/>
      <c r="CA334" s="280"/>
      <c r="CB334" s="13"/>
      <c r="CC334" s="280"/>
      <c r="CD334" s="280"/>
      <c r="CE334" s="280"/>
      <c r="CF334" s="280"/>
      <c r="CG334" s="280"/>
      <c r="CH334" s="280"/>
      <c r="CI334" s="280"/>
      <c r="CJ334" s="280"/>
      <c r="CK334" s="280"/>
      <c r="CL334" s="280"/>
      <c r="CM334" s="280"/>
      <c r="CN334" s="280"/>
      <c r="CO334" s="280"/>
      <c r="CP334" s="280"/>
      <c r="CQ334" s="280"/>
      <c r="CR334" s="280"/>
      <c r="CS334" s="280"/>
      <c r="CT334" s="280"/>
      <c r="CU334" s="280"/>
      <c r="CV334" s="13"/>
      <c r="CW334" s="280"/>
      <c r="CX334" s="122"/>
      <c r="CY334" s="280"/>
      <c r="CZ334" s="280"/>
      <c r="DA334" s="280"/>
      <c r="DB334" s="280"/>
      <c r="DC334" s="280"/>
      <c r="DD334" s="280"/>
      <c r="DE334" s="280"/>
      <c r="DF334" s="280"/>
      <c r="DG334" s="280"/>
      <c r="DH334" s="280"/>
      <c r="DI334" s="280"/>
      <c r="DJ334" s="280"/>
      <c r="DK334" s="280"/>
      <c r="DL334" s="280"/>
      <c r="DM334" s="280"/>
      <c r="DN334" s="280"/>
      <c r="DO334" s="280"/>
      <c r="DP334" s="280"/>
      <c r="DQ334" s="280"/>
      <c r="DR334" s="280"/>
      <c r="DS334" s="280"/>
      <c r="DT334" s="280"/>
      <c r="DU334" s="280"/>
      <c r="DV334" s="280"/>
      <c r="DW334" s="280"/>
      <c r="DX334" s="280"/>
      <c r="DY334" s="280"/>
      <c r="DZ334" s="280"/>
      <c r="EA334" s="280"/>
      <c r="EB334" s="280"/>
      <c r="EC334" s="280"/>
      <c r="ED334" s="280"/>
      <c r="EE334" s="280"/>
      <c r="EF334" s="280"/>
      <c r="EG334" s="280"/>
      <c r="EH334" s="280"/>
      <c r="EI334" s="280"/>
      <c r="EJ334" s="280"/>
      <c r="EK334" s="280"/>
      <c r="EL334" s="280"/>
      <c r="EM334" s="280"/>
      <c r="EN334" s="280"/>
      <c r="EO334" s="280"/>
      <c r="EP334" s="280"/>
      <c r="EQ334" s="280"/>
      <c r="ER334" s="280"/>
      <c r="ES334" s="280"/>
      <c r="ET334" s="280"/>
      <c r="EU334" s="280"/>
      <c r="EV334" s="13"/>
      <c r="EW334" s="43"/>
      <c r="EX334" s="43"/>
      <c r="EY334" s="45"/>
    </row>
    <row r="335" spans="44:155" ht="10.75" customHeight="1" x14ac:dyDescent="0.2">
      <c r="AR335" s="42"/>
      <c r="AS335" s="43"/>
      <c r="AT335" s="43"/>
      <c r="AU335" s="12"/>
      <c r="AV335" s="280"/>
      <c r="AW335" s="280"/>
      <c r="AX335" s="280"/>
      <c r="AY335" s="280"/>
      <c r="AZ335" s="280"/>
      <c r="BA335" s="280"/>
      <c r="BB335" s="280"/>
      <c r="BC335" s="280"/>
      <c r="BD335" s="280"/>
      <c r="BE335" s="280"/>
      <c r="BF335" s="280"/>
      <c r="BG335" s="280"/>
      <c r="BH335" s="280"/>
      <c r="BI335" s="280"/>
      <c r="BJ335" s="280"/>
      <c r="BK335" s="280"/>
      <c r="BL335" s="280"/>
      <c r="BM335" s="280"/>
      <c r="BN335" s="280"/>
      <c r="BO335" s="280"/>
      <c r="BP335" s="280"/>
      <c r="BQ335" s="280"/>
      <c r="BR335" s="280"/>
      <c r="BS335" s="280"/>
      <c r="BT335" s="280"/>
      <c r="BU335" s="280"/>
      <c r="BV335" s="280"/>
      <c r="BW335" s="280"/>
      <c r="BX335" s="280"/>
      <c r="BY335" s="280"/>
      <c r="BZ335" s="13"/>
      <c r="CA335" s="280"/>
      <c r="CB335" s="13"/>
      <c r="CC335" s="280"/>
      <c r="CD335" s="280"/>
      <c r="CE335" s="280"/>
      <c r="CF335" s="280"/>
      <c r="CG335" s="280"/>
      <c r="CH335" s="280"/>
      <c r="CI335" s="280"/>
      <c r="CJ335" s="280"/>
      <c r="CK335" s="280"/>
      <c r="CL335" s="280"/>
      <c r="CM335" s="280"/>
      <c r="CN335" s="280"/>
      <c r="CO335" s="280"/>
      <c r="CP335" s="280"/>
      <c r="CQ335" s="280"/>
      <c r="CR335" s="280"/>
      <c r="CS335" s="280"/>
      <c r="CT335" s="280"/>
      <c r="CU335" s="280"/>
      <c r="CV335" s="13"/>
      <c r="CW335" s="280"/>
      <c r="CX335" s="13"/>
      <c r="CY335" s="280"/>
      <c r="CZ335" s="280"/>
      <c r="DA335" s="280"/>
      <c r="DB335" s="280"/>
      <c r="DC335" s="280"/>
      <c r="DD335" s="280"/>
      <c r="DE335" s="280"/>
      <c r="DF335" s="280"/>
      <c r="DG335" s="280"/>
      <c r="DH335" s="280"/>
      <c r="DI335" s="280"/>
      <c r="DJ335" s="280"/>
      <c r="DK335" s="280"/>
      <c r="DL335" s="280"/>
      <c r="DM335" s="280"/>
      <c r="DN335" s="280"/>
      <c r="DO335" s="280"/>
      <c r="DP335" s="280"/>
      <c r="DQ335" s="280"/>
      <c r="DR335" s="280"/>
      <c r="DS335" s="280"/>
      <c r="DT335" s="280"/>
      <c r="DU335" s="280"/>
      <c r="DV335" s="280"/>
      <c r="DW335" s="280"/>
      <c r="DX335" s="280"/>
      <c r="DY335" s="280"/>
      <c r="DZ335" s="280"/>
      <c r="EA335" s="280"/>
      <c r="EB335" s="280"/>
      <c r="EC335" s="280"/>
      <c r="ED335" s="280"/>
      <c r="EE335" s="280"/>
      <c r="EF335" s="280"/>
      <c r="EG335" s="280"/>
      <c r="EH335" s="280"/>
      <c r="EI335" s="280"/>
      <c r="EJ335" s="280"/>
      <c r="EK335" s="280"/>
      <c r="EL335" s="280"/>
      <c r="EM335" s="280"/>
      <c r="EN335" s="280"/>
      <c r="EO335" s="280"/>
      <c r="EP335" s="280"/>
      <c r="EQ335" s="280"/>
      <c r="ER335" s="280"/>
      <c r="ES335" s="280"/>
      <c r="ET335" s="280"/>
      <c r="EU335" s="280"/>
      <c r="EV335" s="13"/>
      <c r="EW335" s="43"/>
      <c r="EX335" s="43"/>
      <c r="EY335" s="45"/>
    </row>
    <row r="336" spans="44:155" ht="10.75" customHeight="1" x14ac:dyDescent="0.2">
      <c r="AR336" s="42"/>
      <c r="AS336" s="43"/>
      <c r="AT336" s="43"/>
      <c r="AU336" s="12"/>
      <c r="AV336" s="280"/>
      <c r="AW336" s="280"/>
      <c r="AX336" s="280"/>
      <c r="AY336" s="280"/>
      <c r="AZ336" s="280"/>
      <c r="BA336" s="280"/>
      <c r="BB336" s="280"/>
      <c r="BC336" s="280"/>
      <c r="BD336" s="280"/>
      <c r="BE336" s="280"/>
      <c r="BF336" s="280"/>
      <c r="BG336" s="280"/>
      <c r="BH336" s="280"/>
      <c r="BI336" s="280"/>
      <c r="BJ336" s="280"/>
      <c r="BK336" s="280"/>
      <c r="BL336" s="280"/>
      <c r="BM336" s="280"/>
      <c r="BN336" s="280"/>
      <c r="BO336" s="280"/>
      <c r="BP336" s="280"/>
      <c r="BQ336" s="280"/>
      <c r="BR336" s="280"/>
      <c r="BS336" s="280"/>
      <c r="BT336" s="280"/>
      <c r="BU336" s="280"/>
      <c r="BV336" s="280"/>
      <c r="BW336" s="280"/>
      <c r="BX336" s="280"/>
      <c r="BY336" s="280"/>
      <c r="BZ336" s="13"/>
      <c r="CA336" s="280"/>
      <c r="CB336" s="13"/>
      <c r="CC336" s="280"/>
      <c r="CD336" s="280"/>
      <c r="CE336" s="280"/>
      <c r="CF336" s="280"/>
      <c r="CG336" s="280"/>
      <c r="CH336" s="280"/>
      <c r="CI336" s="280"/>
      <c r="CJ336" s="280"/>
      <c r="CK336" s="280"/>
      <c r="CL336" s="280"/>
      <c r="CM336" s="280"/>
      <c r="CN336" s="280"/>
      <c r="CO336" s="280"/>
      <c r="CP336" s="280"/>
      <c r="CQ336" s="280"/>
      <c r="CR336" s="280"/>
      <c r="CS336" s="280"/>
      <c r="CT336" s="280"/>
      <c r="CU336" s="280"/>
      <c r="CV336" s="13"/>
      <c r="CW336" s="280"/>
      <c r="CX336" s="13"/>
      <c r="CY336" s="280"/>
      <c r="CZ336" s="280"/>
      <c r="DA336" s="280"/>
      <c r="DB336" s="280"/>
      <c r="DC336" s="280"/>
      <c r="DD336" s="280"/>
      <c r="DE336" s="280"/>
      <c r="DF336" s="280"/>
      <c r="DG336" s="280"/>
      <c r="DH336" s="280"/>
      <c r="DI336" s="280"/>
      <c r="DJ336" s="280"/>
      <c r="DK336" s="280"/>
      <c r="DL336" s="280"/>
      <c r="DM336" s="280"/>
      <c r="DN336" s="280"/>
      <c r="DO336" s="280"/>
      <c r="DP336" s="280"/>
      <c r="DQ336" s="280"/>
      <c r="DR336" s="280"/>
      <c r="DS336" s="280"/>
      <c r="DT336" s="280"/>
      <c r="DU336" s="280"/>
      <c r="DV336" s="280"/>
      <c r="DW336" s="280"/>
      <c r="DX336" s="280"/>
      <c r="DY336" s="280"/>
      <c r="DZ336" s="280"/>
      <c r="EA336" s="280"/>
      <c r="EB336" s="280"/>
      <c r="EC336" s="280"/>
      <c r="ED336" s="280"/>
      <c r="EE336" s="280"/>
      <c r="EF336" s="280"/>
      <c r="EG336" s="280"/>
      <c r="EH336" s="280"/>
      <c r="EI336" s="280"/>
      <c r="EJ336" s="280"/>
      <c r="EK336" s="280"/>
      <c r="EL336" s="280"/>
      <c r="EM336" s="280"/>
      <c r="EN336" s="280"/>
      <c r="EO336" s="280"/>
      <c r="EP336" s="280"/>
      <c r="EQ336" s="280"/>
      <c r="ER336" s="280"/>
      <c r="ES336" s="280"/>
      <c r="ET336" s="280"/>
      <c r="EU336" s="280"/>
      <c r="EV336" s="13"/>
      <c r="EW336" s="43"/>
      <c r="EX336" s="43"/>
      <c r="EY336" s="45"/>
    </row>
    <row r="337" spans="44:155" ht="10.75" customHeight="1" x14ac:dyDescent="0.2">
      <c r="AR337" s="42"/>
      <c r="AS337" s="43"/>
      <c r="AT337" s="43"/>
      <c r="AU337" s="12"/>
      <c r="AV337" s="280"/>
      <c r="AW337" s="280"/>
      <c r="AX337" s="280"/>
      <c r="AY337" s="280"/>
      <c r="AZ337" s="280"/>
      <c r="BA337" s="280"/>
      <c r="BB337" s="280"/>
      <c r="BC337" s="280"/>
      <c r="BD337" s="280"/>
      <c r="BE337" s="280"/>
      <c r="BF337" s="280"/>
      <c r="BG337" s="280"/>
      <c r="BH337" s="280"/>
      <c r="BI337" s="280"/>
      <c r="BJ337" s="280"/>
      <c r="BK337" s="280"/>
      <c r="BL337" s="280"/>
      <c r="BM337" s="280"/>
      <c r="BN337" s="280"/>
      <c r="BO337" s="280"/>
      <c r="BP337" s="280"/>
      <c r="BQ337" s="280"/>
      <c r="BR337" s="280"/>
      <c r="BS337" s="280"/>
      <c r="BT337" s="280"/>
      <c r="BU337" s="280"/>
      <c r="BV337" s="280"/>
      <c r="BW337" s="280"/>
      <c r="BX337" s="280"/>
      <c r="BY337" s="280"/>
      <c r="BZ337" s="13"/>
      <c r="CA337" s="280"/>
      <c r="CB337" s="13"/>
      <c r="CC337" s="280"/>
      <c r="CD337" s="280"/>
      <c r="CE337" s="280"/>
      <c r="CF337" s="280"/>
      <c r="CG337" s="280"/>
      <c r="CH337" s="280"/>
      <c r="CI337" s="280"/>
      <c r="CJ337" s="280"/>
      <c r="CK337" s="280"/>
      <c r="CL337" s="280"/>
      <c r="CM337" s="280"/>
      <c r="CN337" s="280"/>
      <c r="CO337" s="280"/>
      <c r="CP337" s="280"/>
      <c r="CQ337" s="280"/>
      <c r="CR337" s="280"/>
      <c r="CS337" s="280"/>
      <c r="CT337" s="280"/>
      <c r="CU337" s="280"/>
      <c r="CV337" s="13"/>
      <c r="CW337" s="280"/>
      <c r="CX337" s="13"/>
      <c r="CY337" s="280"/>
      <c r="CZ337" s="280"/>
      <c r="DA337" s="280"/>
      <c r="DB337" s="280"/>
      <c r="DC337" s="280"/>
      <c r="DD337" s="280"/>
      <c r="DE337" s="280"/>
      <c r="DF337" s="280"/>
      <c r="DG337" s="280"/>
      <c r="DH337" s="280"/>
      <c r="DI337" s="280"/>
      <c r="DJ337" s="280"/>
      <c r="DK337" s="280"/>
      <c r="DL337" s="280"/>
      <c r="DM337" s="280"/>
      <c r="DN337" s="280"/>
      <c r="DO337" s="280"/>
      <c r="DP337" s="280"/>
      <c r="DQ337" s="280"/>
      <c r="DR337" s="280"/>
      <c r="DS337" s="280"/>
      <c r="DT337" s="280"/>
      <c r="DU337" s="280"/>
      <c r="DV337" s="280"/>
      <c r="DW337" s="280"/>
      <c r="DX337" s="280"/>
      <c r="DY337" s="280"/>
      <c r="DZ337" s="280"/>
      <c r="EA337" s="280"/>
      <c r="EB337" s="280"/>
      <c r="EC337" s="280"/>
      <c r="ED337" s="280"/>
      <c r="EE337" s="280"/>
      <c r="EF337" s="280"/>
      <c r="EG337" s="280"/>
      <c r="EH337" s="280"/>
      <c r="EI337" s="280"/>
      <c r="EJ337" s="280"/>
      <c r="EK337" s="280"/>
      <c r="EL337" s="280"/>
      <c r="EM337" s="280"/>
      <c r="EN337" s="280"/>
      <c r="EO337" s="280"/>
      <c r="EP337" s="280"/>
      <c r="EQ337" s="280"/>
      <c r="ER337" s="280"/>
      <c r="ES337" s="280"/>
      <c r="ET337" s="280"/>
      <c r="EU337" s="280"/>
      <c r="EV337" s="13"/>
      <c r="EW337" s="43"/>
      <c r="EX337" s="43"/>
      <c r="EY337" s="45"/>
    </row>
    <row r="338" spans="44:155" ht="10.75" customHeight="1" x14ac:dyDescent="0.2">
      <c r="AR338" s="42"/>
      <c r="AS338" s="43"/>
      <c r="AT338" s="43"/>
      <c r="AU338" s="12"/>
      <c r="AV338" s="280"/>
      <c r="AW338" s="280"/>
      <c r="AX338" s="280"/>
      <c r="AY338" s="280"/>
      <c r="AZ338" s="280"/>
      <c r="BA338" s="280"/>
      <c r="BB338" s="280"/>
      <c r="BC338" s="280"/>
      <c r="BD338" s="280"/>
      <c r="BE338" s="280"/>
      <c r="BF338" s="280"/>
      <c r="BG338" s="280"/>
      <c r="BH338" s="280"/>
      <c r="BI338" s="280"/>
      <c r="BJ338" s="280"/>
      <c r="BK338" s="280"/>
      <c r="BL338" s="280"/>
      <c r="BM338" s="280"/>
      <c r="BN338" s="280"/>
      <c r="BO338" s="280"/>
      <c r="BP338" s="280"/>
      <c r="BQ338" s="280"/>
      <c r="BR338" s="280"/>
      <c r="BS338" s="280"/>
      <c r="BT338" s="280"/>
      <c r="BU338" s="280"/>
      <c r="BV338" s="280"/>
      <c r="BW338" s="280"/>
      <c r="BX338" s="280"/>
      <c r="BY338" s="280"/>
      <c r="BZ338" s="13"/>
      <c r="CA338" s="280"/>
      <c r="CB338" s="13"/>
      <c r="CC338" s="280"/>
      <c r="CD338" s="280"/>
      <c r="CE338" s="280"/>
      <c r="CF338" s="280"/>
      <c r="CG338" s="280"/>
      <c r="CH338" s="280"/>
      <c r="CI338" s="280"/>
      <c r="CJ338" s="280"/>
      <c r="CK338" s="280"/>
      <c r="CL338" s="280"/>
      <c r="CM338" s="280"/>
      <c r="CN338" s="280"/>
      <c r="CO338" s="280"/>
      <c r="CP338" s="280"/>
      <c r="CQ338" s="280"/>
      <c r="CR338" s="280"/>
      <c r="CS338" s="280"/>
      <c r="CT338" s="280"/>
      <c r="CU338" s="280"/>
      <c r="CV338" s="13"/>
      <c r="CW338" s="280"/>
      <c r="CX338" s="13"/>
      <c r="CY338" s="280"/>
      <c r="CZ338" s="280"/>
      <c r="DA338" s="280"/>
      <c r="DB338" s="280"/>
      <c r="DC338" s="280"/>
      <c r="DD338" s="280"/>
      <c r="DE338" s="280"/>
      <c r="DF338" s="280"/>
      <c r="DG338" s="280"/>
      <c r="DH338" s="280"/>
      <c r="DI338" s="280"/>
      <c r="DJ338" s="280"/>
      <c r="DK338" s="280"/>
      <c r="DL338" s="280"/>
      <c r="DM338" s="280"/>
      <c r="DN338" s="280"/>
      <c r="DO338" s="280"/>
      <c r="DP338" s="280"/>
      <c r="DQ338" s="280"/>
      <c r="DR338" s="280"/>
      <c r="DS338" s="280"/>
      <c r="DT338" s="280"/>
      <c r="DU338" s="280"/>
      <c r="DV338" s="280"/>
      <c r="DW338" s="280"/>
      <c r="DX338" s="280"/>
      <c r="DY338" s="280"/>
      <c r="DZ338" s="280"/>
      <c r="EA338" s="280"/>
      <c r="EB338" s="280"/>
      <c r="EC338" s="280"/>
      <c r="ED338" s="280"/>
      <c r="EE338" s="280"/>
      <c r="EF338" s="280"/>
      <c r="EG338" s="280"/>
      <c r="EH338" s="280"/>
      <c r="EI338" s="280"/>
      <c r="EJ338" s="280"/>
      <c r="EK338" s="280"/>
      <c r="EL338" s="280"/>
      <c r="EM338" s="280"/>
      <c r="EN338" s="280"/>
      <c r="EO338" s="280"/>
      <c r="EP338" s="280"/>
      <c r="EQ338" s="280"/>
      <c r="ER338" s="280"/>
      <c r="ES338" s="280"/>
      <c r="ET338" s="280"/>
      <c r="EU338" s="280"/>
      <c r="EV338" s="13"/>
      <c r="EW338" s="43"/>
      <c r="EX338" s="43"/>
      <c r="EY338" s="45"/>
    </row>
    <row r="339" spans="44:155" ht="10.75" customHeight="1" x14ac:dyDescent="0.2">
      <c r="AR339" s="42"/>
      <c r="AS339" s="43"/>
      <c r="AT339" s="43"/>
      <c r="AU339" s="12"/>
      <c r="AV339" s="280"/>
      <c r="AW339" s="280"/>
      <c r="AX339" s="280"/>
      <c r="AY339" s="280"/>
      <c r="AZ339" s="280"/>
      <c r="BA339" s="280"/>
      <c r="BB339" s="280"/>
      <c r="BC339" s="280"/>
      <c r="BD339" s="280"/>
      <c r="BE339" s="280"/>
      <c r="BF339" s="280"/>
      <c r="BG339" s="280"/>
      <c r="BH339" s="280"/>
      <c r="BI339" s="280"/>
      <c r="BJ339" s="280"/>
      <c r="BK339" s="280"/>
      <c r="BL339" s="280"/>
      <c r="BM339" s="280"/>
      <c r="BN339" s="280"/>
      <c r="BO339" s="280"/>
      <c r="BP339" s="280"/>
      <c r="BQ339" s="280"/>
      <c r="BR339" s="280"/>
      <c r="BS339" s="280"/>
      <c r="BT339" s="280"/>
      <c r="BU339" s="280"/>
      <c r="BV339" s="280"/>
      <c r="BW339" s="280"/>
      <c r="BX339" s="280"/>
      <c r="BY339" s="280"/>
      <c r="BZ339" s="13"/>
      <c r="CA339" s="280"/>
      <c r="CB339" s="13"/>
      <c r="CC339" s="280"/>
      <c r="CD339" s="280"/>
      <c r="CE339" s="280"/>
      <c r="CF339" s="280"/>
      <c r="CG339" s="280"/>
      <c r="CH339" s="280"/>
      <c r="CI339" s="280"/>
      <c r="CJ339" s="280"/>
      <c r="CK339" s="280"/>
      <c r="CL339" s="280"/>
      <c r="CM339" s="280"/>
      <c r="CN339" s="280"/>
      <c r="CO339" s="280"/>
      <c r="CP339" s="280"/>
      <c r="CQ339" s="280"/>
      <c r="CR339" s="280"/>
      <c r="CS339" s="280"/>
      <c r="CT339" s="280"/>
      <c r="CU339" s="280"/>
      <c r="CV339" s="13"/>
      <c r="CW339" s="280"/>
      <c r="CX339" s="13"/>
      <c r="CY339" s="280"/>
      <c r="CZ339" s="280"/>
      <c r="DA339" s="280"/>
      <c r="DB339" s="280"/>
      <c r="DC339" s="280"/>
      <c r="DD339" s="280"/>
      <c r="DE339" s="280"/>
      <c r="DF339" s="280"/>
      <c r="DG339" s="280"/>
      <c r="DH339" s="280"/>
      <c r="DI339" s="280"/>
      <c r="DJ339" s="280"/>
      <c r="DK339" s="280"/>
      <c r="DL339" s="280"/>
      <c r="DM339" s="280"/>
      <c r="DN339" s="280"/>
      <c r="DO339" s="280"/>
      <c r="DP339" s="280"/>
      <c r="DQ339" s="280"/>
      <c r="DR339" s="280"/>
      <c r="DS339" s="280"/>
      <c r="DT339" s="280"/>
      <c r="DU339" s="280"/>
      <c r="DV339" s="280"/>
      <c r="DW339" s="280"/>
      <c r="DX339" s="280"/>
      <c r="DY339" s="280"/>
      <c r="DZ339" s="280"/>
      <c r="EA339" s="280"/>
      <c r="EB339" s="280"/>
      <c r="EC339" s="280"/>
      <c r="ED339" s="280"/>
      <c r="EE339" s="280"/>
      <c r="EF339" s="280"/>
      <c r="EG339" s="280"/>
      <c r="EH339" s="280"/>
      <c r="EI339" s="280"/>
      <c r="EJ339" s="280"/>
      <c r="EK339" s="280"/>
      <c r="EL339" s="280"/>
      <c r="EM339" s="280"/>
      <c r="EN339" s="280"/>
      <c r="EO339" s="280"/>
      <c r="EP339" s="280"/>
      <c r="EQ339" s="280"/>
      <c r="ER339" s="280"/>
      <c r="ES339" s="280"/>
      <c r="ET339" s="280"/>
      <c r="EU339" s="280"/>
      <c r="EV339" s="13"/>
      <c r="EW339" s="43"/>
      <c r="EX339" s="43"/>
      <c r="EY339" s="45"/>
    </row>
    <row r="340" spans="44:155" ht="10.75" customHeight="1" x14ac:dyDescent="0.2">
      <c r="AR340" s="42"/>
      <c r="AS340" s="43"/>
      <c r="AT340" s="43"/>
      <c r="AU340" s="12"/>
      <c r="AV340" s="280"/>
      <c r="AW340" s="280"/>
      <c r="AX340" s="280"/>
      <c r="AY340" s="280"/>
      <c r="AZ340" s="280"/>
      <c r="BA340" s="280"/>
      <c r="BB340" s="280"/>
      <c r="BC340" s="280"/>
      <c r="BD340" s="280"/>
      <c r="BE340" s="280"/>
      <c r="BF340" s="280"/>
      <c r="BG340" s="280"/>
      <c r="BH340" s="280"/>
      <c r="BI340" s="280"/>
      <c r="BJ340" s="280"/>
      <c r="BK340" s="280"/>
      <c r="BL340" s="280"/>
      <c r="BM340" s="280"/>
      <c r="BN340" s="280"/>
      <c r="BO340" s="280"/>
      <c r="BP340" s="280"/>
      <c r="BQ340" s="280"/>
      <c r="BR340" s="280"/>
      <c r="BS340" s="280"/>
      <c r="BT340" s="280"/>
      <c r="BU340" s="280"/>
      <c r="BV340" s="280"/>
      <c r="BW340" s="280"/>
      <c r="BX340" s="280"/>
      <c r="BY340" s="280"/>
      <c r="BZ340" s="13"/>
      <c r="CA340" s="280"/>
      <c r="CB340" s="13"/>
      <c r="CC340" s="280"/>
      <c r="CD340" s="280"/>
      <c r="CE340" s="280"/>
      <c r="CF340" s="280"/>
      <c r="CG340" s="280"/>
      <c r="CH340" s="280"/>
      <c r="CI340" s="280"/>
      <c r="CJ340" s="280"/>
      <c r="CK340" s="280"/>
      <c r="CL340" s="280"/>
      <c r="CM340" s="280"/>
      <c r="CN340" s="280"/>
      <c r="CO340" s="280"/>
      <c r="CP340" s="280"/>
      <c r="CQ340" s="280"/>
      <c r="CR340" s="280"/>
      <c r="CS340" s="280"/>
      <c r="CT340" s="280"/>
      <c r="CU340" s="280"/>
      <c r="CV340" s="13"/>
      <c r="CW340" s="280"/>
      <c r="CX340" s="13"/>
      <c r="CY340" s="280"/>
      <c r="CZ340" s="280"/>
      <c r="DA340" s="280"/>
      <c r="DB340" s="280"/>
      <c r="DC340" s="280"/>
      <c r="DD340" s="280"/>
      <c r="DE340" s="280"/>
      <c r="DF340" s="280"/>
      <c r="DG340" s="280"/>
      <c r="DH340" s="280"/>
      <c r="DI340" s="280"/>
      <c r="DJ340" s="280"/>
      <c r="DK340" s="280"/>
      <c r="DL340" s="280"/>
      <c r="DM340" s="280"/>
      <c r="DN340" s="280"/>
      <c r="DO340" s="280"/>
      <c r="DP340" s="280"/>
      <c r="DQ340" s="280"/>
      <c r="DR340" s="280"/>
      <c r="DS340" s="280"/>
      <c r="DT340" s="280"/>
      <c r="DU340" s="280"/>
      <c r="DV340" s="280"/>
      <c r="DW340" s="280"/>
      <c r="DX340" s="280"/>
      <c r="DY340" s="280"/>
      <c r="DZ340" s="280"/>
      <c r="EA340" s="280"/>
      <c r="EB340" s="280"/>
      <c r="EC340" s="280"/>
      <c r="ED340" s="280"/>
      <c r="EE340" s="280"/>
      <c r="EF340" s="280"/>
      <c r="EG340" s="280"/>
      <c r="EH340" s="280"/>
      <c r="EI340" s="280"/>
      <c r="EJ340" s="280"/>
      <c r="EK340" s="280"/>
      <c r="EL340" s="280"/>
      <c r="EM340" s="280"/>
      <c r="EN340" s="280"/>
      <c r="EO340" s="280"/>
      <c r="EP340" s="280"/>
      <c r="EQ340" s="280"/>
      <c r="ER340" s="280"/>
      <c r="ES340" s="280"/>
      <c r="ET340" s="280"/>
      <c r="EU340" s="280"/>
      <c r="EV340" s="13"/>
      <c r="EW340" s="43"/>
      <c r="EX340" s="43"/>
      <c r="EY340" s="45"/>
    </row>
    <row r="341" spans="44:155" ht="10.75" customHeight="1" x14ac:dyDescent="0.2">
      <c r="AR341" s="42"/>
      <c r="AS341" s="43"/>
      <c r="AT341" s="43"/>
      <c r="AU341" s="12"/>
      <c r="AV341" s="280"/>
      <c r="AW341" s="280"/>
      <c r="AX341" s="280"/>
      <c r="AY341" s="280"/>
      <c r="AZ341" s="280"/>
      <c r="BA341" s="280"/>
      <c r="BB341" s="280"/>
      <c r="BC341" s="280"/>
      <c r="BD341" s="280"/>
      <c r="BE341" s="280"/>
      <c r="BF341" s="280"/>
      <c r="BG341" s="280"/>
      <c r="BH341" s="280"/>
      <c r="BI341" s="280"/>
      <c r="BJ341" s="280"/>
      <c r="BK341" s="280"/>
      <c r="BL341" s="280"/>
      <c r="BM341" s="280"/>
      <c r="BN341" s="280"/>
      <c r="BO341" s="280"/>
      <c r="BP341" s="280"/>
      <c r="BQ341" s="280"/>
      <c r="BR341" s="280"/>
      <c r="BS341" s="280"/>
      <c r="BT341" s="280"/>
      <c r="BU341" s="280"/>
      <c r="BV341" s="280"/>
      <c r="BW341" s="280"/>
      <c r="BX341" s="280"/>
      <c r="BY341" s="280"/>
      <c r="BZ341" s="13"/>
      <c r="CA341" s="280"/>
      <c r="CB341" s="13"/>
      <c r="CC341" s="280"/>
      <c r="CD341" s="280"/>
      <c r="CE341" s="280"/>
      <c r="CF341" s="280"/>
      <c r="CG341" s="280"/>
      <c r="CH341" s="280"/>
      <c r="CI341" s="280"/>
      <c r="CJ341" s="280"/>
      <c r="CK341" s="280"/>
      <c r="CL341" s="280"/>
      <c r="CM341" s="280"/>
      <c r="CN341" s="280"/>
      <c r="CO341" s="280"/>
      <c r="CP341" s="280"/>
      <c r="CQ341" s="280"/>
      <c r="CR341" s="280"/>
      <c r="CS341" s="280"/>
      <c r="CT341" s="280"/>
      <c r="CU341" s="280"/>
      <c r="CV341" s="13"/>
      <c r="CW341" s="280"/>
      <c r="CX341" s="13"/>
      <c r="CY341" s="280"/>
      <c r="CZ341" s="280"/>
      <c r="DA341" s="280"/>
      <c r="DB341" s="280"/>
      <c r="DC341" s="280"/>
      <c r="DD341" s="280"/>
      <c r="DE341" s="280"/>
      <c r="DF341" s="280"/>
      <c r="DG341" s="280"/>
      <c r="DH341" s="280"/>
      <c r="DI341" s="280"/>
      <c r="DJ341" s="280"/>
      <c r="DK341" s="280"/>
      <c r="DL341" s="280"/>
      <c r="DM341" s="280"/>
      <c r="DN341" s="280"/>
      <c r="DO341" s="280"/>
      <c r="DP341" s="280"/>
      <c r="DQ341" s="280"/>
      <c r="DR341" s="280"/>
      <c r="DS341" s="280"/>
      <c r="DT341" s="280"/>
      <c r="DU341" s="280"/>
      <c r="DV341" s="280"/>
      <c r="DW341" s="280"/>
      <c r="DX341" s="280"/>
      <c r="DY341" s="280"/>
      <c r="DZ341" s="280"/>
      <c r="EA341" s="280"/>
      <c r="EB341" s="280"/>
      <c r="EC341" s="280"/>
      <c r="ED341" s="280"/>
      <c r="EE341" s="280"/>
      <c r="EF341" s="280"/>
      <c r="EG341" s="280"/>
      <c r="EH341" s="280"/>
      <c r="EI341" s="280"/>
      <c r="EJ341" s="280"/>
      <c r="EK341" s="280"/>
      <c r="EL341" s="280"/>
      <c r="EM341" s="280"/>
      <c r="EN341" s="280"/>
      <c r="EO341" s="280"/>
      <c r="EP341" s="280"/>
      <c r="EQ341" s="280"/>
      <c r="ER341" s="280"/>
      <c r="ES341" s="280"/>
      <c r="ET341" s="280"/>
      <c r="EU341" s="280"/>
      <c r="EV341" s="13"/>
      <c r="EW341" s="43"/>
      <c r="EX341" s="43"/>
      <c r="EY341" s="45"/>
    </row>
    <row r="342" spans="44:155" ht="10.75" customHeight="1" x14ac:dyDescent="0.2">
      <c r="AR342" s="42"/>
      <c r="AS342" s="43"/>
      <c r="AT342" s="43"/>
      <c r="AU342" s="12"/>
      <c r="AV342" s="280"/>
      <c r="AW342" s="280"/>
      <c r="AX342" s="280"/>
      <c r="AY342" s="280"/>
      <c r="AZ342" s="280"/>
      <c r="BA342" s="280"/>
      <c r="BB342" s="280"/>
      <c r="BC342" s="280"/>
      <c r="BD342" s="280"/>
      <c r="BE342" s="280"/>
      <c r="BF342" s="280"/>
      <c r="BG342" s="280"/>
      <c r="BH342" s="280"/>
      <c r="BI342" s="280"/>
      <c r="BJ342" s="280"/>
      <c r="BK342" s="280"/>
      <c r="BL342" s="280"/>
      <c r="BM342" s="280"/>
      <c r="BN342" s="280"/>
      <c r="BO342" s="280"/>
      <c r="BP342" s="280"/>
      <c r="BQ342" s="280"/>
      <c r="BR342" s="280"/>
      <c r="BS342" s="280"/>
      <c r="BT342" s="280"/>
      <c r="BU342" s="280"/>
      <c r="BV342" s="280"/>
      <c r="BW342" s="280"/>
      <c r="BX342" s="280"/>
      <c r="BY342" s="280"/>
      <c r="BZ342" s="13"/>
      <c r="CA342" s="280"/>
      <c r="CB342" s="13"/>
      <c r="CC342" s="280"/>
      <c r="CD342" s="280"/>
      <c r="CE342" s="280"/>
      <c r="CF342" s="280"/>
      <c r="CG342" s="280"/>
      <c r="CH342" s="280"/>
      <c r="CI342" s="280"/>
      <c r="CJ342" s="280"/>
      <c r="CK342" s="280"/>
      <c r="CL342" s="280"/>
      <c r="CM342" s="280"/>
      <c r="CN342" s="280"/>
      <c r="CO342" s="280"/>
      <c r="CP342" s="280"/>
      <c r="CQ342" s="280"/>
      <c r="CR342" s="280"/>
      <c r="CS342" s="280"/>
      <c r="CT342" s="280"/>
      <c r="CU342" s="280"/>
      <c r="CV342" s="13"/>
      <c r="CW342" s="280"/>
      <c r="CX342" s="13"/>
      <c r="CY342" s="280"/>
      <c r="CZ342" s="280"/>
      <c r="DA342" s="280"/>
      <c r="DB342" s="280"/>
      <c r="DC342" s="280"/>
      <c r="DD342" s="280"/>
      <c r="DE342" s="280"/>
      <c r="DF342" s="280"/>
      <c r="DG342" s="280"/>
      <c r="DH342" s="280"/>
      <c r="DI342" s="280"/>
      <c r="DJ342" s="280"/>
      <c r="DK342" s="280"/>
      <c r="DL342" s="280"/>
      <c r="DM342" s="280"/>
      <c r="DN342" s="280"/>
      <c r="DO342" s="280"/>
      <c r="DP342" s="280"/>
      <c r="DQ342" s="280"/>
      <c r="DR342" s="280"/>
      <c r="DS342" s="280"/>
      <c r="DT342" s="280"/>
      <c r="DU342" s="280"/>
      <c r="DV342" s="280"/>
      <c r="DW342" s="280"/>
      <c r="DX342" s="280"/>
      <c r="DY342" s="280"/>
      <c r="DZ342" s="280"/>
      <c r="EA342" s="280"/>
      <c r="EB342" s="280"/>
      <c r="EC342" s="280"/>
      <c r="ED342" s="280"/>
      <c r="EE342" s="280"/>
      <c r="EF342" s="280"/>
      <c r="EG342" s="280"/>
      <c r="EH342" s="280"/>
      <c r="EI342" s="280"/>
      <c r="EJ342" s="280"/>
      <c r="EK342" s="280"/>
      <c r="EL342" s="280"/>
      <c r="EM342" s="280"/>
      <c r="EN342" s="280"/>
      <c r="EO342" s="280"/>
      <c r="EP342" s="280"/>
      <c r="EQ342" s="280"/>
      <c r="ER342" s="280"/>
      <c r="ES342" s="280"/>
      <c r="ET342" s="280"/>
      <c r="EU342" s="280"/>
      <c r="EV342" s="13"/>
      <c r="EW342" s="43"/>
      <c r="EX342" s="43"/>
      <c r="EY342" s="45"/>
    </row>
    <row r="343" spans="44:155" ht="10.75" customHeight="1" x14ac:dyDescent="0.2">
      <c r="AR343" s="42"/>
      <c r="AS343" s="43"/>
      <c r="AT343" s="43"/>
      <c r="AU343" s="12"/>
      <c r="AV343" s="280"/>
      <c r="AW343" s="280"/>
      <c r="AX343" s="280"/>
      <c r="AY343" s="280"/>
      <c r="AZ343" s="280"/>
      <c r="BA343" s="280"/>
      <c r="BB343" s="280"/>
      <c r="BC343" s="280"/>
      <c r="BD343" s="280"/>
      <c r="BE343" s="280"/>
      <c r="BF343" s="280"/>
      <c r="BG343" s="280"/>
      <c r="BH343" s="280"/>
      <c r="BI343" s="280"/>
      <c r="BJ343" s="280"/>
      <c r="BK343" s="280"/>
      <c r="BL343" s="280"/>
      <c r="BM343" s="280"/>
      <c r="BN343" s="280"/>
      <c r="BO343" s="280"/>
      <c r="BP343" s="280"/>
      <c r="BQ343" s="280"/>
      <c r="BR343" s="280"/>
      <c r="BS343" s="280"/>
      <c r="BT343" s="280"/>
      <c r="BU343" s="280"/>
      <c r="BV343" s="280"/>
      <c r="BW343" s="280"/>
      <c r="BX343" s="280"/>
      <c r="BY343" s="280"/>
      <c r="BZ343" s="13"/>
      <c r="CA343" s="280"/>
      <c r="CB343" s="13"/>
      <c r="CC343" s="280"/>
      <c r="CD343" s="280"/>
      <c r="CE343" s="280"/>
      <c r="CF343" s="280"/>
      <c r="CG343" s="280"/>
      <c r="CH343" s="280"/>
      <c r="CI343" s="280"/>
      <c r="CJ343" s="280"/>
      <c r="CK343" s="280"/>
      <c r="CL343" s="280"/>
      <c r="CM343" s="280"/>
      <c r="CN343" s="280"/>
      <c r="CO343" s="280"/>
      <c r="CP343" s="280"/>
      <c r="CQ343" s="280"/>
      <c r="CR343" s="280"/>
      <c r="CS343" s="280"/>
      <c r="CT343" s="280"/>
      <c r="CU343" s="280"/>
      <c r="CV343" s="13"/>
      <c r="CW343" s="280"/>
      <c r="CX343" s="13"/>
      <c r="CY343" s="280"/>
      <c r="CZ343" s="280"/>
      <c r="DA343" s="280"/>
      <c r="DB343" s="280"/>
      <c r="DC343" s="280"/>
      <c r="DD343" s="280"/>
      <c r="DE343" s="280"/>
      <c r="DF343" s="280"/>
      <c r="DG343" s="280"/>
      <c r="DH343" s="280"/>
      <c r="DI343" s="280"/>
      <c r="DJ343" s="280"/>
      <c r="DK343" s="280"/>
      <c r="DL343" s="280"/>
      <c r="DM343" s="280"/>
      <c r="DN343" s="280"/>
      <c r="DO343" s="280"/>
      <c r="DP343" s="280"/>
      <c r="DQ343" s="280"/>
      <c r="DR343" s="280"/>
      <c r="DS343" s="280"/>
      <c r="DT343" s="280"/>
      <c r="DU343" s="280"/>
      <c r="DV343" s="280"/>
      <c r="DW343" s="280"/>
      <c r="DX343" s="280"/>
      <c r="DY343" s="280"/>
      <c r="DZ343" s="280"/>
      <c r="EA343" s="280"/>
      <c r="EB343" s="280"/>
      <c r="EC343" s="280"/>
      <c r="ED343" s="280"/>
      <c r="EE343" s="280"/>
      <c r="EF343" s="280"/>
      <c r="EG343" s="280"/>
      <c r="EH343" s="280"/>
      <c r="EI343" s="280"/>
      <c r="EJ343" s="280"/>
      <c r="EK343" s="280"/>
      <c r="EL343" s="280"/>
      <c r="EM343" s="280"/>
      <c r="EN343" s="280"/>
      <c r="EO343" s="280"/>
      <c r="EP343" s="280"/>
      <c r="EQ343" s="280"/>
      <c r="ER343" s="280"/>
      <c r="ES343" s="280"/>
      <c r="ET343" s="280"/>
      <c r="EU343" s="280"/>
      <c r="EV343" s="13"/>
      <c r="EW343" s="43"/>
      <c r="EX343" s="43"/>
      <c r="EY343" s="45"/>
    </row>
    <row r="344" spans="44:155" ht="10.75" customHeight="1" x14ac:dyDescent="0.2">
      <c r="AR344" s="42"/>
      <c r="AS344" s="43"/>
      <c r="AT344" s="43"/>
      <c r="AU344" s="12"/>
      <c r="AV344" s="280"/>
      <c r="AW344" s="280"/>
      <c r="AX344" s="280"/>
      <c r="AY344" s="280"/>
      <c r="AZ344" s="280"/>
      <c r="BA344" s="280"/>
      <c r="BB344" s="280"/>
      <c r="BC344" s="280"/>
      <c r="BD344" s="280"/>
      <c r="BE344" s="280"/>
      <c r="BF344" s="280"/>
      <c r="BG344" s="280"/>
      <c r="BH344" s="280"/>
      <c r="BI344" s="280"/>
      <c r="BJ344" s="280"/>
      <c r="BK344" s="280"/>
      <c r="BL344" s="280"/>
      <c r="BM344" s="280"/>
      <c r="BN344" s="280"/>
      <c r="BO344" s="280"/>
      <c r="BP344" s="280"/>
      <c r="BQ344" s="280"/>
      <c r="BR344" s="280"/>
      <c r="BS344" s="280"/>
      <c r="BT344" s="280"/>
      <c r="BU344" s="280"/>
      <c r="BV344" s="280"/>
      <c r="BW344" s="280"/>
      <c r="BX344" s="280"/>
      <c r="BY344" s="280"/>
      <c r="BZ344" s="13"/>
      <c r="CA344" s="280"/>
      <c r="CB344" s="13"/>
      <c r="CC344" s="280"/>
      <c r="CD344" s="280"/>
      <c r="CE344" s="280"/>
      <c r="CF344" s="280"/>
      <c r="CG344" s="280"/>
      <c r="CH344" s="280"/>
      <c r="CI344" s="280"/>
      <c r="CJ344" s="280"/>
      <c r="CK344" s="280"/>
      <c r="CL344" s="280"/>
      <c r="CM344" s="280"/>
      <c r="CN344" s="280"/>
      <c r="CO344" s="280"/>
      <c r="CP344" s="280"/>
      <c r="CQ344" s="280"/>
      <c r="CR344" s="280"/>
      <c r="CS344" s="280"/>
      <c r="CT344" s="280"/>
      <c r="CU344" s="280"/>
      <c r="CV344" s="13"/>
      <c r="CW344" s="280"/>
      <c r="CX344" s="13"/>
      <c r="CY344" s="280"/>
      <c r="CZ344" s="280"/>
      <c r="DA344" s="280"/>
      <c r="DB344" s="280"/>
      <c r="DC344" s="280"/>
      <c r="DD344" s="280"/>
      <c r="DE344" s="280"/>
      <c r="DF344" s="280"/>
      <c r="DG344" s="280"/>
      <c r="DH344" s="280"/>
      <c r="DI344" s="280"/>
      <c r="DJ344" s="280"/>
      <c r="DK344" s="280"/>
      <c r="DL344" s="280"/>
      <c r="DM344" s="280"/>
      <c r="DN344" s="280"/>
      <c r="DO344" s="280"/>
      <c r="DP344" s="280"/>
      <c r="DQ344" s="280"/>
      <c r="DR344" s="280"/>
      <c r="DS344" s="280"/>
      <c r="DT344" s="280"/>
      <c r="DU344" s="280"/>
      <c r="DV344" s="280"/>
      <c r="DW344" s="280"/>
      <c r="DX344" s="280"/>
      <c r="DY344" s="280"/>
      <c r="DZ344" s="280"/>
      <c r="EA344" s="280"/>
      <c r="EB344" s="280"/>
      <c r="EC344" s="280"/>
      <c r="ED344" s="280"/>
      <c r="EE344" s="280"/>
      <c r="EF344" s="280"/>
      <c r="EG344" s="280"/>
      <c r="EH344" s="280"/>
      <c r="EI344" s="280"/>
      <c r="EJ344" s="280"/>
      <c r="EK344" s="280"/>
      <c r="EL344" s="280"/>
      <c r="EM344" s="280"/>
      <c r="EN344" s="280"/>
      <c r="EO344" s="280"/>
      <c r="EP344" s="280"/>
      <c r="EQ344" s="280"/>
      <c r="ER344" s="280"/>
      <c r="ES344" s="280"/>
      <c r="ET344" s="280"/>
      <c r="EU344" s="280"/>
      <c r="EV344" s="13"/>
      <c r="EW344" s="43"/>
      <c r="EX344" s="43"/>
      <c r="EY344" s="45"/>
    </row>
    <row r="345" spans="44:155" ht="10.75" customHeight="1" x14ac:dyDescent="0.2">
      <c r="AR345" s="42"/>
      <c r="AS345" s="43"/>
      <c r="AT345" s="43"/>
      <c r="AU345" s="14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5"/>
      <c r="BQ345" s="15"/>
      <c r="BR345" s="15"/>
      <c r="BS345" s="15"/>
      <c r="BT345" s="15"/>
      <c r="BU345" s="15"/>
      <c r="BV345" s="15"/>
      <c r="BW345" s="15"/>
      <c r="BX345" s="15"/>
      <c r="BY345" s="15"/>
      <c r="BZ345" s="16"/>
      <c r="CA345" s="15"/>
      <c r="CB345" s="16"/>
      <c r="CC345" s="15"/>
      <c r="CD345" s="15"/>
      <c r="CE345" s="15"/>
      <c r="CF345" s="15"/>
      <c r="CG345" s="15"/>
      <c r="CH345" s="15"/>
      <c r="CI345" s="15"/>
      <c r="CJ345" s="15"/>
      <c r="CK345" s="15"/>
      <c r="CL345" s="15"/>
      <c r="CM345" s="15"/>
      <c r="CN345" s="15"/>
      <c r="CO345" s="15"/>
      <c r="CP345" s="15"/>
      <c r="CQ345" s="15"/>
      <c r="CR345" s="15"/>
      <c r="CS345" s="15"/>
      <c r="CT345" s="15"/>
      <c r="CU345" s="15"/>
      <c r="CV345" s="16"/>
      <c r="CW345" s="280"/>
      <c r="CX345" s="13"/>
      <c r="CY345" s="280"/>
      <c r="CZ345" s="280"/>
      <c r="DA345" s="280"/>
      <c r="DB345" s="280"/>
      <c r="DC345" s="280"/>
      <c r="DD345" s="280"/>
      <c r="DE345" s="280"/>
      <c r="DF345" s="280"/>
      <c r="DG345" s="280"/>
      <c r="DH345" s="280"/>
      <c r="DI345" s="280"/>
      <c r="DJ345" s="280"/>
      <c r="DK345" s="280"/>
      <c r="DL345" s="280"/>
      <c r="DM345" s="280"/>
      <c r="DN345" s="280"/>
      <c r="DO345" s="280"/>
      <c r="DP345" s="280"/>
      <c r="DQ345" s="280"/>
      <c r="DR345" s="280"/>
      <c r="DS345" s="280"/>
      <c r="DT345" s="280"/>
      <c r="DU345" s="280"/>
      <c r="DV345" s="280"/>
      <c r="DW345" s="280"/>
      <c r="DX345" s="280"/>
      <c r="DY345" s="280"/>
      <c r="DZ345" s="280"/>
      <c r="EA345" s="280"/>
      <c r="EB345" s="280"/>
      <c r="EC345" s="280"/>
      <c r="ED345" s="280"/>
      <c r="EE345" s="280"/>
      <c r="EF345" s="280"/>
      <c r="EG345" s="280"/>
      <c r="EH345" s="280"/>
      <c r="EI345" s="280"/>
      <c r="EJ345" s="280"/>
      <c r="EK345" s="280"/>
      <c r="EL345" s="280"/>
      <c r="EM345" s="280"/>
      <c r="EN345" s="280"/>
      <c r="EO345" s="280"/>
      <c r="EP345" s="280"/>
      <c r="EQ345" s="280"/>
      <c r="ER345" s="280"/>
      <c r="ES345" s="280"/>
      <c r="ET345" s="280"/>
      <c r="EU345" s="280"/>
      <c r="EV345" s="13"/>
      <c r="EW345" s="43"/>
      <c r="EX345" s="43"/>
      <c r="EY345" s="45"/>
    </row>
    <row r="346" spans="44:155" ht="10.75" customHeight="1" x14ac:dyDescent="0.2">
      <c r="AR346" s="42"/>
      <c r="AS346" s="43"/>
      <c r="AT346" s="43"/>
      <c r="AU346" s="12"/>
      <c r="AV346" s="280"/>
      <c r="AW346" s="280"/>
      <c r="AX346" s="280"/>
      <c r="AY346" s="280"/>
      <c r="AZ346" s="280"/>
      <c r="BA346" s="280"/>
      <c r="BB346" s="280"/>
      <c r="BC346" s="280"/>
      <c r="BD346" s="280"/>
      <c r="BE346" s="280"/>
      <c r="BF346" s="280"/>
      <c r="BG346" s="280"/>
      <c r="BH346" s="280"/>
      <c r="BI346" s="280"/>
      <c r="BJ346" s="280"/>
      <c r="BK346" s="280"/>
      <c r="BL346" s="280"/>
      <c r="BM346" s="280"/>
      <c r="BN346" s="280"/>
      <c r="BO346" s="280"/>
      <c r="BP346" s="280"/>
      <c r="BQ346" s="280"/>
      <c r="BR346" s="280"/>
      <c r="BS346" s="280"/>
      <c r="BT346" s="280"/>
      <c r="BU346" s="280"/>
      <c r="BV346" s="280"/>
      <c r="BW346" s="280"/>
      <c r="BX346" s="280"/>
      <c r="BY346" s="280"/>
      <c r="BZ346" s="280"/>
      <c r="CA346" s="280"/>
      <c r="CB346" s="280"/>
      <c r="CC346" s="280"/>
      <c r="CD346" s="280"/>
      <c r="CE346" s="280"/>
      <c r="CF346" s="280"/>
      <c r="CG346" s="280"/>
      <c r="CH346" s="280"/>
      <c r="CI346" s="280"/>
      <c r="CJ346" s="280"/>
      <c r="CK346" s="280"/>
      <c r="CL346" s="280"/>
      <c r="CM346" s="280"/>
      <c r="CN346" s="280"/>
      <c r="CO346" s="280"/>
      <c r="CP346" s="280"/>
      <c r="CQ346" s="280"/>
      <c r="CR346" s="280"/>
      <c r="CS346" s="280"/>
      <c r="CT346" s="280"/>
      <c r="CU346" s="280"/>
      <c r="CV346" s="13"/>
      <c r="CW346" s="280"/>
      <c r="CX346" s="13"/>
      <c r="CY346" s="280"/>
      <c r="CZ346" s="280"/>
      <c r="DA346" s="280"/>
      <c r="DB346" s="280"/>
      <c r="DC346" s="280"/>
      <c r="DD346" s="280"/>
      <c r="DE346" s="280"/>
      <c r="DF346" s="280"/>
      <c r="DG346" s="280"/>
      <c r="DH346" s="280"/>
      <c r="DI346" s="280"/>
      <c r="DJ346" s="280"/>
      <c r="DK346" s="280"/>
      <c r="DL346" s="280"/>
      <c r="DM346" s="280"/>
      <c r="DN346" s="280"/>
      <c r="DO346" s="280"/>
      <c r="DP346" s="280"/>
      <c r="DQ346" s="280"/>
      <c r="DR346" s="280"/>
      <c r="DS346" s="280"/>
      <c r="DT346" s="280"/>
      <c r="DU346" s="280"/>
      <c r="DV346" s="280"/>
      <c r="DW346" s="280"/>
      <c r="DX346" s="280"/>
      <c r="DY346" s="280"/>
      <c r="DZ346" s="280"/>
      <c r="EA346" s="280"/>
      <c r="EB346" s="280"/>
      <c r="EC346" s="280"/>
      <c r="ED346" s="280"/>
      <c r="EE346" s="280"/>
      <c r="EF346" s="280"/>
      <c r="EG346" s="280"/>
      <c r="EH346" s="280"/>
      <c r="EI346" s="280"/>
      <c r="EJ346" s="280"/>
      <c r="EK346" s="280"/>
      <c r="EL346" s="280"/>
      <c r="EM346" s="280"/>
      <c r="EN346" s="280"/>
      <c r="EO346" s="280"/>
      <c r="EP346" s="280"/>
      <c r="EQ346" s="280"/>
      <c r="ER346" s="280"/>
      <c r="ES346" s="280"/>
      <c r="ET346" s="280"/>
      <c r="EU346" s="280"/>
      <c r="EV346" s="13"/>
      <c r="EW346" s="43"/>
      <c r="EX346" s="43"/>
      <c r="EY346" s="45"/>
    </row>
    <row r="347" spans="44:155" ht="10.75" customHeight="1" x14ac:dyDescent="0.2">
      <c r="AR347" s="42"/>
      <c r="AS347" s="43"/>
      <c r="AT347" s="43"/>
      <c r="AU347" s="14"/>
      <c r="AV347" s="120"/>
      <c r="AW347" s="120"/>
      <c r="AX347" s="120"/>
      <c r="AY347" s="120"/>
      <c r="AZ347" s="120"/>
      <c r="BA347" s="120"/>
      <c r="BB347" s="120"/>
      <c r="BC347" s="120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5"/>
      <c r="BQ347" s="15"/>
      <c r="BR347" s="15"/>
      <c r="BS347" s="15"/>
      <c r="BT347" s="15"/>
      <c r="BU347" s="15"/>
      <c r="BV347" s="15"/>
      <c r="BW347" s="15"/>
      <c r="BX347" s="15"/>
      <c r="BY347" s="15"/>
      <c r="BZ347" s="15"/>
      <c r="CA347" s="15"/>
      <c r="CB347" s="15"/>
      <c r="CC347" s="15"/>
      <c r="CD347" s="15"/>
      <c r="CE347" s="15"/>
      <c r="CF347" s="15"/>
      <c r="CG347" s="15"/>
      <c r="CH347" s="15"/>
      <c r="CI347" s="15"/>
      <c r="CJ347" s="15"/>
      <c r="CK347" s="15"/>
      <c r="CL347" s="15"/>
      <c r="CM347" s="15"/>
      <c r="CN347" s="15"/>
      <c r="CO347" s="15"/>
      <c r="CP347" s="15"/>
      <c r="CQ347" s="15"/>
      <c r="CR347" s="15"/>
      <c r="CS347" s="15"/>
      <c r="CT347" s="15"/>
      <c r="CU347" s="15"/>
      <c r="CV347" s="16"/>
      <c r="CW347" s="280"/>
      <c r="CX347" s="13"/>
      <c r="CY347" s="280"/>
      <c r="CZ347" s="280"/>
      <c r="DA347" s="280"/>
      <c r="DB347" s="280"/>
      <c r="DC347" s="280"/>
      <c r="DD347" s="280"/>
      <c r="DE347" s="280"/>
      <c r="DF347" s="280"/>
      <c r="DG347" s="280"/>
      <c r="DH347" s="280"/>
      <c r="DI347" s="280"/>
      <c r="DJ347" s="280"/>
      <c r="DK347" s="280"/>
      <c r="DL347" s="280"/>
      <c r="DM347" s="280"/>
      <c r="DN347" s="280"/>
      <c r="DO347" s="280"/>
      <c r="DP347" s="280"/>
      <c r="DQ347" s="280"/>
      <c r="DR347" s="280"/>
      <c r="DS347" s="280"/>
      <c r="DT347" s="280"/>
      <c r="DU347" s="280"/>
      <c r="DV347" s="280"/>
      <c r="DW347" s="280"/>
      <c r="DX347" s="280"/>
      <c r="DY347" s="280"/>
      <c r="DZ347" s="280"/>
      <c r="EA347" s="280"/>
      <c r="EB347" s="280"/>
      <c r="EC347" s="280"/>
      <c r="ED347" s="280"/>
      <c r="EE347" s="280"/>
      <c r="EF347" s="280"/>
      <c r="EG347" s="280"/>
      <c r="EH347" s="280"/>
      <c r="EI347" s="280"/>
      <c r="EJ347" s="280"/>
      <c r="EK347" s="280"/>
      <c r="EL347" s="280"/>
      <c r="EM347" s="280"/>
      <c r="EN347" s="280"/>
      <c r="EO347" s="280"/>
      <c r="EP347" s="280"/>
      <c r="EQ347" s="280"/>
      <c r="ER347" s="280"/>
      <c r="ES347" s="280"/>
      <c r="ET347" s="280"/>
      <c r="EU347" s="280"/>
      <c r="EV347" s="13"/>
      <c r="EW347" s="43"/>
      <c r="EX347" s="43"/>
      <c r="EY347" s="45"/>
    </row>
    <row r="348" spans="44:155" ht="10.75" customHeight="1" x14ac:dyDescent="0.2">
      <c r="AR348" s="42"/>
      <c r="AS348" s="43"/>
      <c r="AT348" s="43"/>
      <c r="AU348" s="9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10"/>
      <c r="BK348" s="10"/>
      <c r="BL348" s="10"/>
      <c r="BM348" s="10"/>
      <c r="BN348" s="10"/>
      <c r="BO348" s="10"/>
      <c r="BP348" s="10"/>
      <c r="BQ348" s="10"/>
      <c r="BR348" s="10"/>
      <c r="BS348" s="10"/>
      <c r="BT348" s="10"/>
      <c r="BU348" s="10"/>
      <c r="BV348" s="10"/>
      <c r="BW348" s="10"/>
      <c r="BX348" s="10"/>
      <c r="BY348" s="10"/>
      <c r="BZ348" s="10"/>
      <c r="CA348" s="10"/>
      <c r="CB348" s="10"/>
      <c r="CC348" s="10"/>
      <c r="CD348" s="10"/>
      <c r="CE348" s="10"/>
      <c r="CF348" s="10"/>
      <c r="CG348" s="10"/>
      <c r="CH348" s="10"/>
      <c r="CI348" s="10"/>
      <c r="CJ348" s="10"/>
      <c r="CK348" s="10"/>
      <c r="CL348" s="10"/>
      <c r="CM348" s="10"/>
      <c r="CN348" s="10"/>
      <c r="CO348" s="10"/>
      <c r="CP348" s="10"/>
      <c r="CQ348" s="10"/>
      <c r="CR348" s="10"/>
      <c r="CS348" s="10"/>
      <c r="CT348" s="10"/>
      <c r="CU348" s="10"/>
      <c r="CV348" s="11"/>
      <c r="CW348" s="280"/>
      <c r="CX348" s="13"/>
      <c r="CY348" s="280"/>
      <c r="CZ348" s="280"/>
      <c r="DA348" s="280"/>
      <c r="DB348" s="280"/>
      <c r="DC348" s="280"/>
      <c r="DD348" s="280"/>
      <c r="DE348" s="280"/>
      <c r="DF348" s="280"/>
      <c r="DG348" s="280"/>
      <c r="DH348" s="280"/>
      <c r="DI348" s="280"/>
      <c r="DJ348" s="280"/>
      <c r="DK348" s="280"/>
      <c r="DL348" s="280"/>
      <c r="DM348" s="280"/>
      <c r="DN348" s="280"/>
      <c r="DO348" s="280"/>
      <c r="DP348" s="280"/>
      <c r="DQ348" s="280"/>
      <c r="DR348" s="280"/>
      <c r="DS348" s="280"/>
      <c r="DT348" s="280"/>
      <c r="DU348" s="280"/>
      <c r="DV348" s="280"/>
      <c r="DW348" s="280"/>
      <c r="DX348" s="280"/>
      <c r="DY348" s="280"/>
      <c r="DZ348" s="280"/>
      <c r="EA348" s="280"/>
      <c r="EB348" s="280"/>
      <c r="EC348" s="280"/>
      <c r="ED348" s="280"/>
      <c r="EE348" s="280"/>
      <c r="EF348" s="280"/>
      <c r="EG348" s="280"/>
      <c r="EH348" s="280"/>
      <c r="EI348" s="280"/>
      <c r="EJ348" s="280"/>
      <c r="EK348" s="280"/>
      <c r="EL348" s="280"/>
      <c r="EM348" s="280"/>
      <c r="EN348" s="280"/>
      <c r="EO348" s="280"/>
      <c r="EP348" s="280"/>
      <c r="EQ348" s="280"/>
      <c r="ER348" s="280"/>
      <c r="ES348" s="280"/>
      <c r="ET348" s="280"/>
      <c r="EU348" s="280"/>
      <c r="EV348" s="13"/>
      <c r="EW348" s="43"/>
      <c r="EX348" s="43"/>
      <c r="EY348" s="45"/>
    </row>
    <row r="349" spans="44:155" ht="10.75" customHeight="1" x14ac:dyDescent="0.2">
      <c r="AR349" s="42"/>
      <c r="AS349" s="43"/>
      <c r="AT349" s="43"/>
      <c r="AU349" s="12"/>
      <c r="AV349" s="280"/>
      <c r="AW349" s="280"/>
      <c r="AX349" s="280"/>
      <c r="AY349" s="280"/>
      <c r="AZ349" s="280"/>
      <c r="BA349" s="280"/>
      <c r="BB349" s="280"/>
      <c r="BC349" s="280"/>
      <c r="BD349" s="280"/>
      <c r="BE349" s="280"/>
      <c r="BF349" s="280"/>
      <c r="BG349" s="280"/>
      <c r="BH349" s="280"/>
      <c r="BI349" s="280"/>
      <c r="BJ349" s="280"/>
      <c r="BK349" s="280"/>
      <c r="BL349" s="280"/>
      <c r="BM349" s="280"/>
      <c r="BN349" s="280"/>
      <c r="BO349" s="280"/>
      <c r="BP349" s="280"/>
      <c r="BQ349" s="280"/>
      <c r="BR349" s="280"/>
      <c r="BS349" s="280"/>
      <c r="BT349" s="280"/>
      <c r="BU349" s="280"/>
      <c r="BV349" s="280"/>
      <c r="BW349" s="280"/>
      <c r="BX349" s="280"/>
      <c r="BY349" s="280"/>
      <c r="BZ349" s="280"/>
      <c r="CA349" s="280"/>
      <c r="CB349" s="280"/>
      <c r="CC349" s="280"/>
      <c r="CD349" s="280"/>
      <c r="CE349" s="280"/>
      <c r="CF349" s="280"/>
      <c r="CG349" s="280"/>
      <c r="CH349" s="280"/>
      <c r="CI349" s="280"/>
      <c r="CJ349" s="280"/>
      <c r="CK349" s="280"/>
      <c r="CL349" s="280"/>
      <c r="CM349" s="280"/>
      <c r="CN349" s="280"/>
      <c r="CO349" s="280"/>
      <c r="CP349" s="280"/>
      <c r="CQ349" s="280"/>
      <c r="CR349" s="280"/>
      <c r="CS349" s="280"/>
      <c r="CT349" s="280"/>
      <c r="CU349" s="280"/>
      <c r="CV349" s="13"/>
      <c r="CW349" s="280"/>
      <c r="CX349" s="13"/>
      <c r="CY349" s="280"/>
      <c r="CZ349" s="280"/>
      <c r="DA349" s="280"/>
      <c r="DB349" s="280"/>
      <c r="DC349" s="280"/>
      <c r="DD349" s="280"/>
      <c r="DE349" s="280"/>
      <c r="DF349" s="280"/>
      <c r="DG349" s="280"/>
      <c r="DH349" s="280"/>
      <c r="DI349" s="280"/>
      <c r="DJ349" s="280"/>
      <c r="DK349" s="280"/>
      <c r="DL349" s="280"/>
      <c r="DM349" s="280"/>
      <c r="DN349" s="280"/>
      <c r="DO349" s="280"/>
      <c r="DP349" s="280"/>
      <c r="DQ349" s="280"/>
      <c r="DR349" s="280"/>
      <c r="DS349" s="280"/>
      <c r="DT349" s="280"/>
      <c r="DU349" s="280"/>
      <c r="DV349" s="280"/>
      <c r="DW349" s="280"/>
      <c r="DX349" s="280"/>
      <c r="DY349" s="280"/>
      <c r="DZ349" s="280"/>
      <c r="EA349" s="280"/>
      <c r="EB349" s="280"/>
      <c r="EC349" s="280"/>
      <c r="ED349" s="280"/>
      <c r="EE349" s="280"/>
      <c r="EF349" s="280"/>
      <c r="EG349" s="280"/>
      <c r="EH349" s="280"/>
      <c r="EI349" s="280"/>
      <c r="EJ349" s="280"/>
      <c r="EK349" s="280"/>
      <c r="EL349" s="280"/>
      <c r="EM349" s="280"/>
      <c r="EN349" s="280"/>
      <c r="EO349" s="280"/>
      <c r="EP349" s="280"/>
      <c r="EQ349" s="280"/>
      <c r="ER349" s="280"/>
      <c r="ES349" s="280"/>
      <c r="ET349" s="280"/>
      <c r="EU349" s="280"/>
      <c r="EV349" s="13"/>
      <c r="EW349" s="43"/>
      <c r="EX349" s="43"/>
      <c r="EY349" s="45"/>
    </row>
    <row r="350" spans="44:155" ht="10.75" customHeight="1" x14ac:dyDescent="0.2">
      <c r="AR350" s="42"/>
      <c r="AS350" s="43"/>
      <c r="AT350" s="43"/>
      <c r="AU350" s="12"/>
      <c r="AV350" s="280"/>
      <c r="AW350" s="280"/>
      <c r="AX350" s="280"/>
      <c r="AY350" s="280"/>
      <c r="AZ350" s="280"/>
      <c r="BA350" s="280"/>
      <c r="BB350" s="280"/>
      <c r="BC350" s="280"/>
      <c r="BD350" s="280"/>
      <c r="BE350" s="280"/>
      <c r="BF350" s="280"/>
      <c r="BG350" s="280"/>
      <c r="BH350" s="280"/>
      <c r="BI350" s="280"/>
      <c r="BJ350" s="280"/>
      <c r="BK350" s="280"/>
      <c r="BL350" s="280"/>
      <c r="BM350" s="280"/>
      <c r="BN350" s="280"/>
      <c r="BO350" s="280"/>
      <c r="BP350" s="280"/>
      <c r="BQ350" s="280"/>
      <c r="BR350" s="280"/>
      <c r="BS350" s="280"/>
      <c r="BT350" s="280"/>
      <c r="BU350" s="280"/>
      <c r="BV350" s="280"/>
      <c r="BW350" s="280"/>
      <c r="BX350" s="280"/>
      <c r="BY350" s="280"/>
      <c r="BZ350" s="280"/>
      <c r="CA350" s="280"/>
      <c r="CB350" s="280"/>
      <c r="CC350" s="280"/>
      <c r="CD350" s="280"/>
      <c r="CE350" s="280"/>
      <c r="CF350" s="280"/>
      <c r="CG350" s="280"/>
      <c r="CH350" s="280"/>
      <c r="CI350" s="280"/>
      <c r="CJ350" s="280"/>
      <c r="CK350" s="280"/>
      <c r="CL350" s="280"/>
      <c r="CM350" s="280"/>
      <c r="CN350" s="280"/>
      <c r="CO350" s="280"/>
      <c r="CP350" s="280"/>
      <c r="CQ350" s="280"/>
      <c r="CR350" s="280"/>
      <c r="CS350" s="280"/>
      <c r="CT350" s="280"/>
      <c r="CU350" s="280"/>
      <c r="CV350" s="13"/>
      <c r="CW350" s="280"/>
      <c r="CX350" s="13"/>
      <c r="CY350" s="280"/>
      <c r="CZ350" s="280"/>
      <c r="DA350" s="280"/>
      <c r="DB350" s="280"/>
      <c r="DC350" s="280"/>
      <c r="DD350" s="280"/>
      <c r="DE350" s="280"/>
      <c r="DF350" s="280"/>
      <c r="DG350" s="280"/>
      <c r="DH350" s="280"/>
      <c r="DI350" s="280"/>
      <c r="DJ350" s="280"/>
      <c r="DK350" s="280"/>
      <c r="DL350" s="280"/>
      <c r="DM350" s="280"/>
      <c r="DN350" s="280"/>
      <c r="DO350" s="280"/>
      <c r="DP350" s="280"/>
      <c r="DQ350" s="280"/>
      <c r="DR350" s="280"/>
      <c r="DS350" s="280"/>
      <c r="DT350" s="280"/>
      <c r="DU350" s="280"/>
      <c r="DV350" s="280"/>
      <c r="DW350" s="280"/>
      <c r="DX350" s="280"/>
      <c r="DY350" s="280"/>
      <c r="DZ350" s="280"/>
      <c r="EA350" s="280"/>
      <c r="EB350" s="280"/>
      <c r="EC350" s="280"/>
      <c r="ED350" s="280"/>
      <c r="EE350" s="280"/>
      <c r="EF350" s="280"/>
      <c r="EG350" s="280"/>
      <c r="EH350" s="280"/>
      <c r="EI350" s="280"/>
      <c r="EJ350" s="280"/>
      <c r="EK350" s="280"/>
      <c r="EL350" s="280"/>
      <c r="EM350" s="280"/>
      <c r="EN350" s="280"/>
      <c r="EO350" s="280"/>
      <c r="EP350" s="280"/>
      <c r="EQ350" s="280"/>
      <c r="ER350" s="280"/>
      <c r="ES350" s="280"/>
      <c r="ET350" s="280"/>
      <c r="EU350" s="280"/>
      <c r="EV350" s="13"/>
      <c r="EW350" s="43"/>
      <c r="EX350" s="43"/>
      <c r="EY350" s="45"/>
    </row>
    <row r="351" spans="44:155" ht="10.75" customHeight="1" x14ac:dyDescent="0.2">
      <c r="AR351" s="42"/>
      <c r="AS351" s="43"/>
      <c r="AT351" s="43"/>
      <c r="AU351" s="12"/>
      <c r="AV351" s="280"/>
      <c r="AW351" s="280"/>
      <c r="AX351" s="280"/>
      <c r="AY351" s="280"/>
      <c r="AZ351" s="280"/>
      <c r="BA351" s="280"/>
      <c r="BB351" s="280"/>
      <c r="BC351" s="280"/>
      <c r="BD351" s="280"/>
      <c r="BE351" s="280"/>
      <c r="BF351" s="280"/>
      <c r="BG351" s="280"/>
      <c r="BH351" s="280"/>
      <c r="BI351" s="280"/>
      <c r="BJ351" s="280"/>
      <c r="BK351" s="280"/>
      <c r="BL351" s="280"/>
      <c r="BM351" s="280"/>
      <c r="BN351" s="280"/>
      <c r="BO351" s="280"/>
      <c r="BP351" s="280"/>
      <c r="BQ351" s="280"/>
      <c r="BR351" s="280"/>
      <c r="BS351" s="280"/>
      <c r="BT351" s="280"/>
      <c r="BU351" s="280"/>
      <c r="BV351" s="280"/>
      <c r="BW351" s="280"/>
      <c r="BX351" s="280"/>
      <c r="BY351" s="280"/>
      <c r="BZ351" s="280"/>
      <c r="CA351" s="280"/>
      <c r="CB351" s="280"/>
      <c r="CC351" s="280"/>
      <c r="CD351" s="280"/>
      <c r="CE351" s="280"/>
      <c r="CF351" s="280"/>
      <c r="CG351" s="280"/>
      <c r="CH351" s="280"/>
      <c r="CI351" s="280"/>
      <c r="CJ351" s="280"/>
      <c r="CK351" s="280"/>
      <c r="CL351" s="280"/>
      <c r="CM351" s="280"/>
      <c r="CN351" s="280"/>
      <c r="CO351" s="280"/>
      <c r="CP351" s="280"/>
      <c r="CQ351" s="280"/>
      <c r="CR351" s="280"/>
      <c r="CS351" s="280"/>
      <c r="CT351" s="280"/>
      <c r="CU351" s="280"/>
      <c r="CV351" s="13"/>
      <c r="CW351" s="280"/>
      <c r="CX351" s="13"/>
      <c r="CY351" s="280"/>
      <c r="CZ351" s="280"/>
      <c r="DA351" s="280"/>
      <c r="DB351" s="280"/>
      <c r="DC351" s="280"/>
      <c r="DD351" s="280"/>
      <c r="DE351" s="280"/>
      <c r="DF351" s="280"/>
      <c r="DG351" s="280"/>
      <c r="DH351" s="280"/>
      <c r="DI351" s="280"/>
      <c r="DJ351" s="280"/>
      <c r="DK351" s="280"/>
      <c r="DL351" s="280"/>
      <c r="DM351" s="280"/>
      <c r="DN351" s="280"/>
      <c r="DO351" s="280"/>
      <c r="DP351" s="280"/>
      <c r="DQ351" s="280"/>
      <c r="DR351" s="280"/>
      <c r="DS351" s="280"/>
      <c r="DT351" s="280"/>
      <c r="DU351" s="280"/>
      <c r="DV351" s="280"/>
      <c r="DW351" s="280"/>
      <c r="DX351" s="280"/>
      <c r="DY351" s="280"/>
      <c r="DZ351" s="280"/>
      <c r="EA351" s="280"/>
      <c r="EB351" s="280"/>
      <c r="EC351" s="280"/>
      <c r="ED351" s="280"/>
      <c r="EE351" s="280"/>
      <c r="EF351" s="280"/>
      <c r="EG351" s="280"/>
      <c r="EH351" s="280"/>
      <c r="EI351" s="280"/>
      <c r="EJ351" s="280"/>
      <c r="EK351" s="280"/>
      <c r="EL351" s="280"/>
      <c r="EM351" s="280"/>
      <c r="EN351" s="280"/>
      <c r="EO351" s="280"/>
      <c r="EP351" s="280"/>
      <c r="EQ351" s="280"/>
      <c r="ER351" s="280"/>
      <c r="ES351" s="280"/>
      <c r="ET351" s="280"/>
      <c r="EU351" s="280"/>
      <c r="EV351" s="13"/>
      <c r="EW351" s="43"/>
      <c r="EX351" s="43"/>
      <c r="EY351" s="45"/>
    </row>
    <row r="352" spans="44:155" ht="10.75" customHeight="1" x14ac:dyDescent="0.2">
      <c r="AR352" s="42"/>
      <c r="AS352" s="43"/>
      <c r="AT352" s="43"/>
      <c r="AU352" s="12"/>
      <c r="AV352" s="280"/>
      <c r="AW352" s="280"/>
      <c r="AX352" s="280"/>
      <c r="AY352" s="280"/>
      <c r="AZ352" s="280"/>
      <c r="BA352" s="280"/>
      <c r="BB352" s="280"/>
      <c r="BC352" s="280"/>
      <c r="BD352" s="280"/>
      <c r="BE352" s="280"/>
      <c r="BF352" s="280"/>
      <c r="BG352" s="280"/>
      <c r="BH352" s="280"/>
      <c r="BI352" s="280"/>
      <c r="BJ352" s="280"/>
      <c r="BK352" s="280"/>
      <c r="BL352" s="280"/>
      <c r="BM352" s="280"/>
      <c r="BN352" s="280"/>
      <c r="BO352" s="280"/>
      <c r="BP352" s="280"/>
      <c r="BQ352" s="280"/>
      <c r="BR352" s="280"/>
      <c r="BS352" s="280"/>
      <c r="BT352" s="280"/>
      <c r="BU352" s="280"/>
      <c r="BV352" s="280"/>
      <c r="BW352" s="280"/>
      <c r="BX352" s="280"/>
      <c r="BY352" s="280"/>
      <c r="BZ352" s="280"/>
      <c r="CA352" s="280"/>
      <c r="CB352" s="280"/>
      <c r="CC352" s="280"/>
      <c r="CD352" s="280"/>
      <c r="CE352" s="280"/>
      <c r="CF352" s="280"/>
      <c r="CG352" s="280"/>
      <c r="CH352" s="280"/>
      <c r="CI352" s="280"/>
      <c r="CJ352" s="280"/>
      <c r="CK352" s="280"/>
      <c r="CL352" s="280"/>
      <c r="CM352" s="280"/>
      <c r="CN352" s="280"/>
      <c r="CO352" s="280"/>
      <c r="CP352" s="280"/>
      <c r="CQ352" s="280"/>
      <c r="CR352" s="280"/>
      <c r="CS352" s="280"/>
      <c r="CT352" s="280"/>
      <c r="CU352" s="280"/>
      <c r="CV352" s="13"/>
      <c r="CW352" s="280"/>
      <c r="CX352" s="13"/>
      <c r="CY352" s="280"/>
      <c r="CZ352" s="280"/>
      <c r="DA352" s="280"/>
      <c r="DB352" s="280"/>
      <c r="DC352" s="280"/>
      <c r="DD352" s="280"/>
      <c r="DE352" s="280"/>
      <c r="DF352" s="280"/>
      <c r="DG352" s="280"/>
      <c r="DH352" s="280"/>
      <c r="DI352" s="280"/>
      <c r="DJ352" s="280"/>
      <c r="DK352" s="280"/>
      <c r="DL352" s="280"/>
      <c r="DM352" s="280"/>
      <c r="DN352" s="280"/>
      <c r="DO352" s="280"/>
      <c r="DP352" s="280"/>
      <c r="DQ352" s="280"/>
      <c r="DR352" s="280"/>
      <c r="DS352" s="280"/>
      <c r="DT352" s="280"/>
      <c r="DU352" s="280"/>
      <c r="DV352" s="280"/>
      <c r="DW352" s="280"/>
      <c r="DX352" s="280"/>
      <c r="DY352" s="280"/>
      <c r="DZ352" s="280"/>
      <c r="EA352" s="280"/>
      <c r="EB352" s="280"/>
      <c r="EC352" s="280"/>
      <c r="ED352" s="280"/>
      <c r="EE352" s="280"/>
      <c r="EF352" s="280"/>
      <c r="EG352" s="280"/>
      <c r="EH352" s="280"/>
      <c r="EI352" s="280"/>
      <c r="EJ352" s="280"/>
      <c r="EK352" s="280"/>
      <c r="EL352" s="280"/>
      <c r="EM352" s="280"/>
      <c r="EN352" s="280"/>
      <c r="EO352" s="280"/>
      <c r="EP352" s="280"/>
      <c r="EQ352" s="280"/>
      <c r="ER352" s="280"/>
      <c r="ES352" s="280"/>
      <c r="ET352" s="280"/>
      <c r="EU352" s="280"/>
      <c r="EV352" s="13"/>
      <c r="EW352" s="43"/>
      <c r="EX352" s="43"/>
      <c r="EY352" s="45"/>
    </row>
    <row r="353" spans="44:155" ht="10.75" customHeight="1" x14ac:dyDescent="0.2">
      <c r="AR353" s="42"/>
      <c r="AS353" s="43"/>
      <c r="AT353" s="43"/>
      <c r="AU353" s="12"/>
      <c r="AV353" s="280"/>
      <c r="AW353" s="280"/>
      <c r="AX353" s="280"/>
      <c r="AY353" s="280"/>
      <c r="AZ353" s="280"/>
      <c r="BA353" s="280"/>
      <c r="BB353" s="280"/>
      <c r="BC353" s="280"/>
      <c r="BD353" s="280"/>
      <c r="BE353" s="280"/>
      <c r="BF353" s="280"/>
      <c r="BG353" s="280"/>
      <c r="BH353" s="280"/>
      <c r="BI353" s="280"/>
      <c r="BJ353" s="280"/>
      <c r="BK353" s="280"/>
      <c r="BL353" s="280"/>
      <c r="BM353" s="280"/>
      <c r="BN353" s="280"/>
      <c r="BO353" s="280"/>
      <c r="BP353" s="280"/>
      <c r="BQ353" s="280"/>
      <c r="BR353" s="280"/>
      <c r="BS353" s="280"/>
      <c r="BT353" s="280"/>
      <c r="BU353" s="280"/>
      <c r="BV353" s="280"/>
      <c r="BW353" s="280"/>
      <c r="BX353" s="280"/>
      <c r="BY353" s="280"/>
      <c r="BZ353" s="280"/>
      <c r="CA353" s="280"/>
      <c r="CB353" s="280"/>
      <c r="CC353" s="280"/>
      <c r="CD353" s="280"/>
      <c r="CE353" s="280"/>
      <c r="CF353" s="280"/>
      <c r="CG353" s="280"/>
      <c r="CH353" s="280"/>
      <c r="CI353" s="280"/>
      <c r="CJ353" s="280"/>
      <c r="CK353" s="280"/>
      <c r="CL353" s="280"/>
      <c r="CM353" s="280"/>
      <c r="CN353" s="280"/>
      <c r="CO353" s="280"/>
      <c r="CP353" s="280"/>
      <c r="CQ353" s="280"/>
      <c r="CR353" s="280"/>
      <c r="CS353" s="280"/>
      <c r="CT353" s="280"/>
      <c r="CU353" s="280"/>
      <c r="CV353" s="13"/>
      <c r="CW353" s="280"/>
      <c r="CX353" s="13"/>
      <c r="CY353" s="280"/>
      <c r="CZ353" s="280"/>
      <c r="DA353" s="280"/>
      <c r="DB353" s="280"/>
      <c r="DC353" s="280"/>
      <c r="DD353" s="280"/>
      <c r="DE353" s="280"/>
      <c r="DF353" s="280"/>
      <c r="DG353" s="280"/>
      <c r="DH353" s="280"/>
      <c r="DI353" s="280"/>
      <c r="DJ353" s="280"/>
      <c r="DK353" s="280"/>
      <c r="DL353" s="280"/>
      <c r="DM353" s="280"/>
      <c r="DN353" s="280"/>
      <c r="DO353" s="280"/>
      <c r="DP353" s="280"/>
      <c r="DQ353" s="280"/>
      <c r="DR353" s="280"/>
      <c r="DS353" s="280"/>
      <c r="DT353" s="280"/>
      <c r="DU353" s="280"/>
      <c r="DV353" s="280"/>
      <c r="DW353" s="280"/>
      <c r="DX353" s="280"/>
      <c r="DY353" s="280"/>
      <c r="DZ353" s="280"/>
      <c r="EA353" s="280"/>
      <c r="EB353" s="280"/>
      <c r="EC353" s="280"/>
      <c r="ED353" s="280"/>
      <c r="EE353" s="280"/>
      <c r="EF353" s="280"/>
      <c r="EG353" s="280"/>
      <c r="EH353" s="280"/>
      <c r="EI353" s="280"/>
      <c r="EJ353" s="280"/>
      <c r="EK353" s="280"/>
      <c r="EL353" s="280"/>
      <c r="EM353" s="280"/>
      <c r="EN353" s="280"/>
      <c r="EO353" s="280"/>
      <c r="EP353" s="280"/>
      <c r="EQ353" s="280"/>
      <c r="ER353" s="280"/>
      <c r="ES353" s="280"/>
      <c r="ET353" s="280"/>
      <c r="EU353" s="280"/>
      <c r="EV353" s="13"/>
      <c r="EW353" s="43"/>
      <c r="EX353" s="43"/>
      <c r="EY353" s="45"/>
    </row>
    <row r="354" spans="44:155" ht="10.75" customHeight="1" x14ac:dyDescent="0.2">
      <c r="AR354" s="42"/>
      <c r="AS354" s="43"/>
      <c r="AT354" s="43"/>
      <c r="AU354" s="12"/>
      <c r="AV354" s="280"/>
      <c r="AW354" s="280"/>
      <c r="AX354" s="280"/>
      <c r="AY354" s="280"/>
      <c r="AZ354" s="280"/>
      <c r="BA354" s="280"/>
      <c r="BB354" s="280"/>
      <c r="BC354" s="280"/>
      <c r="BD354" s="280"/>
      <c r="BE354" s="280"/>
      <c r="BF354" s="280"/>
      <c r="BG354" s="280"/>
      <c r="BH354" s="280"/>
      <c r="BI354" s="280"/>
      <c r="BJ354" s="280"/>
      <c r="BK354" s="280"/>
      <c r="BL354" s="280"/>
      <c r="BM354" s="280"/>
      <c r="BN354" s="280"/>
      <c r="BO354" s="280"/>
      <c r="BP354" s="280"/>
      <c r="BQ354" s="280"/>
      <c r="BR354" s="280"/>
      <c r="BS354" s="280"/>
      <c r="BT354" s="280"/>
      <c r="BU354" s="280"/>
      <c r="BV354" s="280"/>
      <c r="BW354" s="280"/>
      <c r="BX354" s="280"/>
      <c r="BY354" s="280"/>
      <c r="BZ354" s="280"/>
      <c r="CA354" s="280"/>
      <c r="CB354" s="280"/>
      <c r="CC354" s="280"/>
      <c r="CD354" s="280"/>
      <c r="CE354" s="280"/>
      <c r="CF354" s="280"/>
      <c r="CG354" s="280"/>
      <c r="CH354" s="280"/>
      <c r="CI354" s="280"/>
      <c r="CJ354" s="280"/>
      <c r="CK354" s="280"/>
      <c r="CL354" s="280"/>
      <c r="CM354" s="280"/>
      <c r="CN354" s="280"/>
      <c r="CO354" s="280"/>
      <c r="CP354" s="280"/>
      <c r="CQ354" s="280"/>
      <c r="CR354" s="280"/>
      <c r="CS354" s="280"/>
      <c r="CT354" s="280"/>
      <c r="CU354" s="280"/>
      <c r="CV354" s="13"/>
      <c r="CW354" s="280"/>
      <c r="CX354" s="13"/>
      <c r="CY354" s="280"/>
      <c r="CZ354" s="280"/>
      <c r="DA354" s="285"/>
      <c r="DB354" s="286"/>
      <c r="DC354" s="286"/>
      <c r="DD354" s="286"/>
      <c r="DE354" s="286"/>
      <c r="DF354" s="286"/>
      <c r="DG354" s="286"/>
      <c r="DH354" s="286"/>
      <c r="DI354" s="286"/>
      <c r="DJ354" s="286"/>
      <c r="DK354" s="286"/>
      <c r="DL354" s="289"/>
      <c r="DM354" s="280"/>
      <c r="DN354" s="280"/>
      <c r="DO354" s="280"/>
      <c r="DP354" s="280"/>
      <c r="DQ354" s="280"/>
      <c r="DR354" s="280"/>
      <c r="DS354" s="280"/>
      <c r="DT354" s="280"/>
      <c r="DU354" s="280"/>
      <c r="DV354" s="280"/>
      <c r="DW354" s="280"/>
      <c r="DX354" s="280"/>
      <c r="DY354" s="280"/>
      <c r="DZ354" s="280"/>
      <c r="EA354" s="280"/>
      <c r="EB354" s="280"/>
      <c r="EC354" s="280"/>
      <c r="ED354" s="280"/>
      <c r="EE354" s="280"/>
      <c r="EF354" s="280"/>
      <c r="EG354" s="280"/>
      <c r="EH354" s="280"/>
      <c r="EI354" s="280"/>
      <c r="EJ354" s="280"/>
      <c r="EK354" s="280"/>
      <c r="EL354" s="280"/>
      <c r="EM354" s="280"/>
      <c r="EN354" s="280"/>
      <c r="EO354" s="280"/>
      <c r="EP354" s="280"/>
      <c r="EQ354" s="280"/>
      <c r="ER354" s="280"/>
      <c r="ES354" s="280"/>
      <c r="ET354" s="280"/>
      <c r="EU354" s="280"/>
      <c r="EV354" s="13"/>
      <c r="EW354" s="43"/>
      <c r="EX354" s="43"/>
      <c r="EY354" s="45"/>
    </row>
    <row r="355" spans="44:155" ht="10.75" customHeight="1" x14ac:dyDescent="0.2">
      <c r="AR355" s="42"/>
      <c r="AS355" s="43"/>
      <c r="AT355" s="43"/>
      <c r="AU355" s="12"/>
      <c r="AV355" s="280"/>
      <c r="AW355" s="280"/>
      <c r="AX355" s="280"/>
      <c r="AY355" s="280"/>
      <c r="AZ355" s="280"/>
      <c r="BA355" s="280"/>
      <c r="BB355" s="280"/>
      <c r="BC355" s="280"/>
      <c r="BD355" s="280"/>
      <c r="BE355" s="280"/>
      <c r="BF355" s="280"/>
      <c r="BG355" s="280"/>
      <c r="BH355" s="280"/>
      <c r="BI355" s="280"/>
      <c r="BJ355" s="280"/>
      <c r="BK355" s="280"/>
      <c r="BL355" s="280"/>
      <c r="BM355" s="280"/>
      <c r="BN355" s="280"/>
      <c r="BO355" s="280"/>
      <c r="BP355" s="280"/>
      <c r="BQ355" s="280"/>
      <c r="BR355" s="280"/>
      <c r="BS355" s="280"/>
      <c r="BT355" s="280"/>
      <c r="BU355" s="280"/>
      <c r="BV355" s="280"/>
      <c r="BW355" s="280"/>
      <c r="BX355" s="280"/>
      <c r="BY355" s="280"/>
      <c r="BZ355" s="280"/>
      <c r="CA355" s="280"/>
      <c r="CB355" s="280"/>
      <c r="CC355" s="280"/>
      <c r="CD355" s="280"/>
      <c r="CE355" s="280"/>
      <c r="CF355" s="280"/>
      <c r="CG355" s="280"/>
      <c r="CH355" s="280"/>
      <c r="CI355" s="280"/>
      <c r="CJ355" s="280"/>
      <c r="CK355" s="280"/>
      <c r="CL355" s="280"/>
      <c r="CM355" s="280"/>
      <c r="CN355" s="280"/>
      <c r="CO355" s="280"/>
      <c r="CP355" s="280"/>
      <c r="CQ355" s="280"/>
      <c r="CR355" s="280"/>
      <c r="CS355" s="280"/>
      <c r="CT355" s="280"/>
      <c r="CU355" s="280"/>
      <c r="CV355" s="13"/>
      <c r="CW355" s="280"/>
      <c r="CX355" s="13"/>
      <c r="CY355" s="280"/>
      <c r="CZ355" s="280"/>
      <c r="DA355" s="287"/>
      <c r="DB355" s="288"/>
      <c r="DC355" s="288"/>
      <c r="DD355" s="288"/>
      <c r="DE355" s="288"/>
      <c r="DF355" s="288"/>
      <c r="DG355" s="288"/>
      <c r="DH355" s="288"/>
      <c r="DI355" s="288"/>
      <c r="DJ355" s="288"/>
      <c r="DK355" s="288"/>
      <c r="DL355" s="290"/>
      <c r="DM355" s="280"/>
      <c r="DN355" s="280"/>
      <c r="DO355" s="280"/>
      <c r="DP355" s="280"/>
      <c r="DQ355" s="280"/>
      <c r="DR355" s="280"/>
      <c r="DS355" s="280"/>
      <c r="DT355" s="280"/>
      <c r="DU355" s="280"/>
      <c r="DV355" s="280"/>
      <c r="DW355" s="280"/>
      <c r="DX355" s="280"/>
      <c r="DY355" s="280"/>
      <c r="DZ355" s="280"/>
      <c r="EA355" s="280"/>
      <c r="EB355" s="280"/>
      <c r="EC355" s="280"/>
      <c r="ED355" s="280"/>
      <c r="EE355" s="280"/>
      <c r="EF355" s="280"/>
      <c r="EG355" s="280"/>
      <c r="EH355" s="280"/>
      <c r="EI355" s="280"/>
      <c r="EJ355" s="280"/>
      <c r="EK355" s="280"/>
      <c r="EL355" s="280"/>
      <c r="EM355" s="280"/>
      <c r="EN355" s="280"/>
      <c r="EO355" s="280"/>
      <c r="EP355" s="280"/>
      <c r="EQ355" s="280"/>
      <c r="ER355" s="280"/>
      <c r="ES355" s="280"/>
      <c r="ET355" s="280"/>
      <c r="EU355" s="280"/>
      <c r="EV355" s="13"/>
      <c r="EW355" s="43"/>
      <c r="EX355" s="43"/>
      <c r="EY355" s="45"/>
    </row>
    <row r="356" spans="44:155" ht="10.75" customHeight="1" x14ac:dyDescent="0.2">
      <c r="AR356" s="42"/>
      <c r="AS356" s="43"/>
      <c r="AT356" s="43"/>
      <c r="AU356" s="12"/>
      <c r="AV356" s="280"/>
      <c r="AW356" s="280"/>
      <c r="AX356" s="280"/>
      <c r="AY356" s="280"/>
      <c r="AZ356" s="280"/>
      <c r="BA356" s="280"/>
      <c r="BB356" s="280"/>
      <c r="BC356" s="280"/>
      <c r="BD356" s="280"/>
      <c r="BE356" s="280"/>
      <c r="BF356" s="280"/>
      <c r="BG356" s="280"/>
      <c r="BH356" s="280"/>
      <c r="BI356" s="280"/>
      <c r="BJ356" s="280"/>
      <c r="BK356" s="280"/>
      <c r="BL356" s="280"/>
      <c r="BM356" s="280"/>
      <c r="BN356" s="280"/>
      <c r="BO356" s="280"/>
      <c r="BP356" s="280"/>
      <c r="BQ356" s="280"/>
      <c r="BR356" s="280"/>
      <c r="BS356" s="280"/>
      <c r="BT356" s="280"/>
      <c r="BU356" s="280"/>
      <c r="BV356" s="280"/>
      <c r="BW356" s="280"/>
      <c r="BX356" s="280"/>
      <c r="BY356" s="280"/>
      <c r="BZ356" s="280"/>
      <c r="CA356" s="280"/>
      <c r="CB356" s="280"/>
      <c r="CC356" s="280"/>
      <c r="CD356" s="280"/>
      <c r="CE356" s="280"/>
      <c r="CF356" s="280"/>
      <c r="CG356" s="280"/>
      <c r="CH356" s="280"/>
      <c r="CI356" s="280"/>
      <c r="CJ356" s="280"/>
      <c r="CK356" s="280"/>
      <c r="CL356" s="280"/>
      <c r="CM356" s="280"/>
      <c r="CN356" s="280"/>
      <c r="CO356" s="280"/>
      <c r="CP356" s="280"/>
      <c r="CQ356" s="280"/>
      <c r="CR356" s="280"/>
      <c r="CS356" s="280"/>
      <c r="CT356" s="280"/>
      <c r="CU356" s="280"/>
      <c r="CV356" s="13"/>
      <c r="CW356" s="280"/>
      <c r="CX356" s="13"/>
      <c r="CY356" s="280"/>
      <c r="CZ356" s="280"/>
      <c r="DA356" s="287"/>
      <c r="DB356" s="288"/>
      <c r="DC356" s="9"/>
      <c r="DD356" s="11"/>
      <c r="DE356" s="9"/>
      <c r="DF356" s="10"/>
      <c r="DG356" s="10"/>
      <c r="DH356" s="10"/>
      <c r="DI356" s="10"/>
      <c r="DJ356" s="10"/>
      <c r="DK356" s="10"/>
      <c r="DL356" s="11"/>
      <c r="DM356" s="280"/>
      <c r="DN356" s="280"/>
      <c r="DO356" s="280"/>
      <c r="DP356" s="280"/>
      <c r="DQ356" s="280"/>
      <c r="DR356" s="280"/>
      <c r="DS356" s="280"/>
      <c r="DT356" s="280"/>
      <c r="DU356" s="280"/>
      <c r="DV356" s="280"/>
      <c r="DW356" s="280"/>
      <c r="DX356" s="280"/>
      <c r="DY356" s="280"/>
      <c r="DZ356" s="280"/>
      <c r="EA356" s="280"/>
      <c r="EB356" s="280"/>
      <c r="EC356" s="280"/>
      <c r="ED356" s="280"/>
      <c r="EE356" s="280"/>
      <c r="EF356" s="280"/>
      <c r="EG356" s="280"/>
      <c r="EH356" s="280"/>
      <c r="EI356" s="280"/>
      <c r="EJ356" s="280"/>
      <c r="EK356" s="280"/>
      <c r="EL356" s="280"/>
      <c r="EM356" s="280"/>
      <c r="EN356" s="280"/>
      <c r="EO356" s="280"/>
      <c r="EP356" s="280"/>
      <c r="EQ356" s="280"/>
      <c r="ER356" s="280"/>
      <c r="ES356" s="280"/>
      <c r="ET356" s="280"/>
      <c r="EU356" s="280"/>
      <c r="EV356" s="13"/>
      <c r="EW356" s="43"/>
      <c r="EX356" s="43"/>
      <c r="EY356" s="45"/>
    </row>
    <row r="357" spans="44:155" ht="10.75" customHeight="1" x14ac:dyDescent="0.2">
      <c r="AR357" s="42"/>
      <c r="AS357" s="43"/>
      <c r="AT357" s="43"/>
      <c r="AU357" s="12"/>
      <c r="AV357" s="280"/>
      <c r="AW357" s="280"/>
      <c r="AX357" s="280"/>
      <c r="AY357" s="280"/>
      <c r="AZ357" s="280"/>
      <c r="BA357" s="280"/>
      <c r="BB357" s="280"/>
      <c r="BC357" s="280"/>
      <c r="BD357" s="280"/>
      <c r="BE357" s="280"/>
      <c r="BF357" s="280"/>
      <c r="BG357" s="280"/>
      <c r="BH357" s="280"/>
      <c r="BI357" s="280"/>
      <c r="BJ357" s="280"/>
      <c r="BK357" s="280"/>
      <c r="BL357" s="280"/>
      <c r="BM357" s="280"/>
      <c r="BN357" s="280"/>
      <c r="BO357" s="280"/>
      <c r="BP357" s="280"/>
      <c r="BQ357" s="280"/>
      <c r="BR357" s="280"/>
      <c r="BS357" s="280"/>
      <c r="BT357" s="280"/>
      <c r="BU357" s="280"/>
      <c r="BV357" s="280"/>
      <c r="BW357" s="280"/>
      <c r="BX357" s="280"/>
      <c r="BY357" s="280"/>
      <c r="BZ357" s="280"/>
      <c r="CA357" s="280"/>
      <c r="CB357" s="280"/>
      <c r="CC357" s="280"/>
      <c r="CD357" s="280"/>
      <c r="CE357" s="280"/>
      <c r="CF357" s="280"/>
      <c r="CG357" s="280"/>
      <c r="CH357" s="280"/>
      <c r="CI357" s="280"/>
      <c r="CJ357" s="280"/>
      <c r="CK357" s="280"/>
      <c r="CL357" s="280"/>
      <c r="CM357" s="280"/>
      <c r="CN357" s="280"/>
      <c r="CO357" s="280"/>
      <c r="CP357" s="280"/>
      <c r="CQ357" s="280"/>
      <c r="CR357" s="280"/>
      <c r="CS357" s="280"/>
      <c r="CT357" s="280"/>
      <c r="CU357" s="280"/>
      <c r="CV357" s="13"/>
      <c r="CW357" s="280"/>
      <c r="CX357" s="13"/>
      <c r="CY357" s="280"/>
      <c r="CZ357" s="280"/>
      <c r="DA357" s="287"/>
      <c r="DB357" s="288"/>
      <c r="DC357" s="12"/>
      <c r="DD357" s="13"/>
      <c r="DE357" s="12"/>
      <c r="DF357" s="280"/>
      <c r="DG357" s="280"/>
      <c r="DH357" s="280"/>
      <c r="DI357" s="280"/>
      <c r="DJ357" s="280"/>
      <c r="DK357" s="280"/>
      <c r="DL357" s="13"/>
      <c r="DM357" s="280"/>
      <c r="DN357" s="280"/>
      <c r="DO357" s="280"/>
      <c r="DP357" s="280"/>
      <c r="DQ357" s="280"/>
      <c r="DR357" s="280"/>
      <c r="DS357" s="280"/>
      <c r="DT357" s="280"/>
      <c r="DU357" s="280"/>
      <c r="DV357" s="280"/>
      <c r="DW357" s="280"/>
      <c r="DX357" s="280"/>
      <c r="DY357" s="280"/>
      <c r="DZ357" s="280"/>
      <c r="EA357" s="280"/>
      <c r="EB357" s="280"/>
      <c r="EC357" s="280"/>
      <c r="ED357" s="280"/>
      <c r="EE357" s="280"/>
      <c r="EF357" s="280"/>
      <c r="EG357" s="280"/>
      <c r="EH357" s="280"/>
      <c r="EI357" s="280"/>
      <c r="EJ357" s="280"/>
      <c r="EK357" s="280"/>
      <c r="EL357" s="280"/>
      <c r="EM357" s="280"/>
      <c r="EN357" s="280"/>
      <c r="EO357" s="280"/>
      <c r="EP357" s="280"/>
      <c r="EQ357" s="280"/>
      <c r="ER357" s="280"/>
      <c r="ES357" s="280"/>
      <c r="ET357" s="280"/>
      <c r="EU357" s="280"/>
      <c r="EV357" s="13"/>
      <c r="EW357" s="43"/>
      <c r="EX357" s="43"/>
      <c r="EY357" s="45"/>
    </row>
    <row r="358" spans="44:155" ht="10.75" customHeight="1" x14ac:dyDescent="0.2">
      <c r="AR358" s="42"/>
      <c r="AS358" s="43"/>
      <c r="AT358" s="43"/>
      <c r="AU358" s="12"/>
      <c r="AV358" s="280"/>
      <c r="AW358" s="280"/>
      <c r="AX358" s="280"/>
      <c r="AY358" s="280"/>
      <c r="AZ358" s="280"/>
      <c r="BA358" s="280"/>
      <c r="BB358" s="280"/>
      <c r="BC358" s="280"/>
      <c r="BD358" s="280"/>
      <c r="BE358" s="280"/>
      <c r="BF358" s="280"/>
      <c r="BG358" s="280"/>
      <c r="BH358" s="280"/>
      <c r="BI358" s="280"/>
      <c r="BJ358" s="280"/>
      <c r="BK358" s="280"/>
      <c r="BL358" s="280"/>
      <c r="BM358" s="280"/>
      <c r="BN358" s="280"/>
      <c r="BO358" s="280"/>
      <c r="BP358" s="280"/>
      <c r="BQ358" s="280"/>
      <c r="BR358" s="280"/>
      <c r="BS358" s="280"/>
      <c r="BT358" s="280"/>
      <c r="BU358" s="280"/>
      <c r="BV358" s="280"/>
      <c r="BW358" s="280"/>
      <c r="BX358" s="280"/>
      <c r="BY358" s="280"/>
      <c r="BZ358" s="280"/>
      <c r="CA358" s="280"/>
      <c r="CB358" s="280"/>
      <c r="CC358" s="280"/>
      <c r="CD358" s="280"/>
      <c r="CE358" s="280"/>
      <c r="CF358" s="280"/>
      <c r="CG358" s="280"/>
      <c r="CH358" s="280"/>
      <c r="CI358" s="280"/>
      <c r="CJ358" s="280"/>
      <c r="CK358" s="280"/>
      <c r="CL358" s="280"/>
      <c r="CM358" s="280"/>
      <c r="CN358" s="280"/>
      <c r="CO358" s="280"/>
      <c r="CP358" s="280"/>
      <c r="CQ358" s="280"/>
      <c r="CR358" s="280"/>
      <c r="CS358" s="280"/>
      <c r="CT358" s="280"/>
      <c r="CU358" s="280"/>
      <c r="CV358" s="13"/>
      <c r="CW358" s="280"/>
      <c r="CX358" s="13"/>
      <c r="CY358" s="280"/>
      <c r="CZ358" s="280"/>
      <c r="DA358" s="287"/>
      <c r="DB358" s="288"/>
      <c r="DC358" s="12"/>
      <c r="DD358" s="13"/>
      <c r="DE358" s="12"/>
      <c r="DF358" s="280"/>
      <c r="DG358" s="280"/>
      <c r="DH358" s="280"/>
      <c r="DI358" s="280"/>
      <c r="DJ358" s="280"/>
      <c r="DK358" s="280"/>
      <c r="DL358" s="13"/>
      <c r="DM358" s="280"/>
      <c r="DN358" s="280"/>
      <c r="DO358" s="280"/>
      <c r="DP358" s="280"/>
      <c r="DQ358" s="280"/>
      <c r="DR358" s="280"/>
      <c r="DS358" s="280"/>
      <c r="DT358" s="280"/>
      <c r="DU358" s="280"/>
      <c r="DV358" s="280"/>
      <c r="DW358" s="280"/>
      <c r="DX358" s="280"/>
      <c r="DY358" s="280"/>
      <c r="DZ358" s="280"/>
      <c r="EA358" s="280"/>
      <c r="EB358" s="280"/>
      <c r="EC358" s="280"/>
      <c r="ED358" s="280"/>
      <c r="EE358" s="280"/>
      <c r="EF358" s="280"/>
      <c r="EG358" s="280"/>
      <c r="EH358" s="280"/>
      <c r="EI358" s="280"/>
      <c r="EJ358" s="280"/>
      <c r="EK358" s="280"/>
      <c r="EL358" s="280"/>
      <c r="EM358" s="280"/>
      <c r="EN358" s="280"/>
      <c r="EO358" s="280"/>
      <c r="EP358" s="280"/>
      <c r="EQ358" s="280"/>
      <c r="ER358" s="280"/>
      <c r="ES358" s="280"/>
      <c r="ET358" s="280"/>
      <c r="EU358" s="280"/>
      <c r="EV358" s="13"/>
      <c r="EW358" s="43"/>
      <c r="EX358" s="43"/>
      <c r="EY358" s="45"/>
    </row>
    <row r="359" spans="44:155" ht="10.75" customHeight="1" x14ac:dyDescent="0.2">
      <c r="AR359" s="42"/>
      <c r="AS359" s="43"/>
      <c r="AT359" s="43"/>
      <c r="AU359" s="12"/>
      <c r="AV359" s="280"/>
      <c r="AW359" s="280"/>
      <c r="AX359" s="280"/>
      <c r="AY359" s="280"/>
      <c r="AZ359" s="280"/>
      <c r="BA359" s="280"/>
      <c r="BB359" s="280"/>
      <c r="BC359" s="280"/>
      <c r="BD359" s="280"/>
      <c r="BE359" s="280"/>
      <c r="BF359" s="280"/>
      <c r="BG359" s="280"/>
      <c r="BH359" s="280"/>
      <c r="BI359" s="280"/>
      <c r="BJ359" s="280"/>
      <c r="BK359" s="280"/>
      <c r="BL359" s="280"/>
      <c r="BM359" s="280"/>
      <c r="BN359" s="280"/>
      <c r="BO359" s="280"/>
      <c r="BP359" s="280"/>
      <c r="BQ359" s="280"/>
      <c r="BR359" s="280"/>
      <c r="BS359" s="280"/>
      <c r="BT359" s="280"/>
      <c r="BU359" s="280"/>
      <c r="BV359" s="280"/>
      <c r="BW359" s="280"/>
      <c r="BX359" s="280"/>
      <c r="BY359" s="280"/>
      <c r="BZ359" s="280"/>
      <c r="CA359" s="280"/>
      <c r="CB359" s="280"/>
      <c r="CC359" s="280"/>
      <c r="CD359" s="280"/>
      <c r="CE359" s="280"/>
      <c r="CF359" s="280"/>
      <c r="CG359" s="280"/>
      <c r="CH359" s="280"/>
      <c r="CI359" s="280"/>
      <c r="CJ359" s="280"/>
      <c r="CK359" s="280"/>
      <c r="CL359" s="280"/>
      <c r="CM359" s="280"/>
      <c r="CN359" s="280"/>
      <c r="CO359" s="280"/>
      <c r="CP359" s="280"/>
      <c r="CQ359" s="280"/>
      <c r="CR359" s="280"/>
      <c r="CS359" s="280"/>
      <c r="CT359" s="280"/>
      <c r="CU359" s="280"/>
      <c r="CV359" s="13"/>
      <c r="CW359" s="280"/>
      <c r="CX359" s="13"/>
      <c r="CY359" s="280"/>
      <c r="CZ359" s="280"/>
      <c r="DA359" s="287"/>
      <c r="DB359" s="288"/>
      <c r="DC359" s="12"/>
      <c r="DD359" s="13"/>
      <c r="DE359" s="12"/>
      <c r="DF359" s="280"/>
      <c r="DG359" s="280"/>
      <c r="DH359" s="280"/>
      <c r="DI359" s="280"/>
      <c r="DJ359" s="280"/>
      <c r="DK359" s="280"/>
      <c r="DL359" s="13"/>
      <c r="DM359" s="280"/>
      <c r="DN359" s="280"/>
      <c r="DO359" s="280"/>
      <c r="DP359" s="280"/>
      <c r="DQ359" s="280"/>
      <c r="DR359" s="280"/>
      <c r="DS359" s="280"/>
      <c r="DT359" s="280"/>
      <c r="DU359" s="280"/>
      <c r="DV359" s="280"/>
      <c r="DW359" s="280"/>
      <c r="DX359" s="280"/>
      <c r="DY359" s="280"/>
      <c r="DZ359" s="280"/>
      <c r="EA359" s="280"/>
      <c r="EB359" s="280"/>
      <c r="EC359" s="280"/>
      <c r="ED359" s="280"/>
      <c r="EE359" s="280"/>
      <c r="EF359" s="280"/>
      <c r="EG359" s="280"/>
      <c r="EH359" s="280"/>
      <c r="EI359" s="280"/>
      <c r="EJ359" s="280"/>
      <c r="EK359" s="280"/>
      <c r="EL359" s="280"/>
      <c r="EM359" s="280"/>
      <c r="EN359" s="280"/>
      <c r="EO359" s="280"/>
      <c r="EP359" s="9"/>
      <c r="EQ359" s="10"/>
      <c r="ER359" s="10"/>
      <c r="ES359" s="10"/>
      <c r="ET359" s="10"/>
      <c r="EU359" s="11"/>
      <c r="EV359" s="13"/>
      <c r="EW359" s="43"/>
      <c r="EX359" s="43"/>
      <c r="EY359" s="45"/>
    </row>
    <row r="360" spans="44:155" ht="10.75" customHeight="1" x14ac:dyDescent="0.2">
      <c r="AR360" s="42"/>
      <c r="AS360" s="43"/>
      <c r="AT360" s="43"/>
      <c r="AU360" s="12"/>
      <c r="AV360" s="280"/>
      <c r="AW360" s="280"/>
      <c r="AX360" s="280"/>
      <c r="AY360" s="280"/>
      <c r="AZ360" s="280"/>
      <c r="BA360" s="280"/>
      <c r="BB360" s="280"/>
      <c r="BC360" s="280"/>
      <c r="BD360" s="280"/>
      <c r="BE360" s="280"/>
      <c r="BF360" s="280"/>
      <c r="BG360" s="280"/>
      <c r="BH360" s="280"/>
      <c r="BI360" s="280"/>
      <c r="BJ360" s="280"/>
      <c r="BK360" s="280"/>
      <c r="BL360" s="280"/>
      <c r="BM360" s="280"/>
      <c r="BN360" s="280"/>
      <c r="BO360" s="280"/>
      <c r="BP360" s="280"/>
      <c r="BQ360" s="280"/>
      <c r="BR360" s="280"/>
      <c r="BS360" s="280"/>
      <c r="BT360" s="280"/>
      <c r="BU360" s="280"/>
      <c r="BV360" s="280"/>
      <c r="BW360" s="280"/>
      <c r="BX360" s="280"/>
      <c r="BY360" s="280"/>
      <c r="BZ360" s="280"/>
      <c r="CA360" s="280"/>
      <c r="CB360" s="280"/>
      <c r="CC360" s="280"/>
      <c r="CD360" s="280"/>
      <c r="CE360" s="280"/>
      <c r="CF360" s="280"/>
      <c r="CG360" s="280"/>
      <c r="CH360" s="280"/>
      <c r="CI360" s="280"/>
      <c r="CJ360" s="280"/>
      <c r="CK360" s="280"/>
      <c r="CL360" s="280"/>
      <c r="CM360" s="280"/>
      <c r="CN360" s="280"/>
      <c r="CO360" s="280"/>
      <c r="CP360" s="280"/>
      <c r="CQ360" s="280"/>
      <c r="CR360" s="280"/>
      <c r="CS360" s="280"/>
      <c r="CT360" s="280"/>
      <c r="CU360" s="280"/>
      <c r="CV360" s="13"/>
      <c r="CW360" s="280"/>
      <c r="CX360" s="13"/>
      <c r="CY360" s="280"/>
      <c r="CZ360" s="280"/>
      <c r="DA360" s="287"/>
      <c r="DB360" s="288"/>
      <c r="DC360" s="12"/>
      <c r="DD360" s="13"/>
      <c r="DE360" s="12"/>
      <c r="DF360" s="280"/>
      <c r="DG360" s="280"/>
      <c r="DH360" s="280"/>
      <c r="DI360" s="280"/>
      <c r="DJ360" s="280"/>
      <c r="DK360" s="280"/>
      <c r="DL360" s="13"/>
      <c r="DM360" s="280"/>
      <c r="DN360" s="280"/>
      <c r="DO360" s="280"/>
      <c r="DP360" s="280"/>
      <c r="DQ360" s="280"/>
      <c r="DR360" s="280"/>
      <c r="DS360" s="280"/>
      <c r="DT360" s="280"/>
      <c r="DU360" s="280"/>
      <c r="DV360" s="280"/>
      <c r="DW360" s="280"/>
      <c r="DX360" s="280"/>
      <c r="DY360" s="280"/>
      <c r="DZ360" s="280"/>
      <c r="EA360" s="280"/>
      <c r="EB360" s="280"/>
      <c r="EC360" s="280"/>
      <c r="ED360" s="280"/>
      <c r="EE360" s="280"/>
      <c r="EF360" s="280"/>
      <c r="EG360" s="280"/>
      <c r="EH360" s="280"/>
      <c r="EI360" s="280"/>
      <c r="EJ360" s="280"/>
      <c r="EK360" s="280"/>
      <c r="EL360" s="280"/>
      <c r="EM360" s="280"/>
      <c r="EN360" s="280"/>
      <c r="EO360" s="280"/>
      <c r="EP360" s="12"/>
      <c r="EQ360" s="280"/>
      <c r="ER360" s="280"/>
      <c r="ES360" s="262"/>
      <c r="ET360" s="280"/>
      <c r="EU360" s="13"/>
      <c r="EV360" s="13"/>
      <c r="EW360" s="43"/>
      <c r="EX360" s="43"/>
      <c r="EY360" s="45"/>
    </row>
    <row r="361" spans="44:155" ht="10.75" customHeight="1" x14ac:dyDescent="0.2">
      <c r="AR361" s="42"/>
      <c r="AS361" s="43"/>
      <c r="AT361" s="43"/>
      <c r="AU361" s="12"/>
      <c r="AV361" s="280"/>
      <c r="AW361" s="280"/>
      <c r="AX361" s="280"/>
      <c r="AY361" s="280"/>
      <c r="AZ361" s="280"/>
      <c r="BA361" s="280"/>
      <c r="BB361" s="280"/>
      <c r="BC361" s="280"/>
      <c r="BD361" s="280"/>
      <c r="BE361" s="280"/>
      <c r="BF361" s="280"/>
      <c r="BG361" s="280"/>
      <c r="BH361" s="280"/>
      <c r="BI361" s="280"/>
      <c r="BJ361" s="280"/>
      <c r="BK361" s="280"/>
      <c r="BL361" s="280"/>
      <c r="BM361" s="280"/>
      <c r="BN361" s="280"/>
      <c r="BO361" s="280"/>
      <c r="BP361" s="280"/>
      <c r="BQ361" s="280"/>
      <c r="BR361" s="280"/>
      <c r="BS361" s="280"/>
      <c r="BT361" s="280"/>
      <c r="BU361" s="280"/>
      <c r="BV361" s="280"/>
      <c r="BW361" s="280"/>
      <c r="BX361" s="280"/>
      <c r="BY361" s="280"/>
      <c r="BZ361" s="280"/>
      <c r="CA361" s="280"/>
      <c r="CB361" s="280"/>
      <c r="CC361" s="280"/>
      <c r="CD361" s="280"/>
      <c r="CE361" s="280"/>
      <c r="CF361" s="280"/>
      <c r="CG361" s="280"/>
      <c r="CH361" s="280"/>
      <c r="CI361" s="280"/>
      <c r="CJ361" s="280"/>
      <c r="CK361" s="280"/>
      <c r="CL361" s="280"/>
      <c r="CM361" s="280"/>
      <c r="CN361" s="280"/>
      <c r="CO361" s="280"/>
      <c r="CP361" s="280"/>
      <c r="CQ361" s="280"/>
      <c r="CR361" s="280"/>
      <c r="CS361" s="280"/>
      <c r="CT361" s="280"/>
      <c r="CU361" s="280"/>
      <c r="CV361" s="13"/>
      <c r="CW361" s="280"/>
      <c r="CX361" s="13"/>
      <c r="CY361" s="280"/>
      <c r="CZ361" s="280"/>
      <c r="DA361" s="287"/>
      <c r="DB361" s="288"/>
      <c r="DC361" s="12"/>
      <c r="DD361" s="13"/>
      <c r="DE361" s="12"/>
      <c r="DF361" s="280"/>
      <c r="DG361" s="280"/>
      <c r="DH361" s="280"/>
      <c r="DI361" s="280"/>
      <c r="DJ361" s="280"/>
      <c r="DK361" s="280"/>
      <c r="DL361" s="13"/>
      <c r="DM361" s="280"/>
      <c r="DN361" s="280"/>
      <c r="DO361" s="280"/>
      <c r="DP361" s="280"/>
      <c r="DQ361" s="280"/>
      <c r="DR361" s="280"/>
      <c r="DS361" s="280"/>
      <c r="DT361" s="280"/>
      <c r="DU361" s="280"/>
      <c r="DV361" s="280"/>
      <c r="DW361" s="280"/>
      <c r="DX361" s="280"/>
      <c r="DY361" s="280"/>
      <c r="DZ361" s="280"/>
      <c r="EA361" s="280"/>
      <c r="EB361" s="280"/>
      <c r="EC361" s="280"/>
      <c r="ED361" s="280"/>
      <c r="EE361" s="280"/>
      <c r="EF361" s="280"/>
      <c r="EG361" s="280"/>
      <c r="EH361" s="280"/>
      <c r="EI361" s="280"/>
      <c r="EJ361" s="280"/>
      <c r="EK361" s="280"/>
      <c r="EL361" s="280"/>
      <c r="EM361" s="280"/>
      <c r="EN361" s="280"/>
      <c r="EO361" s="280"/>
      <c r="EP361" s="12"/>
      <c r="EQ361" s="280"/>
      <c r="ER361" s="280"/>
      <c r="ES361" s="262"/>
      <c r="ET361" s="280"/>
      <c r="EU361" s="13"/>
      <c r="EV361" s="13"/>
      <c r="EW361" s="43"/>
      <c r="EX361" s="43"/>
      <c r="EY361" s="45"/>
    </row>
    <row r="362" spans="44:155" ht="10.75" customHeight="1" x14ac:dyDescent="0.2">
      <c r="AR362" s="42"/>
      <c r="AS362" s="43"/>
      <c r="AT362" s="43"/>
      <c r="AU362" s="12"/>
      <c r="AV362" s="280"/>
      <c r="AW362" s="280"/>
      <c r="AX362" s="280"/>
      <c r="AY362" s="280"/>
      <c r="AZ362" s="280"/>
      <c r="BA362" s="280"/>
      <c r="BB362" s="280"/>
      <c r="BC362" s="280"/>
      <c r="BD362" s="280"/>
      <c r="BE362" s="280"/>
      <c r="BF362" s="280"/>
      <c r="BG362" s="280"/>
      <c r="BH362" s="280"/>
      <c r="BI362" s="280"/>
      <c r="BJ362" s="280"/>
      <c r="BK362" s="280"/>
      <c r="BL362" s="280"/>
      <c r="BM362" s="280"/>
      <c r="BN362" s="280"/>
      <c r="BO362" s="280"/>
      <c r="BP362" s="280"/>
      <c r="BQ362" s="280"/>
      <c r="BR362" s="280"/>
      <c r="BS362" s="280"/>
      <c r="BT362" s="280"/>
      <c r="BU362" s="280"/>
      <c r="BV362" s="280"/>
      <c r="BW362" s="280"/>
      <c r="BX362" s="280"/>
      <c r="BY362" s="280"/>
      <c r="BZ362" s="280"/>
      <c r="CA362" s="280"/>
      <c r="CB362" s="280"/>
      <c r="CC362" s="280"/>
      <c r="CD362" s="280"/>
      <c r="CE362" s="280"/>
      <c r="CF362" s="280"/>
      <c r="CG362" s="280"/>
      <c r="CH362" s="280"/>
      <c r="CI362" s="280"/>
      <c r="CJ362" s="280"/>
      <c r="CK362" s="280"/>
      <c r="CL362" s="280"/>
      <c r="CM362" s="280"/>
      <c r="CN362" s="280"/>
      <c r="CO362" s="280"/>
      <c r="CP362" s="280"/>
      <c r="CQ362" s="280"/>
      <c r="CR362" s="280"/>
      <c r="CS362" s="280"/>
      <c r="CT362" s="280"/>
      <c r="CU362" s="280"/>
      <c r="CV362" s="13"/>
      <c r="CW362" s="280"/>
      <c r="CX362" s="13"/>
      <c r="CY362" s="280"/>
      <c r="CZ362" s="280"/>
      <c r="DA362" s="287"/>
      <c r="DB362" s="288"/>
      <c r="DC362" s="12"/>
      <c r="DD362" s="13"/>
      <c r="DE362" s="12"/>
      <c r="DF362" s="280"/>
      <c r="DG362" s="280"/>
      <c r="DH362" s="280"/>
      <c r="DI362" s="280"/>
      <c r="DJ362" s="280"/>
      <c r="DK362" s="280"/>
      <c r="DL362" s="13"/>
      <c r="DM362" s="280"/>
      <c r="DN362" s="280"/>
      <c r="DO362" s="280"/>
      <c r="DP362" s="280"/>
      <c r="DQ362" s="280"/>
      <c r="DR362" s="280"/>
      <c r="DS362" s="280"/>
      <c r="DT362" s="280"/>
      <c r="DU362" s="280"/>
      <c r="DV362" s="280"/>
      <c r="DW362" s="280"/>
      <c r="DX362" s="280"/>
      <c r="DY362" s="280"/>
      <c r="DZ362" s="280"/>
      <c r="EA362" s="280"/>
      <c r="EB362" s="280"/>
      <c r="EC362" s="280"/>
      <c r="ED362" s="280"/>
      <c r="EE362" s="280"/>
      <c r="EF362" s="280"/>
      <c r="EG362" s="280"/>
      <c r="EH362" s="280"/>
      <c r="EI362" s="280"/>
      <c r="EJ362" s="280"/>
      <c r="EK362" s="280"/>
      <c r="EL362" s="280"/>
      <c r="EM362" s="280"/>
      <c r="EN362" s="280"/>
      <c r="EO362" s="280"/>
      <c r="EP362" s="12"/>
      <c r="EQ362" s="280"/>
      <c r="ER362" s="280"/>
      <c r="ES362" s="294"/>
      <c r="ET362" s="280"/>
      <c r="EU362" s="13"/>
      <c r="EV362" s="13"/>
      <c r="EW362" s="43"/>
      <c r="EX362" s="43"/>
      <c r="EY362" s="45"/>
    </row>
    <row r="363" spans="44:155" ht="10.75" customHeight="1" x14ac:dyDescent="0.2">
      <c r="AR363" s="42"/>
      <c r="AS363" s="43"/>
      <c r="AT363" s="43"/>
      <c r="AU363" s="12"/>
      <c r="AV363" s="280"/>
      <c r="AW363" s="280"/>
      <c r="AX363" s="280"/>
      <c r="AY363" s="280"/>
      <c r="AZ363" s="280"/>
      <c r="BA363" s="280"/>
      <c r="BB363" s="280"/>
      <c r="BC363" s="280"/>
      <c r="BD363" s="280"/>
      <c r="BE363" s="280"/>
      <c r="BF363" s="280"/>
      <c r="BG363" s="280"/>
      <c r="BH363" s="280"/>
      <c r="BI363" s="280"/>
      <c r="BJ363" s="280"/>
      <c r="BK363" s="280"/>
      <c r="BL363" s="280"/>
      <c r="BM363" s="280"/>
      <c r="BN363" s="280"/>
      <c r="BO363" s="280"/>
      <c r="BP363" s="280"/>
      <c r="BQ363" s="280"/>
      <c r="BR363" s="280"/>
      <c r="BS363" s="280"/>
      <c r="BT363" s="280"/>
      <c r="BU363" s="280"/>
      <c r="BV363" s="280"/>
      <c r="BW363" s="280"/>
      <c r="BX363" s="280"/>
      <c r="BY363" s="280"/>
      <c r="BZ363" s="280"/>
      <c r="CA363" s="280"/>
      <c r="CB363" s="280"/>
      <c r="CC363" s="280"/>
      <c r="CD363" s="280"/>
      <c r="CE363" s="280"/>
      <c r="CF363" s="280"/>
      <c r="CG363" s="280"/>
      <c r="CH363" s="280"/>
      <c r="CI363" s="280"/>
      <c r="CJ363" s="280"/>
      <c r="CK363" s="280"/>
      <c r="CL363" s="280"/>
      <c r="CM363" s="280"/>
      <c r="CN363" s="280"/>
      <c r="CO363" s="280"/>
      <c r="CP363" s="280"/>
      <c r="CQ363" s="280"/>
      <c r="CR363" s="280"/>
      <c r="CS363" s="280"/>
      <c r="CT363" s="280"/>
      <c r="CU363" s="280"/>
      <c r="CV363" s="13"/>
      <c r="CW363" s="280"/>
      <c r="CX363" s="13"/>
      <c r="CY363" s="280"/>
      <c r="CZ363" s="280"/>
      <c r="DA363" s="287"/>
      <c r="DB363" s="288"/>
      <c r="DC363" s="12"/>
      <c r="DD363" s="13"/>
      <c r="DE363" s="12"/>
      <c r="DF363" s="280"/>
      <c r="DG363" s="280"/>
      <c r="DH363" s="280"/>
      <c r="DI363" s="280"/>
      <c r="DJ363" s="280"/>
      <c r="DK363" s="280"/>
      <c r="DL363" s="13"/>
      <c r="DM363" s="280"/>
      <c r="DN363" s="280"/>
      <c r="DO363" s="280"/>
      <c r="DP363" s="280"/>
      <c r="DQ363" s="280"/>
      <c r="DR363" s="280"/>
      <c r="DS363" s="280"/>
      <c r="DT363" s="280"/>
      <c r="DU363" s="280"/>
      <c r="DV363" s="280"/>
      <c r="DW363" s="280"/>
      <c r="DX363" s="280"/>
      <c r="DY363" s="280"/>
      <c r="DZ363" s="280"/>
      <c r="EA363" s="280"/>
      <c r="EB363" s="280"/>
      <c r="EC363" s="280"/>
      <c r="ED363" s="280"/>
      <c r="EE363" s="280"/>
      <c r="EF363" s="280"/>
      <c r="EG363" s="280"/>
      <c r="EH363" s="280"/>
      <c r="EI363" s="280"/>
      <c r="EJ363" s="280"/>
      <c r="EK363" s="280"/>
      <c r="EL363" s="280"/>
      <c r="EM363" s="280"/>
      <c r="EN363" s="280"/>
      <c r="EO363" s="280"/>
      <c r="EP363" s="12"/>
      <c r="EQ363" s="280"/>
      <c r="ER363" s="280"/>
      <c r="ES363" s="294"/>
      <c r="ET363" s="280"/>
      <c r="EU363" s="13"/>
      <c r="EV363" s="13"/>
      <c r="EW363" s="43"/>
      <c r="EX363" s="43"/>
      <c r="EY363" s="45"/>
    </row>
    <row r="364" spans="44:155" ht="10.75" customHeight="1" x14ac:dyDescent="0.2">
      <c r="AR364" s="42"/>
      <c r="AS364" s="43"/>
      <c r="AT364" s="43"/>
      <c r="AU364" s="12"/>
      <c r="AV364" s="280"/>
      <c r="AW364" s="280"/>
      <c r="AX364" s="280"/>
      <c r="AY364" s="280"/>
      <c r="AZ364" s="280"/>
      <c r="BA364" s="280"/>
      <c r="BB364" s="280"/>
      <c r="BC364" s="280"/>
      <c r="BD364" s="280"/>
      <c r="BE364" s="280"/>
      <c r="BF364" s="280"/>
      <c r="BG364" s="280"/>
      <c r="BH364" s="280"/>
      <c r="BI364" s="9"/>
      <c r="BJ364" s="10"/>
      <c r="BK364" s="10"/>
      <c r="BL364" s="10"/>
      <c r="BM364" s="10"/>
      <c r="BN364" s="10"/>
      <c r="BO364" s="10"/>
      <c r="BP364" s="10"/>
      <c r="BQ364" s="10"/>
      <c r="BR364" s="10"/>
      <c r="BS364" s="10"/>
      <c r="BT364" s="10"/>
      <c r="BU364" s="10"/>
      <c r="BV364" s="10"/>
      <c r="BW364" s="10"/>
      <c r="BX364" s="10"/>
      <c r="BY364" s="10"/>
      <c r="BZ364" s="10"/>
      <c r="CA364" s="10"/>
      <c r="CB364" s="10"/>
      <c r="CC364" s="10"/>
      <c r="CD364" s="10"/>
      <c r="CE364" s="10"/>
      <c r="CF364" s="11"/>
      <c r="CG364" s="280"/>
      <c r="CH364" s="280"/>
      <c r="CI364" s="280"/>
      <c r="CJ364" s="280"/>
      <c r="CK364" s="280"/>
      <c r="CL364" s="280"/>
      <c r="CM364" s="280"/>
      <c r="CN364" s="280"/>
      <c r="CO364" s="280"/>
      <c r="CP364" s="280"/>
      <c r="CQ364" s="280"/>
      <c r="CR364" s="280"/>
      <c r="CS364" s="280"/>
      <c r="CT364" s="280"/>
      <c r="CU364" s="280"/>
      <c r="CV364" s="13"/>
      <c r="CW364" s="280"/>
      <c r="CX364" s="13"/>
      <c r="CY364" s="280"/>
      <c r="CZ364" s="280"/>
      <c r="DA364" s="287"/>
      <c r="DB364" s="288"/>
      <c r="DC364" s="12"/>
      <c r="DD364" s="13"/>
      <c r="DE364" s="12"/>
      <c r="DF364" s="280"/>
      <c r="DG364" s="280"/>
      <c r="DH364" s="280"/>
      <c r="DI364" s="280"/>
      <c r="DJ364" s="280"/>
      <c r="DK364" s="280"/>
      <c r="DL364" s="13"/>
      <c r="DM364" s="280"/>
      <c r="DN364" s="280"/>
      <c r="DO364" s="280"/>
      <c r="DP364" s="280"/>
      <c r="DQ364" s="280"/>
      <c r="DR364" s="280"/>
      <c r="DS364" s="280"/>
      <c r="DT364" s="280"/>
      <c r="DU364" s="280"/>
      <c r="DV364" s="280"/>
      <c r="DW364" s="280"/>
      <c r="DX364" s="280"/>
      <c r="DY364" s="280"/>
      <c r="DZ364" s="280"/>
      <c r="EA364" s="280"/>
      <c r="EB364" s="280"/>
      <c r="EC364" s="280"/>
      <c r="ED364" s="280"/>
      <c r="EE364" s="280"/>
      <c r="EF364" s="280"/>
      <c r="EG364" s="280"/>
      <c r="EH364" s="280"/>
      <c r="EI364" s="280"/>
      <c r="EJ364" s="280"/>
      <c r="EK364" s="280"/>
      <c r="EL364" s="280"/>
      <c r="EM364" s="280"/>
      <c r="EN364" s="280"/>
      <c r="EO364" s="280"/>
      <c r="EP364" s="12"/>
      <c r="EQ364" s="280"/>
      <c r="ER364" s="280"/>
      <c r="ES364" s="294"/>
      <c r="ET364" s="280"/>
      <c r="EU364" s="13"/>
      <c r="EV364" s="13"/>
      <c r="EW364" s="43"/>
      <c r="EX364" s="43"/>
      <c r="EY364" s="45"/>
    </row>
    <row r="365" spans="44:155" ht="10.75" customHeight="1" x14ac:dyDescent="0.2">
      <c r="AR365" s="42"/>
      <c r="AS365" s="43"/>
      <c r="AT365" s="43"/>
      <c r="AU365" s="12"/>
      <c r="AV365" s="280"/>
      <c r="AW365" s="280"/>
      <c r="AX365" s="280"/>
      <c r="AY365" s="280"/>
      <c r="AZ365" s="280"/>
      <c r="BA365" s="280"/>
      <c r="BB365" s="280"/>
      <c r="BC365" s="280"/>
      <c r="BD365" s="280"/>
      <c r="BE365" s="280"/>
      <c r="BF365" s="280"/>
      <c r="BG365" s="280"/>
      <c r="BH365" s="280"/>
      <c r="BI365" s="12"/>
      <c r="BJ365" s="280"/>
      <c r="BK365" s="280"/>
      <c r="BL365" s="280"/>
      <c r="BM365" s="280"/>
      <c r="BN365" s="280"/>
      <c r="BO365" s="280"/>
      <c r="BP365" s="280"/>
      <c r="BQ365" s="280"/>
      <c r="BR365" s="280"/>
      <c r="BS365" s="280"/>
      <c r="BT365" s="280"/>
      <c r="BU365" s="280"/>
      <c r="BV365" s="280"/>
      <c r="BW365" s="280"/>
      <c r="BX365" s="280"/>
      <c r="BY365" s="280"/>
      <c r="BZ365" s="280"/>
      <c r="CA365" s="280"/>
      <c r="CB365" s="280"/>
      <c r="CC365" s="280"/>
      <c r="CD365" s="280"/>
      <c r="CE365" s="280"/>
      <c r="CF365" s="13"/>
      <c r="CG365" s="280"/>
      <c r="CH365" s="280"/>
      <c r="CI365" s="280"/>
      <c r="CJ365" s="280"/>
      <c r="CK365" s="280"/>
      <c r="CL365" s="280"/>
      <c r="CM365" s="280"/>
      <c r="CN365" s="280"/>
      <c r="CO365" s="280"/>
      <c r="CP365" s="280"/>
      <c r="CQ365" s="280"/>
      <c r="CR365" s="280"/>
      <c r="CS365" s="280"/>
      <c r="CT365" s="280"/>
      <c r="CU365" s="280"/>
      <c r="CV365" s="13"/>
      <c r="CW365" s="280"/>
      <c r="CX365" s="13"/>
      <c r="CY365" s="280"/>
      <c r="CZ365" s="280"/>
      <c r="DA365" s="287"/>
      <c r="DB365" s="288"/>
      <c r="DC365" s="12"/>
      <c r="DD365" s="13"/>
      <c r="DE365" s="12"/>
      <c r="DF365" s="280"/>
      <c r="DG365" s="280"/>
      <c r="DH365" s="280"/>
      <c r="DI365" s="280"/>
      <c r="DJ365" s="280"/>
      <c r="DK365" s="280"/>
      <c r="DL365" s="13"/>
      <c r="DM365" s="280"/>
      <c r="DN365" s="280"/>
      <c r="DO365" s="280"/>
      <c r="DP365" s="280"/>
      <c r="DQ365" s="280"/>
      <c r="DR365" s="280"/>
      <c r="DS365" s="280"/>
      <c r="DT365" s="280"/>
      <c r="DU365" s="280"/>
      <c r="DV365" s="280"/>
      <c r="DW365" s="280"/>
      <c r="DX365" s="280"/>
      <c r="DY365" s="280"/>
      <c r="DZ365" s="280"/>
      <c r="EA365" s="280"/>
      <c r="EB365" s="280"/>
      <c r="EC365" s="280"/>
      <c r="ED365" s="280"/>
      <c r="EE365" s="280"/>
      <c r="EF365" s="280"/>
      <c r="EG365" s="280"/>
      <c r="EH365" s="280"/>
      <c r="EI365" s="280"/>
      <c r="EJ365" s="280"/>
      <c r="EK365" s="280"/>
      <c r="EL365" s="280"/>
      <c r="EM365" s="280"/>
      <c r="EN365" s="280"/>
      <c r="EO365" s="280"/>
      <c r="EP365" s="12"/>
      <c r="EQ365" s="280"/>
      <c r="ER365" s="280"/>
      <c r="ES365" s="294"/>
      <c r="ET365" s="280"/>
      <c r="EU365" s="13"/>
      <c r="EV365" s="13"/>
      <c r="EW365" s="43"/>
      <c r="EX365" s="43"/>
      <c r="EY365" s="45"/>
    </row>
    <row r="366" spans="44:155" ht="10.75" customHeight="1" x14ac:dyDescent="0.2">
      <c r="AR366" s="42"/>
      <c r="AS366" s="43"/>
      <c r="AT366" s="43"/>
      <c r="AU366" s="12"/>
      <c r="AV366" s="280"/>
      <c r="AW366" s="280"/>
      <c r="AX366" s="280"/>
      <c r="AY366" s="280"/>
      <c r="AZ366" s="280"/>
      <c r="BA366" s="280"/>
      <c r="BB366" s="280"/>
      <c r="BC366" s="280"/>
      <c r="BD366" s="280"/>
      <c r="BE366" s="280"/>
      <c r="BF366" s="280"/>
      <c r="BG366" s="280"/>
      <c r="BH366" s="280"/>
      <c r="BI366" s="12"/>
      <c r="BJ366" s="280"/>
      <c r="BK366" s="280"/>
      <c r="BL366" s="280"/>
      <c r="BM366" s="280"/>
      <c r="BN366" s="280"/>
      <c r="BO366" s="280"/>
      <c r="BP366" s="280"/>
      <c r="BQ366" s="280"/>
      <c r="BR366" s="280"/>
      <c r="BS366" s="280"/>
      <c r="BT366" s="280"/>
      <c r="BU366" s="280"/>
      <c r="BV366" s="280"/>
      <c r="BW366" s="280"/>
      <c r="BX366" s="280"/>
      <c r="BY366" s="280"/>
      <c r="BZ366" s="280"/>
      <c r="CA366" s="280"/>
      <c r="CB366" s="280"/>
      <c r="CC366" s="280"/>
      <c r="CD366" s="280"/>
      <c r="CE366" s="280"/>
      <c r="CF366" s="13"/>
      <c r="CG366" s="280"/>
      <c r="CH366" s="280"/>
      <c r="CI366" s="280"/>
      <c r="CJ366" s="280"/>
      <c r="CK366" s="280"/>
      <c r="CL366" s="280"/>
      <c r="CM366" s="280"/>
      <c r="CN366" s="280"/>
      <c r="CO366" s="280"/>
      <c r="CP366" s="280"/>
      <c r="CQ366" s="280"/>
      <c r="CR366" s="280"/>
      <c r="CS366" s="280"/>
      <c r="CT366" s="280"/>
      <c r="CU366" s="280"/>
      <c r="CV366" s="13"/>
      <c r="CW366" s="280"/>
      <c r="CX366" s="13"/>
      <c r="CY366" s="280"/>
      <c r="CZ366" s="280"/>
      <c r="DA366" s="287"/>
      <c r="DB366" s="288"/>
      <c r="DC366" s="14"/>
      <c r="DD366" s="16"/>
      <c r="DE366" s="14"/>
      <c r="DF366" s="15"/>
      <c r="DG366" s="15"/>
      <c r="DH366" s="15"/>
      <c r="DI366" s="15"/>
      <c r="DJ366" s="15"/>
      <c r="DK366" s="15"/>
      <c r="DL366" s="16"/>
      <c r="DM366" s="280"/>
      <c r="DN366" s="280"/>
      <c r="DO366" s="280"/>
      <c r="DP366" s="280"/>
      <c r="DQ366" s="280"/>
      <c r="DR366" s="280"/>
      <c r="DS366" s="280"/>
      <c r="DT366" s="280"/>
      <c r="DU366" s="280"/>
      <c r="DV366" s="280"/>
      <c r="DW366" s="280"/>
      <c r="DX366" s="280"/>
      <c r="DY366" s="280"/>
      <c r="DZ366" s="280"/>
      <c r="EA366" s="280"/>
      <c r="EB366" s="280"/>
      <c r="EC366" s="280"/>
      <c r="ED366" s="280"/>
      <c r="EE366" s="280"/>
      <c r="EF366" s="280"/>
      <c r="EG366" s="280"/>
      <c r="EH366" s="280"/>
      <c r="EI366" s="280"/>
      <c r="EJ366" s="280"/>
      <c r="EK366" s="280"/>
      <c r="EL366" s="280"/>
      <c r="EM366" s="280"/>
      <c r="EN366" s="280"/>
      <c r="EO366" s="280"/>
      <c r="EP366" s="12"/>
      <c r="EQ366" s="280"/>
      <c r="ER366" s="280"/>
      <c r="ES366" s="294"/>
      <c r="ET366" s="280"/>
      <c r="EU366" s="13"/>
      <c r="EV366" s="13"/>
      <c r="EW366" s="43"/>
      <c r="EX366" s="43"/>
      <c r="EY366" s="45"/>
    </row>
    <row r="367" spans="44:155" ht="10.75" customHeight="1" x14ac:dyDescent="0.2">
      <c r="AR367" s="42"/>
      <c r="AS367" s="43"/>
      <c r="AT367" s="43"/>
      <c r="AU367" s="12"/>
      <c r="AV367" s="280"/>
      <c r="AW367" s="280"/>
      <c r="AX367" s="280"/>
      <c r="AY367" s="280"/>
      <c r="AZ367" s="280"/>
      <c r="BA367" s="280"/>
      <c r="BB367" s="280"/>
      <c r="BC367" s="280"/>
      <c r="BD367" s="280"/>
      <c r="BE367" s="280"/>
      <c r="BF367" s="280"/>
      <c r="BG367" s="280"/>
      <c r="BH367" s="280"/>
      <c r="BI367" s="12"/>
      <c r="BJ367" s="280"/>
      <c r="BK367" s="280"/>
      <c r="BL367" s="280"/>
      <c r="BM367" s="280"/>
      <c r="BN367" s="280"/>
      <c r="BO367" s="280"/>
      <c r="BP367" s="280"/>
      <c r="BQ367" s="280"/>
      <c r="BR367" s="280"/>
      <c r="BS367" s="280"/>
      <c r="BT367" s="280"/>
      <c r="BU367" s="280"/>
      <c r="BV367" s="280"/>
      <c r="BW367" s="280"/>
      <c r="BX367" s="280"/>
      <c r="BY367" s="280"/>
      <c r="BZ367" s="280"/>
      <c r="CA367" s="280"/>
      <c r="CB367" s="280"/>
      <c r="CC367" s="280"/>
      <c r="CD367" s="280"/>
      <c r="CE367" s="280"/>
      <c r="CF367" s="13"/>
      <c r="CG367" s="280"/>
      <c r="CH367" s="280"/>
      <c r="CI367" s="280"/>
      <c r="CJ367" s="280"/>
      <c r="CK367" s="280"/>
      <c r="CL367" s="280"/>
      <c r="CM367" s="280"/>
      <c r="CN367" s="280"/>
      <c r="CO367" s="280"/>
      <c r="CP367" s="280"/>
      <c r="CQ367" s="280"/>
      <c r="CR367" s="280"/>
      <c r="CS367" s="280"/>
      <c r="CT367" s="280"/>
      <c r="CU367" s="280"/>
      <c r="CV367" s="13"/>
      <c r="CW367" s="280"/>
      <c r="CX367" s="13"/>
      <c r="CY367" s="280"/>
      <c r="CZ367" s="280"/>
      <c r="DA367" s="287"/>
      <c r="DB367" s="288"/>
      <c r="DC367" s="12"/>
      <c r="DD367" s="13"/>
      <c r="DE367" s="12"/>
      <c r="DF367" s="280"/>
      <c r="DG367" s="280"/>
      <c r="DH367" s="280"/>
      <c r="DI367" s="280"/>
      <c r="DJ367" s="280"/>
      <c r="DK367" s="280"/>
      <c r="DL367" s="13"/>
      <c r="DM367" s="280"/>
      <c r="DN367" s="280"/>
      <c r="DO367" s="280"/>
      <c r="DP367" s="280"/>
      <c r="DQ367" s="280"/>
      <c r="DR367" s="280"/>
      <c r="DS367" s="280"/>
      <c r="DT367" s="280"/>
      <c r="DU367" s="280"/>
      <c r="DV367" s="280"/>
      <c r="DW367" s="280"/>
      <c r="DX367" s="280"/>
      <c r="DY367" s="280"/>
      <c r="DZ367" s="280"/>
      <c r="EA367" s="280"/>
      <c r="EB367" s="280"/>
      <c r="EC367" s="280"/>
      <c r="ED367" s="280"/>
      <c r="EE367" s="280"/>
      <c r="EF367" s="280"/>
      <c r="EG367" s="280"/>
      <c r="EH367" s="280"/>
      <c r="EI367" s="280"/>
      <c r="EJ367" s="280"/>
      <c r="EK367" s="280"/>
      <c r="EL367" s="280"/>
      <c r="EM367" s="280"/>
      <c r="EN367" s="280"/>
      <c r="EO367" s="280"/>
      <c r="EP367" s="12"/>
      <c r="EQ367" s="280"/>
      <c r="ER367" s="280"/>
      <c r="ES367" s="294"/>
      <c r="ET367" s="280"/>
      <c r="EU367" s="13"/>
      <c r="EV367" s="13"/>
      <c r="EW367" s="43"/>
      <c r="EX367" s="43"/>
      <c r="EY367" s="45"/>
    </row>
    <row r="368" spans="44:155" ht="10.75" customHeight="1" x14ac:dyDescent="0.2">
      <c r="AR368" s="42"/>
      <c r="AS368" s="43"/>
      <c r="AT368" s="43"/>
      <c r="AU368" s="12"/>
      <c r="AV368" s="280"/>
      <c r="AW368" s="280"/>
      <c r="AX368" s="280"/>
      <c r="AY368" s="280"/>
      <c r="AZ368" s="280"/>
      <c r="BA368" s="280"/>
      <c r="BB368" s="280"/>
      <c r="BC368" s="280"/>
      <c r="BD368" s="280"/>
      <c r="BE368" s="280"/>
      <c r="BF368" s="280"/>
      <c r="BG368" s="280"/>
      <c r="BH368" s="280"/>
      <c r="BI368" s="12"/>
      <c r="BJ368" s="280"/>
      <c r="BK368" s="280"/>
      <c r="BL368" s="280"/>
      <c r="BM368" s="280"/>
      <c r="BN368" s="280"/>
      <c r="BO368" s="280"/>
      <c r="BP368" s="280"/>
      <c r="BQ368" s="280"/>
      <c r="BR368" s="280"/>
      <c r="BS368" s="280"/>
      <c r="BT368" s="280"/>
      <c r="BU368" s="280"/>
      <c r="BV368" s="280"/>
      <c r="BW368" s="280"/>
      <c r="BX368" s="280"/>
      <c r="BY368" s="280"/>
      <c r="BZ368" s="280"/>
      <c r="CA368" s="280"/>
      <c r="CB368" s="280"/>
      <c r="CC368" s="280"/>
      <c r="CD368" s="280"/>
      <c r="CE368" s="280"/>
      <c r="CF368" s="13"/>
      <c r="CG368" s="280"/>
      <c r="CH368" s="280"/>
      <c r="CI368" s="280"/>
      <c r="CJ368" s="280"/>
      <c r="CK368" s="280"/>
      <c r="CL368" s="280"/>
      <c r="CM368" s="280"/>
      <c r="CN368" s="280"/>
      <c r="CO368" s="280"/>
      <c r="CP368" s="280"/>
      <c r="CQ368" s="280"/>
      <c r="CR368" s="280"/>
      <c r="CS368" s="280"/>
      <c r="CT368" s="280"/>
      <c r="CU368" s="280"/>
      <c r="CV368" s="13"/>
      <c r="CW368" s="280"/>
      <c r="CX368" s="13"/>
      <c r="CY368" s="280"/>
      <c r="CZ368" s="280"/>
      <c r="DA368" s="287"/>
      <c r="DB368" s="288"/>
      <c r="DC368" s="12"/>
      <c r="DD368" s="13"/>
      <c r="DE368" s="12"/>
      <c r="DF368" s="280"/>
      <c r="DG368" s="280"/>
      <c r="DH368" s="280"/>
      <c r="DI368" s="280"/>
      <c r="DJ368" s="280"/>
      <c r="DK368" s="280"/>
      <c r="DL368" s="13"/>
      <c r="DM368" s="280"/>
      <c r="DN368" s="280"/>
      <c r="DO368" s="280"/>
      <c r="DP368" s="280"/>
      <c r="DQ368" s="280"/>
      <c r="DR368" s="280"/>
      <c r="DS368" s="280"/>
      <c r="DT368" s="280"/>
      <c r="DU368" s="280"/>
      <c r="DV368" s="280"/>
      <c r="DW368" s="280"/>
      <c r="DX368" s="280"/>
      <c r="DY368" s="280"/>
      <c r="DZ368" s="280"/>
      <c r="EA368" s="280"/>
      <c r="EB368" s="280"/>
      <c r="EC368" s="280"/>
      <c r="ED368" s="280"/>
      <c r="EE368" s="280"/>
      <c r="EF368" s="280"/>
      <c r="EG368" s="280"/>
      <c r="EH368" s="280"/>
      <c r="EI368" s="280"/>
      <c r="EJ368" s="280"/>
      <c r="EK368" s="280"/>
      <c r="EL368" s="280"/>
      <c r="EM368" s="280"/>
      <c r="EN368" s="280"/>
      <c r="EO368" s="280"/>
      <c r="EP368" s="12"/>
      <c r="EQ368" s="280"/>
      <c r="ER368" s="280"/>
      <c r="ES368" s="294"/>
      <c r="ET368" s="280"/>
      <c r="EU368" s="13"/>
      <c r="EV368" s="13"/>
      <c r="EW368" s="43"/>
      <c r="EX368" s="43"/>
      <c r="EY368" s="45"/>
    </row>
    <row r="369" spans="34:389" ht="10.75" customHeight="1" x14ac:dyDescent="0.2">
      <c r="AR369" s="42"/>
      <c r="AS369" s="43"/>
      <c r="AT369" s="43"/>
      <c r="AU369" s="12"/>
      <c r="AV369" s="280"/>
      <c r="AW369" s="280"/>
      <c r="AX369" s="280"/>
      <c r="AY369" s="280"/>
      <c r="AZ369" s="280"/>
      <c r="BA369" s="280"/>
      <c r="BB369" s="280"/>
      <c r="BC369" s="280"/>
      <c r="BD369" s="280"/>
      <c r="BE369" s="280"/>
      <c r="BF369" s="280"/>
      <c r="BG369" s="280"/>
      <c r="BH369" s="280"/>
      <c r="BI369" s="12"/>
      <c r="BJ369" s="280"/>
      <c r="BK369" s="280"/>
      <c r="BL369" s="280"/>
      <c r="BM369" s="280"/>
      <c r="BN369" s="280"/>
      <c r="BO369" s="280"/>
      <c r="BP369" s="280"/>
      <c r="BQ369" s="280"/>
      <c r="BR369" s="280"/>
      <c r="BS369" s="280"/>
      <c r="BT369" s="280"/>
      <c r="BU369" s="280"/>
      <c r="BV369" s="280"/>
      <c r="BW369" s="280"/>
      <c r="BX369" s="280"/>
      <c r="BY369" s="280"/>
      <c r="BZ369" s="280"/>
      <c r="CA369" s="280"/>
      <c r="CB369" s="280"/>
      <c r="CC369" s="280"/>
      <c r="CD369" s="280"/>
      <c r="CE369" s="280"/>
      <c r="CF369" s="13"/>
      <c r="CG369" s="280"/>
      <c r="CH369" s="280"/>
      <c r="CI369" s="280"/>
      <c r="CJ369" s="280"/>
      <c r="CK369" s="280"/>
      <c r="CL369" s="280"/>
      <c r="CM369" s="280"/>
      <c r="CN369" s="280"/>
      <c r="CO369" s="280"/>
      <c r="CP369" s="280"/>
      <c r="CQ369" s="280"/>
      <c r="CR369" s="280"/>
      <c r="CS369" s="280"/>
      <c r="CT369" s="280"/>
      <c r="CU369" s="280"/>
      <c r="CV369" s="13"/>
      <c r="CW369" s="280"/>
      <c r="CX369" s="13"/>
      <c r="CY369" s="280"/>
      <c r="CZ369" s="280"/>
      <c r="DA369" s="287"/>
      <c r="DB369" s="288"/>
      <c r="DC369" s="12"/>
      <c r="DD369" s="13"/>
      <c r="DE369" s="12"/>
      <c r="DF369" s="280"/>
      <c r="DG369" s="280"/>
      <c r="DH369" s="280"/>
      <c r="DI369" s="280"/>
      <c r="DJ369" s="280"/>
      <c r="DK369" s="280"/>
      <c r="DL369" s="13"/>
      <c r="DM369" s="280"/>
      <c r="DN369" s="280"/>
      <c r="DO369" s="280"/>
      <c r="DP369" s="280"/>
      <c r="DQ369" s="280"/>
      <c r="DR369" s="280"/>
      <c r="DS369" s="280"/>
      <c r="DT369" s="280"/>
      <c r="DU369" s="280"/>
      <c r="DV369" s="280"/>
      <c r="DW369" s="280"/>
      <c r="DX369" s="280"/>
      <c r="DY369" s="280"/>
      <c r="DZ369" s="280"/>
      <c r="EA369" s="280"/>
      <c r="EB369" s="280"/>
      <c r="EC369" s="280"/>
      <c r="ED369" s="280"/>
      <c r="EE369" s="280"/>
      <c r="EF369" s="280"/>
      <c r="EG369" s="280"/>
      <c r="EH369" s="280"/>
      <c r="EI369" s="280"/>
      <c r="EJ369" s="280"/>
      <c r="EK369" s="280"/>
      <c r="EL369" s="280"/>
      <c r="EM369" s="280"/>
      <c r="EN369" s="280"/>
      <c r="EO369" s="280"/>
      <c r="EP369" s="12"/>
      <c r="EQ369" s="280"/>
      <c r="ER369" s="280"/>
      <c r="ES369" s="294"/>
      <c r="ET369" s="280"/>
      <c r="EU369" s="13"/>
      <c r="EV369" s="13"/>
      <c r="EW369" s="43"/>
      <c r="EX369" s="43"/>
      <c r="EY369" s="45"/>
    </row>
    <row r="370" spans="34:389" ht="10.75" customHeight="1" x14ac:dyDescent="0.2">
      <c r="AH370" s="9"/>
      <c r="AI370" s="10"/>
      <c r="AJ370" s="10"/>
      <c r="AK370" s="10"/>
      <c r="AL370" s="10"/>
      <c r="AM370" s="10"/>
      <c r="AN370" s="10"/>
      <c r="AO370" s="10"/>
      <c r="AP370" s="10"/>
      <c r="AQ370" s="11"/>
      <c r="AR370" s="42"/>
      <c r="AS370" s="43"/>
      <c r="AT370" s="43"/>
      <c r="AU370" s="12"/>
      <c r="AV370" s="280"/>
      <c r="AW370" s="280"/>
      <c r="AX370" s="280"/>
      <c r="AY370" s="280"/>
      <c r="AZ370" s="280"/>
      <c r="BA370" s="280"/>
      <c r="BB370" s="280"/>
      <c r="BC370" s="280"/>
      <c r="BD370" s="280"/>
      <c r="BE370" s="280"/>
      <c r="BF370" s="280"/>
      <c r="BG370" s="280"/>
      <c r="BH370" s="280"/>
      <c r="BI370" s="12"/>
      <c r="BJ370" s="280"/>
      <c r="BK370" s="280"/>
      <c r="BL370" s="280"/>
      <c r="BM370" s="280"/>
      <c r="BN370" s="280"/>
      <c r="BO370" s="280"/>
      <c r="BP370" s="280"/>
      <c r="BQ370" s="280"/>
      <c r="BR370" s="280"/>
      <c r="BS370" s="280"/>
      <c r="BT370" s="280"/>
      <c r="BU370" s="280"/>
      <c r="BV370" s="280"/>
      <c r="BW370" s="280"/>
      <c r="BX370" s="280"/>
      <c r="BY370" s="280"/>
      <c r="BZ370" s="280"/>
      <c r="CA370" s="280"/>
      <c r="CB370" s="280"/>
      <c r="CC370" s="280"/>
      <c r="CD370" s="280"/>
      <c r="CE370" s="280"/>
      <c r="CF370" s="13"/>
      <c r="CG370" s="280"/>
      <c r="CH370" s="280"/>
      <c r="CI370" s="280"/>
      <c r="CJ370" s="280"/>
      <c r="CK370" s="280"/>
      <c r="CL370" s="280"/>
      <c r="CM370" s="280"/>
      <c r="CN370" s="280"/>
      <c r="CO370" s="280"/>
      <c r="CP370" s="280"/>
      <c r="CQ370" s="280"/>
      <c r="CR370" s="280"/>
      <c r="CS370" s="280"/>
      <c r="CT370" s="280"/>
      <c r="CU370" s="280"/>
      <c r="CV370" s="13"/>
      <c r="CW370" s="280"/>
      <c r="CX370" s="13"/>
      <c r="CY370" s="280"/>
      <c r="CZ370" s="280"/>
      <c r="DA370" s="287"/>
      <c r="DB370" s="288"/>
      <c r="DC370" s="12"/>
      <c r="DD370" s="13"/>
      <c r="DE370" s="12"/>
      <c r="DF370" s="280"/>
      <c r="DG370" s="280"/>
      <c r="DH370" s="280"/>
      <c r="DI370" s="280"/>
      <c r="DJ370" s="280"/>
      <c r="DK370" s="280"/>
      <c r="DL370" s="13"/>
      <c r="DM370" s="280"/>
      <c r="DN370" s="280"/>
      <c r="DO370" s="280"/>
      <c r="DP370" s="280"/>
      <c r="DQ370" s="280"/>
      <c r="DR370" s="280"/>
      <c r="DS370" s="280"/>
      <c r="DT370" s="280"/>
      <c r="DU370" s="280"/>
      <c r="DV370" s="280"/>
      <c r="DW370" s="280"/>
      <c r="DX370" s="280"/>
      <c r="DY370" s="280"/>
      <c r="DZ370" s="280"/>
      <c r="EA370" s="280"/>
      <c r="EB370" s="280"/>
      <c r="EC370" s="280"/>
      <c r="ED370" s="280"/>
      <c r="EE370" s="280"/>
      <c r="EF370" s="280"/>
      <c r="EG370" s="280"/>
      <c r="EH370" s="280"/>
      <c r="EI370" s="280"/>
      <c r="EJ370" s="280"/>
      <c r="EK370" s="280"/>
      <c r="EL370" s="280"/>
      <c r="EM370" s="280"/>
      <c r="EN370" s="280"/>
      <c r="EO370" s="280"/>
      <c r="EP370" s="12"/>
      <c r="EQ370" s="280"/>
      <c r="ER370" s="280"/>
      <c r="ES370" s="294"/>
      <c r="ET370" s="280"/>
      <c r="EU370" s="13"/>
      <c r="EV370" s="13"/>
      <c r="EW370" s="43"/>
      <c r="EX370" s="43"/>
      <c r="EY370" s="45"/>
    </row>
    <row r="371" spans="34:389" ht="10.75" customHeight="1" x14ac:dyDescent="0.2">
      <c r="AH371" s="12"/>
      <c r="AI371" s="9"/>
      <c r="AJ371" s="10"/>
      <c r="AK371" s="10"/>
      <c r="AL371" s="10"/>
      <c r="AM371" s="10"/>
      <c r="AN371" s="10"/>
      <c r="AO371" s="10"/>
      <c r="AP371" s="10"/>
      <c r="AQ371" s="11"/>
      <c r="AR371" s="42"/>
      <c r="AS371" s="43"/>
      <c r="AT371" s="43"/>
      <c r="AU371" s="12"/>
      <c r="AV371" s="280"/>
      <c r="AW371" s="280"/>
      <c r="AX371" s="280"/>
      <c r="AY371" s="280"/>
      <c r="AZ371" s="280"/>
      <c r="BA371" s="280"/>
      <c r="BB371" s="280"/>
      <c r="BC371" s="280"/>
      <c r="BD371" s="280"/>
      <c r="BE371" s="280"/>
      <c r="BF371" s="280"/>
      <c r="BG371" s="280"/>
      <c r="BH371" s="280"/>
      <c r="BI371" s="12"/>
      <c r="BJ371" s="280"/>
      <c r="BK371" s="280"/>
      <c r="BL371" s="280"/>
      <c r="BM371" s="280"/>
      <c r="BN371" s="280"/>
      <c r="BO371" s="280"/>
      <c r="BP371" s="280"/>
      <c r="BQ371" s="280"/>
      <c r="BR371" s="280"/>
      <c r="BS371" s="280"/>
      <c r="BT371" s="280"/>
      <c r="BU371" s="280"/>
      <c r="BV371" s="280"/>
      <c r="BW371" s="280"/>
      <c r="BX371" s="280"/>
      <c r="BY371" s="280"/>
      <c r="BZ371" s="280"/>
      <c r="CA371" s="280"/>
      <c r="CB371" s="280"/>
      <c r="CC371" s="280"/>
      <c r="CD371" s="280"/>
      <c r="CE371" s="280"/>
      <c r="CF371" s="13"/>
      <c r="CG371" s="280"/>
      <c r="CH371" s="280"/>
      <c r="CI371" s="280"/>
      <c r="CJ371" s="280"/>
      <c r="CK371" s="280"/>
      <c r="CL371" s="280"/>
      <c r="CM371" s="280"/>
      <c r="CN371" s="280"/>
      <c r="CO371" s="280"/>
      <c r="CP371" s="280"/>
      <c r="CQ371" s="280"/>
      <c r="CR371" s="280"/>
      <c r="CS371" s="280"/>
      <c r="CT371" s="280"/>
      <c r="CU371" s="280"/>
      <c r="CV371" s="13"/>
      <c r="CW371" s="280"/>
      <c r="CX371" s="13"/>
      <c r="CY371" s="280"/>
      <c r="CZ371" s="280"/>
      <c r="DA371" s="287"/>
      <c r="DB371" s="288"/>
      <c r="DC371" s="12"/>
      <c r="DD371" s="13"/>
      <c r="DE371" s="12"/>
      <c r="DF371" s="280"/>
      <c r="DG371" s="280"/>
      <c r="DH371" s="280"/>
      <c r="DI371" s="280"/>
      <c r="DJ371" s="280"/>
      <c r="DK371" s="280"/>
      <c r="DL371" s="13"/>
      <c r="DM371" s="280"/>
      <c r="DN371" s="280"/>
      <c r="DO371" s="280"/>
      <c r="DP371" s="280"/>
      <c r="DQ371" s="280"/>
      <c r="DR371" s="280"/>
      <c r="DS371" s="280"/>
      <c r="DT371" s="280"/>
      <c r="DU371" s="280"/>
      <c r="DV371" s="280"/>
      <c r="DW371" s="280"/>
      <c r="DX371" s="280"/>
      <c r="DY371" s="280"/>
      <c r="DZ371" s="280"/>
      <c r="EA371" s="280"/>
      <c r="EB371" s="280"/>
      <c r="EC371" s="280"/>
      <c r="ED371" s="280"/>
      <c r="EE371" s="280"/>
      <c r="EF371" s="280"/>
      <c r="EG371" s="280"/>
      <c r="EH371" s="280"/>
      <c r="EI371" s="280"/>
      <c r="EJ371" s="280"/>
      <c r="EK371" s="280"/>
      <c r="EL371" s="280"/>
      <c r="EM371" s="280"/>
      <c r="EN371" s="280"/>
      <c r="EO371" s="280"/>
      <c r="EP371" s="12"/>
      <c r="EQ371" s="280"/>
      <c r="ER371" s="280"/>
      <c r="ES371" s="294"/>
      <c r="ET371" s="280"/>
      <c r="EU371" s="13"/>
      <c r="EV371" s="13"/>
      <c r="EW371" s="43"/>
      <c r="EX371" s="43"/>
      <c r="EY371" s="45"/>
    </row>
    <row r="372" spans="34:389" ht="10.75" customHeight="1" x14ac:dyDescent="0.2">
      <c r="AH372" s="12"/>
      <c r="AI372" s="12"/>
      <c r="AJ372" s="280"/>
      <c r="AK372" s="280"/>
      <c r="AL372" s="280"/>
      <c r="AM372" s="280"/>
      <c r="AN372" s="280"/>
      <c r="AO372" s="280"/>
      <c r="AP372" s="280"/>
      <c r="AQ372" s="13"/>
      <c r="AR372" s="42"/>
      <c r="AS372" s="43"/>
      <c r="AT372" s="43"/>
      <c r="AU372" s="12"/>
      <c r="AV372" s="280"/>
      <c r="AW372" s="280"/>
      <c r="AX372" s="280"/>
      <c r="AY372" s="280"/>
      <c r="AZ372" s="280"/>
      <c r="BA372" s="280"/>
      <c r="BB372" s="280"/>
      <c r="BC372" s="280"/>
      <c r="BD372" s="280"/>
      <c r="BE372" s="280"/>
      <c r="BF372" s="280"/>
      <c r="BG372" s="280"/>
      <c r="BH372" s="280"/>
      <c r="BI372" s="12"/>
      <c r="BJ372" s="280"/>
      <c r="BK372" s="280"/>
      <c r="BL372" s="280"/>
      <c r="BM372" s="280"/>
      <c r="BN372" s="280"/>
      <c r="BO372" s="280"/>
      <c r="BP372" s="280"/>
      <c r="BQ372" s="280"/>
      <c r="BR372" s="280"/>
      <c r="BS372" s="280"/>
      <c r="BT372" s="280"/>
      <c r="BU372" s="280"/>
      <c r="BV372" s="280"/>
      <c r="BW372" s="280"/>
      <c r="BX372" s="280"/>
      <c r="BY372" s="280"/>
      <c r="BZ372" s="280"/>
      <c r="CA372" s="280"/>
      <c r="CB372" s="280"/>
      <c r="CC372" s="280"/>
      <c r="CD372" s="280"/>
      <c r="CE372" s="280"/>
      <c r="CF372" s="13"/>
      <c r="CG372" s="280"/>
      <c r="CH372" s="280"/>
      <c r="CI372" s="280"/>
      <c r="CJ372" s="280"/>
      <c r="CK372" s="280"/>
      <c r="CL372" s="280"/>
      <c r="CM372" s="280"/>
      <c r="CN372" s="280"/>
      <c r="CO372" s="280"/>
      <c r="CP372" s="280"/>
      <c r="CQ372" s="280"/>
      <c r="CR372" s="280"/>
      <c r="CS372" s="280"/>
      <c r="CT372" s="280"/>
      <c r="CU372" s="280"/>
      <c r="CV372" s="13"/>
      <c r="CW372" s="280"/>
      <c r="CX372" s="13"/>
      <c r="CY372" s="280"/>
      <c r="CZ372" s="280"/>
      <c r="DA372" s="287"/>
      <c r="DB372" s="288"/>
      <c r="DC372" s="12"/>
      <c r="DD372" s="13"/>
      <c r="DE372" s="12"/>
      <c r="DF372" s="280"/>
      <c r="DG372" s="280"/>
      <c r="DH372" s="280"/>
      <c r="DI372" s="280"/>
      <c r="DJ372" s="280"/>
      <c r="DK372" s="280"/>
      <c r="DL372" s="13"/>
      <c r="DM372" s="280"/>
      <c r="DN372" s="280"/>
      <c r="DO372" s="280"/>
      <c r="DP372" s="280"/>
      <c r="DQ372" s="280"/>
      <c r="DR372" s="280"/>
      <c r="DS372" s="280"/>
      <c r="DT372" s="280"/>
      <c r="DU372" s="280"/>
      <c r="DV372" s="280"/>
      <c r="DW372" s="280"/>
      <c r="DX372" s="280"/>
      <c r="DY372" s="280"/>
      <c r="DZ372" s="280"/>
      <c r="EA372" s="280"/>
      <c r="EB372" s="280"/>
      <c r="EC372" s="280"/>
      <c r="ED372" s="280"/>
      <c r="EE372" s="280"/>
      <c r="EF372" s="280"/>
      <c r="EG372" s="280"/>
      <c r="EH372" s="280"/>
      <c r="EI372" s="280"/>
      <c r="EJ372" s="280"/>
      <c r="EK372" s="280"/>
      <c r="EL372" s="280"/>
      <c r="EM372" s="280"/>
      <c r="EN372" s="280"/>
      <c r="EO372" s="280"/>
      <c r="EP372" s="12"/>
      <c r="EQ372" s="280"/>
      <c r="ER372" s="280"/>
      <c r="ES372" s="295"/>
      <c r="ET372" s="280"/>
      <c r="EU372" s="13"/>
      <c r="EV372" s="13"/>
      <c r="EW372" s="43"/>
      <c r="EX372" s="43"/>
      <c r="EY372" s="45"/>
    </row>
    <row r="373" spans="34:389" ht="10.75" customHeight="1" x14ac:dyDescent="0.2">
      <c r="AH373" s="12"/>
      <c r="AI373" s="12"/>
      <c r="AJ373" s="280"/>
      <c r="AK373" s="280"/>
      <c r="AL373" s="280"/>
      <c r="AM373" s="280"/>
      <c r="AN373" s="280"/>
      <c r="AO373" s="280"/>
      <c r="AP373" s="280"/>
      <c r="AQ373" s="13"/>
      <c r="AR373" s="42"/>
      <c r="AS373" s="43"/>
      <c r="AT373" s="43"/>
      <c r="AU373" s="12"/>
      <c r="AV373" s="280"/>
      <c r="AW373" s="280"/>
      <c r="AX373" s="280"/>
      <c r="AY373" s="280"/>
      <c r="AZ373" s="280"/>
      <c r="BA373" s="280"/>
      <c r="BB373" s="280"/>
      <c r="BC373" s="280"/>
      <c r="BD373" s="280"/>
      <c r="BE373" s="280"/>
      <c r="BF373" s="280"/>
      <c r="BG373" s="280"/>
      <c r="BH373" s="280"/>
      <c r="BI373" s="12"/>
      <c r="BJ373" s="280"/>
      <c r="BK373" s="280"/>
      <c r="BL373" s="280"/>
      <c r="BM373" s="280"/>
      <c r="BN373" s="280"/>
      <c r="BO373" s="280"/>
      <c r="BP373" s="280"/>
      <c r="BQ373" s="280"/>
      <c r="BR373" s="280"/>
      <c r="BS373" s="280"/>
      <c r="BT373" s="280"/>
      <c r="BU373" s="280"/>
      <c r="BV373" s="280"/>
      <c r="BW373" s="280"/>
      <c r="BX373" s="280"/>
      <c r="BY373" s="280"/>
      <c r="BZ373" s="280"/>
      <c r="CA373" s="280"/>
      <c r="CB373" s="280"/>
      <c r="CC373" s="280"/>
      <c r="CD373" s="280"/>
      <c r="CE373" s="280"/>
      <c r="CF373" s="13"/>
      <c r="CG373" s="280"/>
      <c r="CH373" s="280"/>
      <c r="CI373" s="280"/>
      <c r="CJ373" s="280"/>
      <c r="CK373" s="280"/>
      <c r="CL373" s="280"/>
      <c r="CM373" s="280"/>
      <c r="CN373" s="280"/>
      <c r="CO373" s="280"/>
      <c r="CP373" s="280"/>
      <c r="CQ373" s="280"/>
      <c r="CR373" s="280"/>
      <c r="CS373" s="280"/>
      <c r="CT373" s="280"/>
      <c r="CU373" s="280"/>
      <c r="CV373" s="13"/>
      <c r="CW373" s="280"/>
      <c r="CX373" s="13"/>
      <c r="CY373" s="280"/>
      <c r="CZ373" s="280"/>
      <c r="DA373" s="287"/>
      <c r="DB373" s="288"/>
      <c r="DC373" s="12"/>
      <c r="DD373" s="13"/>
      <c r="DE373" s="12"/>
      <c r="DF373" s="280"/>
      <c r="DG373" s="280"/>
      <c r="DH373" s="280"/>
      <c r="DI373" s="280"/>
      <c r="DJ373" s="280"/>
      <c r="DK373" s="280"/>
      <c r="DL373" s="13"/>
      <c r="DM373" s="280"/>
      <c r="DN373" s="280"/>
      <c r="DO373" s="280"/>
      <c r="DP373" s="280"/>
      <c r="DQ373" s="280"/>
      <c r="DR373" s="280"/>
      <c r="DS373" s="280"/>
      <c r="DT373" s="280"/>
      <c r="DU373" s="280"/>
      <c r="DV373" s="280"/>
      <c r="DW373" s="280"/>
      <c r="DX373" s="280"/>
      <c r="DY373" s="280"/>
      <c r="DZ373" s="280"/>
      <c r="EA373" s="280"/>
      <c r="EB373" s="280"/>
      <c r="EC373" s="280"/>
      <c r="ED373" s="280"/>
      <c r="EE373" s="280"/>
      <c r="EF373" s="280"/>
      <c r="EG373" s="280"/>
      <c r="EH373" s="280"/>
      <c r="EI373" s="280"/>
      <c r="EJ373" s="280"/>
      <c r="EK373" s="280"/>
      <c r="EL373" s="280"/>
      <c r="EM373" s="280"/>
      <c r="EN373" s="280"/>
      <c r="EO373" s="280"/>
      <c r="EP373" s="12"/>
      <c r="EQ373" s="280"/>
      <c r="ER373" s="280"/>
      <c r="ES373" s="280"/>
      <c r="ET373" s="280"/>
      <c r="EU373" s="13"/>
      <c r="EV373" s="13"/>
      <c r="EW373" s="43"/>
      <c r="EX373" s="43"/>
      <c r="EY373" s="45"/>
    </row>
    <row r="374" spans="34:389" ht="10.75" customHeight="1" x14ac:dyDescent="0.2">
      <c r="AH374" s="12"/>
      <c r="AI374" s="12"/>
      <c r="AJ374" s="280"/>
      <c r="AK374" s="280"/>
      <c r="AL374" s="280"/>
      <c r="AM374" s="280"/>
      <c r="AN374" s="280"/>
      <c r="AO374" s="280"/>
      <c r="AP374" s="280"/>
      <c r="AQ374" s="13"/>
      <c r="AR374" s="42"/>
      <c r="AS374" s="43"/>
      <c r="AT374" s="43"/>
      <c r="AU374" s="12"/>
      <c r="AV374" s="280"/>
      <c r="AW374" s="280"/>
      <c r="AX374" s="280"/>
      <c r="AY374" s="280"/>
      <c r="AZ374" s="280"/>
      <c r="BA374" s="280"/>
      <c r="BB374" s="280"/>
      <c r="BC374" s="280"/>
      <c r="BD374" s="280"/>
      <c r="BE374" s="280"/>
      <c r="BF374" s="280"/>
      <c r="BG374" s="280"/>
      <c r="BH374" s="280"/>
      <c r="BI374" s="12"/>
      <c r="BJ374" s="280"/>
      <c r="BK374" s="280"/>
      <c r="BL374" s="280"/>
      <c r="BM374" s="280"/>
      <c r="BN374" s="280"/>
      <c r="BO374" s="280"/>
      <c r="BP374" s="280"/>
      <c r="BQ374" s="280"/>
      <c r="BR374" s="280"/>
      <c r="BS374" s="280"/>
      <c r="BT374" s="280"/>
      <c r="BU374" s="280"/>
      <c r="BV374" s="280"/>
      <c r="BW374" s="280"/>
      <c r="BX374" s="280"/>
      <c r="BY374" s="280"/>
      <c r="BZ374" s="280"/>
      <c r="CA374" s="280"/>
      <c r="CB374" s="280"/>
      <c r="CC374" s="280"/>
      <c r="CD374" s="280"/>
      <c r="CE374" s="280"/>
      <c r="CF374" s="13"/>
      <c r="CG374" s="280"/>
      <c r="CH374" s="280"/>
      <c r="CI374" s="280"/>
      <c r="CJ374" s="280"/>
      <c r="CK374" s="280"/>
      <c r="CL374" s="280"/>
      <c r="CM374" s="280"/>
      <c r="CN374" s="280"/>
      <c r="CO374" s="280"/>
      <c r="CP374" s="280"/>
      <c r="CQ374" s="280"/>
      <c r="CR374" s="280"/>
      <c r="CS374" s="280"/>
      <c r="CT374" s="280"/>
      <c r="CU374" s="280"/>
      <c r="CV374" s="13"/>
      <c r="CW374" s="280"/>
      <c r="CX374" s="13"/>
      <c r="CY374" s="280"/>
      <c r="CZ374" s="280"/>
      <c r="DA374" s="287"/>
      <c r="DB374" s="288"/>
      <c r="DC374" s="12"/>
      <c r="DD374" s="13"/>
      <c r="DE374" s="12"/>
      <c r="DF374" s="280"/>
      <c r="DG374" s="280"/>
      <c r="DH374" s="280"/>
      <c r="DI374" s="280"/>
      <c r="DJ374" s="280"/>
      <c r="DK374" s="280"/>
      <c r="DL374" s="13"/>
      <c r="DM374" s="280"/>
      <c r="DN374" s="280"/>
      <c r="DO374" s="280"/>
      <c r="DP374" s="280"/>
      <c r="DQ374" s="280"/>
      <c r="DR374" s="280"/>
      <c r="DS374" s="280"/>
      <c r="DT374" s="280"/>
      <c r="DU374" s="280"/>
      <c r="DV374" s="280"/>
      <c r="DW374" s="280"/>
      <c r="DX374" s="280"/>
      <c r="DY374" s="280"/>
      <c r="DZ374" s="280"/>
      <c r="EA374" s="280"/>
      <c r="EB374" s="280"/>
      <c r="EC374" s="280"/>
      <c r="ED374" s="280"/>
      <c r="EE374" s="280"/>
      <c r="EF374" s="280"/>
      <c r="EG374" s="280"/>
      <c r="EH374" s="280"/>
      <c r="EI374" s="280"/>
      <c r="EJ374" s="280"/>
      <c r="EK374" s="280"/>
      <c r="EL374" s="280"/>
      <c r="EM374" s="280"/>
      <c r="EN374" s="280"/>
      <c r="EO374" s="280"/>
      <c r="EP374" s="14"/>
      <c r="EQ374" s="15"/>
      <c r="ER374" s="15"/>
      <c r="ES374" s="15"/>
      <c r="ET374" s="15"/>
      <c r="EU374" s="16"/>
      <c r="EV374" s="13"/>
      <c r="EW374" s="43"/>
      <c r="EX374" s="43"/>
      <c r="EY374" s="45"/>
    </row>
    <row r="375" spans="34:389" ht="10.75" customHeight="1" x14ac:dyDescent="0.2">
      <c r="AH375" s="12"/>
      <c r="AI375" s="12"/>
      <c r="AJ375" s="280"/>
      <c r="AK375" s="280"/>
      <c r="AL375" s="280"/>
      <c r="AM375" s="280"/>
      <c r="AN375" s="280"/>
      <c r="AO375" s="280"/>
      <c r="AP375" s="280"/>
      <c r="AQ375" s="13"/>
      <c r="AR375" s="43"/>
      <c r="AS375" s="43"/>
      <c r="AT375" s="283"/>
      <c r="AU375" s="12"/>
      <c r="AV375" s="280"/>
      <c r="AW375" s="280"/>
      <c r="AX375" s="280"/>
      <c r="AY375" s="280"/>
      <c r="AZ375" s="280"/>
      <c r="BA375" s="280"/>
      <c r="BB375" s="280"/>
      <c r="BC375" s="280"/>
      <c r="BD375" s="280"/>
      <c r="BE375" s="280"/>
      <c r="BF375" s="280"/>
      <c r="BG375" s="280"/>
      <c r="BH375" s="280"/>
      <c r="BI375" s="12"/>
      <c r="BJ375" s="280"/>
      <c r="BK375" s="280"/>
      <c r="BL375" s="280"/>
      <c r="BM375" s="280"/>
      <c r="BN375" s="280"/>
      <c r="BO375" s="280"/>
      <c r="BP375" s="280"/>
      <c r="BQ375" s="280"/>
      <c r="BR375" s="280"/>
      <c r="BS375" s="280"/>
      <c r="BT375" s="280"/>
      <c r="BU375" s="280"/>
      <c r="BV375" s="280"/>
      <c r="BW375" s="280"/>
      <c r="BX375" s="280"/>
      <c r="BY375" s="280"/>
      <c r="BZ375" s="280"/>
      <c r="CA375" s="280"/>
      <c r="CB375" s="280"/>
      <c r="CC375" s="280"/>
      <c r="CD375" s="280"/>
      <c r="CE375" s="280"/>
      <c r="CF375" s="13"/>
      <c r="CG375" s="280"/>
      <c r="CH375" s="280"/>
      <c r="CI375" s="280"/>
      <c r="CJ375" s="280"/>
      <c r="CK375" s="280"/>
      <c r="CL375" s="280"/>
      <c r="CM375" s="280"/>
      <c r="CN375" s="280"/>
      <c r="CO375" s="280"/>
      <c r="CP375" s="280"/>
      <c r="CQ375" s="280"/>
      <c r="CR375" s="280"/>
      <c r="CS375" s="280"/>
      <c r="CT375" s="280"/>
      <c r="CU375" s="280"/>
      <c r="CV375" s="13"/>
      <c r="CW375" s="280"/>
      <c r="CX375" s="13"/>
      <c r="CY375" s="280"/>
      <c r="CZ375" s="280"/>
      <c r="DA375" s="287"/>
      <c r="DB375" s="288"/>
      <c r="DC375" s="12"/>
      <c r="DD375" s="13"/>
      <c r="DE375" s="12"/>
      <c r="DF375" s="280"/>
      <c r="DG375" s="280"/>
      <c r="DH375" s="280"/>
      <c r="DI375" s="280"/>
      <c r="DJ375" s="280"/>
      <c r="DK375" s="280"/>
      <c r="DL375" s="13"/>
      <c r="DM375" s="280"/>
      <c r="DN375" s="280"/>
      <c r="DO375" s="280"/>
      <c r="DP375" s="280"/>
      <c r="DQ375" s="280"/>
      <c r="DR375" s="280"/>
      <c r="DS375" s="280"/>
      <c r="DT375" s="280"/>
      <c r="DU375" s="280"/>
      <c r="DV375" s="280"/>
      <c r="DW375" s="280"/>
      <c r="DX375" s="280"/>
      <c r="DY375" s="280"/>
      <c r="DZ375" s="280"/>
      <c r="EA375" s="280"/>
      <c r="EB375" s="280"/>
      <c r="EC375" s="280"/>
      <c r="ED375" s="280"/>
      <c r="EE375" s="280"/>
      <c r="EF375" s="280"/>
      <c r="EG375" s="280"/>
      <c r="EH375" s="280"/>
      <c r="EI375" s="280"/>
      <c r="EJ375" s="280"/>
      <c r="EK375" s="280"/>
      <c r="EL375" s="280"/>
      <c r="EM375" s="280"/>
      <c r="EN375" s="280"/>
      <c r="EO375" s="280"/>
      <c r="EP375" s="280"/>
      <c r="EQ375" s="280"/>
      <c r="ER375" s="280"/>
      <c r="ES375" s="280"/>
      <c r="ET375" s="280"/>
      <c r="EU375" s="280"/>
      <c r="EV375" s="13"/>
      <c r="EW375" s="43"/>
      <c r="EX375" s="43"/>
      <c r="EY375" s="45"/>
      <c r="HZ375" s="9"/>
      <c r="IA375" s="10"/>
      <c r="IB375" s="10"/>
      <c r="IC375" s="10"/>
      <c r="ID375" s="10"/>
      <c r="IE375" s="10"/>
      <c r="IF375" s="10"/>
      <c r="IG375" s="10"/>
      <c r="IH375" s="10"/>
      <c r="II375" s="10"/>
      <c r="IJ375" s="10"/>
      <c r="IK375" s="10"/>
      <c r="IL375" s="10"/>
      <c r="IM375" s="10"/>
      <c r="IN375" s="10"/>
      <c r="IO375" s="10"/>
      <c r="IP375" s="10"/>
      <c r="IQ375" s="10"/>
      <c r="IR375" s="10"/>
      <c r="IS375" s="10"/>
      <c r="IT375" s="10"/>
      <c r="IU375" s="10"/>
      <c r="IV375" s="10"/>
      <c r="IW375" s="10"/>
      <c r="IX375" s="10"/>
      <c r="IY375" s="10"/>
      <c r="IZ375" s="10"/>
      <c r="JA375" s="10"/>
      <c r="JB375" s="10"/>
      <c r="JC375" s="10"/>
      <c r="JD375" s="10"/>
      <c r="JE375" s="10"/>
      <c r="JF375" s="10"/>
      <c r="JG375" s="10"/>
      <c r="JH375" s="10"/>
      <c r="JI375" s="10"/>
      <c r="JJ375" s="10"/>
      <c r="JK375" s="10"/>
      <c r="JL375" s="10"/>
      <c r="JM375" s="10"/>
      <c r="JN375" s="10"/>
      <c r="JO375" s="10"/>
      <c r="JP375" s="10"/>
      <c r="JQ375" s="10"/>
      <c r="JR375" s="10"/>
      <c r="JS375" s="10"/>
      <c r="JT375" s="10"/>
      <c r="JU375" s="10"/>
      <c r="JV375" s="10"/>
      <c r="JW375" s="10"/>
      <c r="JX375" s="10"/>
      <c r="JY375" s="10"/>
      <c r="JZ375" s="10"/>
      <c r="KA375" s="10"/>
      <c r="KB375" s="10"/>
      <c r="KC375" s="10"/>
      <c r="KD375" s="10"/>
      <c r="KE375" s="10"/>
      <c r="KF375" s="10"/>
      <c r="KG375" s="10"/>
      <c r="KH375" s="10"/>
      <c r="KI375" s="10"/>
      <c r="KJ375" s="10"/>
      <c r="KK375" s="10"/>
      <c r="KL375" s="10"/>
      <c r="KM375" s="10"/>
      <c r="KN375" s="10"/>
      <c r="KO375" s="10"/>
      <c r="KP375" s="10"/>
      <c r="KQ375" s="10"/>
      <c r="KR375" s="10"/>
      <c r="KS375" s="10"/>
      <c r="KT375" s="10"/>
      <c r="KU375" s="10"/>
      <c r="KV375" s="10"/>
      <c r="KW375" s="10"/>
      <c r="KX375" s="10"/>
      <c r="KY375" s="10"/>
      <c r="KZ375" s="10"/>
      <c r="LA375" s="10"/>
      <c r="LB375" s="10"/>
      <c r="LC375" s="10"/>
      <c r="LD375" s="10"/>
      <c r="LE375" s="10"/>
      <c r="LF375" s="10"/>
      <c r="LG375" s="10"/>
      <c r="LH375" s="10"/>
      <c r="LI375" s="10"/>
      <c r="LJ375" s="10"/>
      <c r="LK375" s="10"/>
      <c r="LL375" s="10"/>
      <c r="LM375" s="10"/>
      <c r="LN375" s="10"/>
      <c r="LO375" s="10"/>
      <c r="LP375" s="10"/>
      <c r="LQ375" s="10"/>
      <c r="LR375" s="10"/>
      <c r="LS375" s="10"/>
      <c r="LT375" s="10"/>
      <c r="LU375" s="10"/>
      <c r="LV375" s="10"/>
      <c r="LW375" s="10"/>
      <c r="LX375" s="10"/>
      <c r="LY375" s="10"/>
      <c r="LZ375" s="10"/>
      <c r="MA375" s="10"/>
      <c r="MB375" s="10"/>
      <c r="MC375" s="10"/>
      <c r="MD375" s="10"/>
      <c r="ME375" s="10"/>
      <c r="MF375" s="10"/>
      <c r="MG375" s="10"/>
      <c r="MH375" s="10"/>
      <c r="MI375" s="10"/>
      <c r="MJ375" s="10"/>
      <c r="MK375" s="10"/>
      <c r="ML375" s="10"/>
      <c r="MM375" s="10"/>
      <c r="MN375" s="10"/>
      <c r="MO375" s="10"/>
      <c r="MP375" s="10"/>
      <c r="MQ375" s="10"/>
      <c r="MR375" s="10"/>
      <c r="MS375" s="10"/>
      <c r="MT375" s="10"/>
      <c r="MU375" s="10"/>
      <c r="MV375" s="10"/>
      <c r="MW375" s="10"/>
      <c r="MX375" s="10"/>
      <c r="MY375" s="10"/>
      <c r="MZ375" s="10"/>
      <c r="NA375" s="10"/>
      <c r="NB375" s="10"/>
      <c r="NC375" s="10"/>
      <c r="ND375" s="10"/>
      <c r="NE375" s="10"/>
      <c r="NF375" s="10"/>
      <c r="NG375" s="10"/>
      <c r="NH375" s="10"/>
      <c r="NI375" s="10"/>
      <c r="NJ375" s="10"/>
      <c r="NK375" s="10"/>
      <c r="NL375" s="10"/>
      <c r="NM375" s="10"/>
      <c r="NN375" s="10"/>
      <c r="NO375" s="10"/>
      <c r="NP375" s="10"/>
      <c r="NQ375" s="10"/>
      <c r="NR375" s="10"/>
      <c r="NS375" s="10"/>
      <c r="NT375" s="10"/>
      <c r="NU375" s="10"/>
      <c r="NV375" s="10"/>
      <c r="NW375" s="10"/>
      <c r="NX375" s="10"/>
      <c r="NY375" s="11"/>
    </row>
    <row r="376" spans="34:389" ht="10.75" customHeight="1" x14ac:dyDescent="0.2">
      <c r="AH376" s="12"/>
      <c r="AI376" s="12"/>
      <c r="AJ376" s="280"/>
      <c r="AK376" s="280"/>
      <c r="AL376" s="280"/>
      <c r="AM376" s="280"/>
      <c r="AN376" s="280"/>
      <c r="AO376" s="280"/>
      <c r="AP376" s="280"/>
      <c r="AQ376" s="13"/>
      <c r="AR376" s="43"/>
      <c r="AS376" s="43"/>
      <c r="AT376" s="283"/>
      <c r="AU376" s="12"/>
      <c r="AV376" s="280"/>
      <c r="AW376" s="280"/>
      <c r="AX376" s="280"/>
      <c r="AY376" s="280"/>
      <c r="AZ376" s="280"/>
      <c r="BA376" s="280"/>
      <c r="BB376" s="280"/>
      <c r="BC376" s="280"/>
      <c r="BD376" s="280"/>
      <c r="BE376" s="280"/>
      <c r="BF376" s="280"/>
      <c r="BG376" s="280"/>
      <c r="BH376" s="280"/>
      <c r="BI376" s="12"/>
      <c r="BJ376" s="280"/>
      <c r="BK376" s="280"/>
      <c r="BL376" s="280"/>
      <c r="BM376" s="280"/>
      <c r="BN376" s="280"/>
      <c r="BO376" s="280"/>
      <c r="BP376" s="280"/>
      <c r="BQ376" s="280"/>
      <c r="BR376" s="280"/>
      <c r="BS376" s="280"/>
      <c r="BT376" s="280"/>
      <c r="BU376" s="280"/>
      <c r="BV376" s="280"/>
      <c r="BW376" s="280"/>
      <c r="BX376" s="280"/>
      <c r="BY376" s="280"/>
      <c r="BZ376" s="280"/>
      <c r="CA376" s="280"/>
      <c r="CB376" s="280"/>
      <c r="CC376" s="280"/>
      <c r="CD376" s="280"/>
      <c r="CE376" s="280"/>
      <c r="CF376" s="13"/>
      <c r="CG376" s="280"/>
      <c r="CH376" s="280"/>
      <c r="CI376" s="280"/>
      <c r="CJ376" s="280"/>
      <c r="CK376" s="280"/>
      <c r="CL376" s="280"/>
      <c r="CM376" s="280"/>
      <c r="CN376" s="280"/>
      <c r="CO376" s="280"/>
      <c r="CP376" s="280"/>
      <c r="CQ376" s="280"/>
      <c r="CR376" s="280"/>
      <c r="CS376" s="280"/>
      <c r="CT376" s="280"/>
      <c r="CU376" s="280"/>
      <c r="CV376" s="13"/>
      <c r="CW376" s="280"/>
      <c r="CX376" s="13"/>
      <c r="CY376" s="280"/>
      <c r="CZ376" s="280"/>
      <c r="DA376" s="287"/>
      <c r="DB376" s="288"/>
      <c r="DC376" s="12"/>
      <c r="DD376" s="13"/>
      <c r="DE376" s="12"/>
      <c r="DF376" s="280"/>
      <c r="DG376" s="280"/>
      <c r="DH376" s="280"/>
      <c r="DI376" s="280"/>
      <c r="DJ376" s="280"/>
      <c r="DK376" s="280"/>
      <c r="DL376" s="13"/>
      <c r="DM376" s="280"/>
      <c r="DN376" s="280"/>
      <c r="DO376" s="280"/>
      <c r="DP376" s="280"/>
      <c r="DQ376" s="280"/>
      <c r="DR376" s="280"/>
      <c r="DS376" s="280"/>
      <c r="DT376" s="280"/>
      <c r="DU376" s="280"/>
      <c r="DV376" s="280"/>
      <c r="DW376" s="280"/>
      <c r="DX376" s="280"/>
      <c r="DY376" s="280"/>
      <c r="DZ376" s="280"/>
      <c r="EA376" s="280"/>
      <c r="EB376" s="280"/>
      <c r="EC376" s="280"/>
      <c r="ED376" s="280"/>
      <c r="EE376" s="280"/>
      <c r="EF376" s="280"/>
      <c r="EG376" s="280"/>
      <c r="EH376" s="280"/>
      <c r="EI376" s="280"/>
      <c r="EJ376" s="280"/>
      <c r="EK376" s="280"/>
      <c r="EL376" s="280"/>
      <c r="EM376" s="280"/>
      <c r="EN376" s="280"/>
      <c r="EO376" s="280"/>
      <c r="EP376" s="280"/>
      <c r="EQ376" s="280"/>
      <c r="ER376" s="280"/>
      <c r="ES376" s="280"/>
      <c r="ET376" s="280"/>
      <c r="EU376" s="280"/>
      <c r="EV376" s="13"/>
      <c r="EW376" s="43"/>
      <c r="EX376" s="43"/>
      <c r="EY376" s="45"/>
      <c r="HZ376" s="12"/>
      <c r="NY376" s="13"/>
    </row>
    <row r="377" spans="34:389" ht="10.75" customHeight="1" x14ac:dyDescent="0.2">
      <c r="AH377" s="12"/>
      <c r="AI377" s="12"/>
      <c r="AJ377" s="280"/>
      <c r="AK377" s="280"/>
      <c r="AL377" s="280"/>
      <c r="AM377" s="280"/>
      <c r="AN377" s="280"/>
      <c r="AO377" s="280"/>
      <c r="AP377" s="280"/>
      <c r="AQ377" s="13"/>
      <c r="AR377" s="43"/>
      <c r="AS377" s="43"/>
      <c r="AT377" s="283"/>
      <c r="AU377" s="12"/>
      <c r="AV377" s="280"/>
      <c r="AW377" s="280"/>
      <c r="AX377" s="280"/>
      <c r="AY377" s="280"/>
      <c r="AZ377" s="280"/>
      <c r="BA377" s="280"/>
      <c r="BB377" s="280"/>
      <c r="BC377" s="280"/>
      <c r="BD377" s="280"/>
      <c r="BE377" s="280"/>
      <c r="BF377" s="280"/>
      <c r="BG377" s="280"/>
      <c r="BH377" s="280"/>
      <c r="BI377" s="12"/>
      <c r="BJ377" s="280"/>
      <c r="BK377" s="280"/>
      <c r="BL377" s="280"/>
      <c r="BM377" s="280"/>
      <c r="BN377" s="280"/>
      <c r="BO377" s="280"/>
      <c r="BP377" s="280"/>
      <c r="BQ377" s="280"/>
      <c r="BR377" s="280"/>
      <c r="BS377" s="280"/>
      <c r="BT377" s="280"/>
      <c r="BU377" s="280"/>
      <c r="BV377" s="280"/>
      <c r="BW377" s="280"/>
      <c r="BX377" s="280"/>
      <c r="BY377" s="280"/>
      <c r="BZ377" s="280"/>
      <c r="CA377" s="280"/>
      <c r="CB377" s="280"/>
      <c r="CC377" s="280"/>
      <c r="CD377" s="280"/>
      <c r="CE377" s="280"/>
      <c r="CF377" s="13"/>
      <c r="CG377" s="280"/>
      <c r="CH377" s="280"/>
      <c r="CI377" s="280"/>
      <c r="CJ377" s="280"/>
      <c r="CK377" s="280"/>
      <c r="CL377" s="280"/>
      <c r="CM377" s="280"/>
      <c r="CN377" s="280"/>
      <c r="CO377" s="280"/>
      <c r="CP377" s="280"/>
      <c r="CQ377" s="280"/>
      <c r="CR377" s="280"/>
      <c r="CS377" s="280"/>
      <c r="CT377" s="280"/>
      <c r="CU377" s="280"/>
      <c r="CV377" s="13"/>
      <c r="CW377" s="280"/>
      <c r="CX377" s="13"/>
      <c r="CY377" s="280"/>
      <c r="CZ377" s="280"/>
      <c r="DA377" s="287"/>
      <c r="DB377" s="288"/>
      <c r="DC377" s="14"/>
      <c r="DD377" s="16"/>
      <c r="DE377" s="14"/>
      <c r="DF377" s="15"/>
      <c r="DG377" s="15"/>
      <c r="DH377" s="15"/>
      <c r="DI377" s="15"/>
      <c r="DJ377" s="15"/>
      <c r="DK377" s="15"/>
      <c r="DL377" s="16"/>
      <c r="DM377" s="280"/>
      <c r="DN377" s="280"/>
      <c r="DO377" s="280"/>
      <c r="DP377" s="280"/>
      <c r="DQ377" s="280"/>
      <c r="DR377" s="280"/>
      <c r="DS377" s="280"/>
      <c r="DT377" s="280"/>
      <c r="DU377" s="280"/>
      <c r="DV377" s="280"/>
      <c r="DW377" s="280"/>
      <c r="DX377" s="280"/>
      <c r="DY377" s="280"/>
      <c r="DZ377" s="280"/>
      <c r="EA377" s="280"/>
      <c r="EB377" s="280"/>
      <c r="EC377" s="280"/>
      <c r="ED377" s="280"/>
      <c r="EE377" s="280"/>
      <c r="EF377" s="280"/>
      <c r="EG377" s="280"/>
      <c r="EH377" s="280"/>
      <c r="EI377" s="280"/>
      <c r="EJ377" s="280"/>
      <c r="EK377" s="280"/>
      <c r="EL377" s="280"/>
      <c r="EM377" s="280"/>
      <c r="EN377" s="280"/>
      <c r="EO377" s="280"/>
      <c r="EP377" s="280"/>
      <c r="EQ377" s="280"/>
      <c r="ER377" s="280"/>
      <c r="ES377" s="280"/>
      <c r="ET377" s="280"/>
      <c r="EU377" s="280"/>
      <c r="EV377" s="13"/>
      <c r="EW377" s="43"/>
      <c r="EX377" s="43"/>
      <c r="EY377" s="45"/>
      <c r="HZ377" s="12"/>
      <c r="NY377" s="13"/>
    </row>
    <row r="378" spans="34:389" ht="10.75" customHeight="1" x14ac:dyDescent="0.2">
      <c r="AH378" s="12"/>
      <c r="AI378" s="12"/>
      <c r="AJ378" s="280"/>
      <c r="AK378" s="280"/>
      <c r="AL378" s="280"/>
      <c r="AM378" s="280"/>
      <c r="AN378" s="280"/>
      <c r="AO378" s="280"/>
      <c r="AP378" s="280"/>
      <c r="AQ378" s="13"/>
      <c r="AR378" s="97"/>
      <c r="AS378" s="97"/>
      <c r="AT378" s="282"/>
      <c r="AU378" s="12"/>
      <c r="AV378" s="280"/>
      <c r="AW378" s="280"/>
      <c r="AX378" s="280"/>
      <c r="AY378" s="280"/>
      <c r="AZ378" s="280"/>
      <c r="BA378" s="280"/>
      <c r="BB378" s="280"/>
      <c r="BC378" s="280"/>
      <c r="BD378" s="280"/>
      <c r="BE378" s="280"/>
      <c r="BF378" s="280"/>
      <c r="BG378" s="280"/>
      <c r="BH378" s="280"/>
      <c r="BI378" s="12"/>
      <c r="BJ378" s="280"/>
      <c r="BK378" s="280"/>
      <c r="BL378" s="280"/>
      <c r="BM378" s="280"/>
      <c r="BN378" s="280"/>
      <c r="BO378" s="280"/>
      <c r="BP378" s="280"/>
      <c r="BQ378" s="280"/>
      <c r="BR378" s="280"/>
      <c r="BS378" s="280"/>
      <c r="BT378" s="280"/>
      <c r="BU378" s="280"/>
      <c r="BV378" s="280"/>
      <c r="BW378" s="280"/>
      <c r="BX378" s="280"/>
      <c r="BY378" s="280"/>
      <c r="BZ378" s="280"/>
      <c r="CA378" s="280"/>
      <c r="CB378" s="280"/>
      <c r="CC378" s="280"/>
      <c r="CD378" s="280"/>
      <c r="CE378" s="280"/>
      <c r="CF378" s="13"/>
      <c r="CG378" s="280"/>
      <c r="CH378" s="280"/>
      <c r="CI378" s="280"/>
      <c r="CJ378" s="280"/>
      <c r="CK378" s="280"/>
      <c r="CL378" s="280"/>
      <c r="CM378" s="280"/>
      <c r="CN378" s="280"/>
      <c r="CO378" s="280"/>
      <c r="CP378" s="280"/>
      <c r="CQ378" s="280"/>
      <c r="CR378" s="280"/>
      <c r="CS378" s="280"/>
      <c r="CT378" s="280"/>
      <c r="CU378" s="280"/>
      <c r="CV378" s="98"/>
      <c r="CW378" s="282"/>
      <c r="CX378" s="98"/>
      <c r="CY378" s="280"/>
      <c r="CZ378" s="280"/>
      <c r="DA378" s="287"/>
      <c r="DB378" s="288"/>
      <c r="DC378" s="288"/>
      <c r="DD378" s="288"/>
      <c r="DE378" s="288"/>
      <c r="DF378" s="288"/>
      <c r="DG378" s="288"/>
      <c r="DH378" s="288"/>
      <c r="DI378" s="288"/>
      <c r="DJ378" s="288"/>
      <c r="DK378" s="288"/>
      <c r="DL378" s="290"/>
      <c r="DM378" s="280"/>
      <c r="DN378" s="280"/>
      <c r="DO378" s="280"/>
      <c r="DP378" s="280"/>
      <c r="DQ378" s="280"/>
      <c r="DR378" s="280"/>
      <c r="DS378" s="280"/>
      <c r="DT378" s="280"/>
      <c r="DU378" s="280"/>
      <c r="DV378" s="280"/>
      <c r="DW378" s="280"/>
      <c r="DX378" s="280"/>
      <c r="DY378" s="280"/>
      <c r="DZ378" s="280"/>
      <c r="EA378" s="280"/>
      <c r="EB378" s="280"/>
      <c r="EC378" s="280"/>
      <c r="ED378" s="280"/>
      <c r="EE378" s="280"/>
      <c r="EF378" s="280"/>
      <c r="EG378" s="280"/>
      <c r="EH378" s="280"/>
      <c r="EI378" s="280"/>
      <c r="EJ378" s="280"/>
      <c r="EK378" s="280"/>
      <c r="EL378" s="280"/>
      <c r="EM378" s="280"/>
      <c r="EN378" s="280"/>
      <c r="EO378" s="280"/>
      <c r="EP378" s="280"/>
      <c r="EQ378" s="280"/>
      <c r="ER378" s="280"/>
      <c r="ES378" s="280"/>
      <c r="ET378" s="280"/>
      <c r="EU378" s="280"/>
      <c r="EV378" s="13"/>
      <c r="EW378" s="97"/>
      <c r="EX378" s="97"/>
      <c r="EY378" s="98"/>
      <c r="HZ378" s="12"/>
      <c r="IC378" s="9"/>
      <c r="ID378" s="10"/>
      <c r="IE378" s="10"/>
      <c r="IF378" s="10"/>
      <c r="IG378" s="10"/>
      <c r="IH378" s="10"/>
      <c r="II378" s="10"/>
      <c r="IJ378" s="10"/>
      <c r="IK378" s="10"/>
      <c r="IL378" s="10"/>
      <c r="IM378" s="10"/>
      <c r="IN378" s="10"/>
      <c r="IO378" s="10"/>
      <c r="IP378" s="10"/>
      <c r="IQ378" s="10"/>
      <c r="IR378" s="10"/>
      <c r="IS378" s="10"/>
      <c r="IT378" s="10"/>
      <c r="IU378" s="10"/>
      <c r="IV378" s="10"/>
      <c r="IW378" s="10"/>
      <c r="IX378" s="10"/>
      <c r="IY378" s="10"/>
      <c r="IZ378" s="10"/>
      <c r="JA378" s="10"/>
      <c r="JB378" s="10"/>
      <c r="JC378" s="10"/>
      <c r="JD378" s="10"/>
      <c r="JE378" s="10"/>
      <c r="JF378" s="10"/>
      <c r="JG378" s="10"/>
      <c r="JH378" s="11"/>
      <c r="JI378" s="10"/>
      <c r="JJ378" s="11"/>
      <c r="JK378" s="9"/>
      <c r="JL378" s="10"/>
      <c r="JM378" s="10"/>
      <c r="JN378" s="10"/>
      <c r="JO378" s="10"/>
      <c r="JP378" s="10"/>
      <c r="JQ378" s="10"/>
      <c r="JR378" s="10"/>
      <c r="JS378" s="10"/>
      <c r="JT378" s="10"/>
      <c r="JU378" s="10"/>
      <c r="JV378" s="11"/>
      <c r="JW378" s="10"/>
      <c r="JX378" s="11"/>
      <c r="JY378" s="9"/>
      <c r="JZ378" s="10"/>
      <c r="KA378" s="10"/>
      <c r="KB378" s="10"/>
      <c r="KC378" s="10"/>
      <c r="KD378" s="10"/>
      <c r="KE378" s="10"/>
      <c r="KF378" s="10"/>
      <c r="KG378" s="10"/>
      <c r="KH378" s="10"/>
      <c r="KI378" s="10"/>
      <c r="KJ378" s="10"/>
      <c r="KK378" s="10"/>
      <c r="KL378" s="10"/>
      <c r="KM378" s="10"/>
      <c r="KN378" s="10"/>
      <c r="KO378" s="10"/>
      <c r="KP378" s="10"/>
      <c r="KQ378" s="10"/>
      <c r="KR378" s="10"/>
      <c r="KS378" s="10"/>
      <c r="KT378" s="10"/>
      <c r="KU378" s="10"/>
      <c r="KV378" s="10"/>
      <c r="KW378" s="10"/>
      <c r="KX378" s="10"/>
      <c r="KY378" s="10"/>
      <c r="KZ378" s="10"/>
      <c r="LA378" s="10"/>
      <c r="LB378" s="10"/>
      <c r="LC378" s="10"/>
      <c r="LD378" s="10"/>
      <c r="LE378" s="10"/>
      <c r="LF378" s="10"/>
      <c r="LG378" s="10"/>
      <c r="LH378" s="10"/>
      <c r="LI378" s="10"/>
      <c r="LJ378" s="10"/>
      <c r="LK378" s="10"/>
      <c r="LL378" s="10"/>
      <c r="LM378" s="10"/>
      <c r="LN378" s="10"/>
      <c r="LO378" s="10"/>
      <c r="LP378" s="10"/>
      <c r="LQ378" s="10"/>
      <c r="LR378" s="10"/>
      <c r="LS378" s="10"/>
      <c r="LT378" s="11"/>
      <c r="LU378" s="9"/>
      <c r="LV378" s="11"/>
      <c r="LW378" s="10"/>
      <c r="LX378" s="10"/>
      <c r="LY378" s="10"/>
      <c r="LZ378" s="10"/>
      <c r="MA378" s="10"/>
      <c r="MB378" s="10"/>
      <c r="MC378" s="10"/>
      <c r="MD378" s="10"/>
      <c r="ME378" s="10"/>
      <c r="MF378" s="10"/>
      <c r="MG378" s="10"/>
      <c r="MH378" s="10"/>
      <c r="MI378" s="10"/>
      <c r="MJ378" s="10"/>
      <c r="MK378" s="10"/>
      <c r="ML378" s="10"/>
      <c r="MM378" s="10"/>
      <c r="MN378" s="10"/>
      <c r="MO378" s="10"/>
      <c r="MP378" s="10"/>
      <c r="MQ378" s="10"/>
      <c r="MR378" s="10"/>
      <c r="MS378" s="10"/>
      <c r="MT378" s="10"/>
      <c r="MU378" s="10"/>
      <c r="MV378" s="10"/>
      <c r="MW378" s="10"/>
      <c r="MX378" s="10"/>
      <c r="MY378" s="10"/>
      <c r="MZ378" s="10"/>
      <c r="NA378" s="10"/>
      <c r="NB378" s="10"/>
      <c r="NC378" s="10"/>
      <c r="ND378" s="10"/>
      <c r="NE378" s="10"/>
      <c r="NF378" s="10"/>
      <c r="NG378" s="10"/>
      <c r="NH378" s="10"/>
      <c r="NI378" s="10"/>
      <c r="NJ378" s="10"/>
      <c r="NK378" s="10"/>
      <c r="NL378" s="10"/>
      <c r="NM378" s="10"/>
      <c r="NN378" s="10"/>
      <c r="NO378" s="10"/>
      <c r="NP378" s="10"/>
      <c r="NQ378" s="10"/>
      <c r="NR378" s="10"/>
      <c r="NS378" s="10"/>
      <c r="NT378" s="10"/>
      <c r="NU378" s="10"/>
      <c r="NV378" s="11"/>
      <c r="NY378" s="13"/>
    </row>
    <row r="379" spans="34:389" ht="10.75" customHeight="1" x14ac:dyDescent="0.2">
      <c r="AH379" s="12"/>
      <c r="AI379" s="12"/>
      <c r="AJ379" s="280"/>
      <c r="AK379" s="280"/>
      <c r="AL379" s="280"/>
      <c r="AM379" s="280"/>
      <c r="AN379" s="280"/>
      <c r="AO379" s="280"/>
      <c r="AP379" s="280"/>
      <c r="AQ379" s="13"/>
      <c r="AR379" s="97"/>
      <c r="AS379" s="97"/>
      <c r="AT379" s="282"/>
      <c r="AU379" s="12"/>
      <c r="AV379" s="280"/>
      <c r="AW379" s="280"/>
      <c r="AX379" s="280"/>
      <c r="AY379" s="280"/>
      <c r="AZ379" s="280"/>
      <c r="BA379" s="280"/>
      <c r="BB379" s="280"/>
      <c r="BC379" s="280"/>
      <c r="BD379" s="280"/>
      <c r="BE379" s="280"/>
      <c r="BF379" s="280"/>
      <c r="BG379" s="280"/>
      <c r="BH379" s="280"/>
      <c r="BI379" s="12"/>
      <c r="BJ379" s="280"/>
      <c r="BK379" s="280"/>
      <c r="BL379" s="280"/>
      <c r="BM379" s="280"/>
      <c r="BN379" s="280"/>
      <c r="BO379" s="280"/>
      <c r="BP379" s="280"/>
      <c r="BQ379" s="280"/>
      <c r="BR379" s="280"/>
      <c r="BS379" s="280"/>
      <c r="BT379" s="280"/>
      <c r="BU379" s="280"/>
      <c r="BV379" s="280"/>
      <c r="BW379" s="280"/>
      <c r="BX379" s="280"/>
      <c r="BY379" s="280"/>
      <c r="BZ379" s="280"/>
      <c r="CA379" s="280"/>
      <c r="CB379" s="280"/>
      <c r="CC379" s="280"/>
      <c r="CD379" s="280"/>
      <c r="CE379" s="280"/>
      <c r="CF379" s="13"/>
      <c r="CG379" s="280"/>
      <c r="CH379" s="280"/>
      <c r="CI379" s="280"/>
      <c r="CJ379" s="280"/>
      <c r="CK379" s="280"/>
      <c r="CL379" s="280"/>
      <c r="CM379" s="280"/>
      <c r="CN379" s="280"/>
      <c r="CO379" s="280"/>
      <c r="CP379" s="280"/>
      <c r="CQ379" s="280"/>
      <c r="CR379" s="280"/>
      <c r="CS379" s="280"/>
      <c r="CT379" s="280"/>
      <c r="CU379" s="280"/>
      <c r="CV379" s="98"/>
      <c r="CW379" s="282"/>
      <c r="CX379" s="98"/>
      <c r="CY379" s="280"/>
      <c r="CZ379" s="280"/>
      <c r="DA379" s="291"/>
      <c r="DB379" s="292"/>
      <c r="DC379" s="292"/>
      <c r="DD379" s="292"/>
      <c r="DE379" s="292"/>
      <c r="DF379" s="292"/>
      <c r="DG379" s="292"/>
      <c r="DH379" s="292"/>
      <c r="DI379" s="292"/>
      <c r="DJ379" s="292"/>
      <c r="DK379" s="292"/>
      <c r="DL379" s="293"/>
      <c r="DM379" s="280"/>
      <c r="DN379" s="280"/>
      <c r="DO379" s="280"/>
      <c r="DP379" s="280"/>
      <c r="DQ379" s="280"/>
      <c r="DR379" s="280"/>
      <c r="DS379" s="280"/>
      <c r="DT379" s="280"/>
      <c r="DU379" s="280"/>
      <c r="DV379" s="280"/>
      <c r="DW379" s="280"/>
      <c r="DX379" s="280"/>
      <c r="DY379" s="280"/>
      <c r="DZ379" s="280"/>
      <c r="EA379" s="280"/>
      <c r="EB379" s="280"/>
      <c r="EC379" s="280"/>
      <c r="ED379" s="280"/>
      <c r="EE379" s="280"/>
      <c r="EF379" s="280"/>
      <c r="EG379" s="280"/>
      <c r="EH379" s="280"/>
      <c r="EI379" s="280"/>
      <c r="EJ379" s="280"/>
      <c r="EK379" s="280"/>
      <c r="EL379" s="280"/>
      <c r="EM379" s="280"/>
      <c r="EN379" s="280"/>
      <c r="EO379" s="280"/>
      <c r="EP379" s="280"/>
      <c r="EQ379" s="280"/>
      <c r="ER379" s="280"/>
      <c r="ES379" s="280"/>
      <c r="ET379" s="280"/>
      <c r="EU379" s="280"/>
      <c r="EV379" s="13"/>
      <c r="EW379" s="97"/>
      <c r="EX379" s="97"/>
      <c r="EY379" s="98"/>
      <c r="HZ379" s="12"/>
      <c r="IC379" s="12"/>
      <c r="JH379" s="13"/>
      <c r="JJ379" s="13"/>
      <c r="JK379" s="12"/>
      <c r="JV379" s="13"/>
      <c r="JX379" s="13"/>
      <c r="JY379" s="12"/>
      <c r="LT379" s="13"/>
      <c r="LU379" s="12"/>
      <c r="LV379" s="13"/>
      <c r="NV379" s="13"/>
      <c r="NY379" s="13"/>
    </row>
    <row r="380" spans="34:389" ht="10.75" customHeight="1" x14ac:dyDescent="0.2">
      <c r="AH380" s="12"/>
      <c r="AI380" s="12"/>
      <c r="AJ380" s="280"/>
      <c r="AK380" s="280"/>
      <c r="AL380" s="280"/>
      <c r="AM380" s="280"/>
      <c r="AN380" s="280"/>
      <c r="AO380" s="280"/>
      <c r="AP380" s="280"/>
      <c r="AQ380" s="13"/>
      <c r="AR380" s="97"/>
      <c r="AS380" s="97"/>
      <c r="AT380" s="282"/>
      <c r="AU380" s="12"/>
      <c r="AV380" s="280"/>
      <c r="AW380" s="280"/>
      <c r="AX380" s="280"/>
      <c r="AY380" s="280"/>
      <c r="AZ380" s="280"/>
      <c r="BA380" s="280"/>
      <c r="BB380" s="280"/>
      <c r="BC380" s="280"/>
      <c r="BD380" s="280"/>
      <c r="BE380" s="280"/>
      <c r="BF380" s="280"/>
      <c r="BG380" s="280"/>
      <c r="BH380" s="280"/>
      <c r="BI380" s="12"/>
      <c r="BJ380" s="280"/>
      <c r="BK380" s="280"/>
      <c r="BL380" s="280"/>
      <c r="BM380" s="280"/>
      <c r="BN380" s="280"/>
      <c r="BO380" s="280"/>
      <c r="BP380" s="280"/>
      <c r="BQ380" s="280"/>
      <c r="BR380" s="280"/>
      <c r="BS380" s="280"/>
      <c r="BT380" s="280"/>
      <c r="BU380" s="280"/>
      <c r="BV380" s="280"/>
      <c r="BW380" s="280"/>
      <c r="BX380" s="280"/>
      <c r="BY380" s="280"/>
      <c r="BZ380" s="280"/>
      <c r="CA380" s="280"/>
      <c r="CB380" s="280"/>
      <c r="CC380" s="280"/>
      <c r="CD380" s="280"/>
      <c r="CE380" s="280"/>
      <c r="CF380" s="13"/>
      <c r="CG380" s="280"/>
      <c r="CH380" s="280"/>
      <c r="CI380" s="280"/>
      <c r="CJ380" s="280"/>
      <c r="CK380" s="280"/>
      <c r="CL380" s="280"/>
      <c r="CM380" s="280"/>
      <c r="CN380" s="280"/>
      <c r="CO380" s="280"/>
      <c r="CP380" s="280"/>
      <c r="CQ380" s="280"/>
      <c r="CR380" s="280"/>
      <c r="CS380" s="280"/>
      <c r="CT380" s="280"/>
      <c r="CU380" s="280"/>
      <c r="CV380" s="98"/>
      <c r="CW380" s="282"/>
      <c r="CX380" s="98"/>
      <c r="CY380" s="280"/>
      <c r="CZ380" s="280"/>
      <c r="DA380" s="280"/>
      <c r="DB380" s="280"/>
      <c r="DC380" s="280"/>
      <c r="DD380" s="280"/>
      <c r="DE380" s="280"/>
      <c r="DF380" s="280"/>
      <c r="DG380" s="280"/>
      <c r="DH380" s="280"/>
      <c r="DI380" s="280"/>
      <c r="DJ380" s="280"/>
      <c r="DK380" s="280"/>
      <c r="DL380" s="280"/>
      <c r="DM380" s="280"/>
      <c r="DN380" s="280"/>
      <c r="DO380" s="280"/>
      <c r="DP380" s="280"/>
      <c r="DQ380" s="280"/>
      <c r="DR380" s="280"/>
      <c r="DS380" s="280"/>
      <c r="DT380" s="280"/>
      <c r="DU380" s="280"/>
      <c r="DV380" s="280"/>
      <c r="DW380" s="280"/>
      <c r="DX380" s="280"/>
      <c r="DY380" s="280"/>
      <c r="DZ380" s="280"/>
      <c r="EA380" s="280"/>
      <c r="EB380" s="280"/>
      <c r="EC380" s="280"/>
      <c r="ED380" s="280"/>
      <c r="EE380" s="280"/>
      <c r="EF380" s="280"/>
      <c r="EG380" s="280"/>
      <c r="EH380" s="280"/>
      <c r="EI380" s="280"/>
      <c r="EJ380" s="280"/>
      <c r="EK380" s="280"/>
      <c r="EL380" s="280"/>
      <c r="EM380" s="280"/>
      <c r="EN380" s="280"/>
      <c r="EO380" s="280"/>
      <c r="EP380" s="280"/>
      <c r="EQ380" s="280"/>
      <c r="ER380" s="280"/>
      <c r="ES380" s="280"/>
      <c r="ET380" s="280"/>
      <c r="EU380" s="280"/>
      <c r="EV380" s="13"/>
      <c r="EW380" s="97"/>
      <c r="EX380" s="97"/>
      <c r="EY380" s="98"/>
      <c r="HZ380" s="12"/>
      <c r="IC380" s="12"/>
      <c r="JH380" s="13"/>
      <c r="JJ380" s="13"/>
      <c r="JK380" s="12"/>
      <c r="JV380" s="13"/>
      <c r="JX380" s="13"/>
      <c r="JY380" s="12"/>
      <c r="LT380" s="13"/>
      <c r="LU380" s="12"/>
      <c r="LV380" s="13"/>
      <c r="NV380" s="13"/>
      <c r="NY380" s="13"/>
    </row>
    <row r="381" spans="34:389" ht="10.75" customHeight="1" x14ac:dyDescent="0.2">
      <c r="AH381" s="12"/>
      <c r="AI381" s="12"/>
      <c r="AJ381" s="280"/>
      <c r="AK381" s="280"/>
      <c r="AL381" s="280"/>
      <c r="AM381" s="280"/>
      <c r="AN381" s="280"/>
      <c r="AO381" s="280"/>
      <c r="AP381" s="280"/>
      <c r="AQ381" s="13"/>
      <c r="AR381" s="60"/>
      <c r="AS381" s="60"/>
      <c r="AT381" s="60"/>
      <c r="AU381" s="12"/>
      <c r="AV381" s="280"/>
      <c r="AW381" s="280"/>
      <c r="AX381" s="280"/>
      <c r="AY381" s="280"/>
      <c r="AZ381" s="280"/>
      <c r="BA381" s="280"/>
      <c r="BB381" s="280"/>
      <c r="BC381" s="280"/>
      <c r="BD381" s="280"/>
      <c r="BE381" s="280"/>
      <c r="BF381" s="280"/>
      <c r="BG381" s="280"/>
      <c r="BH381" s="280"/>
      <c r="BI381" s="12"/>
      <c r="BJ381" s="280"/>
      <c r="BK381" s="280"/>
      <c r="BL381" s="280"/>
      <c r="BM381" s="280"/>
      <c r="BN381" s="280"/>
      <c r="BO381" s="280"/>
      <c r="BP381" s="280"/>
      <c r="BQ381" s="280"/>
      <c r="BR381" s="280"/>
      <c r="BS381" s="280"/>
      <c r="BT381" s="280"/>
      <c r="BU381" s="280"/>
      <c r="BV381" s="280"/>
      <c r="BW381" s="280"/>
      <c r="BX381" s="280"/>
      <c r="BY381" s="280"/>
      <c r="BZ381" s="280"/>
      <c r="CA381" s="280"/>
      <c r="CB381" s="280"/>
      <c r="CC381" s="280"/>
      <c r="CD381" s="280"/>
      <c r="CE381" s="280"/>
      <c r="CF381" s="13"/>
      <c r="CG381" s="280"/>
      <c r="CH381" s="280"/>
      <c r="CI381" s="280"/>
      <c r="CJ381" s="280"/>
      <c r="CK381" s="280"/>
      <c r="CL381" s="280"/>
      <c r="CM381" s="280"/>
      <c r="CN381" s="280"/>
      <c r="CO381" s="280"/>
      <c r="CP381" s="280"/>
      <c r="CQ381" s="280"/>
      <c r="CR381" s="280"/>
      <c r="CS381" s="280"/>
      <c r="CT381" s="280"/>
      <c r="CU381" s="280"/>
      <c r="CV381" s="98"/>
      <c r="CW381" s="282"/>
      <c r="CX381" s="98"/>
      <c r="CY381" s="280"/>
      <c r="CZ381" s="280"/>
      <c r="DA381" s="280"/>
      <c r="DB381" s="280"/>
      <c r="DC381" s="280"/>
      <c r="DD381" s="280"/>
      <c r="DE381" s="280"/>
      <c r="DF381" s="280"/>
      <c r="DG381" s="280"/>
      <c r="DH381" s="280"/>
      <c r="DI381" s="280"/>
      <c r="DJ381" s="280"/>
      <c r="DK381" s="280"/>
      <c r="DL381" s="280"/>
      <c r="DM381" s="280"/>
      <c r="DN381" s="280"/>
      <c r="DO381" s="280"/>
      <c r="DP381" s="280"/>
      <c r="DQ381" s="280"/>
      <c r="DR381" s="280"/>
      <c r="DS381" s="280"/>
      <c r="DT381" s="280"/>
      <c r="DU381" s="280"/>
      <c r="DV381" s="280"/>
      <c r="DW381" s="280"/>
      <c r="DX381" s="280"/>
      <c r="DY381" s="280"/>
      <c r="DZ381" s="280"/>
      <c r="EA381" s="280"/>
      <c r="EB381" s="280"/>
      <c r="EC381" s="280"/>
      <c r="ED381" s="280"/>
      <c r="EE381" s="280"/>
      <c r="EF381" s="280"/>
      <c r="EG381" s="280"/>
      <c r="EH381" s="280"/>
      <c r="EI381" s="280"/>
      <c r="EJ381" s="280"/>
      <c r="EK381" s="280"/>
      <c r="EL381" s="280"/>
      <c r="EM381" s="280"/>
      <c r="EN381" s="280"/>
      <c r="EO381" s="280"/>
      <c r="EP381" s="280"/>
      <c r="EQ381" s="280"/>
      <c r="ER381" s="280"/>
      <c r="ES381" s="280"/>
      <c r="ET381" s="280"/>
      <c r="EU381" s="280"/>
      <c r="EV381" s="13"/>
      <c r="EW381" s="97"/>
      <c r="EX381" s="97"/>
      <c r="EY381" s="98"/>
      <c r="HZ381" s="12"/>
      <c r="IC381" s="12"/>
      <c r="JH381" s="13"/>
      <c r="JJ381" s="13"/>
      <c r="JK381" s="12"/>
      <c r="JV381" s="13"/>
      <c r="JX381" s="13"/>
      <c r="JY381" s="12"/>
      <c r="LT381" s="13"/>
      <c r="LU381" s="12"/>
      <c r="LV381" s="13"/>
      <c r="NV381" s="13"/>
      <c r="NY381" s="13"/>
    </row>
    <row r="382" spans="34:389" ht="10.75" customHeight="1" x14ac:dyDescent="0.2">
      <c r="AH382" s="9"/>
      <c r="AI382" s="9"/>
      <c r="AJ382" s="10"/>
      <c r="AK382" s="10"/>
      <c r="AL382" s="10"/>
      <c r="AM382" s="10"/>
      <c r="AN382" s="10"/>
      <c r="AO382" s="10"/>
      <c r="AP382" s="10"/>
      <c r="AQ382" s="11"/>
      <c r="AR382" s="43"/>
      <c r="AS382" s="43"/>
      <c r="AT382" s="283"/>
      <c r="AU382" s="12"/>
      <c r="AV382" s="280"/>
      <c r="AW382" s="280"/>
      <c r="AX382" s="280"/>
      <c r="AY382" s="280"/>
      <c r="AZ382" s="280"/>
      <c r="BA382" s="280"/>
      <c r="BB382" s="280"/>
      <c r="BC382" s="280"/>
      <c r="BD382" s="280"/>
      <c r="BE382" s="280"/>
      <c r="BF382" s="280"/>
      <c r="BG382" s="280"/>
      <c r="BH382" s="280"/>
      <c r="BI382" s="12"/>
      <c r="BJ382" s="280"/>
      <c r="BK382" s="280"/>
      <c r="BL382" s="280"/>
      <c r="BM382" s="280"/>
      <c r="BN382" s="280"/>
      <c r="BO382" s="280"/>
      <c r="BP382" s="280"/>
      <c r="BQ382" s="280"/>
      <c r="BR382" s="280"/>
      <c r="BS382" s="280"/>
      <c r="BT382" s="280"/>
      <c r="BU382" s="280"/>
      <c r="BV382" s="280"/>
      <c r="BW382" s="280"/>
      <c r="BX382" s="280"/>
      <c r="BY382" s="280"/>
      <c r="BZ382" s="280"/>
      <c r="CA382" s="280"/>
      <c r="CB382" s="280"/>
      <c r="CC382" s="280"/>
      <c r="CD382" s="280"/>
      <c r="CE382" s="280"/>
      <c r="CF382" s="13"/>
      <c r="CG382" s="280"/>
      <c r="CH382" s="280"/>
      <c r="CI382" s="280"/>
      <c r="CJ382" s="280"/>
      <c r="CK382" s="280"/>
      <c r="CL382" s="280"/>
      <c r="CM382" s="280"/>
      <c r="CN382" s="280"/>
      <c r="CO382" s="280"/>
      <c r="CP382" s="280"/>
      <c r="CQ382" s="280"/>
      <c r="CR382" s="280"/>
      <c r="CS382" s="280"/>
      <c r="CT382" s="280"/>
      <c r="CU382" s="280"/>
      <c r="CV382" s="13"/>
      <c r="CW382" s="280"/>
      <c r="CX382" s="13"/>
      <c r="CY382" s="280"/>
      <c r="CZ382" s="280"/>
      <c r="DA382" s="280"/>
      <c r="DB382" s="280"/>
      <c r="DC382" s="280"/>
      <c r="DD382" s="280"/>
      <c r="DE382" s="280"/>
      <c r="DF382" s="280"/>
      <c r="DG382" s="280"/>
      <c r="DH382" s="280"/>
      <c r="DI382" s="280"/>
      <c r="DJ382" s="280"/>
      <c r="DK382" s="280"/>
      <c r="DL382" s="280"/>
      <c r="DM382" s="280"/>
      <c r="DN382" s="280"/>
      <c r="DO382" s="280"/>
      <c r="DP382" s="280"/>
      <c r="DQ382" s="280"/>
      <c r="DR382" s="280"/>
      <c r="DS382" s="280"/>
      <c r="DT382" s="280"/>
      <c r="DU382" s="280"/>
      <c r="DV382" s="280"/>
      <c r="DW382" s="280"/>
      <c r="DX382" s="280"/>
      <c r="DY382" s="280"/>
      <c r="DZ382" s="280"/>
      <c r="EA382" s="280"/>
      <c r="EB382" s="280"/>
      <c r="EC382" s="280"/>
      <c r="ED382" s="280"/>
      <c r="EE382" s="280"/>
      <c r="EF382" s="280"/>
      <c r="EG382" s="280"/>
      <c r="EH382" s="280"/>
      <c r="EI382" s="280"/>
      <c r="EJ382" s="280"/>
      <c r="EK382" s="280"/>
      <c r="EL382" s="280"/>
      <c r="EM382" s="280"/>
      <c r="EN382" s="280"/>
      <c r="EO382" s="280"/>
      <c r="EP382" s="280"/>
      <c r="EQ382" s="280"/>
      <c r="ER382" s="280"/>
      <c r="ES382" s="280"/>
      <c r="ET382" s="280"/>
      <c r="EU382" s="280"/>
      <c r="EV382" s="13"/>
      <c r="EW382" s="43"/>
      <c r="EX382" s="43"/>
      <c r="EY382" s="45"/>
      <c r="HZ382" s="12"/>
      <c r="IC382" s="12"/>
      <c r="JH382" s="13"/>
      <c r="JJ382" s="13"/>
      <c r="JK382" s="12"/>
      <c r="JV382" s="13"/>
      <c r="JX382" s="13"/>
      <c r="JY382" s="12"/>
      <c r="LT382" s="13"/>
      <c r="LU382" s="12"/>
      <c r="LV382" s="13"/>
      <c r="NV382" s="13"/>
      <c r="NY382" s="13"/>
    </row>
    <row r="383" spans="34:389" ht="10.75" customHeight="1" x14ac:dyDescent="0.2">
      <c r="AH383" s="12"/>
      <c r="AI383" s="12"/>
      <c r="AJ383" s="280"/>
      <c r="AK383" s="280"/>
      <c r="AL383" s="280"/>
      <c r="AM383" s="280"/>
      <c r="AN383" s="280"/>
      <c r="AO383" s="280"/>
      <c r="AP383" s="280"/>
      <c r="AQ383" s="13"/>
      <c r="AR383" s="43"/>
      <c r="AS383" s="43"/>
      <c r="AT383" s="283"/>
      <c r="AU383" s="12"/>
      <c r="AV383" s="280"/>
      <c r="AW383" s="280"/>
      <c r="AX383" s="280"/>
      <c r="AY383" s="280"/>
      <c r="AZ383" s="280"/>
      <c r="BA383" s="280"/>
      <c r="BB383" s="280"/>
      <c r="BC383" s="280"/>
      <c r="BD383" s="280"/>
      <c r="BE383" s="280"/>
      <c r="BF383" s="280"/>
      <c r="BG383" s="280"/>
      <c r="BH383" s="280"/>
      <c r="BI383" s="12"/>
      <c r="BJ383" s="280"/>
      <c r="BK383" s="280"/>
      <c r="BL383" s="280"/>
      <c r="BM383" s="280"/>
      <c r="BN383" s="280"/>
      <c r="BO383" s="280"/>
      <c r="BP383" s="280"/>
      <c r="BQ383" s="280"/>
      <c r="BR383" s="280"/>
      <c r="BS383" s="280"/>
      <c r="BT383" s="280"/>
      <c r="BU383" s="280"/>
      <c r="BV383" s="280"/>
      <c r="BW383" s="280"/>
      <c r="BX383" s="280"/>
      <c r="BY383" s="280"/>
      <c r="BZ383" s="280"/>
      <c r="CA383" s="280"/>
      <c r="CB383" s="280"/>
      <c r="CC383" s="280"/>
      <c r="CD383" s="280"/>
      <c r="CE383" s="280"/>
      <c r="CF383" s="13"/>
      <c r="CG383" s="280"/>
      <c r="CH383" s="280"/>
      <c r="CI383" s="280"/>
      <c r="CJ383" s="280"/>
      <c r="CK383" s="280"/>
      <c r="CL383" s="280"/>
      <c r="CM383" s="280"/>
      <c r="CN383" s="280"/>
      <c r="CO383" s="280"/>
      <c r="CP383" s="280"/>
      <c r="CQ383" s="280"/>
      <c r="CR383" s="280"/>
      <c r="CS383" s="280"/>
      <c r="CT383" s="280"/>
      <c r="CU383" s="280"/>
      <c r="CV383" s="13"/>
      <c r="CW383" s="280"/>
      <c r="CX383" s="13"/>
      <c r="CY383" s="280"/>
      <c r="CZ383" s="280"/>
      <c r="DA383" s="280"/>
      <c r="DB383" s="280"/>
      <c r="DC383" s="280"/>
      <c r="DD383" s="280"/>
      <c r="DE383" s="280"/>
      <c r="DF383" s="280"/>
      <c r="DG383" s="280"/>
      <c r="DH383" s="280"/>
      <c r="DI383" s="280"/>
      <c r="DJ383" s="280"/>
      <c r="DK383" s="280"/>
      <c r="DL383" s="280"/>
      <c r="DM383" s="280"/>
      <c r="DN383" s="280"/>
      <c r="DO383" s="280"/>
      <c r="DP383" s="280"/>
      <c r="DQ383" s="280"/>
      <c r="DR383" s="280"/>
      <c r="DS383" s="280"/>
      <c r="DT383" s="280"/>
      <c r="DU383" s="280"/>
      <c r="DV383" s="280"/>
      <c r="DW383" s="280"/>
      <c r="DX383" s="280"/>
      <c r="DY383" s="280"/>
      <c r="DZ383" s="280"/>
      <c r="EA383" s="280"/>
      <c r="EB383" s="280"/>
      <c r="EC383" s="280"/>
      <c r="ED383" s="280"/>
      <c r="EE383" s="280"/>
      <c r="EF383" s="280"/>
      <c r="EG383" s="280"/>
      <c r="EH383" s="280"/>
      <c r="EI383" s="280"/>
      <c r="EJ383" s="280"/>
      <c r="EK383" s="280"/>
      <c r="EL383" s="280"/>
      <c r="EM383" s="280"/>
      <c r="EN383" s="280"/>
      <c r="EO383" s="280"/>
      <c r="EP383" s="280"/>
      <c r="EQ383" s="280"/>
      <c r="ER383" s="280"/>
      <c r="ES383" s="280"/>
      <c r="ET383" s="280"/>
      <c r="EU383" s="280"/>
      <c r="EV383" s="13"/>
      <c r="EW383" s="43"/>
      <c r="EX383" s="43"/>
      <c r="EY383" s="45"/>
      <c r="HZ383" s="12"/>
      <c r="IC383" s="12"/>
      <c r="JH383" s="13"/>
      <c r="JJ383" s="13"/>
      <c r="JK383" s="12"/>
      <c r="JV383" s="13"/>
      <c r="JX383" s="13"/>
      <c r="JY383" s="12"/>
      <c r="LT383" s="13"/>
      <c r="LU383" s="12"/>
      <c r="LV383" s="13"/>
      <c r="NV383" s="13"/>
      <c r="NY383" s="13"/>
    </row>
    <row r="384" spans="34:389" ht="10.75" customHeight="1" x14ac:dyDescent="0.2">
      <c r="AH384" s="12"/>
      <c r="AI384" s="12"/>
      <c r="AJ384" s="280"/>
      <c r="AK384" s="280"/>
      <c r="AL384" s="280"/>
      <c r="AM384" s="280"/>
      <c r="AN384" s="280"/>
      <c r="AO384" s="280"/>
      <c r="AP384" s="280"/>
      <c r="AQ384" s="13"/>
      <c r="AR384" s="43"/>
      <c r="AS384" s="43"/>
      <c r="AT384" s="283"/>
      <c r="AU384" s="12"/>
      <c r="AV384" s="280"/>
      <c r="AW384" s="280"/>
      <c r="AX384" s="280"/>
      <c r="AY384" s="280"/>
      <c r="AZ384" s="280"/>
      <c r="BA384" s="280"/>
      <c r="BB384" s="280"/>
      <c r="BC384" s="280"/>
      <c r="BD384" s="280"/>
      <c r="BE384" s="280"/>
      <c r="BF384" s="280"/>
      <c r="BG384" s="280"/>
      <c r="BH384" s="280"/>
      <c r="BI384" s="12"/>
      <c r="BJ384" s="280"/>
      <c r="BK384" s="280"/>
      <c r="BL384" s="280"/>
      <c r="BM384" s="280"/>
      <c r="BN384" s="280"/>
      <c r="BO384" s="280"/>
      <c r="BP384" s="280"/>
      <c r="BQ384" s="280"/>
      <c r="BR384" s="280"/>
      <c r="BS384" s="280"/>
      <c r="BT384" s="280"/>
      <c r="BU384" s="280"/>
      <c r="BV384" s="280"/>
      <c r="BW384" s="280"/>
      <c r="BX384" s="280"/>
      <c r="BY384" s="280"/>
      <c r="BZ384" s="280"/>
      <c r="CA384" s="280"/>
      <c r="CB384" s="280"/>
      <c r="CC384" s="280"/>
      <c r="CD384" s="280"/>
      <c r="CE384" s="280"/>
      <c r="CF384" s="13"/>
      <c r="CG384" s="280"/>
      <c r="CH384" s="280"/>
      <c r="CI384" s="280"/>
      <c r="CJ384" s="280"/>
      <c r="CK384" s="280"/>
      <c r="CL384" s="280"/>
      <c r="CM384" s="280"/>
      <c r="CN384" s="280"/>
      <c r="CO384" s="280"/>
      <c r="CP384" s="280"/>
      <c r="CQ384" s="280"/>
      <c r="CR384" s="280"/>
      <c r="CS384" s="280"/>
      <c r="CT384" s="280"/>
      <c r="CU384" s="280"/>
      <c r="CV384" s="13"/>
      <c r="CW384" s="280"/>
      <c r="CX384" s="13"/>
      <c r="CY384" s="280"/>
      <c r="CZ384" s="280"/>
      <c r="DA384" s="280"/>
      <c r="DB384" s="280"/>
      <c r="DC384" s="280"/>
      <c r="DD384" s="280"/>
      <c r="DE384" s="280"/>
      <c r="DF384" s="280"/>
      <c r="DG384" s="280"/>
      <c r="DH384" s="280"/>
      <c r="DI384" s="280"/>
      <c r="DJ384" s="280"/>
      <c r="DK384" s="280"/>
      <c r="DL384" s="280"/>
      <c r="DM384" s="280"/>
      <c r="DN384" s="280"/>
      <c r="DO384" s="280"/>
      <c r="DP384" s="280"/>
      <c r="DQ384" s="280"/>
      <c r="DR384" s="280"/>
      <c r="DS384" s="280"/>
      <c r="DT384" s="280"/>
      <c r="DU384" s="280"/>
      <c r="DV384" s="280"/>
      <c r="DW384" s="280"/>
      <c r="DX384" s="280"/>
      <c r="DY384" s="280"/>
      <c r="DZ384" s="280"/>
      <c r="EA384" s="280"/>
      <c r="EB384" s="280"/>
      <c r="EC384" s="280"/>
      <c r="ED384" s="280"/>
      <c r="EE384" s="280"/>
      <c r="EF384" s="280"/>
      <c r="EG384" s="280"/>
      <c r="EH384" s="280"/>
      <c r="EI384" s="280"/>
      <c r="EJ384" s="280"/>
      <c r="EK384" s="280"/>
      <c r="EL384" s="280"/>
      <c r="EM384" s="280"/>
      <c r="EN384" s="280"/>
      <c r="EO384" s="280"/>
      <c r="EP384" s="280"/>
      <c r="EQ384" s="280"/>
      <c r="ER384" s="280"/>
      <c r="ES384" s="280"/>
      <c r="ET384" s="280"/>
      <c r="EU384" s="280"/>
      <c r="EV384" s="13"/>
      <c r="EW384" s="43"/>
      <c r="EX384" s="43"/>
      <c r="EY384" s="45"/>
      <c r="HZ384" s="12"/>
      <c r="IC384" s="12"/>
      <c r="JH384" s="13"/>
      <c r="JJ384" s="13"/>
      <c r="JK384" s="12"/>
      <c r="JV384" s="13"/>
      <c r="JX384" s="13"/>
      <c r="JY384" s="12"/>
      <c r="LT384" s="13"/>
      <c r="LU384" s="12"/>
      <c r="LV384" s="13"/>
      <c r="NV384" s="13"/>
      <c r="NY384" s="13"/>
    </row>
    <row r="385" spans="34:389" ht="10.75" customHeight="1" x14ac:dyDescent="0.2">
      <c r="AH385" s="14"/>
      <c r="AI385" s="14"/>
      <c r="AJ385" s="15"/>
      <c r="AK385" s="15"/>
      <c r="AL385" s="15"/>
      <c r="AM385" s="15"/>
      <c r="AN385" s="15"/>
      <c r="AO385" s="15"/>
      <c r="AP385" s="15"/>
      <c r="AQ385" s="16"/>
      <c r="AR385" s="43"/>
      <c r="AS385" s="43"/>
      <c r="AT385" s="283"/>
      <c r="AU385" s="12"/>
      <c r="AV385" s="280"/>
      <c r="AW385" s="280"/>
      <c r="AX385" s="280"/>
      <c r="AY385" s="280"/>
      <c r="AZ385" s="280"/>
      <c r="BA385" s="280"/>
      <c r="BB385" s="280"/>
      <c r="BC385" s="280"/>
      <c r="BD385" s="280"/>
      <c r="BE385" s="280"/>
      <c r="BF385" s="280"/>
      <c r="BG385" s="280"/>
      <c r="BH385" s="280"/>
      <c r="BI385" s="12"/>
      <c r="BJ385" s="280"/>
      <c r="BK385" s="280"/>
      <c r="BL385" s="280"/>
      <c r="BM385" s="280"/>
      <c r="BN385" s="280"/>
      <c r="BO385" s="280"/>
      <c r="BP385" s="280"/>
      <c r="BQ385" s="280"/>
      <c r="BR385" s="280"/>
      <c r="BS385" s="280"/>
      <c r="BT385" s="280"/>
      <c r="BU385" s="280"/>
      <c r="BV385" s="280"/>
      <c r="BW385" s="280"/>
      <c r="BX385" s="280"/>
      <c r="BY385" s="280"/>
      <c r="BZ385" s="280"/>
      <c r="CA385" s="280"/>
      <c r="CB385" s="280"/>
      <c r="CC385" s="280"/>
      <c r="CD385" s="280"/>
      <c r="CE385" s="280"/>
      <c r="CF385" s="13"/>
      <c r="CG385" s="280"/>
      <c r="CH385" s="280"/>
      <c r="CI385" s="280"/>
      <c r="CJ385" s="280"/>
      <c r="CK385" s="280"/>
      <c r="CL385" s="280"/>
      <c r="CM385" s="280"/>
      <c r="CN385" s="280"/>
      <c r="CO385" s="280"/>
      <c r="CP385" s="280"/>
      <c r="CQ385" s="280"/>
      <c r="CR385" s="280"/>
      <c r="CS385" s="280"/>
      <c r="CT385" s="280"/>
      <c r="CU385" s="280"/>
      <c r="CV385" s="13"/>
      <c r="CW385" s="280"/>
      <c r="CX385" s="13"/>
      <c r="CY385" s="280"/>
      <c r="CZ385" s="280"/>
      <c r="DA385" s="280"/>
      <c r="DB385" s="280"/>
      <c r="DC385" s="280"/>
      <c r="DD385" s="280"/>
      <c r="DE385" s="280"/>
      <c r="DF385" s="280"/>
      <c r="DG385" s="280"/>
      <c r="DH385" s="280"/>
      <c r="DI385" s="280"/>
      <c r="DJ385" s="280"/>
      <c r="DK385" s="280"/>
      <c r="DL385" s="280"/>
      <c r="DM385" s="280"/>
      <c r="DN385" s="280"/>
      <c r="DO385" s="280"/>
      <c r="DP385" s="280"/>
      <c r="DQ385" s="280"/>
      <c r="DR385" s="280"/>
      <c r="DS385" s="280"/>
      <c r="DT385" s="280"/>
      <c r="DU385" s="280"/>
      <c r="DV385" s="280"/>
      <c r="DW385" s="280"/>
      <c r="DX385" s="280"/>
      <c r="DY385" s="280"/>
      <c r="DZ385" s="280"/>
      <c r="EA385" s="280"/>
      <c r="EB385" s="280"/>
      <c r="EC385" s="280"/>
      <c r="ED385" s="280"/>
      <c r="EE385" s="280"/>
      <c r="EF385" s="280"/>
      <c r="EG385" s="280"/>
      <c r="EH385" s="280"/>
      <c r="EI385" s="280"/>
      <c r="EJ385" s="280"/>
      <c r="EK385" s="280"/>
      <c r="EL385" s="280"/>
      <c r="EM385" s="280"/>
      <c r="EN385" s="280"/>
      <c r="EO385" s="280"/>
      <c r="EP385" s="280"/>
      <c r="EQ385" s="280"/>
      <c r="ER385" s="280"/>
      <c r="ES385" s="280"/>
      <c r="ET385" s="280"/>
      <c r="EU385" s="280"/>
      <c r="EV385" s="13"/>
      <c r="EW385" s="43"/>
      <c r="EX385" s="43"/>
      <c r="EY385" s="45"/>
      <c r="HZ385" s="12"/>
      <c r="IC385" s="12"/>
      <c r="JH385" s="13"/>
      <c r="JJ385" s="13"/>
      <c r="JK385" s="12"/>
      <c r="JV385" s="13"/>
      <c r="JX385" s="13"/>
      <c r="JY385" s="12"/>
      <c r="LT385" s="13"/>
      <c r="LU385" s="12"/>
      <c r="LV385" s="13"/>
      <c r="NV385" s="13"/>
      <c r="NY385" s="13"/>
    </row>
    <row r="386" spans="34:389" ht="10.75" customHeight="1" x14ac:dyDescent="0.2">
      <c r="AH386" s="9"/>
      <c r="AI386" s="9"/>
      <c r="AJ386" s="10"/>
      <c r="AK386" s="10"/>
      <c r="AL386" s="10"/>
      <c r="AM386" s="10"/>
      <c r="AN386" s="10"/>
      <c r="AO386" s="10"/>
      <c r="AP386" s="10"/>
      <c r="AQ386" s="11"/>
      <c r="AR386" s="43"/>
      <c r="AS386" s="43"/>
      <c r="AT386" s="283"/>
      <c r="AU386" s="12"/>
      <c r="AV386" s="280"/>
      <c r="AW386" s="280"/>
      <c r="AX386" s="280"/>
      <c r="AY386" s="280"/>
      <c r="AZ386" s="280"/>
      <c r="BA386" s="280"/>
      <c r="BB386" s="280"/>
      <c r="BC386" s="280"/>
      <c r="BD386" s="280"/>
      <c r="BE386" s="280"/>
      <c r="BF386" s="280"/>
      <c r="BG386" s="280"/>
      <c r="BH386" s="280"/>
      <c r="BI386" s="12"/>
      <c r="BJ386" s="280"/>
      <c r="BK386" s="280"/>
      <c r="BL386" s="280"/>
      <c r="BM386" s="280"/>
      <c r="BN386" s="280"/>
      <c r="BO386" s="280"/>
      <c r="BP386" s="280"/>
      <c r="BQ386" s="280"/>
      <c r="BR386" s="280"/>
      <c r="BS386" s="280"/>
      <c r="BT386" s="280"/>
      <c r="BU386" s="280"/>
      <c r="BV386" s="280"/>
      <c r="BW386" s="280"/>
      <c r="BX386" s="280"/>
      <c r="BY386" s="280"/>
      <c r="BZ386" s="280"/>
      <c r="CA386" s="280"/>
      <c r="CB386" s="280"/>
      <c r="CC386" s="280"/>
      <c r="CD386" s="280"/>
      <c r="CE386" s="280"/>
      <c r="CF386" s="13"/>
      <c r="CG386" s="280"/>
      <c r="CH386" s="280"/>
      <c r="CI386" s="280"/>
      <c r="CJ386" s="280"/>
      <c r="CK386" s="280"/>
      <c r="CL386" s="280"/>
      <c r="CM386" s="280"/>
      <c r="CN386" s="280"/>
      <c r="CO386" s="280"/>
      <c r="CP386" s="280"/>
      <c r="CQ386" s="280"/>
      <c r="CR386" s="280"/>
      <c r="CS386" s="280"/>
      <c r="CT386" s="280"/>
      <c r="CU386" s="280"/>
      <c r="CV386" s="13"/>
      <c r="CW386" s="280"/>
      <c r="CX386" s="13"/>
      <c r="CY386" s="280"/>
      <c r="CZ386" s="280"/>
      <c r="DA386" s="280"/>
      <c r="DB386" s="280"/>
      <c r="DC386" s="280"/>
      <c r="DD386" s="280"/>
      <c r="DE386" s="280"/>
      <c r="DF386" s="280"/>
      <c r="DG386" s="280"/>
      <c r="DH386" s="280"/>
      <c r="DI386" s="280"/>
      <c r="DJ386" s="280"/>
      <c r="DK386" s="280"/>
      <c r="DL386" s="280"/>
      <c r="DM386" s="280"/>
      <c r="DN386" s="280"/>
      <c r="DO386" s="280"/>
      <c r="DP386" s="280"/>
      <c r="DQ386" s="280"/>
      <c r="DR386" s="280"/>
      <c r="DS386" s="280"/>
      <c r="DT386" s="280"/>
      <c r="DU386" s="280"/>
      <c r="DV386" s="280"/>
      <c r="DW386" s="280"/>
      <c r="DX386" s="280"/>
      <c r="DY386" s="280"/>
      <c r="DZ386" s="280"/>
      <c r="EA386" s="280"/>
      <c r="EB386" s="280"/>
      <c r="EC386" s="280"/>
      <c r="ED386" s="280"/>
      <c r="EE386" s="280"/>
      <c r="EF386" s="280"/>
      <c r="EG386" s="280"/>
      <c r="EH386" s="280"/>
      <c r="EI386" s="280"/>
      <c r="EJ386" s="280"/>
      <c r="EK386" s="280"/>
      <c r="EL386" s="280"/>
      <c r="EM386" s="280"/>
      <c r="EN386" s="280"/>
      <c r="EO386" s="280"/>
      <c r="EP386" s="280"/>
      <c r="EQ386" s="280"/>
      <c r="ER386" s="280"/>
      <c r="ES386" s="280"/>
      <c r="ET386" s="280"/>
      <c r="EU386" s="280"/>
      <c r="EV386" s="13"/>
      <c r="EW386" s="43"/>
      <c r="EX386" s="43"/>
      <c r="EY386" s="45"/>
      <c r="HZ386" s="12"/>
      <c r="IC386" s="12"/>
      <c r="JH386" s="13"/>
      <c r="JJ386" s="13"/>
      <c r="JK386" s="12"/>
      <c r="JV386" s="13"/>
      <c r="JX386" s="13"/>
      <c r="JY386" s="12"/>
      <c r="LT386" s="13"/>
      <c r="LU386" s="12"/>
      <c r="LV386" s="13"/>
      <c r="NV386" s="13"/>
      <c r="NY386" s="13"/>
    </row>
    <row r="387" spans="34:389" ht="10.75" customHeight="1" x14ac:dyDescent="0.2">
      <c r="AH387" s="12"/>
      <c r="AI387" s="12"/>
      <c r="AJ387" s="280"/>
      <c r="AK387" s="280"/>
      <c r="AL387" s="280"/>
      <c r="AM387" s="280"/>
      <c r="AN387" s="280"/>
      <c r="AO387" s="280"/>
      <c r="AP387" s="280"/>
      <c r="AQ387" s="13"/>
      <c r="AR387" s="43"/>
      <c r="AS387" s="43"/>
      <c r="AT387" s="283"/>
      <c r="AU387" s="14"/>
      <c r="AV387" s="15"/>
      <c r="AW387" s="15"/>
      <c r="AX387" s="15"/>
      <c r="AY387" s="15"/>
      <c r="AZ387" s="15"/>
      <c r="BA387" s="15"/>
      <c r="BB387" s="15"/>
      <c r="BC387" s="15"/>
      <c r="BD387" s="15"/>
      <c r="BE387" s="15"/>
      <c r="BF387" s="15"/>
      <c r="BG387" s="15"/>
      <c r="BH387" s="15"/>
      <c r="BI387" s="14"/>
      <c r="BJ387" s="15"/>
      <c r="BK387" s="15"/>
      <c r="BL387" s="15"/>
      <c r="BM387" s="15"/>
      <c r="BN387" s="15"/>
      <c r="BO387" s="15"/>
      <c r="BP387" s="15"/>
      <c r="BQ387" s="15"/>
      <c r="BR387" s="15"/>
      <c r="BS387" s="15"/>
      <c r="BT387" s="15"/>
      <c r="BU387" s="15"/>
      <c r="BV387" s="15"/>
      <c r="BW387" s="15"/>
      <c r="BX387" s="15"/>
      <c r="BY387" s="15"/>
      <c r="BZ387" s="15"/>
      <c r="CA387" s="15"/>
      <c r="CB387" s="15"/>
      <c r="CC387" s="15"/>
      <c r="CD387" s="15"/>
      <c r="CE387" s="15"/>
      <c r="CF387" s="16"/>
      <c r="CG387" s="15"/>
      <c r="CH387" s="15"/>
      <c r="CI387" s="15"/>
      <c r="CJ387" s="15"/>
      <c r="CK387" s="15"/>
      <c r="CL387" s="15"/>
      <c r="CM387" s="15"/>
      <c r="CN387" s="15"/>
      <c r="CO387" s="15"/>
      <c r="CP387" s="15"/>
      <c r="CQ387" s="15"/>
      <c r="CR387" s="15"/>
      <c r="CS387" s="15"/>
      <c r="CT387" s="15"/>
      <c r="CU387" s="15"/>
      <c r="CV387" s="16"/>
      <c r="CW387" s="280"/>
      <c r="CX387" s="13"/>
      <c r="CY387" s="280"/>
      <c r="CZ387" s="280"/>
      <c r="DA387" s="280"/>
      <c r="DB387" s="280"/>
      <c r="DC387" s="280"/>
      <c r="DD387" s="280"/>
      <c r="DE387" s="280"/>
      <c r="DF387" s="280"/>
      <c r="DG387" s="280"/>
      <c r="DH387" s="280"/>
      <c r="DI387" s="280"/>
      <c r="DJ387" s="280"/>
      <c r="DK387" s="280"/>
      <c r="DL387" s="280"/>
      <c r="DM387" s="280"/>
      <c r="DN387" s="280"/>
      <c r="DO387" s="280"/>
      <c r="DP387" s="280"/>
      <c r="DQ387" s="280"/>
      <c r="DR387" s="280"/>
      <c r="DS387" s="280"/>
      <c r="DT387" s="280"/>
      <c r="DU387" s="280"/>
      <c r="DV387" s="280"/>
      <c r="DW387" s="280"/>
      <c r="DX387" s="280"/>
      <c r="DY387" s="280"/>
      <c r="DZ387" s="280"/>
      <c r="EA387" s="280"/>
      <c r="EB387" s="280"/>
      <c r="EC387" s="280"/>
      <c r="ED387" s="280"/>
      <c r="EE387" s="280"/>
      <c r="EF387" s="280"/>
      <c r="EG387" s="280"/>
      <c r="EH387" s="280"/>
      <c r="EI387" s="280"/>
      <c r="EJ387" s="280"/>
      <c r="EK387" s="280"/>
      <c r="EL387" s="280"/>
      <c r="EM387" s="280"/>
      <c r="EN387" s="280"/>
      <c r="EO387" s="280"/>
      <c r="EP387" s="280"/>
      <c r="EQ387" s="280"/>
      <c r="ER387" s="280"/>
      <c r="ES387" s="280"/>
      <c r="ET387" s="280"/>
      <c r="EU387" s="280"/>
      <c r="EV387" s="13"/>
      <c r="EW387" s="43"/>
      <c r="EX387" s="43"/>
      <c r="EY387" s="45"/>
      <c r="HZ387" s="12"/>
      <c r="IC387" s="12"/>
      <c r="JH387" s="13"/>
      <c r="JJ387" s="13"/>
      <c r="JK387" s="12"/>
      <c r="JV387" s="13"/>
      <c r="JX387" s="13"/>
      <c r="JY387" s="12"/>
      <c r="LT387" s="13"/>
      <c r="LU387" s="12"/>
      <c r="LV387" s="13"/>
      <c r="NV387" s="13"/>
      <c r="NY387" s="13"/>
    </row>
    <row r="388" spans="34:389" ht="10.75" customHeight="1" x14ac:dyDescent="0.2">
      <c r="AH388" s="12"/>
      <c r="AI388" s="12"/>
      <c r="AJ388" s="280"/>
      <c r="AK388" s="280"/>
      <c r="AL388" s="280"/>
      <c r="AM388" s="280"/>
      <c r="AN388" s="280"/>
      <c r="AO388" s="280"/>
      <c r="AP388" s="280"/>
      <c r="AQ388" s="13"/>
      <c r="AR388" s="43"/>
      <c r="AS388" s="43"/>
      <c r="AT388" s="283"/>
      <c r="AU388" s="9"/>
      <c r="AV388" s="10"/>
      <c r="AW388" s="10"/>
      <c r="AX388" s="10"/>
      <c r="AY388" s="10"/>
      <c r="AZ388" s="10"/>
      <c r="BA388" s="10"/>
      <c r="BB388" s="10"/>
      <c r="BC388" s="10"/>
      <c r="BD388" s="10"/>
      <c r="BE388" s="10"/>
      <c r="BF388" s="10"/>
      <c r="BG388" s="10"/>
      <c r="BH388" s="10"/>
      <c r="BI388" s="10"/>
      <c r="BJ388" s="10"/>
      <c r="BK388" s="10"/>
      <c r="BL388" s="10"/>
      <c r="BM388" s="10"/>
      <c r="BN388" s="10"/>
      <c r="BO388" s="10"/>
      <c r="BP388" s="10"/>
      <c r="BQ388" s="10"/>
      <c r="BR388" s="10"/>
      <c r="BS388" s="10"/>
      <c r="BT388" s="10"/>
      <c r="BU388" s="10"/>
      <c r="BV388" s="10"/>
      <c r="BW388" s="10"/>
      <c r="BX388" s="10"/>
      <c r="BY388" s="10"/>
      <c r="BZ388" s="10"/>
      <c r="CA388" s="10"/>
      <c r="CB388" s="10"/>
      <c r="CC388" s="10"/>
      <c r="CD388" s="10"/>
      <c r="CE388" s="10"/>
      <c r="CF388" s="10"/>
      <c r="CG388" s="10"/>
      <c r="CH388" s="10"/>
      <c r="CI388" s="10"/>
      <c r="CJ388" s="10"/>
      <c r="CK388" s="10"/>
      <c r="CL388" s="10"/>
      <c r="CM388" s="10"/>
      <c r="CN388" s="10"/>
      <c r="CO388" s="10"/>
      <c r="CP388" s="10"/>
      <c r="CQ388" s="10"/>
      <c r="CR388" s="10"/>
      <c r="CS388" s="10"/>
      <c r="CT388" s="10"/>
      <c r="CU388" s="10"/>
      <c r="CV388" s="10"/>
      <c r="CW388" s="280"/>
      <c r="CX388" s="13"/>
      <c r="CY388" s="280"/>
      <c r="CZ388" s="280"/>
      <c r="DA388" s="280"/>
      <c r="DB388" s="280"/>
      <c r="DC388" s="280"/>
      <c r="DD388" s="280"/>
      <c r="DE388" s="280"/>
      <c r="DF388" s="280"/>
      <c r="DG388" s="280"/>
      <c r="DH388" s="280"/>
      <c r="DI388" s="280"/>
      <c r="DJ388" s="280"/>
      <c r="DK388" s="280"/>
      <c r="DL388" s="280"/>
      <c r="DM388" s="280"/>
      <c r="DN388" s="280"/>
      <c r="DO388" s="280"/>
      <c r="DP388" s="280"/>
      <c r="DQ388" s="280"/>
      <c r="DR388" s="280"/>
      <c r="DS388" s="280"/>
      <c r="DT388" s="280"/>
      <c r="DU388" s="280"/>
      <c r="DV388" s="280"/>
      <c r="DW388" s="280"/>
      <c r="DX388" s="280"/>
      <c r="DY388" s="280"/>
      <c r="DZ388" s="280"/>
      <c r="EA388" s="280"/>
      <c r="EB388" s="280"/>
      <c r="EC388" s="280"/>
      <c r="ED388" s="280"/>
      <c r="EE388" s="280"/>
      <c r="EF388" s="280"/>
      <c r="EG388" s="280"/>
      <c r="EH388" s="280"/>
      <c r="EI388" s="280"/>
      <c r="EJ388" s="280"/>
      <c r="EK388" s="280"/>
      <c r="EL388" s="280"/>
      <c r="EM388" s="280"/>
      <c r="EN388" s="280"/>
      <c r="EO388" s="280"/>
      <c r="EP388" s="280"/>
      <c r="EQ388" s="280"/>
      <c r="ER388" s="280"/>
      <c r="ES388" s="280"/>
      <c r="ET388" s="280"/>
      <c r="EU388" s="280"/>
      <c r="EV388" s="13"/>
      <c r="EW388" s="43"/>
      <c r="EX388" s="43"/>
      <c r="EY388" s="45"/>
      <c r="HZ388" s="12"/>
      <c r="IC388" s="12"/>
      <c r="JH388" s="13"/>
      <c r="JJ388" s="13"/>
      <c r="JK388" s="12"/>
      <c r="JV388" s="13"/>
      <c r="JX388" s="13"/>
      <c r="JY388" s="12"/>
      <c r="LT388" s="13"/>
      <c r="LU388" s="12"/>
      <c r="LV388" s="13"/>
      <c r="NV388" s="13"/>
      <c r="NY388" s="13"/>
    </row>
    <row r="389" spans="34:389" ht="10.75" customHeight="1" x14ac:dyDescent="0.2">
      <c r="AH389" s="14"/>
      <c r="AI389" s="14"/>
      <c r="AJ389" s="15"/>
      <c r="AK389" s="15"/>
      <c r="AL389" s="15"/>
      <c r="AM389" s="15"/>
      <c r="AN389" s="15"/>
      <c r="AO389" s="15"/>
      <c r="AP389" s="15"/>
      <c r="AQ389" s="16"/>
      <c r="AR389" s="43"/>
      <c r="AS389" s="43"/>
      <c r="AT389" s="283"/>
      <c r="AU389" s="14"/>
      <c r="AV389" s="15"/>
      <c r="AW389" s="15"/>
      <c r="AX389" s="15"/>
      <c r="AY389" s="15"/>
      <c r="AZ389" s="15"/>
      <c r="BA389" s="15"/>
      <c r="BB389" s="15"/>
      <c r="BC389" s="15"/>
      <c r="BD389" s="15"/>
      <c r="BE389" s="15"/>
      <c r="BF389" s="15"/>
      <c r="BG389" s="15"/>
      <c r="BH389" s="15"/>
      <c r="BI389" s="15"/>
      <c r="BJ389" s="15"/>
      <c r="BK389" s="15"/>
      <c r="BL389" s="15"/>
      <c r="BM389" s="15"/>
      <c r="BN389" s="15"/>
      <c r="BO389" s="15"/>
      <c r="BP389" s="15"/>
      <c r="BQ389" s="15"/>
      <c r="BR389" s="15"/>
      <c r="BS389" s="15"/>
      <c r="BT389" s="15"/>
      <c r="BU389" s="15"/>
      <c r="BV389" s="15"/>
      <c r="BW389" s="15"/>
      <c r="BX389" s="15"/>
      <c r="BY389" s="15"/>
      <c r="BZ389" s="15"/>
      <c r="CA389" s="15"/>
      <c r="CB389" s="15"/>
      <c r="CC389" s="15"/>
      <c r="CD389" s="15"/>
      <c r="CE389" s="15"/>
      <c r="CF389" s="15"/>
      <c r="CG389" s="15"/>
      <c r="CH389" s="15"/>
      <c r="CI389" s="15"/>
      <c r="CJ389" s="15"/>
      <c r="CK389" s="280"/>
      <c r="CL389" s="284"/>
      <c r="CM389" s="284"/>
      <c r="CN389" s="284"/>
      <c r="CO389" s="284"/>
      <c r="CP389" s="284"/>
      <c r="CQ389" s="284"/>
      <c r="CR389" s="284"/>
      <c r="CS389" s="284"/>
      <c r="CT389" s="284"/>
      <c r="CU389" s="284"/>
      <c r="CV389" s="280"/>
      <c r="CW389" s="280"/>
      <c r="CX389" s="13"/>
      <c r="CY389" s="280"/>
      <c r="CZ389" s="280"/>
      <c r="DA389" s="280"/>
      <c r="DB389" s="280"/>
      <c r="DC389" s="280"/>
      <c r="DD389" s="280"/>
      <c r="DE389" s="280"/>
      <c r="DF389" s="280"/>
      <c r="DG389" s="280"/>
      <c r="DH389" s="280"/>
      <c r="DI389" s="280"/>
      <c r="DJ389" s="280"/>
      <c r="DK389" s="280"/>
      <c r="DL389" s="280"/>
      <c r="DM389" s="280"/>
      <c r="DN389" s="280"/>
      <c r="DO389" s="280"/>
      <c r="DP389" s="280"/>
      <c r="DQ389" s="280"/>
      <c r="DR389" s="280"/>
      <c r="DS389" s="280"/>
      <c r="DT389" s="280"/>
      <c r="DU389" s="280"/>
      <c r="DV389" s="280"/>
      <c r="DW389" s="280"/>
      <c r="DX389" s="280"/>
      <c r="DY389" s="280"/>
      <c r="DZ389" s="280"/>
      <c r="EA389" s="280"/>
      <c r="EB389" s="280"/>
      <c r="EC389" s="280"/>
      <c r="ED389" s="280"/>
      <c r="EE389" s="280"/>
      <c r="EF389" s="280"/>
      <c r="EG389" s="280"/>
      <c r="EH389" s="280"/>
      <c r="EI389" s="280"/>
      <c r="EJ389" s="280"/>
      <c r="EK389" s="280"/>
      <c r="EL389" s="280"/>
      <c r="EM389" s="280"/>
      <c r="EN389" s="280"/>
      <c r="EO389" s="280"/>
      <c r="EP389" s="280"/>
      <c r="EQ389" s="280"/>
      <c r="ER389" s="280"/>
      <c r="ES389" s="280"/>
      <c r="ET389" s="280"/>
      <c r="EU389" s="280"/>
      <c r="EV389" s="13"/>
      <c r="EW389" s="43"/>
      <c r="EX389" s="43"/>
      <c r="EY389" s="45"/>
      <c r="HZ389" s="12"/>
      <c r="IC389" s="12"/>
      <c r="JH389" s="13"/>
      <c r="JJ389" s="13"/>
      <c r="JK389" s="12"/>
      <c r="JV389" s="13"/>
      <c r="JX389" s="13"/>
      <c r="JY389" s="12"/>
      <c r="LT389" s="13"/>
      <c r="LU389" s="12"/>
      <c r="LV389" s="13"/>
      <c r="NV389" s="13"/>
      <c r="NY389" s="13"/>
    </row>
    <row r="390" spans="34:389" ht="10.75" customHeight="1" x14ac:dyDescent="0.2">
      <c r="AH390" s="9"/>
      <c r="AI390" s="9"/>
      <c r="AJ390" s="10"/>
      <c r="AK390" s="10"/>
      <c r="AL390" s="10"/>
      <c r="AM390" s="10"/>
      <c r="AN390" s="10"/>
      <c r="AO390" s="10"/>
      <c r="AP390" s="10"/>
      <c r="AQ390" s="11"/>
      <c r="AR390" s="43"/>
      <c r="AS390" s="43"/>
      <c r="AT390" s="283"/>
      <c r="AU390" s="9"/>
      <c r="AV390" s="10"/>
      <c r="AW390" s="10"/>
      <c r="AX390" s="10"/>
      <c r="AY390" s="10"/>
      <c r="AZ390" s="10"/>
      <c r="BA390" s="10"/>
      <c r="BB390" s="10"/>
      <c r="BC390" s="10"/>
      <c r="BD390" s="10"/>
      <c r="BE390" s="10"/>
      <c r="BF390" s="10"/>
      <c r="BG390" s="10"/>
      <c r="BH390" s="10"/>
      <c r="BI390" s="10"/>
      <c r="BJ390" s="10"/>
      <c r="BK390" s="10"/>
      <c r="BL390" s="10"/>
      <c r="BM390" s="10"/>
      <c r="BN390" s="10"/>
      <c r="BO390" s="10"/>
      <c r="BP390" s="10"/>
      <c r="BQ390" s="10"/>
      <c r="BR390" s="10"/>
      <c r="BS390" s="10"/>
      <c r="BT390" s="10"/>
      <c r="BU390" s="10"/>
      <c r="BV390" s="10"/>
      <c r="BW390" s="10"/>
      <c r="BX390" s="10"/>
      <c r="BY390" s="10"/>
      <c r="BZ390" s="10"/>
      <c r="CA390" s="10"/>
      <c r="CB390" s="10"/>
      <c r="CC390" s="10"/>
      <c r="CD390" s="10"/>
      <c r="CE390" s="10"/>
      <c r="CF390" s="10"/>
      <c r="CG390" s="9"/>
      <c r="CH390" s="10"/>
      <c r="CI390" s="10"/>
      <c r="CJ390" s="10"/>
      <c r="CK390" s="10"/>
      <c r="CL390" s="10"/>
      <c r="CM390" s="10"/>
      <c r="CN390" s="10"/>
      <c r="CO390" s="10"/>
      <c r="CP390" s="10"/>
      <c r="CQ390" s="10"/>
      <c r="CR390" s="10"/>
      <c r="CS390" s="10"/>
      <c r="CT390" s="10"/>
      <c r="CU390" s="10"/>
      <c r="CV390" s="10"/>
      <c r="CW390" s="10"/>
      <c r="CX390" s="10"/>
      <c r="CY390" s="280"/>
      <c r="CZ390" s="280"/>
      <c r="DA390" s="280"/>
      <c r="DB390" s="280"/>
      <c r="DC390" s="280"/>
      <c r="DD390" s="280"/>
      <c r="DE390" s="280"/>
      <c r="DF390" s="280"/>
      <c r="DG390" s="280"/>
      <c r="DH390" s="280"/>
      <c r="DI390" s="280"/>
      <c r="DJ390" s="280"/>
      <c r="DK390" s="280"/>
      <c r="DL390" s="280"/>
      <c r="DM390" s="280"/>
      <c r="DN390" s="280"/>
      <c r="DO390" s="280"/>
      <c r="DP390" s="280"/>
      <c r="DQ390" s="280"/>
      <c r="DR390" s="280"/>
      <c r="DS390" s="280"/>
      <c r="DT390" s="280"/>
      <c r="DU390" s="280"/>
      <c r="DV390" s="280"/>
      <c r="DW390" s="280"/>
      <c r="DX390" s="280"/>
      <c r="DY390" s="280"/>
      <c r="DZ390" s="280"/>
      <c r="EA390" s="280"/>
      <c r="EB390" s="280"/>
      <c r="EC390" s="280"/>
      <c r="ED390" s="280"/>
      <c r="EE390" s="280"/>
      <c r="EF390" s="280"/>
      <c r="EG390" s="280"/>
      <c r="EH390" s="280"/>
      <c r="EI390" s="280"/>
      <c r="EJ390" s="280"/>
      <c r="EK390" s="280"/>
      <c r="EL390" s="280"/>
      <c r="EM390" s="280"/>
      <c r="EN390" s="280"/>
      <c r="EO390" s="280"/>
      <c r="EP390" s="280"/>
      <c r="EQ390" s="280"/>
      <c r="ER390" s="280"/>
      <c r="ES390" s="280"/>
      <c r="ET390" s="280"/>
      <c r="EU390" s="280"/>
      <c r="EV390" s="13"/>
      <c r="EW390" s="43"/>
      <c r="EX390" s="43"/>
      <c r="EY390" s="45"/>
      <c r="HZ390" s="12"/>
      <c r="IC390" s="12"/>
      <c r="JH390" s="13"/>
      <c r="JJ390" s="13"/>
      <c r="JK390" s="12"/>
      <c r="JV390" s="13"/>
      <c r="JX390" s="13"/>
      <c r="JY390" s="12"/>
      <c r="LT390" s="13"/>
      <c r="LU390" s="12"/>
      <c r="LV390" s="13"/>
      <c r="NV390" s="13"/>
      <c r="NY390" s="13"/>
    </row>
    <row r="391" spans="34:389" ht="10.75" customHeight="1" x14ac:dyDescent="0.2">
      <c r="AH391" s="12"/>
      <c r="AI391" s="12"/>
      <c r="AJ391" s="280"/>
      <c r="AK391" s="280"/>
      <c r="AL391" s="280"/>
      <c r="AM391" s="280"/>
      <c r="AN391" s="280"/>
      <c r="AO391" s="280"/>
      <c r="AP391" s="280"/>
      <c r="AQ391" s="13"/>
      <c r="AR391" s="43"/>
      <c r="AS391" s="43"/>
      <c r="AT391" s="283"/>
      <c r="AU391" s="12"/>
      <c r="AV391" s="280"/>
      <c r="AW391" s="280"/>
      <c r="AX391" s="280"/>
      <c r="AY391" s="280"/>
      <c r="AZ391" s="280"/>
      <c r="BA391" s="280"/>
      <c r="BB391" s="280"/>
      <c r="BC391" s="280"/>
      <c r="BD391" s="280"/>
      <c r="BE391" s="280"/>
      <c r="BF391" s="280"/>
      <c r="BG391" s="280"/>
      <c r="BH391" s="280"/>
      <c r="BI391" s="280"/>
      <c r="BJ391" s="280"/>
      <c r="BK391" s="280"/>
      <c r="BL391" s="280"/>
      <c r="BM391" s="280"/>
      <c r="BN391" s="280"/>
      <c r="BO391" s="280"/>
      <c r="BP391" s="280"/>
      <c r="BQ391" s="280"/>
      <c r="BR391" s="280"/>
      <c r="BS391" s="280"/>
      <c r="BT391" s="280"/>
      <c r="BU391" s="280"/>
      <c r="BV391" s="280"/>
      <c r="BW391" s="280"/>
      <c r="BX391" s="280"/>
      <c r="BY391" s="280"/>
      <c r="BZ391" s="280"/>
      <c r="CA391" s="280"/>
      <c r="CB391" s="280"/>
      <c r="CC391" s="280"/>
      <c r="CD391" s="280"/>
      <c r="CE391" s="280"/>
      <c r="CF391" s="280"/>
      <c r="CG391" s="12"/>
      <c r="CH391" s="280"/>
      <c r="CI391" s="280"/>
      <c r="CJ391" s="280"/>
      <c r="CK391" s="280"/>
      <c r="CL391" s="280"/>
      <c r="CM391" s="280"/>
      <c r="CN391" s="280"/>
      <c r="CO391" s="280"/>
      <c r="CP391" s="280"/>
      <c r="CQ391" s="280"/>
      <c r="CR391" s="280"/>
      <c r="CS391" s="280"/>
      <c r="CT391" s="280"/>
      <c r="CU391" s="280"/>
      <c r="CV391" s="280"/>
      <c r="CW391" s="280"/>
      <c r="CX391" s="280"/>
      <c r="CY391" s="280"/>
      <c r="CZ391" s="280"/>
      <c r="DA391" s="280"/>
      <c r="DB391" s="280"/>
      <c r="DC391" s="280"/>
      <c r="DD391" s="280"/>
      <c r="DE391" s="280"/>
      <c r="DF391" s="280"/>
      <c r="DG391" s="280"/>
      <c r="DH391" s="280"/>
      <c r="DI391" s="280"/>
      <c r="DJ391" s="280"/>
      <c r="DK391" s="280"/>
      <c r="DL391" s="280"/>
      <c r="DM391" s="280"/>
      <c r="DN391" s="280"/>
      <c r="DO391" s="280"/>
      <c r="DP391" s="280"/>
      <c r="DQ391" s="280"/>
      <c r="DR391" s="280"/>
      <c r="DS391" s="280"/>
      <c r="DT391" s="280"/>
      <c r="DU391" s="280"/>
      <c r="DV391" s="280"/>
      <c r="DW391" s="280"/>
      <c r="DX391" s="280"/>
      <c r="DY391" s="280"/>
      <c r="DZ391" s="280"/>
      <c r="EA391" s="280"/>
      <c r="EB391" s="280"/>
      <c r="EC391" s="280"/>
      <c r="ED391" s="280"/>
      <c r="EE391" s="280"/>
      <c r="EF391" s="280"/>
      <c r="EG391" s="280"/>
      <c r="EH391" s="280"/>
      <c r="EI391" s="280"/>
      <c r="EJ391" s="280"/>
      <c r="EK391" s="280"/>
      <c r="EL391" s="280"/>
      <c r="EM391" s="280"/>
      <c r="EN391" s="280"/>
      <c r="EO391" s="280"/>
      <c r="EP391" s="280"/>
      <c r="EQ391" s="280"/>
      <c r="ER391" s="280"/>
      <c r="ES391" s="280"/>
      <c r="ET391" s="280"/>
      <c r="EU391" s="280"/>
      <c r="EV391" s="13"/>
      <c r="EW391" s="43"/>
      <c r="EX391" s="43"/>
      <c r="EY391" s="45"/>
      <c r="HZ391" s="12"/>
      <c r="IC391" s="12"/>
      <c r="JH391" s="13"/>
      <c r="JJ391" s="13"/>
      <c r="JK391" s="12"/>
      <c r="JV391" s="13"/>
      <c r="JX391" s="13"/>
      <c r="JY391" s="12"/>
      <c r="LT391" s="13"/>
      <c r="LU391" s="12"/>
      <c r="LV391" s="13"/>
      <c r="NV391" s="13"/>
      <c r="NY391" s="13"/>
    </row>
    <row r="392" spans="34:389" ht="10.75" customHeight="1" x14ac:dyDescent="0.2">
      <c r="AH392" s="12"/>
      <c r="AI392" s="12"/>
      <c r="AJ392" s="280"/>
      <c r="AK392" s="280"/>
      <c r="AL392" s="280"/>
      <c r="AM392" s="280"/>
      <c r="AN392" s="280"/>
      <c r="AO392" s="280"/>
      <c r="AP392" s="280"/>
      <c r="AQ392" s="13"/>
      <c r="AR392" s="43"/>
      <c r="AS392" s="43"/>
      <c r="AT392" s="283"/>
      <c r="AU392" s="12"/>
      <c r="AV392" s="280"/>
      <c r="AW392" s="280"/>
      <c r="AX392" s="280"/>
      <c r="AY392" s="280"/>
      <c r="AZ392" s="280"/>
      <c r="BA392" s="280"/>
      <c r="BB392" s="280"/>
      <c r="BC392" s="280"/>
      <c r="BD392" s="280"/>
      <c r="BE392" s="280"/>
      <c r="BF392" s="280"/>
      <c r="BG392" s="280"/>
      <c r="BH392" s="280"/>
      <c r="BI392" s="280"/>
      <c r="BJ392" s="280"/>
      <c r="BK392" s="280"/>
      <c r="BL392" s="280"/>
      <c r="BM392" s="280"/>
      <c r="BN392" s="280"/>
      <c r="BO392" s="280"/>
      <c r="BP392" s="280"/>
      <c r="BQ392" s="280"/>
      <c r="BR392" s="280"/>
      <c r="BS392" s="280"/>
      <c r="BT392" s="280"/>
      <c r="BU392" s="280"/>
      <c r="BV392" s="280"/>
      <c r="BW392" s="280"/>
      <c r="BX392" s="280"/>
      <c r="BY392" s="280"/>
      <c r="BZ392" s="280"/>
      <c r="CA392" s="280"/>
      <c r="CB392" s="280"/>
      <c r="CC392" s="280"/>
      <c r="CD392" s="280"/>
      <c r="CE392" s="280"/>
      <c r="CF392" s="280"/>
      <c r="CG392" s="12"/>
      <c r="CH392" s="280"/>
      <c r="CI392" s="280"/>
      <c r="CJ392" s="280"/>
      <c r="CK392" s="280"/>
      <c r="CL392" s="280"/>
      <c r="CM392" s="280"/>
      <c r="CN392" s="280"/>
      <c r="CO392" s="280"/>
      <c r="CP392" s="280"/>
      <c r="CQ392" s="280"/>
      <c r="CR392" s="280"/>
      <c r="CS392" s="280"/>
      <c r="CT392" s="280"/>
      <c r="CU392" s="280"/>
      <c r="CV392" s="280"/>
      <c r="CW392" s="280"/>
      <c r="CX392" s="280"/>
      <c r="CY392" s="280"/>
      <c r="CZ392" s="280"/>
      <c r="DA392" s="280"/>
      <c r="DB392" s="280"/>
      <c r="DC392" s="280"/>
      <c r="DD392" s="280"/>
      <c r="DE392" s="280"/>
      <c r="DF392" s="280"/>
      <c r="DG392" s="280"/>
      <c r="DH392" s="280"/>
      <c r="DI392" s="280"/>
      <c r="DJ392" s="280"/>
      <c r="DK392" s="280"/>
      <c r="DL392" s="280"/>
      <c r="DM392" s="280"/>
      <c r="DN392" s="280"/>
      <c r="DO392" s="280"/>
      <c r="DP392" s="280"/>
      <c r="DQ392" s="280"/>
      <c r="DR392" s="280"/>
      <c r="DS392" s="280"/>
      <c r="DT392" s="280"/>
      <c r="DU392" s="280"/>
      <c r="DV392" s="280"/>
      <c r="DW392" s="280"/>
      <c r="DX392" s="280"/>
      <c r="DY392" s="280"/>
      <c r="DZ392" s="280"/>
      <c r="EA392" s="280"/>
      <c r="EB392" s="280"/>
      <c r="EC392" s="280"/>
      <c r="ED392" s="280"/>
      <c r="EE392" s="280"/>
      <c r="EF392" s="280"/>
      <c r="EG392" s="280"/>
      <c r="EH392" s="280"/>
      <c r="EI392" s="280"/>
      <c r="EJ392" s="280"/>
      <c r="EK392" s="280"/>
      <c r="EL392" s="280"/>
      <c r="EM392" s="280"/>
      <c r="EN392" s="280"/>
      <c r="EO392" s="280"/>
      <c r="EP392" s="280"/>
      <c r="EQ392" s="280"/>
      <c r="ER392" s="280"/>
      <c r="ES392" s="280"/>
      <c r="ET392" s="280"/>
      <c r="EU392" s="280"/>
      <c r="EV392" s="13"/>
      <c r="EW392" s="43"/>
      <c r="EX392" s="43"/>
      <c r="EY392" s="45"/>
      <c r="HZ392" s="12"/>
      <c r="IC392" s="12"/>
      <c r="JH392" s="13"/>
      <c r="JJ392" s="13"/>
      <c r="JK392" s="12"/>
      <c r="JV392" s="13"/>
      <c r="JX392" s="13"/>
      <c r="JY392" s="12"/>
      <c r="LT392" s="13"/>
      <c r="LU392" s="12"/>
      <c r="LV392" s="13"/>
      <c r="NV392" s="13"/>
      <c r="NY392" s="13"/>
    </row>
    <row r="393" spans="34:389" ht="10.75" customHeight="1" x14ac:dyDescent="0.2">
      <c r="AH393" s="14"/>
      <c r="AI393" s="14"/>
      <c r="AJ393" s="15"/>
      <c r="AK393" s="15"/>
      <c r="AL393" s="15"/>
      <c r="AM393" s="15"/>
      <c r="AN393" s="15"/>
      <c r="AO393" s="15"/>
      <c r="AP393" s="15"/>
      <c r="AQ393" s="16"/>
      <c r="AR393" s="43"/>
      <c r="AS393" s="43"/>
      <c r="AT393" s="283"/>
      <c r="AU393" s="12"/>
      <c r="AV393" s="280"/>
      <c r="AW393" s="280"/>
      <c r="AX393" s="280"/>
      <c r="AY393" s="280"/>
      <c r="AZ393" s="280"/>
      <c r="BA393" s="280"/>
      <c r="BB393" s="280"/>
      <c r="BC393" s="280"/>
      <c r="BD393" s="280"/>
      <c r="BE393" s="280"/>
      <c r="BF393" s="280"/>
      <c r="BG393" s="280"/>
      <c r="BH393" s="280"/>
      <c r="BI393" s="280"/>
      <c r="BJ393" s="280"/>
      <c r="BK393" s="280"/>
      <c r="BL393" s="280"/>
      <c r="BM393" s="280"/>
      <c r="BN393" s="280"/>
      <c r="BO393" s="280"/>
      <c r="BP393" s="280"/>
      <c r="BQ393" s="280"/>
      <c r="BR393" s="280"/>
      <c r="BS393" s="280"/>
      <c r="BT393" s="280"/>
      <c r="BU393" s="280"/>
      <c r="BV393" s="280"/>
      <c r="BW393" s="280"/>
      <c r="BX393" s="280"/>
      <c r="BY393" s="280"/>
      <c r="BZ393" s="280"/>
      <c r="CA393" s="280"/>
      <c r="CB393" s="280"/>
      <c r="CC393" s="280"/>
      <c r="CD393" s="280"/>
      <c r="CE393" s="280"/>
      <c r="CF393" s="280"/>
      <c r="CG393" s="12"/>
      <c r="CH393" s="280"/>
      <c r="CI393" s="280"/>
      <c r="CJ393" s="280"/>
      <c r="CK393" s="280"/>
      <c r="CL393" s="280"/>
      <c r="CM393" s="280"/>
      <c r="CN393" s="280"/>
      <c r="CO393" s="280"/>
      <c r="CP393" s="280"/>
      <c r="CQ393" s="280"/>
      <c r="CR393" s="280"/>
      <c r="CS393" s="280"/>
      <c r="CT393" s="280"/>
      <c r="CU393" s="280"/>
      <c r="CV393" s="280"/>
      <c r="CW393" s="280"/>
      <c r="CX393" s="280"/>
      <c r="CY393" s="280"/>
      <c r="CZ393" s="280"/>
      <c r="DA393" s="280"/>
      <c r="DB393" s="280"/>
      <c r="DC393" s="280"/>
      <c r="DD393" s="280"/>
      <c r="DE393" s="280"/>
      <c r="DF393" s="280"/>
      <c r="DG393" s="280"/>
      <c r="DH393" s="280"/>
      <c r="DI393" s="280"/>
      <c r="DJ393" s="280"/>
      <c r="DK393" s="280"/>
      <c r="DL393" s="280"/>
      <c r="DM393" s="280"/>
      <c r="DN393" s="280"/>
      <c r="DO393" s="280"/>
      <c r="DP393" s="280"/>
      <c r="DQ393" s="280"/>
      <c r="DR393" s="280"/>
      <c r="DS393" s="280"/>
      <c r="DT393" s="280"/>
      <c r="DU393" s="280"/>
      <c r="DV393" s="280"/>
      <c r="DW393" s="280"/>
      <c r="DX393" s="280"/>
      <c r="DY393" s="280"/>
      <c r="DZ393" s="280"/>
      <c r="EA393" s="280"/>
      <c r="EB393" s="280"/>
      <c r="EC393" s="280"/>
      <c r="ED393" s="280"/>
      <c r="EE393" s="280"/>
      <c r="EF393" s="280"/>
      <c r="EG393" s="280"/>
      <c r="EH393" s="280"/>
      <c r="EI393" s="280"/>
      <c r="EJ393" s="280"/>
      <c r="EK393" s="280"/>
      <c r="EL393" s="280"/>
      <c r="EM393" s="280"/>
      <c r="EN393" s="280"/>
      <c r="EO393" s="280"/>
      <c r="EP393" s="280"/>
      <c r="EQ393" s="280"/>
      <c r="ER393" s="280"/>
      <c r="ES393" s="280"/>
      <c r="ET393" s="280"/>
      <c r="EU393" s="280"/>
      <c r="EV393" s="13"/>
      <c r="EW393" s="43"/>
      <c r="EX393" s="43"/>
      <c r="EY393" s="45"/>
      <c r="HZ393" s="12"/>
      <c r="IC393" s="12"/>
      <c r="JH393" s="13"/>
      <c r="JJ393" s="13"/>
      <c r="JK393" s="12"/>
      <c r="JV393" s="13"/>
      <c r="JX393" s="13"/>
      <c r="JY393" s="12"/>
      <c r="LT393" s="13"/>
      <c r="LU393" s="12"/>
      <c r="LV393" s="13"/>
      <c r="NV393" s="13"/>
      <c r="NY393" s="13"/>
    </row>
    <row r="394" spans="34:389" ht="10.75" customHeight="1" x14ac:dyDescent="0.2">
      <c r="AH394" s="9"/>
      <c r="AI394" s="9"/>
      <c r="AJ394" s="10"/>
      <c r="AK394" s="10"/>
      <c r="AL394" s="10"/>
      <c r="AM394" s="10"/>
      <c r="AN394" s="10"/>
      <c r="AO394" s="10"/>
      <c r="AP394" s="10"/>
      <c r="AQ394" s="11"/>
      <c r="AR394" s="43"/>
      <c r="AS394" s="43"/>
      <c r="AT394" s="283"/>
      <c r="AU394" s="12"/>
      <c r="AV394" s="280"/>
      <c r="AW394" s="280"/>
      <c r="AX394" s="280"/>
      <c r="AY394" s="280"/>
      <c r="AZ394" s="280"/>
      <c r="BA394" s="280"/>
      <c r="BB394" s="280"/>
      <c r="BC394" s="280"/>
      <c r="BD394" s="280"/>
      <c r="BE394" s="280"/>
      <c r="BF394" s="280"/>
      <c r="BG394" s="280"/>
      <c r="BH394" s="280"/>
      <c r="BI394" s="280"/>
      <c r="BJ394" s="280"/>
      <c r="BK394" s="280"/>
      <c r="BL394" s="280"/>
      <c r="BM394" s="280"/>
      <c r="BN394" s="280"/>
      <c r="BO394" s="280"/>
      <c r="BP394" s="280"/>
      <c r="BQ394" s="280"/>
      <c r="BR394" s="280"/>
      <c r="BS394" s="280"/>
      <c r="BT394" s="280"/>
      <c r="BU394" s="280"/>
      <c r="BV394" s="280"/>
      <c r="BW394" s="280"/>
      <c r="BX394" s="280"/>
      <c r="BY394" s="280"/>
      <c r="BZ394" s="280"/>
      <c r="CA394" s="280"/>
      <c r="CB394" s="280"/>
      <c r="CC394" s="280"/>
      <c r="CD394" s="280"/>
      <c r="CE394" s="280"/>
      <c r="CF394" s="280"/>
      <c r="CG394" s="12"/>
      <c r="CH394" s="280"/>
      <c r="CI394" s="280"/>
      <c r="CJ394" s="280"/>
      <c r="CK394" s="280"/>
      <c r="CL394" s="280"/>
      <c r="CM394" s="280"/>
      <c r="CN394" s="280"/>
      <c r="CO394" s="280"/>
      <c r="CP394" s="280"/>
      <c r="CQ394" s="280"/>
      <c r="CR394" s="280"/>
      <c r="CS394" s="280"/>
      <c r="CT394" s="280"/>
      <c r="CU394" s="280"/>
      <c r="CV394" s="280"/>
      <c r="CW394" s="280"/>
      <c r="CX394" s="280"/>
      <c r="CY394" s="280"/>
      <c r="CZ394" s="280"/>
      <c r="DA394" s="280"/>
      <c r="DB394" s="280"/>
      <c r="DC394" s="280"/>
      <c r="DD394" s="280"/>
      <c r="DE394" s="280"/>
      <c r="DF394" s="280"/>
      <c r="DG394" s="280"/>
      <c r="DH394" s="280"/>
      <c r="DI394" s="280"/>
      <c r="DJ394" s="280"/>
      <c r="DK394" s="280"/>
      <c r="DL394" s="280"/>
      <c r="DM394" s="280"/>
      <c r="DN394" s="280"/>
      <c r="DO394" s="280"/>
      <c r="DP394" s="280"/>
      <c r="DQ394" s="280"/>
      <c r="DR394" s="280"/>
      <c r="DS394" s="280"/>
      <c r="DT394" s="280"/>
      <c r="DU394" s="280"/>
      <c r="DV394" s="280"/>
      <c r="DW394" s="280"/>
      <c r="DX394" s="280"/>
      <c r="DY394" s="280"/>
      <c r="DZ394" s="280"/>
      <c r="EA394" s="280"/>
      <c r="EB394" s="280"/>
      <c r="EC394" s="280"/>
      <c r="ED394" s="280"/>
      <c r="EE394" s="280"/>
      <c r="EF394" s="280"/>
      <c r="EG394" s="280"/>
      <c r="EH394" s="280"/>
      <c r="EI394" s="280"/>
      <c r="EJ394" s="280"/>
      <c r="EK394" s="280"/>
      <c r="EL394" s="280"/>
      <c r="EM394" s="280"/>
      <c r="EN394" s="280"/>
      <c r="EO394" s="280"/>
      <c r="EP394" s="280"/>
      <c r="EQ394" s="280"/>
      <c r="ER394" s="280"/>
      <c r="ES394" s="280"/>
      <c r="ET394" s="280"/>
      <c r="EU394" s="280"/>
      <c r="EV394" s="13"/>
      <c r="EW394" s="43"/>
      <c r="EX394" s="43"/>
      <c r="EY394" s="45"/>
      <c r="HZ394" s="12"/>
      <c r="IC394" s="12"/>
      <c r="JH394" s="13"/>
      <c r="JJ394" s="13"/>
      <c r="JK394" s="12"/>
      <c r="JV394" s="13"/>
      <c r="JX394" s="13"/>
      <c r="JY394" s="12"/>
      <c r="LT394" s="13"/>
      <c r="LU394" s="12"/>
      <c r="LV394" s="13"/>
      <c r="NV394" s="13"/>
      <c r="NY394" s="13"/>
    </row>
    <row r="395" spans="34:389" ht="10.75" customHeight="1" x14ac:dyDescent="0.2">
      <c r="AH395" s="12"/>
      <c r="AI395" s="12"/>
      <c r="AJ395" s="280"/>
      <c r="AK395" s="280"/>
      <c r="AL395" s="280"/>
      <c r="AM395" s="280"/>
      <c r="AN395" s="280"/>
      <c r="AO395" s="280"/>
      <c r="AP395" s="280"/>
      <c r="AQ395" s="13"/>
      <c r="AR395" s="43"/>
      <c r="AS395" s="43"/>
      <c r="AT395" s="283"/>
      <c r="AU395" s="12"/>
      <c r="AV395" s="280"/>
      <c r="AW395" s="280"/>
      <c r="AX395" s="280"/>
      <c r="AY395" s="280"/>
      <c r="AZ395" s="280"/>
      <c r="BA395" s="280"/>
      <c r="BB395" s="280"/>
      <c r="BC395" s="280"/>
      <c r="BD395" s="280"/>
      <c r="BE395" s="280"/>
      <c r="BF395" s="280"/>
      <c r="BG395" s="280"/>
      <c r="BH395" s="280"/>
      <c r="BI395" s="280"/>
      <c r="BJ395" s="280"/>
      <c r="BK395" s="280"/>
      <c r="BL395" s="280"/>
      <c r="BM395" s="280"/>
      <c r="BN395" s="280"/>
      <c r="BO395" s="280"/>
      <c r="BP395" s="280"/>
      <c r="BQ395" s="280"/>
      <c r="BR395" s="280"/>
      <c r="BS395" s="280"/>
      <c r="BT395" s="280"/>
      <c r="BU395" s="280"/>
      <c r="BV395" s="280"/>
      <c r="BW395" s="280"/>
      <c r="BX395" s="280"/>
      <c r="BY395" s="280"/>
      <c r="BZ395" s="280"/>
      <c r="CA395" s="280"/>
      <c r="CB395" s="280"/>
      <c r="CC395" s="280"/>
      <c r="CD395" s="280"/>
      <c r="CE395" s="280"/>
      <c r="CF395" s="280"/>
      <c r="CG395" s="12"/>
      <c r="CH395" s="280"/>
      <c r="CI395" s="280"/>
      <c r="CJ395" s="280"/>
      <c r="CK395" s="280"/>
      <c r="CL395" s="280"/>
      <c r="CM395" s="280"/>
      <c r="CN395" s="280"/>
      <c r="CO395" s="280"/>
      <c r="CP395" s="280"/>
      <c r="CQ395" s="280"/>
      <c r="CR395" s="280"/>
      <c r="CS395" s="280"/>
      <c r="CT395" s="280"/>
      <c r="CU395" s="280"/>
      <c r="CV395" s="280"/>
      <c r="CW395" s="280"/>
      <c r="CX395" s="280"/>
      <c r="CY395" s="280"/>
      <c r="CZ395" s="280"/>
      <c r="DA395" s="280"/>
      <c r="DB395" s="280"/>
      <c r="DC395" s="280"/>
      <c r="DD395" s="280"/>
      <c r="DE395" s="280"/>
      <c r="DF395" s="280"/>
      <c r="DG395" s="280"/>
      <c r="DH395" s="280"/>
      <c r="DI395" s="280"/>
      <c r="DJ395" s="280"/>
      <c r="DK395" s="280"/>
      <c r="DL395" s="280"/>
      <c r="DM395" s="280"/>
      <c r="DN395" s="280"/>
      <c r="DO395" s="280"/>
      <c r="DP395" s="280"/>
      <c r="DQ395" s="280"/>
      <c r="DR395" s="280"/>
      <c r="DS395" s="280"/>
      <c r="DT395" s="280"/>
      <c r="DU395" s="280"/>
      <c r="DV395" s="280"/>
      <c r="DW395" s="280"/>
      <c r="DX395" s="280"/>
      <c r="DY395" s="280"/>
      <c r="DZ395" s="280"/>
      <c r="EA395" s="280"/>
      <c r="EB395" s="280"/>
      <c r="EC395" s="280"/>
      <c r="ED395" s="280"/>
      <c r="EE395" s="280"/>
      <c r="EF395" s="280"/>
      <c r="EG395" s="280"/>
      <c r="EH395" s="280"/>
      <c r="EI395" s="280"/>
      <c r="EJ395" s="280"/>
      <c r="EK395" s="280"/>
      <c r="EL395" s="280"/>
      <c r="EM395" s="280"/>
      <c r="EN395" s="280"/>
      <c r="EO395" s="280"/>
      <c r="EP395" s="280"/>
      <c r="EQ395" s="280"/>
      <c r="ER395" s="280"/>
      <c r="ES395" s="280"/>
      <c r="ET395" s="280"/>
      <c r="EU395" s="280"/>
      <c r="EV395" s="13"/>
      <c r="EW395" s="43"/>
      <c r="EX395" s="43"/>
      <c r="EY395" s="45"/>
      <c r="HZ395" s="12"/>
      <c r="IC395" s="14"/>
      <c r="ID395" s="15"/>
      <c r="IE395" s="15"/>
      <c r="IF395" s="15"/>
      <c r="IG395" s="15"/>
      <c r="IH395" s="15"/>
      <c r="II395" s="15"/>
      <c r="IJ395" s="15"/>
      <c r="IK395" s="15"/>
      <c r="IL395" s="15"/>
      <c r="IM395" s="15"/>
      <c r="IN395" s="15"/>
      <c r="IO395" s="15"/>
      <c r="IP395" s="15"/>
      <c r="IQ395" s="15"/>
      <c r="IR395" s="15"/>
      <c r="IS395" s="15"/>
      <c r="IT395" s="15"/>
      <c r="IU395" s="15"/>
      <c r="IV395" s="15"/>
      <c r="IW395" s="15"/>
      <c r="IX395" s="15"/>
      <c r="IY395" s="15"/>
      <c r="IZ395" s="15"/>
      <c r="JA395" s="15"/>
      <c r="JB395" s="15"/>
      <c r="JC395" s="15"/>
      <c r="JD395" s="15"/>
      <c r="JE395" s="15"/>
      <c r="JF395" s="15"/>
      <c r="JG395" s="15"/>
      <c r="JH395" s="16"/>
      <c r="JJ395" s="13"/>
      <c r="JK395" s="14"/>
      <c r="JL395" s="15"/>
      <c r="JM395" s="15"/>
      <c r="JN395" s="15"/>
      <c r="JO395" s="15"/>
      <c r="JP395" s="15"/>
      <c r="JQ395" s="15"/>
      <c r="JR395" s="15"/>
      <c r="JS395" s="15"/>
      <c r="JT395" s="15"/>
      <c r="JU395" s="15"/>
      <c r="JV395" s="16"/>
      <c r="JX395" s="13"/>
      <c r="JY395" s="12"/>
      <c r="LT395" s="13"/>
      <c r="LU395" s="12"/>
      <c r="LV395" s="13"/>
      <c r="NV395" s="13"/>
      <c r="NY395" s="13"/>
    </row>
    <row r="396" spans="34:389" ht="10.75" customHeight="1" x14ac:dyDescent="0.2">
      <c r="AH396" s="12"/>
      <c r="AI396" s="12"/>
      <c r="AJ396" s="280"/>
      <c r="AK396" s="280"/>
      <c r="AL396" s="280"/>
      <c r="AM396" s="280"/>
      <c r="AN396" s="280"/>
      <c r="AO396" s="280"/>
      <c r="AP396" s="280"/>
      <c r="AQ396" s="13"/>
      <c r="AR396" s="43"/>
      <c r="AS396" s="43"/>
      <c r="AT396" s="283"/>
      <c r="AU396" s="12"/>
      <c r="AV396" s="280"/>
      <c r="AW396" s="280"/>
      <c r="AX396" s="280"/>
      <c r="AY396" s="280"/>
      <c r="AZ396" s="280"/>
      <c r="BA396" s="280"/>
      <c r="BB396" s="280"/>
      <c r="BC396" s="280"/>
      <c r="BD396" s="280"/>
      <c r="BE396" s="280"/>
      <c r="BF396" s="280"/>
      <c r="BG396" s="280"/>
      <c r="BH396" s="280"/>
      <c r="BI396" s="280"/>
      <c r="BJ396" s="280"/>
      <c r="BK396" s="280"/>
      <c r="BL396" s="280"/>
      <c r="BM396" s="280"/>
      <c r="BN396" s="280"/>
      <c r="BO396" s="280"/>
      <c r="BP396" s="280"/>
      <c r="BQ396" s="280"/>
      <c r="BR396" s="280"/>
      <c r="BS396" s="280"/>
      <c r="BT396" s="280"/>
      <c r="BU396" s="280"/>
      <c r="BV396" s="280"/>
      <c r="BW396" s="280"/>
      <c r="BX396" s="280"/>
      <c r="BY396" s="280"/>
      <c r="BZ396" s="280"/>
      <c r="CA396" s="280"/>
      <c r="CB396" s="280"/>
      <c r="CC396" s="280"/>
      <c r="CD396" s="280"/>
      <c r="CE396" s="280"/>
      <c r="CF396" s="280"/>
      <c r="CG396" s="12"/>
      <c r="CH396" s="280"/>
      <c r="CI396" s="280"/>
      <c r="CJ396" s="280"/>
      <c r="CK396" s="280"/>
      <c r="CL396" s="280"/>
      <c r="CM396" s="280"/>
      <c r="CN396" s="280"/>
      <c r="CO396" s="280"/>
      <c r="CP396" s="280"/>
      <c r="CQ396" s="280"/>
      <c r="CR396" s="280"/>
      <c r="CS396" s="280"/>
      <c r="CT396" s="280"/>
      <c r="CU396" s="280"/>
      <c r="CV396" s="280"/>
      <c r="CW396" s="280"/>
      <c r="CX396" s="280"/>
      <c r="CY396" s="280"/>
      <c r="CZ396" s="280"/>
      <c r="DA396" s="280"/>
      <c r="DB396" s="280"/>
      <c r="DC396" s="280"/>
      <c r="DD396" s="280"/>
      <c r="DE396" s="280"/>
      <c r="DF396" s="280"/>
      <c r="DG396" s="280"/>
      <c r="DH396" s="280"/>
      <c r="DI396" s="280"/>
      <c r="DJ396" s="280"/>
      <c r="DK396" s="280"/>
      <c r="DL396" s="280"/>
      <c r="DM396" s="280"/>
      <c r="DN396" s="280"/>
      <c r="DO396" s="280"/>
      <c r="DP396" s="280"/>
      <c r="DQ396" s="280"/>
      <c r="DR396" s="280"/>
      <c r="DS396" s="280"/>
      <c r="DT396" s="280"/>
      <c r="DU396" s="280"/>
      <c r="DV396" s="280"/>
      <c r="DW396" s="280"/>
      <c r="DX396" s="280"/>
      <c r="DY396" s="280"/>
      <c r="DZ396" s="280"/>
      <c r="EA396" s="280"/>
      <c r="EB396" s="280"/>
      <c r="EC396" s="280"/>
      <c r="ED396" s="280"/>
      <c r="EE396" s="280"/>
      <c r="EF396" s="280"/>
      <c r="EG396" s="280"/>
      <c r="EH396" s="280"/>
      <c r="EI396" s="280"/>
      <c r="EJ396" s="280"/>
      <c r="EK396" s="280"/>
      <c r="EL396" s="280"/>
      <c r="EM396" s="280"/>
      <c r="EN396" s="280"/>
      <c r="EO396" s="280"/>
      <c r="EP396" s="280"/>
      <c r="EQ396" s="280"/>
      <c r="ER396" s="280"/>
      <c r="ES396" s="280"/>
      <c r="ET396" s="280"/>
      <c r="EU396" s="280"/>
      <c r="EV396" s="13"/>
      <c r="EW396" s="43"/>
      <c r="EX396" s="43"/>
      <c r="EY396" s="45"/>
      <c r="HZ396" s="12"/>
      <c r="IC396" s="12"/>
      <c r="JJ396" s="13"/>
      <c r="JK396" s="12"/>
      <c r="JX396" s="13"/>
      <c r="JY396" s="12"/>
      <c r="LT396" s="13"/>
      <c r="LU396" s="12"/>
      <c r="LV396" s="13"/>
      <c r="NV396" s="13"/>
      <c r="NY396" s="13"/>
    </row>
    <row r="397" spans="34:389" ht="10.75" customHeight="1" x14ac:dyDescent="0.2">
      <c r="AH397" s="14"/>
      <c r="AI397" s="14"/>
      <c r="AJ397" s="15"/>
      <c r="AK397" s="15"/>
      <c r="AL397" s="15"/>
      <c r="AM397" s="15"/>
      <c r="AN397" s="15"/>
      <c r="AO397" s="15"/>
      <c r="AP397" s="15"/>
      <c r="AQ397" s="16"/>
      <c r="AR397" s="43"/>
      <c r="AS397" s="43"/>
      <c r="AT397" s="283"/>
      <c r="AU397" s="12"/>
      <c r="AV397" s="280"/>
      <c r="AW397" s="280"/>
      <c r="AX397" s="280"/>
      <c r="AY397" s="280"/>
      <c r="AZ397" s="280"/>
      <c r="BA397" s="280"/>
      <c r="BB397" s="280"/>
      <c r="BC397" s="280"/>
      <c r="BD397" s="280"/>
      <c r="BE397" s="280"/>
      <c r="BF397" s="280"/>
      <c r="BG397" s="280"/>
      <c r="BH397" s="280"/>
      <c r="BI397" s="280"/>
      <c r="BJ397" s="280"/>
      <c r="BK397" s="280"/>
      <c r="BL397" s="280"/>
      <c r="BM397" s="280"/>
      <c r="BN397" s="280"/>
      <c r="BO397" s="280"/>
      <c r="BP397" s="280"/>
      <c r="BQ397" s="280"/>
      <c r="BR397" s="280"/>
      <c r="BS397" s="280"/>
      <c r="BT397" s="280"/>
      <c r="BU397" s="280"/>
      <c r="BV397" s="280"/>
      <c r="BW397" s="280"/>
      <c r="BX397" s="280"/>
      <c r="BY397" s="280"/>
      <c r="BZ397" s="280"/>
      <c r="CA397" s="280"/>
      <c r="CB397" s="280"/>
      <c r="CC397" s="280"/>
      <c r="CD397" s="280"/>
      <c r="CE397" s="280"/>
      <c r="CF397" s="280"/>
      <c r="CG397" s="12"/>
      <c r="CH397" s="280"/>
      <c r="CI397" s="280"/>
      <c r="CJ397" s="280"/>
      <c r="CK397" s="280"/>
      <c r="CL397" s="280"/>
      <c r="CM397" s="280"/>
      <c r="CN397" s="280"/>
      <c r="CO397" s="280"/>
      <c r="CP397" s="280"/>
      <c r="CQ397" s="280"/>
      <c r="CR397" s="280"/>
      <c r="CS397" s="280"/>
      <c r="CT397" s="280"/>
      <c r="CU397" s="280"/>
      <c r="CV397" s="280"/>
      <c r="CW397" s="280"/>
      <c r="CX397" s="280"/>
      <c r="CY397" s="280"/>
      <c r="CZ397" s="280"/>
      <c r="DA397" s="280"/>
      <c r="DB397" s="280"/>
      <c r="DC397" s="280"/>
      <c r="DD397" s="280"/>
      <c r="DE397" s="280"/>
      <c r="DF397" s="280"/>
      <c r="DG397" s="280"/>
      <c r="DH397" s="280"/>
      <c r="DI397" s="280"/>
      <c r="DJ397" s="280"/>
      <c r="DK397" s="280"/>
      <c r="DL397" s="280"/>
      <c r="DM397" s="280"/>
      <c r="DN397" s="280"/>
      <c r="DO397" s="280"/>
      <c r="DP397" s="280"/>
      <c r="DQ397" s="280"/>
      <c r="DR397" s="280"/>
      <c r="DS397" s="280"/>
      <c r="DT397" s="280"/>
      <c r="DU397" s="280"/>
      <c r="DV397" s="280"/>
      <c r="DW397" s="280"/>
      <c r="DX397" s="280"/>
      <c r="DY397" s="280"/>
      <c r="DZ397" s="280"/>
      <c r="EA397" s="280"/>
      <c r="EB397" s="280"/>
      <c r="EC397" s="280"/>
      <c r="ED397" s="280"/>
      <c r="EE397" s="280"/>
      <c r="EF397" s="280"/>
      <c r="EG397" s="280"/>
      <c r="EH397" s="280"/>
      <c r="EI397" s="280"/>
      <c r="EJ397" s="280"/>
      <c r="EK397" s="280"/>
      <c r="EL397" s="280"/>
      <c r="EM397" s="280"/>
      <c r="EN397" s="280"/>
      <c r="EO397" s="280"/>
      <c r="EP397" s="280"/>
      <c r="EQ397" s="280"/>
      <c r="ER397" s="280"/>
      <c r="ES397" s="280"/>
      <c r="ET397" s="280"/>
      <c r="EU397" s="280"/>
      <c r="EV397" s="13"/>
      <c r="EW397" s="43"/>
      <c r="EX397" s="43"/>
      <c r="EY397" s="45"/>
      <c r="HZ397" s="12"/>
      <c r="IC397" s="14"/>
      <c r="ID397" s="15"/>
      <c r="IE397" s="15"/>
      <c r="IF397" s="15"/>
      <c r="IG397" s="15"/>
      <c r="IH397" s="15"/>
      <c r="II397" s="15"/>
      <c r="IJ397" s="15"/>
      <c r="IK397" s="15"/>
      <c r="IL397" s="15"/>
      <c r="IM397" s="15"/>
      <c r="IN397" s="15"/>
      <c r="IO397" s="15"/>
      <c r="IP397" s="15"/>
      <c r="IQ397" s="15"/>
      <c r="IR397" s="15"/>
      <c r="IS397" s="15"/>
      <c r="IT397" s="15"/>
      <c r="IU397" s="15"/>
      <c r="IV397" s="15"/>
      <c r="IW397" s="15"/>
      <c r="IX397" s="15"/>
      <c r="IY397" s="15"/>
      <c r="IZ397" s="15"/>
      <c r="JA397" s="15"/>
      <c r="JB397" s="15"/>
      <c r="JC397" s="15"/>
      <c r="JD397" s="15"/>
      <c r="JE397" s="15"/>
      <c r="JF397" s="15"/>
      <c r="JG397" s="15"/>
      <c r="JH397" s="15"/>
      <c r="JI397" s="15"/>
      <c r="JJ397" s="16"/>
      <c r="JK397" s="14"/>
      <c r="JL397" s="15"/>
      <c r="JM397" s="15"/>
      <c r="JN397" s="15"/>
      <c r="JO397" s="15"/>
      <c r="JP397" s="15"/>
      <c r="JQ397" s="15"/>
      <c r="JR397" s="15"/>
      <c r="JS397" s="15"/>
      <c r="JT397" s="15"/>
      <c r="JU397" s="15"/>
      <c r="JV397" s="15"/>
      <c r="JW397" s="15"/>
      <c r="JX397" s="16"/>
      <c r="JY397" s="12"/>
      <c r="LT397" s="13"/>
      <c r="LU397" s="12"/>
      <c r="LV397" s="13"/>
      <c r="NV397" s="13"/>
      <c r="NY397" s="13"/>
    </row>
    <row r="398" spans="34:389" ht="10.75" customHeight="1" x14ac:dyDescent="0.2">
      <c r="AH398" s="9"/>
      <c r="AI398" s="9"/>
      <c r="AJ398" s="10"/>
      <c r="AK398" s="10"/>
      <c r="AL398" s="10"/>
      <c r="AM398" s="10"/>
      <c r="AN398" s="10"/>
      <c r="AO398" s="10"/>
      <c r="AP398" s="10"/>
      <c r="AQ398" s="11"/>
      <c r="AR398" s="43"/>
      <c r="AS398" s="43"/>
      <c r="AT398" s="283"/>
      <c r="AU398" s="12"/>
      <c r="AV398" s="280"/>
      <c r="AW398" s="280"/>
      <c r="AX398" s="280"/>
      <c r="AY398" s="280"/>
      <c r="AZ398" s="280"/>
      <c r="BA398" s="280"/>
      <c r="BB398" s="13"/>
      <c r="BC398" s="9"/>
      <c r="BD398" s="10"/>
      <c r="BE398" s="10"/>
      <c r="BF398" s="10"/>
      <c r="BG398" s="10"/>
      <c r="BH398" s="10"/>
      <c r="BI398" s="10"/>
      <c r="BJ398" s="10"/>
      <c r="BK398" s="10"/>
      <c r="BL398" s="10"/>
      <c r="BM398" s="10"/>
      <c r="BN398" s="10"/>
      <c r="BO398" s="10"/>
      <c r="BP398" s="10"/>
      <c r="BQ398" s="10"/>
      <c r="BR398" s="10"/>
      <c r="BS398" s="10"/>
      <c r="BT398" s="10"/>
      <c r="BU398" s="10"/>
      <c r="BV398" s="10"/>
      <c r="BW398" s="10"/>
      <c r="BX398" s="10"/>
      <c r="BY398" s="10"/>
      <c r="BZ398" s="10"/>
      <c r="CA398" s="10"/>
      <c r="CB398" s="10"/>
      <c r="CC398" s="10"/>
      <c r="CD398" s="10"/>
      <c r="CE398" s="10"/>
      <c r="CF398" s="10"/>
      <c r="CG398" s="280"/>
      <c r="CH398" s="280"/>
      <c r="CI398" s="280"/>
      <c r="CJ398" s="280"/>
      <c r="CK398" s="280"/>
      <c r="CL398" s="280"/>
      <c r="CM398" s="280"/>
      <c r="CN398" s="280"/>
      <c r="CO398" s="280"/>
      <c r="CP398" s="280"/>
      <c r="CQ398" s="280"/>
      <c r="CR398" s="280"/>
      <c r="CS398" s="280"/>
      <c r="CT398" s="280"/>
      <c r="CU398" s="280"/>
      <c r="CV398" s="280"/>
      <c r="CW398" s="280"/>
      <c r="CX398" s="280"/>
      <c r="CY398" s="280"/>
      <c r="CZ398" s="280"/>
      <c r="DA398" s="280"/>
      <c r="DB398" s="280"/>
      <c r="DC398" s="280"/>
      <c r="DD398" s="280"/>
      <c r="DE398" s="280"/>
      <c r="DF398" s="280"/>
      <c r="DG398" s="280"/>
      <c r="DH398" s="280"/>
      <c r="DI398" s="280"/>
      <c r="DJ398" s="280"/>
      <c r="DK398" s="280"/>
      <c r="DL398" s="280"/>
      <c r="DM398" s="280"/>
      <c r="DN398" s="280"/>
      <c r="DO398" s="280"/>
      <c r="DP398" s="280"/>
      <c r="DQ398" s="280"/>
      <c r="DR398" s="280"/>
      <c r="DS398" s="280"/>
      <c r="DT398" s="280"/>
      <c r="DU398" s="280"/>
      <c r="DV398" s="280"/>
      <c r="DW398" s="280"/>
      <c r="DX398" s="280"/>
      <c r="DY398" s="280"/>
      <c r="DZ398" s="280"/>
      <c r="EA398" s="280"/>
      <c r="EB398" s="280"/>
      <c r="EC398" s="280"/>
      <c r="ED398" s="280"/>
      <c r="EE398" s="280"/>
      <c r="EF398" s="280"/>
      <c r="EG398" s="280"/>
      <c r="EH398" s="280"/>
      <c r="EI398" s="280"/>
      <c r="EJ398" s="280"/>
      <c r="EK398" s="280"/>
      <c r="EL398" s="280"/>
      <c r="EM398" s="280"/>
      <c r="EN398" s="280"/>
      <c r="EO398" s="280"/>
      <c r="EP398" s="280"/>
      <c r="EQ398" s="280"/>
      <c r="ER398" s="280"/>
      <c r="ES398" s="280"/>
      <c r="ET398" s="280"/>
      <c r="EU398" s="280"/>
      <c r="EV398" s="13"/>
      <c r="EW398" s="43"/>
      <c r="EX398" s="43"/>
      <c r="EY398" s="45"/>
      <c r="HZ398" s="12"/>
      <c r="IC398" s="9"/>
      <c r="ID398" s="10"/>
      <c r="IE398" s="10"/>
      <c r="IF398" s="10"/>
      <c r="IG398" s="10"/>
      <c r="IH398" s="10"/>
      <c r="II398" s="10"/>
      <c r="IJ398" s="10"/>
      <c r="IK398" s="10"/>
      <c r="IL398" s="10"/>
      <c r="IM398" s="10"/>
      <c r="IN398" s="10"/>
      <c r="IO398" s="10"/>
      <c r="IP398" s="10"/>
      <c r="IQ398" s="10"/>
      <c r="IR398" s="10"/>
      <c r="IS398" s="10"/>
      <c r="IT398" s="10"/>
      <c r="IU398" s="10"/>
      <c r="IV398" s="10"/>
      <c r="IW398" s="10"/>
      <c r="IX398" s="10"/>
      <c r="IY398" s="10"/>
      <c r="IZ398" s="10"/>
      <c r="JA398" s="10"/>
      <c r="JB398" s="10"/>
      <c r="JC398" s="10"/>
      <c r="JD398" s="10"/>
      <c r="JE398" s="10"/>
      <c r="JF398" s="10"/>
      <c r="JG398" s="10"/>
      <c r="JH398" s="10"/>
      <c r="JI398" s="10"/>
      <c r="JJ398" s="10"/>
      <c r="JK398" s="10"/>
      <c r="JL398" s="10"/>
      <c r="JM398" s="10"/>
      <c r="JN398" s="10"/>
      <c r="JO398" s="10"/>
      <c r="JP398" s="10"/>
      <c r="JQ398" s="10"/>
      <c r="JR398" s="10"/>
      <c r="JS398" s="10"/>
      <c r="JT398" s="10"/>
      <c r="JU398" s="10"/>
      <c r="JV398" s="11"/>
      <c r="JW398" s="10"/>
      <c r="JX398" s="11"/>
      <c r="JY398" s="12"/>
      <c r="LT398" s="13"/>
      <c r="LU398" s="12"/>
      <c r="LV398" s="13"/>
      <c r="NV398" s="13"/>
      <c r="NY398" s="13"/>
    </row>
    <row r="399" spans="34:389" ht="10.75" customHeight="1" x14ac:dyDescent="0.2">
      <c r="AH399" s="12"/>
      <c r="AI399" s="12"/>
      <c r="AJ399" s="280"/>
      <c r="AK399" s="280"/>
      <c r="AL399" s="280"/>
      <c r="AM399" s="280"/>
      <c r="AN399" s="280"/>
      <c r="AO399" s="280"/>
      <c r="AP399" s="280"/>
      <c r="AQ399" s="13"/>
      <c r="AR399" s="43"/>
      <c r="AS399" s="43"/>
      <c r="AT399" s="283"/>
      <c r="AU399" s="12"/>
      <c r="AV399" s="280"/>
      <c r="AW399" s="280"/>
      <c r="AX399" s="280"/>
      <c r="AY399" s="280"/>
      <c r="AZ399" s="280"/>
      <c r="BA399" s="280"/>
      <c r="BB399" s="13"/>
      <c r="BC399" s="12"/>
      <c r="BD399" s="280"/>
      <c r="BE399" s="280"/>
      <c r="BF399" s="280"/>
      <c r="BG399" s="280"/>
      <c r="BH399" s="280"/>
      <c r="BI399" s="280"/>
      <c r="BJ399" s="280"/>
      <c r="BK399" s="280"/>
      <c r="BL399" s="280"/>
      <c r="BM399" s="280"/>
      <c r="BN399" s="280"/>
      <c r="BO399" s="280"/>
      <c r="BP399" s="280"/>
      <c r="BQ399" s="280"/>
      <c r="BR399" s="280"/>
      <c r="BS399" s="280"/>
      <c r="BT399" s="280"/>
      <c r="BU399" s="280"/>
      <c r="BV399" s="280"/>
      <c r="BW399" s="280"/>
      <c r="BX399" s="280"/>
      <c r="BY399" s="280"/>
      <c r="BZ399" s="280"/>
      <c r="CA399" s="280"/>
      <c r="CB399" s="280"/>
      <c r="CC399" s="280"/>
      <c r="CD399" s="280"/>
      <c r="CE399" s="280"/>
      <c r="CF399" s="280"/>
      <c r="CG399" s="280"/>
      <c r="CH399" s="280"/>
      <c r="CI399" s="280"/>
      <c r="CJ399" s="280"/>
      <c r="CK399" s="280"/>
      <c r="CL399" s="280"/>
      <c r="CM399" s="280"/>
      <c r="CN399" s="280"/>
      <c r="CO399" s="280"/>
      <c r="CP399" s="280"/>
      <c r="CQ399" s="280"/>
      <c r="CR399" s="280"/>
      <c r="CS399" s="280"/>
      <c r="CT399" s="280"/>
      <c r="CU399" s="280"/>
      <c r="CV399" s="280"/>
      <c r="CW399" s="280"/>
      <c r="CX399" s="280"/>
      <c r="CY399" s="280"/>
      <c r="CZ399" s="280"/>
      <c r="DA399" s="280"/>
      <c r="DB399" s="280"/>
      <c r="DC399" s="280"/>
      <c r="DD399" s="280"/>
      <c r="DE399" s="280"/>
      <c r="DF399" s="280"/>
      <c r="DG399" s="280"/>
      <c r="DH399" s="280"/>
      <c r="DI399" s="280"/>
      <c r="DJ399" s="280"/>
      <c r="DK399" s="280"/>
      <c r="DL399" s="280"/>
      <c r="DM399" s="280"/>
      <c r="DN399" s="280"/>
      <c r="DO399" s="280"/>
      <c r="DP399" s="280"/>
      <c r="DQ399" s="280"/>
      <c r="DR399" s="280"/>
      <c r="DS399" s="280"/>
      <c r="DT399" s="280"/>
      <c r="DU399" s="280"/>
      <c r="DV399" s="280"/>
      <c r="DW399" s="280"/>
      <c r="DX399" s="280"/>
      <c r="DY399" s="280"/>
      <c r="DZ399" s="280"/>
      <c r="EA399" s="280"/>
      <c r="EB399" s="280"/>
      <c r="EC399" s="280"/>
      <c r="ED399" s="280"/>
      <c r="EE399" s="280"/>
      <c r="EF399" s="280"/>
      <c r="EG399" s="280"/>
      <c r="EH399" s="280"/>
      <c r="EI399" s="280"/>
      <c r="EJ399" s="280"/>
      <c r="EK399" s="280"/>
      <c r="EL399" s="280"/>
      <c r="EM399" s="280"/>
      <c r="EN399" s="280"/>
      <c r="EO399" s="280"/>
      <c r="EP399" s="280"/>
      <c r="EQ399" s="280"/>
      <c r="ER399" s="280"/>
      <c r="ES399" s="280"/>
      <c r="ET399" s="280"/>
      <c r="EU399" s="280"/>
      <c r="EV399" s="13"/>
      <c r="EW399" s="43"/>
      <c r="EX399" s="43"/>
      <c r="EY399" s="45"/>
      <c r="HZ399" s="12"/>
      <c r="IC399" s="12"/>
      <c r="JV399" s="13"/>
      <c r="JX399" s="13"/>
      <c r="JY399" s="12"/>
      <c r="LT399" s="13"/>
      <c r="LU399" s="12"/>
      <c r="LV399" s="13"/>
      <c r="NV399" s="13"/>
      <c r="NY399" s="13"/>
    </row>
    <row r="400" spans="34:389" ht="10.75" customHeight="1" x14ac:dyDescent="0.2">
      <c r="AH400" s="12"/>
      <c r="AI400" s="12"/>
      <c r="AJ400" s="280"/>
      <c r="AK400" s="280"/>
      <c r="AL400" s="280"/>
      <c r="AM400" s="280"/>
      <c r="AN400" s="280"/>
      <c r="AO400" s="280"/>
      <c r="AP400" s="280"/>
      <c r="AQ400" s="13"/>
      <c r="AR400" s="43"/>
      <c r="AS400" s="43"/>
      <c r="AT400" s="283"/>
      <c r="AU400" s="12"/>
      <c r="AV400" s="280"/>
      <c r="AW400" s="280"/>
      <c r="AX400" s="280"/>
      <c r="AY400" s="280"/>
      <c r="AZ400" s="280"/>
      <c r="BA400" s="280"/>
      <c r="BB400" s="13"/>
      <c r="BC400" s="12"/>
      <c r="BD400" s="280"/>
      <c r="BE400" s="280"/>
      <c r="BF400" s="280"/>
      <c r="BG400" s="280"/>
      <c r="BH400" s="280"/>
      <c r="BI400" s="280"/>
      <c r="BJ400" s="280"/>
      <c r="BK400" s="280"/>
      <c r="BL400" s="280"/>
      <c r="BM400" s="280"/>
      <c r="BN400" s="280"/>
      <c r="BO400" s="280"/>
      <c r="BP400" s="280"/>
      <c r="BQ400" s="280"/>
      <c r="BR400" s="280"/>
      <c r="BS400" s="280"/>
      <c r="BT400" s="280"/>
      <c r="BU400" s="280"/>
      <c r="BV400" s="280"/>
      <c r="BW400" s="280"/>
      <c r="BX400" s="280"/>
      <c r="BY400" s="280"/>
      <c r="BZ400" s="280"/>
      <c r="CA400" s="280"/>
      <c r="CB400" s="280"/>
      <c r="CC400" s="280"/>
      <c r="CD400" s="280"/>
      <c r="CE400" s="280"/>
      <c r="CF400" s="280"/>
      <c r="CG400" s="280"/>
      <c r="CH400" s="280"/>
      <c r="CI400" s="280"/>
      <c r="CJ400" s="280"/>
      <c r="CK400" s="280"/>
      <c r="CL400" s="280"/>
      <c r="CM400" s="280"/>
      <c r="CN400" s="280"/>
      <c r="CO400" s="280"/>
      <c r="CP400" s="280"/>
      <c r="CQ400" s="280"/>
      <c r="CR400" s="280"/>
      <c r="CS400" s="280"/>
      <c r="CT400" s="280"/>
      <c r="CU400" s="280"/>
      <c r="CV400" s="280"/>
      <c r="CW400" s="280"/>
      <c r="CX400" s="280"/>
      <c r="CY400" s="280"/>
      <c r="CZ400" s="280"/>
      <c r="DA400" s="280"/>
      <c r="DB400" s="280"/>
      <c r="DC400" s="280"/>
      <c r="DD400" s="280"/>
      <c r="DE400" s="280"/>
      <c r="DF400" s="280"/>
      <c r="DG400" s="280"/>
      <c r="DH400" s="280"/>
      <c r="DI400" s="280"/>
      <c r="DJ400" s="280"/>
      <c r="DK400" s="280"/>
      <c r="DL400" s="280"/>
      <c r="DM400" s="280"/>
      <c r="DN400" s="280"/>
      <c r="DO400" s="280"/>
      <c r="DP400" s="280"/>
      <c r="DQ400" s="280"/>
      <c r="DR400" s="280"/>
      <c r="DS400" s="280"/>
      <c r="DT400" s="280"/>
      <c r="DU400" s="280"/>
      <c r="DV400" s="280"/>
      <c r="DW400" s="280"/>
      <c r="DX400" s="280"/>
      <c r="DY400" s="280"/>
      <c r="DZ400" s="280"/>
      <c r="EA400" s="280"/>
      <c r="EB400" s="280"/>
      <c r="EC400" s="280"/>
      <c r="ED400" s="280"/>
      <c r="EE400" s="280"/>
      <c r="EF400" s="280"/>
      <c r="EG400" s="280"/>
      <c r="EH400" s="280"/>
      <c r="EI400" s="280"/>
      <c r="EJ400" s="280"/>
      <c r="EK400" s="280"/>
      <c r="EL400" s="280"/>
      <c r="EM400" s="280"/>
      <c r="EN400" s="280"/>
      <c r="EO400" s="280"/>
      <c r="EP400" s="280"/>
      <c r="EQ400" s="280"/>
      <c r="ER400" s="280"/>
      <c r="ES400" s="280"/>
      <c r="ET400" s="280"/>
      <c r="EU400" s="280"/>
      <c r="EV400" s="13"/>
      <c r="EW400" s="43"/>
      <c r="EX400" s="43"/>
      <c r="EY400" s="45"/>
      <c r="HP400" s="9"/>
      <c r="HQ400" s="10"/>
      <c r="HR400" s="10"/>
      <c r="HS400" s="10"/>
      <c r="HT400" s="10"/>
      <c r="HU400" s="10"/>
      <c r="HV400" s="10"/>
      <c r="HW400" s="10"/>
      <c r="HX400" s="10"/>
      <c r="HY400" s="10"/>
      <c r="HZ400" s="9"/>
      <c r="IA400" s="10"/>
      <c r="IB400" s="10"/>
      <c r="IC400" s="12"/>
      <c r="JV400" s="13"/>
      <c r="JX400" s="13"/>
      <c r="JY400" s="12"/>
      <c r="LT400" s="13"/>
      <c r="LU400" s="12"/>
      <c r="LV400" s="13"/>
      <c r="NV400" s="13"/>
      <c r="NY400" s="13"/>
    </row>
    <row r="401" spans="34:389" ht="10.75" customHeight="1" x14ac:dyDescent="0.2">
      <c r="AH401" s="14"/>
      <c r="AI401" s="14"/>
      <c r="AJ401" s="15"/>
      <c r="AK401" s="15"/>
      <c r="AL401" s="15"/>
      <c r="AM401" s="15"/>
      <c r="AN401" s="15"/>
      <c r="AO401" s="15"/>
      <c r="AP401" s="15"/>
      <c r="AQ401" s="16"/>
      <c r="AR401" s="43"/>
      <c r="AS401" s="43"/>
      <c r="AT401" s="283"/>
      <c r="AU401" s="12"/>
      <c r="AV401" s="280"/>
      <c r="AW401" s="280"/>
      <c r="AX401" s="280"/>
      <c r="AY401" s="280"/>
      <c r="AZ401" s="280"/>
      <c r="BA401" s="280"/>
      <c r="BB401" s="13"/>
      <c r="BC401" s="12"/>
      <c r="BD401" s="280"/>
      <c r="BE401" s="280"/>
      <c r="BF401" s="280"/>
      <c r="BG401" s="280"/>
      <c r="BH401" s="280"/>
      <c r="BI401" s="280"/>
      <c r="BJ401" s="280"/>
      <c r="BK401" s="280"/>
      <c r="BL401" s="280"/>
      <c r="BM401" s="280"/>
      <c r="BN401" s="280"/>
      <c r="BO401" s="280"/>
      <c r="BP401" s="280"/>
      <c r="BQ401" s="280"/>
      <c r="BR401" s="280"/>
      <c r="BS401" s="280"/>
      <c r="BT401" s="280"/>
      <c r="BU401" s="280"/>
      <c r="BV401" s="280"/>
      <c r="BW401" s="280"/>
      <c r="BX401" s="280"/>
      <c r="BY401" s="280"/>
      <c r="BZ401" s="280"/>
      <c r="CA401" s="280"/>
      <c r="CB401" s="280"/>
      <c r="CC401" s="280"/>
      <c r="CD401" s="280"/>
      <c r="CE401" s="280"/>
      <c r="CF401" s="280"/>
      <c r="CG401" s="280"/>
      <c r="CH401" s="280"/>
      <c r="CI401" s="280"/>
      <c r="CJ401" s="280"/>
      <c r="CK401" s="280"/>
      <c r="CL401" s="280"/>
      <c r="CM401" s="280"/>
      <c r="CN401" s="280"/>
      <c r="CO401" s="280"/>
      <c r="CP401" s="280"/>
      <c r="CQ401" s="280"/>
      <c r="CR401" s="280"/>
      <c r="CS401" s="280"/>
      <c r="CT401" s="280"/>
      <c r="CU401" s="280"/>
      <c r="CV401" s="280"/>
      <c r="CW401" s="280"/>
      <c r="CX401" s="280"/>
      <c r="CY401" s="280"/>
      <c r="CZ401" s="280"/>
      <c r="DA401" s="280"/>
      <c r="DB401" s="280"/>
      <c r="DC401" s="280"/>
      <c r="DD401" s="280"/>
      <c r="DE401" s="280"/>
      <c r="DF401" s="280"/>
      <c r="DG401" s="280"/>
      <c r="DH401" s="280"/>
      <c r="DI401" s="280"/>
      <c r="DJ401" s="280"/>
      <c r="DK401" s="280"/>
      <c r="DL401" s="280"/>
      <c r="DM401" s="280"/>
      <c r="DN401" s="280"/>
      <c r="DO401" s="280"/>
      <c r="DP401" s="280"/>
      <c r="DQ401" s="280"/>
      <c r="DR401" s="280"/>
      <c r="DS401" s="280"/>
      <c r="DT401" s="280"/>
      <c r="DU401" s="280"/>
      <c r="DV401" s="280"/>
      <c r="DW401" s="280"/>
      <c r="DX401" s="280"/>
      <c r="DY401" s="280"/>
      <c r="DZ401" s="280"/>
      <c r="EA401" s="280"/>
      <c r="EB401" s="280"/>
      <c r="EC401" s="280"/>
      <c r="ED401" s="280"/>
      <c r="EE401" s="280"/>
      <c r="EF401" s="280"/>
      <c r="EG401" s="280"/>
      <c r="EH401" s="280"/>
      <c r="EI401" s="280"/>
      <c r="EJ401" s="280"/>
      <c r="EK401" s="280"/>
      <c r="EL401" s="280"/>
      <c r="EM401" s="280"/>
      <c r="EN401" s="280"/>
      <c r="EO401" s="280"/>
      <c r="EP401" s="280"/>
      <c r="EQ401" s="280"/>
      <c r="ER401" s="280"/>
      <c r="ES401" s="280"/>
      <c r="ET401" s="280"/>
      <c r="EU401" s="280"/>
      <c r="EV401" s="13"/>
      <c r="EW401" s="43"/>
      <c r="EX401" s="43"/>
      <c r="EY401" s="45"/>
      <c r="HP401" s="12"/>
      <c r="HZ401" s="12"/>
      <c r="IC401" s="12"/>
      <c r="JV401" s="13"/>
      <c r="JX401" s="13"/>
      <c r="JY401" s="12"/>
      <c r="LT401" s="13"/>
      <c r="LU401" s="12"/>
      <c r="LV401" s="13"/>
      <c r="NV401" s="13"/>
      <c r="NY401" s="13"/>
    </row>
    <row r="402" spans="34:389" ht="10.75" customHeight="1" x14ac:dyDescent="0.2">
      <c r="AH402" s="9"/>
      <c r="AI402" s="9"/>
      <c r="AJ402" s="10"/>
      <c r="AK402" s="10"/>
      <c r="AL402" s="10"/>
      <c r="AM402" s="10"/>
      <c r="AN402" s="10"/>
      <c r="AO402" s="10"/>
      <c r="AP402" s="10"/>
      <c r="AQ402" s="11"/>
      <c r="AR402" s="43"/>
      <c r="AS402" s="43"/>
      <c r="AT402" s="283"/>
      <c r="AU402" s="12"/>
      <c r="AV402" s="280"/>
      <c r="AW402" s="280"/>
      <c r="AX402" s="280"/>
      <c r="AY402" s="280"/>
      <c r="AZ402" s="280"/>
      <c r="BA402" s="280"/>
      <c r="BB402" s="13"/>
      <c r="BC402" s="12"/>
      <c r="BD402" s="280"/>
      <c r="BE402" s="280"/>
      <c r="BF402" s="280"/>
      <c r="BG402" s="280"/>
      <c r="BH402" s="280"/>
      <c r="BI402" s="280"/>
      <c r="BJ402" s="280"/>
      <c r="BK402" s="280"/>
      <c r="BL402" s="280"/>
      <c r="BM402" s="280"/>
      <c r="BN402" s="280"/>
      <c r="BO402" s="280"/>
      <c r="BP402" s="280"/>
      <c r="BQ402" s="280"/>
      <c r="BR402" s="280"/>
      <c r="BS402" s="280"/>
      <c r="BT402" s="280"/>
      <c r="BU402" s="280"/>
      <c r="BV402" s="280"/>
      <c r="BW402" s="280"/>
      <c r="BX402" s="280"/>
      <c r="BY402" s="280"/>
      <c r="BZ402" s="280"/>
      <c r="CA402" s="280"/>
      <c r="CB402" s="280"/>
      <c r="CC402" s="280"/>
      <c r="CD402" s="280"/>
      <c r="CE402" s="280"/>
      <c r="CF402" s="280"/>
      <c r="CG402" s="280"/>
      <c r="CH402" s="280"/>
      <c r="CI402" s="280"/>
      <c r="CJ402" s="280"/>
      <c r="CK402" s="280"/>
      <c r="CL402" s="280"/>
      <c r="CM402" s="280"/>
      <c r="CN402" s="280"/>
      <c r="CO402" s="280"/>
      <c r="CP402" s="280"/>
      <c r="CQ402" s="280"/>
      <c r="CR402" s="280"/>
      <c r="CS402" s="280"/>
      <c r="CT402" s="280"/>
      <c r="CU402" s="280"/>
      <c r="CV402" s="280"/>
      <c r="CW402" s="280"/>
      <c r="CX402" s="280"/>
      <c r="CY402" s="280"/>
      <c r="CZ402" s="280"/>
      <c r="DA402" s="280"/>
      <c r="DB402" s="280"/>
      <c r="DC402" s="280"/>
      <c r="DD402" s="280"/>
      <c r="DE402" s="280"/>
      <c r="DF402" s="280"/>
      <c r="DG402" s="280"/>
      <c r="DH402" s="280"/>
      <c r="DI402" s="280"/>
      <c r="DJ402" s="280"/>
      <c r="DK402" s="280"/>
      <c r="DL402" s="280"/>
      <c r="DM402" s="280"/>
      <c r="DN402" s="280"/>
      <c r="DO402" s="280"/>
      <c r="DP402" s="280"/>
      <c r="DQ402" s="280"/>
      <c r="DR402" s="280"/>
      <c r="DS402" s="280"/>
      <c r="DT402" s="280"/>
      <c r="DU402" s="280"/>
      <c r="DV402" s="280"/>
      <c r="DW402" s="280"/>
      <c r="DX402" s="280"/>
      <c r="DY402" s="280"/>
      <c r="DZ402" s="280"/>
      <c r="EA402" s="280"/>
      <c r="EB402" s="280"/>
      <c r="EC402" s="280"/>
      <c r="ED402" s="280"/>
      <c r="EE402" s="280"/>
      <c r="EF402" s="280"/>
      <c r="EG402" s="280"/>
      <c r="EH402" s="280"/>
      <c r="EI402" s="280"/>
      <c r="EJ402" s="280"/>
      <c r="EK402" s="280"/>
      <c r="EL402" s="280"/>
      <c r="EM402" s="280"/>
      <c r="EN402" s="280"/>
      <c r="EO402" s="280"/>
      <c r="EP402" s="280"/>
      <c r="EQ402" s="280"/>
      <c r="ER402" s="280"/>
      <c r="ES402" s="280"/>
      <c r="ET402" s="280"/>
      <c r="EU402" s="280"/>
      <c r="EV402" s="13"/>
      <c r="EW402" s="43"/>
      <c r="EX402" s="43"/>
      <c r="EY402" s="45"/>
      <c r="HP402" s="12"/>
      <c r="HZ402" s="12"/>
      <c r="IC402" s="12"/>
      <c r="JV402" s="13"/>
      <c r="JX402" s="13"/>
      <c r="JY402" s="12"/>
      <c r="LT402" s="13"/>
      <c r="LU402" s="12"/>
      <c r="LV402" s="13"/>
      <c r="NV402" s="13"/>
      <c r="NY402" s="13"/>
    </row>
    <row r="403" spans="34:389" ht="10.75" customHeight="1" x14ac:dyDescent="0.2">
      <c r="AH403" s="12"/>
      <c r="AI403" s="12"/>
      <c r="AJ403" s="280"/>
      <c r="AK403" s="280"/>
      <c r="AL403" s="280"/>
      <c r="AM403" s="280"/>
      <c r="AN403" s="280"/>
      <c r="AO403" s="280"/>
      <c r="AP403" s="280"/>
      <c r="AQ403" s="13"/>
      <c r="AR403" s="43"/>
      <c r="AS403" s="43"/>
      <c r="AT403" s="283"/>
      <c r="AU403" s="12"/>
      <c r="AV403" s="280"/>
      <c r="AW403" s="280"/>
      <c r="AX403" s="280"/>
      <c r="AY403" s="280"/>
      <c r="AZ403" s="280"/>
      <c r="BA403" s="280"/>
      <c r="BB403" s="13"/>
      <c r="BC403" s="12"/>
      <c r="BD403" s="280"/>
      <c r="BE403" s="280"/>
      <c r="BF403" s="280"/>
      <c r="BG403" s="280"/>
      <c r="BH403" s="280"/>
      <c r="BI403" s="280"/>
      <c r="BJ403" s="280"/>
      <c r="BK403" s="280"/>
      <c r="BL403" s="280"/>
      <c r="BM403" s="280"/>
      <c r="BN403" s="280"/>
      <c r="BO403" s="280"/>
      <c r="BP403" s="280"/>
      <c r="BQ403" s="280"/>
      <c r="BR403" s="280"/>
      <c r="BS403" s="280"/>
      <c r="BT403" s="280"/>
      <c r="BU403" s="280"/>
      <c r="BV403" s="280"/>
      <c r="BW403" s="280"/>
      <c r="BX403" s="280"/>
      <c r="BY403" s="280"/>
      <c r="BZ403" s="280"/>
      <c r="CA403" s="280"/>
      <c r="CB403" s="280"/>
      <c r="CC403" s="280"/>
      <c r="CD403" s="280"/>
      <c r="CE403" s="280"/>
      <c r="CF403" s="280"/>
      <c r="CG403" s="280"/>
      <c r="CH403" s="280"/>
      <c r="CI403" s="280"/>
      <c r="CJ403" s="280"/>
      <c r="CK403" s="280"/>
      <c r="CL403" s="280"/>
      <c r="CM403" s="280"/>
      <c r="CN403" s="280"/>
      <c r="CO403" s="280"/>
      <c r="CP403" s="280"/>
      <c r="CQ403" s="280"/>
      <c r="CR403" s="280"/>
      <c r="CS403" s="280"/>
      <c r="CT403" s="280"/>
      <c r="CU403" s="280"/>
      <c r="CV403" s="280"/>
      <c r="CW403" s="280"/>
      <c r="CX403" s="280"/>
      <c r="CY403" s="280"/>
      <c r="CZ403" s="280"/>
      <c r="DA403" s="280"/>
      <c r="DB403" s="280"/>
      <c r="DC403" s="280"/>
      <c r="DD403" s="280"/>
      <c r="DE403" s="280"/>
      <c r="DF403" s="280"/>
      <c r="DG403" s="280"/>
      <c r="DH403" s="280"/>
      <c r="DI403" s="280"/>
      <c r="DJ403" s="280"/>
      <c r="DK403" s="280"/>
      <c r="DL403" s="280"/>
      <c r="DM403" s="280"/>
      <c r="DN403" s="280"/>
      <c r="DO403" s="280"/>
      <c r="DP403" s="280"/>
      <c r="DQ403" s="280"/>
      <c r="DR403" s="280"/>
      <c r="DS403" s="280"/>
      <c r="DT403" s="280"/>
      <c r="DU403" s="280"/>
      <c r="DV403" s="280"/>
      <c r="DW403" s="280"/>
      <c r="DX403" s="280"/>
      <c r="DY403" s="280"/>
      <c r="DZ403" s="280"/>
      <c r="EA403" s="280"/>
      <c r="EB403" s="280"/>
      <c r="EC403" s="280"/>
      <c r="ED403" s="280"/>
      <c r="EE403" s="280"/>
      <c r="EF403" s="280"/>
      <c r="EG403" s="280"/>
      <c r="EH403" s="280"/>
      <c r="EI403" s="280"/>
      <c r="EJ403" s="280"/>
      <c r="EK403" s="280"/>
      <c r="EL403" s="280"/>
      <c r="EM403" s="280"/>
      <c r="EN403" s="280"/>
      <c r="EO403" s="280"/>
      <c r="EP403" s="280"/>
      <c r="EQ403" s="280"/>
      <c r="ER403" s="280"/>
      <c r="ES403" s="280"/>
      <c r="ET403" s="280"/>
      <c r="EU403" s="280"/>
      <c r="EV403" s="13"/>
      <c r="EW403" s="43"/>
      <c r="EX403" s="43"/>
      <c r="EY403" s="45"/>
      <c r="HP403" s="12"/>
      <c r="HZ403" s="12"/>
      <c r="IC403" s="12"/>
      <c r="JV403" s="13"/>
      <c r="JX403" s="13"/>
      <c r="JY403" s="12"/>
      <c r="LT403" s="13"/>
      <c r="LU403" s="12"/>
      <c r="LV403" s="13"/>
      <c r="NV403" s="13"/>
      <c r="NY403" s="13"/>
    </row>
    <row r="404" spans="34:389" ht="10.75" customHeight="1" x14ac:dyDescent="0.2">
      <c r="AH404" s="12"/>
      <c r="AI404" s="12"/>
      <c r="AJ404" s="280"/>
      <c r="AK404" s="280"/>
      <c r="AL404" s="280"/>
      <c r="AM404" s="280"/>
      <c r="AN404" s="280"/>
      <c r="AO404" s="280"/>
      <c r="AP404" s="280"/>
      <c r="AQ404" s="13"/>
      <c r="AR404" s="43"/>
      <c r="AS404" s="43"/>
      <c r="AT404" s="283"/>
      <c r="AU404" s="12"/>
      <c r="AV404" s="280"/>
      <c r="AW404" s="280"/>
      <c r="AX404" s="280"/>
      <c r="AY404" s="280"/>
      <c r="AZ404" s="280"/>
      <c r="BA404" s="280"/>
      <c r="BB404" s="13"/>
      <c r="BC404" s="12"/>
      <c r="BD404" s="280"/>
      <c r="BE404" s="280"/>
      <c r="BF404" s="280"/>
      <c r="BG404" s="280"/>
      <c r="BH404" s="280"/>
      <c r="BI404" s="280"/>
      <c r="BJ404" s="280"/>
      <c r="BK404" s="280"/>
      <c r="BL404" s="280"/>
      <c r="BM404" s="280"/>
      <c r="BN404" s="280"/>
      <c r="BO404" s="280"/>
      <c r="BP404" s="280"/>
      <c r="BQ404" s="280"/>
      <c r="BR404" s="280"/>
      <c r="BS404" s="280"/>
      <c r="BT404" s="280"/>
      <c r="BU404" s="280"/>
      <c r="BV404" s="280"/>
      <c r="BW404" s="280"/>
      <c r="BX404" s="280"/>
      <c r="BY404" s="280"/>
      <c r="BZ404" s="280"/>
      <c r="CA404" s="280"/>
      <c r="CB404" s="280"/>
      <c r="CC404" s="280"/>
      <c r="CD404" s="280"/>
      <c r="CE404" s="280"/>
      <c r="CF404" s="280"/>
      <c r="CG404" s="280"/>
      <c r="CH404" s="280"/>
      <c r="CI404" s="280"/>
      <c r="CJ404" s="280"/>
      <c r="CK404" s="280"/>
      <c r="CL404" s="280"/>
      <c r="CM404" s="280"/>
      <c r="CN404" s="280"/>
      <c r="CO404" s="280"/>
      <c r="CP404" s="280"/>
      <c r="CQ404" s="280"/>
      <c r="CR404" s="280"/>
      <c r="CS404" s="280"/>
      <c r="CT404" s="280"/>
      <c r="CU404" s="280"/>
      <c r="CV404" s="280"/>
      <c r="CW404" s="280"/>
      <c r="CX404" s="280"/>
      <c r="CY404" s="280"/>
      <c r="CZ404" s="280"/>
      <c r="DA404" s="280"/>
      <c r="DB404" s="280"/>
      <c r="DC404" s="280"/>
      <c r="DD404" s="280"/>
      <c r="DE404" s="280"/>
      <c r="DF404" s="280"/>
      <c r="DG404" s="280"/>
      <c r="DH404" s="280"/>
      <c r="DI404" s="280"/>
      <c r="DJ404" s="280"/>
      <c r="DK404" s="280"/>
      <c r="DL404" s="280"/>
      <c r="DM404" s="280"/>
      <c r="DN404" s="280"/>
      <c r="DO404" s="280"/>
      <c r="DP404" s="280"/>
      <c r="DQ404" s="280"/>
      <c r="DR404" s="280"/>
      <c r="DS404" s="280"/>
      <c r="DT404" s="280"/>
      <c r="DU404" s="280"/>
      <c r="DV404" s="280"/>
      <c r="DW404" s="280"/>
      <c r="DX404" s="280"/>
      <c r="DY404" s="280"/>
      <c r="DZ404" s="280"/>
      <c r="EA404" s="280"/>
      <c r="EB404" s="280"/>
      <c r="EC404" s="280"/>
      <c r="ED404" s="280"/>
      <c r="EE404" s="280"/>
      <c r="EF404" s="280"/>
      <c r="EG404" s="280"/>
      <c r="EH404" s="280"/>
      <c r="EI404" s="280"/>
      <c r="EJ404" s="280"/>
      <c r="EK404" s="280"/>
      <c r="EL404" s="280"/>
      <c r="EM404" s="280"/>
      <c r="EN404" s="280"/>
      <c r="EO404" s="280"/>
      <c r="EP404" s="280"/>
      <c r="EQ404" s="280"/>
      <c r="ER404" s="280"/>
      <c r="ES404" s="280"/>
      <c r="ET404" s="280"/>
      <c r="EU404" s="280"/>
      <c r="EV404" s="13"/>
      <c r="EW404" s="43"/>
      <c r="EX404" s="43"/>
      <c r="EY404" s="45"/>
      <c r="HP404" s="12"/>
      <c r="HZ404" s="12"/>
      <c r="IC404" s="12"/>
      <c r="JV404" s="13"/>
      <c r="JX404" s="13"/>
      <c r="JY404" s="12"/>
      <c r="LT404" s="13"/>
      <c r="LU404" s="12"/>
      <c r="LV404" s="13"/>
      <c r="NV404" s="13"/>
      <c r="NY404" s="13"/>
    </row>
    <row r="405" spans="34:389" ht="10.75" customHeight="1" x14ac:dyDescent="0.2">
      <c r="AH405" s="14"/>
      <c r="AI405" s="14"/>
      <c r="AJ405" s="15"/>
      <c r="AK405" s="15"/>
      <c r="AL405" s="15"/>
      <c r="AM405" s="15"/>
      <c r="AN405" s="15"/>
      <c r="AO405" s="15"/>
      <c r="AP405" s="15"/>
      <c r="AQ405" s="16"/>
      <c r="AR405" s="43"/>
      <c r="AS405" s="43"/>
      <c r="AT405" s="283"/>
      <c r="AU405" s="12"/>
      <c r="AV405" s="280"/>
      <c r="AW405" s="280"/>
      <c r="AX405" s="280"/>
      <c r="AY405" s="280"/>
      <c r="AZ405" s="280"/>
      <c r="BA405" s="280"/>
      <c r="BB405" s="13"/>
      <c r="BC405" s="12"/>
      <c r="BD405" s="280"/>
      <c r="BE405" s="280"/>
      <c r="BF405" s="280"/>
      <c r="BG405" s="280"/>
      <c r="BH405" s="280"/>
      <c r="BI405" s="280"/>
      <c r="BJ405" s="280"/>
      <c r="BK405" s="280"/>
      <c r="BL405" s="280"/>
      <c r="BM405" s="280"/>
      <c r="BN405" s="280"/>
      <c r="BO405" s="280"/>
      <c r="BP405" s="280"/>
      <c r="BQ405" s="280"/>
      <c r="BR405" s="280"/>
      <c r="BS405" s="280"/>
      <c r="BT405" s="280"/>
      <c r="BU405" s="280"/>
      <c r="BV405" s="280"/>
      <c r="BW405" s="280"/>
      <c r="BX405" s="280"/>
      <c r="BY405" s="280"/>
      <c r="BZ405" s="280"/>
      <c r="CA405" s="280"/>
      <c r="CB405" s="280"/>
      <c r="CC405" s="280"/>
      <c r="CD405" s="280"/>
      <c r="CE405" s="280"/>
      <c r="CF405" s="280"/>
      <c r="CG405" s="280"/>
      <c r="CH405" s="280"/>
      <c r="CI405" s="280"/>
      <c r="CJ405" s="280"/>
      <c r="CK405" s="280"/>
      <c r="CL405" s="280"/>
      <c r="CM405" s="280"/>
      <c r="CN405" s="280"/>
      <c r="CO405" s="280"/>
      <c r="CP405" s="280"/>
      <c r="CQ405" s="280"/>
      <c r="CR405" s="280"/>
      <c r="CS405" s="280"/>
      <c r="CT405" s="280"/>
      <c r="CU405" s="280"/>
      <c r="CV405" s="280"/>
      <c r="CW405" s="280"/>
      <c r="CX405" s="280"/>
      <c r="CY405" s="280"/>
      <c r="CZ405" s="280"/>
      <c r="DA405" s="280"/>
      <c r="DB405" s="280"/>
      <c r="DC405" s="280"/>
      <c r="DD405" s="280"/>
      <c r="DE405" s="280"/>
      <c r="DF405" s="280"/>
      <c r="DG405" s="280"/>
      <c r="DH405" s="280"/>
      <c r="DI405" s="280"/>
      <c r="DJ405" s="280"/>
      <c r="DK405" s="280"/>
      <c r="DL405" s="280"/>
      <c r="DM405" s="280"/>
      <c r="DN405" s="280"/>
      <c r="DO405" s="280"/>
      <c r="DP405" s="280"/>
      <c r="DQ405" s="280"/>
      <c r="DR405" s="280"/>
      <c r="DS405" s="280"/>
      <c r="DT405" s="280"/>
      <c r="DU405" s="280"/>
      <c r="DV405" s="280"/>
      <c r="DW405" s="280"/>
      <c r="DX405" s="280"/>
      <c r="DY405" s="280"/>
      <c r="DZ405" s="280"/>
      <c r="EA405" s="280"/>
      <c r="EB405" s="280"/>
      <c r="EC405" s="280"/>
      <c r="ED405" s="280"/>
      <c r="EE405" s="280"/>
      <c r="EF405" s="280"/>
      <c r="EG405" s="280"/>
      <c r="EH405" s="280"/>
      <c r="EI405" s="280"/>
      <c r="EJ405" s="280"/>
      <c r="EK405" s="280"/>
      <c r="EL405" s="280"/>
      <c r="EM405" s="280"/>
      <c r="EN405" s="280"/>
      <c r="EO405" s="280"/>
      <c r="EP405" s="280"/>
      <c r="EQ405" s="280"/>
      <c r="ER405" s="280"/>
      <c r="ES405" s="280"/>
      <c r="ET405" s="280"/>
      <c r="EU405" s="280"/>
      <c r="EV405" s="13"/>
      <c r="EW405" s="43"/>
      <c r="EX405" s="43"/>
      <c r="EY405" s="45"/>
      <c r="HP405" s="12"/>
      <c r="HZ405" s="12"/>
      <c r="IC405" s="12"/>
      <c r="JV405" s="13"/>
      <c r="JX405" s="13"/>
      <c r="JY405" s="12"/>
      <c r="LT405" s="13"/>
      <c r="LU405" s="12"/>
      <c r="LV405" s="13"/>
      <c r="NV405" s="13"/>
      <c r="NY405" s="13"/>
    </row>
    <row r="406" spans="34:389" ht="10.75" customHeight="1" x14ac:dyDescent="0.2">
      <c r="AH406" s="9"/>
      <c r="AI406" s="9"/>
      <c r="AJ406" s="10"/>
      <c r="AK406" s="10"/>
      <c r="AL406" s="10"/>
      <c r="AM406" s="10"/>
      <c r="AN406" s="10"/>
      <c r="AO406" s="10"/>
      <c r="AP406" s="10"/>
      <c r="AQ406" s="11"/>
      <c r="AR406" s="43"/>
      <c r="AS406" s="43"/>
      <c r="AT406" s="283"/>
      <c r="AU406" s="12"/>
      <c r="AV406" s="280"/>
      <c r="AW406" s="280"/>
      <c r="AX406" s="280"/>
      <c r="AY406" s="280"/>
      <c r="AZ406" s="280"/>
      <c r="BA406" s="280"/>
      <c r="BB406" s="13"/>
      <c r="BC406" s="12"/>
      <c r="BD406" s="280"/>
      <c r="BE406" s="280"/>
      <c r="BF406" s="280"/>
      <c r="BG406" s="280"/>
      <c r="BH406" s="280"/>
      <c r="BI406" s="280"/>
      <c r="BJ406" s="280"/>
      <c r="BK406" s="280"/>
      <c r="BL406" s="280"/>
      <c r="BM406" s="280"/>
      <c r="BN406" s="280"/>
      <c r="BO406" s="280"/>
      <c r="BP406" s="280"/>
      <c r="BQ406" s="280"/>
      <c r="BR406" s="280"/>
      <c r="BS406" s="280"/>
      <c r="BT406" s="280"/>
      <c r="BU406" s="280"/>
      <c r="BV406" s="280"/>
      <c r="BW406" s="280"/>
      <c r="BX406" s="280"/>
      <c r="BY406" s="280"/>
      <c r="BZ406" s="280"/>
      <c r="CA406" s="280"/>
      <c r="CB406" s="280"/>
      <c r="CC406" s="280"/>
      <c r="CD406" s="280"/>
      <c r="CE406" s="280"/>
      <c r="CF406" s="280"/>
      <c r="CG406" s="280"/>
      <c r="CH406" s="280"/>
      <c r="CI406" s="280"/>
      <c r="CJ406" s="280"/>
      <c r="CK406" s="280"/>
      <c r="CL406" s="280"/>
      <c r="CM406" s="280"/>
      <c r="CN406" s="280"/>
      <c r="CO406" s="280"/>
      <c r="CP406" s="280"/>
      <c r="CQ406" s="280"/>
      <c r="CR406" s="280"/>
      <c r="CS406" s="280"/>
      <c r="CT406" s="280"/>
      <c r="CU406" s="280"/>
      <c r="CV406" s="280"/>
      <c r="CW406" s="280"/>
      <c r="CX406" s="280"/>
      <c r="CY406" s="280"/>
      <c r="CZ406" s="280"/>
      <c r="DA406" s="280"/>
      <c r="DB406" s="280"/>
      <c r="DC406" s="280"/>
      <c r="DD406" s="280"/>
      <c r="DE406" s="280"/>
      <c r="DF406" s="280"/>
      <c r="DG406" s="280"/>
      <c r="DH406" s="280"/>
      <c r="DI406" s="280"/>
      <c r="DJ406" s="280"/>
      <c r="DK406" s="280"/>
      <c r="DL406" s="280"/>
      <c r="DM406" s="280"/>
      <c r="DN406" s="280"/>
      <c r="DO406" s="280"/>
      <c r="DP406" s="280"/>
      <c r="DQ406" s="280"/>
      <c r="DR406" s="280"/>
      <c r="DS406" s="280"/>
      <c r="DT406" s="280"/>
      <c r="DU406" s="280"/>
      <c r="DV406" s="280"/>
      <c r="DW406" s="280"/>
      <c r="DX406" s="280"/>
      <c r="DY406" s="280"/>
      <c r="DZ406" s="280"/>
      <c r="EA406" s="280"/>
      <c r="EB406" s="280"/>
      <c r="EC406" s="280"/>
      <c r="ED406" s="280"/>
      <c r="EE406" s="280"/>
      <c r="EF406" s="280"/>
      <c r="EG406" s="280"/>
      <c r="EH406" s="280"/>
      <c r="EI406" s="280"/>
      <c r="EJ406" s="280"/>
      <c r="EK406" s="280"/>
      <c r="EL406" s="280"/>
      <c r="EM406" s="280"/>
      <c r="EN406" s="280"/>
      <c r="EO406" s="280"/>
      <c r="EP406" s="280"/>
      <c r="EQ406" s="280"/>
      <c r="ER406" s="280"/>
      <c r="ES406" s="280"/>
      <c r="ET406" s="280"/>
      <c r="EU406" s="280"/>
      <c r="EV406" s="13"/>
      <c r="EW406" s="43"/>
      <c r="EX406" s="43"/>
      <c r="EY406" s="45"/>
      <c r="HP406" s="12"/>
      <c r="HZ406" s="12"/>
      <c r="IC406" s="12"/>
      <c r="JV406" s="13"/>
      <c r="JX406" s="13"/>
      <c r="JY406" s="12"/>
      <c r="LT406" s="13"/>
      <c r="LU406" s="12"/>
      <c r="LV406" s="13"/>
      <c r="NV406" s="13"/>
      <c r="NY406" s="13"/>
    </row>
    <row r="407" spans="34:389" ht="10.75" customHeight="1" x14ac:dyDescent="0.2">
      <c r="AH407" s="12"/>
      <c r="AI407" s="12"/>
      <c r="AJ407" s="280"/>
      <c r="AK407" s="280"/>
      <c r="AL407" s="280"/>
      <c r="AM407" s="280"/>
      <c r="AN407" s="280"/>
      <c r="AO407" s="280"/>
      <c r="AP407" s="280"/>
      <c r="AQ407" s="13"/>
      <c r="AR407" s="43"/>
      <c r="AS407" s="43"/>
      <c r="AT407" s="283"/>
      <c r="AU407" s="12"/>
      <c r="AV407" s="280"/>
      <c r="AW407" s="280"/>
      <c r="AX407" s="280"/>
      <c r="AY407" s="280"/>
      <c r="AZ407" s="280"/>
      <c r="BA407" s="280"/>
      <c r="BB407" s="13"/>
      <c r="BC407" s="12"/>
      <c r="BD407" s="280"/>
      <c r="BE407" s="280"/>
      <c r="BF407" s="280"/>
      <c r="BG407" s="280"/>
      <c r="BH407" s="280"/>
      <c r="BI407" s="280"/>
      <c r="BJ407" s="280"/>
      <c r="BK407" s="280"/>
      <c r="BL407" s="280"/>
      <c r="BM407" s="280"/>
      <c r="BN407" s="280"/>
      <c r="BO407" s="280"/>
      <c r="BP407" s="280"/>
      <c r="BQ407" s="280"/>
      <c r="BR407" s="280"/>
      <c r="BS407" s="280"/>
      <c r="BT407" s="280"/>
      <c r="BU407" s="280"/>
      <c r="BV407" s="280"/>
      <c r="BW407" s="280"/>
      <c r="BX407" s="280"/>
      <c r="BY407" s="280"/>
      <c r="BZ407" s="280"/>
      <c r="CA407" s="280"/>
      <c r="CB407" s="280"/>
      <c r="CC407" s="280"/>
      <c r="CD407" s="280"/>
      <c r="CE407" s="280"/>
      <c r="CF407" s="280"/>
      <c r="CG407" s="280"/>
      <c r="CH407" s="280"/>
      <c r="CI407" s="280"/>
      <c r="CJ407" s="280"/>
      <c r="CK407" s="280"/>
      <c r="CL407" s="280"/>
      <c r="CM407" s="280"/>
      <c r="CN407" s="280"/>
      <c r="CO407" s="280"/>
      <c r="CP407" s="280"/>
      <c r="CQ407" s="280"/>
      <c r="CR407" s="280"/>
      <c r="CS407" s="280"/>
      <c r="CT407" s="280"/>
      <c r="CU407" s="280"/>
      <c r="CV407" s="280"/>
      <c r="CW407" s="280"/>
      <c r="CX407" s="280"/>
      <c r="CY407" s="280"/>
      <c r="CZ407" s="280"/>
      <c r="DA407" s="280"/>
      <c r="DB407" s="280"/>
      <c r="DC407" s="280"/>
      <c r="DD407" s="280"/>
      <c r="DE407" s="280"/>
      <c r="DF407" s="280"/>
      <c r="DG407" s="280"/>
      <c r="DH407" s="280"/>
      <c r="DI407" s="280"/>
      <c r="DJ407" s="280"/>
      <c r="DK407" s="280"/>
      <c r="DL407" s="280"/>
      <c r="DM407" s="280"/>
      <c r="DN407" s="280"/>
      <c r="DO407" s="280"/>
      <c r="DP407" s="280"/>
      <c r="DQ407" s="280"/>
      <c r="DR407" s="280"/>
      <c r="DS407" s="280"/>
      <c r="DT407" s="280"/>
      <c r="DU407" s="280"/>
      <c r="DV407" s="280"/>
      <c r="DW407" s="280"/>
      <c r="DX407" s="280"/>
      <c r="DY407" s="280"/>
      <c r="DZ407" s="280"/>
      <c r="EA407" s="280"/>
      <c r="EB407" s="280"/>
      <c r="EC407" s="280"/>
      <c r="ED407" s="280"/>
      <c r="EE407" s="280"/>
      <c r="EF407" s="280"/>
      <c r="EG407" s="280"/>
      <c r="EH407" s="280"/>
      <c r="EI407" s="280"/>
      <c r="EJ407" s="280"/>
      <c r="EK407" s="280"/>
      <c r="EL407" s="280"/>
      <c r="EM407" s="280"/>
      <c r="EN407" s="280"/>
      <c r="EO407" s="280"/>
      <c r="EP407" s="280"/>
      <c r="EQ407" s="280"/>
      <c r="ER407" s="280"/>
      <c r="ES407" s="280"/>
      <c r="ET407" s="280"/>
      <c r="EU407" s="280"/>
      <c r="EV407" s="13"/>
      <c r="EW407" s="43"/>
      <c r="EX407" s="43"/>
      <c r="EY407" s="45"/>
      <c r="HP407" s="12"/>
      <c r="HZ407" s="12"/>
      <c r="IC407" s="12"/>
      <c r="JV407" s="13"/>
      <c r="JX407" s="13"/>
      <c r="JY407" s="12"/>
      <c r="LT407" s="13"/>
      <c r="LU407" s="12"/>
      <c r="LV407" s="13"/>
      <c r="NV407" s="13"/>
      <c r="NY407" s="13"/>
    </row>
    <row r="408" spans="34:389" ht="10.75" customHeight="1" x14ac:dyDescent="0.2">
      <c r="AH408" s="12"/>
      <c r="AI408" s="12"/>
      <c r="AJ408" s="280"/>
      <c r="AK408" s="280"/>
      <c r="AL408" s="280"/>
      <c r="AM408" s="280"/>
      <c r="AN408" s="280"/>
      <c r="AO408" s="280"/>
      <c r="AP408" s="280"/>
      <c r="AQ408" s="13"/>
      <c r="AR408" s="43"/>
      <c r="AS408" s="43"/>
      <c r="AT408" s="283"/>
      <c r="AU408" s="12"/>
      <c r="AV408" s="280"/>
      <c r="AW408" s="280"/>
      <c r="AX408" s="280"/>
      <c r="AY408" s="280"/>
      <c r="AZ408" s="280"/>
      <c r="BA408" s="280"/>
      <c r="BB408" s="13"/>
      <c r="BC408" s="12"/>
      <c r="BD408" s="280"/>
      <c r="BE408" s="280"/>
      <c r="BF408" s="280"/>
      <c r="BG408" s="280"/>
      <c r="BH408" s="280"/>
      <c r="BI408" s="280"/>
      <c r="BJ408" s="280"/>
      <c r="BK408" s="280"/>
      <c r="BL408" s="280"/>
      <c r="BM408" s="280"/>
      <c r="BN408" s="280"/>
      <c r="BO408" s="280"/>
      <c r="BP408" s="280"/>
      <c r="BQ408" s="280"/>
      <c r="BR408" s="280"/>
      <c r="BS408" s="280"/>
      <c r="BT408" s="280"/>
      <c r="BU408" s="280"/>
      <c r="BV408" s="280"/>
      <c r="BW408" s="280"/>
      <c r="BX408" s="280"/>
      <c r="BY408" s="280"/>
      <c r="BZ408" s="280"/>
      <c r="CA408" s="280"/>
      <c r="CB408" s="280"/>
      <c r="CC408" s="280"/>
      <c r="CD408" s="280"/>
      <c r="CE408" s="280"/>
      <c r="CF408" s="280"/>
      <c r="CG408" s="280"/>
      <c r="CH408" s="280"/>
      <c r="CI408" s="280"/>
      <c r="CJ408" s="280"/>
      <c r="CK408" s="280"/>
      <c r="CL408" s="280"/>
      <c r="CM408" s="280"/>
      <c r="CN408" s="280"/>
      <c r="CO408" s="280"/>
      <c r="CP408" s="280"/>
      <c r="CQ408" s="280"/>
      <c r="CR408" s="280"/>
      <c r="CS408" s="280"/>
      <c r="CT408" s="280"/>
      <c r="CU408" s="280"/>
      <c r="CV408" s="280"/>
      <c r="CW408" s="280"/>
      <c r="CX408" s="280"/>
      <c r="CY408" s="280"/>
      <c r="CZ408" s="280"/>
      <c r="DA408" s="280"/>
      <c r="DB408" s="280"/>
      <c r="DC408" s="280"/>
      <c r="DD408" s="280"/>
      <c r="DE408" s="280"/>
      <c r="DF408" s="280"/>
      <c r="DG408" s="280"/>
      <c r="DH408" s="280"/>
      <c r="DI408" s="280"/>
      <c r="DJ408" s="280"/>
      <c r="DK408" s="280"/>
      <c r="DL408" s="280"/>
      <c r="DM408" s="280"/>
      <c r="DN408" s="280"/>
      <c r="DO408" s="280"/>
      <c r="DP408" s="280"/>
      <c r="DQ408" s="280"/>
      <c r="DR408" s="280"/>
      <c r="DS408" s="280"/>
      <c r="DT408" s="280"/>
      <c r="DU408" s="280"/>
      <c r="DV408" s="280"/>
      <c r="DW408" s="280"/>
      <c r="DX408" s="280"/>
      <c r="DY408" s="280"/>
      <c r="DZ408" s="280"/>
      <c r="EA408" s="280"/>
      <c r="EB408" s="280"/>
      <c r="EC408" s="280"/>
      <c r="ED408" s="280"/>
      <c r="EE408" s="280"/>
      <c r="EF408" s="280"/>
      <c r="EG408" s="280"/>
      <c r="EH408" s="280"/>
      <c r="EI408" s="280"/>
      <c r="EJ408" s="280"/>
      <c r="EK408" s="280"/>
      <c r="EL408" s="280"/>
      <c r="EM408" s="280"/>
      <c r="EN408" s="280"/>
      <c r="EO408" s="280"/>
      <c r="EP408" s="280"/>
      <c r="EQ408" s="280"/>
      <c r="ER408" s="280"/>
      <c r="ES408" s="280"/>
      <c r="ET408" s="280"/>
      <c r="EU408" s="280"/>
      <c r="EV408" s="13"/>
      <c r="EW408" s="43"/>
      <c r="EX408" s="43"/>
      <c r="EY408" s="45"/>
      <c r="HP408" s="12"/>
      <c r="HZ408" s="12"/>
      <c r="IC408" s="12"/>
      <c r="JV408" s="13"/>
      <c r="JX408" s="13"/>
      <c r="JY408" s="12"/>
      <c r="LT408" s="13"/>
      <c r="LU408" s="12"/>
      <c r="LV408" s="13"/>
      <c r="NV408" s="13"/>
      <c r="NY408" s="13"/>
    </row>
    <row r="409" spans="34:389" ht="10.75" customHeight="1" x14ac:dyDescent="0.2">
      <c r="AH409" s="14"/>
      <c r="AI409" s="14"/>
      <c r="AJ409" s="15"/>
      <c r="AK409" s="15"/>
      <c r="AL409" s="15"/>
      <c r="AM409" s="15"/>
      <c r="AN409" s="15"/>
      <c r="AO409" s="15"/>
      <c r="AP409" s="15"/>
      <c r="AQ409" s="16"/>
      <c r="AR409" s="43"/>
      <c r="AS409" s="43"/>
      <c r="AT409" s="283"/>
      <c r="AU409" s="12"/>
      <c r="AV409" s="280"/>
      <c r="AW409" s="280"/>
      <c r="AX409" s="280"/>
      <c r="AY409" s="280"/>
      <c r="AZ409" s="280"/>
      <c r="BA409" s="280"/>
      <c r="BB409" s="13"/>
      <c r="BC409" s="12"/>
      <c r="BD409" s="280"/>
      <c r="BE409" s="280"/>
      <c r="BF409" s="280"/>
      <c r="BG409" s="280"/>
      <c r="BH409" s="280"/>
      <c r="BI409" s="280"/>
      <c r="BJ409" s="280"/>
      <c r="BK409" s="280"/>
      <c r="BL409" s="280"/>
      <c r="BM409" s="280"/>
      <c r="BN409" s="280"/>
      <c r="BO409" s="280"/>
      <c r="BP409" s="280"/>
      <c r="BQ409" s="280"/>
      <c r="BR409" s="280"/>
      <c r="BS409" s="280"/>
      <c r="BT409" s="280"/>
      <c r="BU409" s="280"/>
      <c r="BV409" s="280"/>
      <c r="BW409" s="280"/>
      <c r="BX409" s="280"/>
      <c r="BY409" s="280"/>
      <c r="BZ409" s="280"/>
      <c r="CA409" s="280"/>
      <c r="CB409" s="280"/>
      <c r="CC409" s="280"/>
      <c r="CD409" s="280"/>
      <c r="CE409" s="280"/>
      <c r="CF409" s="280"/>
      <c r="CG409" s="280"/>
      <c r="CH409" s="280"/>
      <c r="CI409" s="280"/>
      <c r="CJ409" s="280"/>
      <c r="CK409" s="280"/>
      <c r="CL409" s="280"/>
      <c r="CM409" s="280"/>
      <c r="CN409" s="280"/>
      <c r="CO409" s="280"/>
      <c r="CP409" s="280"/>
      <c r="CQ409" s="280"/>
      <c r="CR409" s="280"/>
      <c r="CS409" s="280"/>
      <c r="CT409" s="280"/>
      <c r="CU409" s="280"/>
      <c r="CV409" s="280"/>
      <c r="CW409" s="280"/>
      <c r="CX409" s="280"/>
      <c r="CY409" s="280"/>
      <c r="CZ409" s="280"/>
      <c r="DA409" s="280"/>
      <c r="DB409" s="280"/>
      <c r="DC409" s="280"/>
      <c r="DD409" s="280"/>
      <c r="DE409" s="280"/>
      <c r="DF409" s="280"/>
      <c r="DG409" s="280"/>
      <c r="DH409" s="280"/>
      <c r="DI409" s="280"/>
      <c r="DJ409" s="280"/>
      <c r="DK409" s="280"/>
      <c r="DL409" s="280"/>
      <c r="DM409" s="280"/>
      <c r="DN409" s="280"/>
      <c r="DO409" s="280"/>
      <c r="DP409" s="280"/>
      <c r="DQ409" s="280"/>
      <c r="DR409" s="280"/>
      <c r="DS409" s="280"/>
      <c r="DT409" s="280"/>
      <c r="DU409" s="280"/>
      <c r="DV409" s="280"/>
      <c r="DW409" s="280"/>
      <c r="DX409" s="280"/>
      <c r="DY409" s="280"/>
      <c r="DZ409" s="280"/>
      <c r="EA409" s="280"/>
      <c r="EB409" s="280"/>
      <c r="EC409" s="280"/>
      <c r="ED409" s="280"/>
      <c r="EE409" s="280"/>
      <c r="EF409" s="280"/>
      <c r="EG409" s="280"/>
      <c r="EH409" s="280"/>
      <c r="EI409" s="280"/>
      <c r="EJ409" s="280"/>
      <c r="EK409" s="280"/>
      <c r="EL409" s="280"/>
      <c r="EM409" s="280"/>
      <c r="EN409" s="280"/>
      <c r="EO409" s="280"/>
      <c r="EP409" s="280"/>
      <c r="EQ409" s="280"/>
      <c r="ER409" s="280"/>
      <c r="ES409" s="280"/>
      <c r="ET409" s="280"/>
      <c r="EU409" s="280"/>
      <c r="EV409" s="13"/>
      <c r="EW409" s="43"/>
      <c r="EX409" s="43"/>
      <c r="EY409" s="45"/>
      <c r="HP409" s="12"/>
      <c r="HZ409" s="12"/>
      <c r="IC409" s="12"/>
      <c r="JV409" s="13"/>
      <c r="JX409" s="13"/>
      <c r="JY409" s="12"/>
      <c r="LT409" s="13"/>
      <c r="LU409" s="12"/>
      <c r="LV409" s="13"/>
      <c r="NV409" s="13"/>
      <c r="NY409" s="13"/>
    </row>
    <row r="410" spans="34:389" ht="10.75" customHeight="1" x14ac:dyDescent="0.2">
      <c r="AH410" s="9"/>
      <c r="AI410" s="9"/>
      <c r="AJ410" s="10"/>
      <c r="AK410" s="10"/>
      <c r="AL410" s="10"/>
      <c r="AM410" s="10"/>
      <c r="AN410" s="10"/>
      <c r="AO410" s="10"/>
      <c r="AP410" s="10"/>
      <c r="AQ410" s="11"/>
      <c r="AR410" s="43"/>
      <c r="AS410" s="43"/>
      <c r="AT410" s="283"/>
      <c r="AU410" s="12"/>
      <c r="AV410" s="280"/>
      <c r="AW410" s="280"/>
      <c r="AX410" s="280"/>
      <c r="AY410" s="280"/>
      <c r="AZ410" s="280"/>
      <c r="BA410" s="280"/>
      <c r="BB410" s="13"/>
      <c r="BC410" s="12"/>
      <c r="BD410" s="280"/>
      <c r="BE410" s="280"/>
      <c r="BF410" s="280"/>
      <c r="BG410" s="280"/>
      <c r="BH410" s="280"/>
      <c r="BI410" s="280"/>
      <c r="BJ410" s="280"/>
      <c r="BK410" s="280"/>
      <c r="BL410" s="280"/>
      <c r="BM410" s="280"/>
      <c r="BN410" s="280"/>
      <c r="BO410" s="280"/>
      <c r="BP410" s="280"/>
      <c r="BQ410" s="280"/>
      <c r="BR410" s="280"/>
      <c r="BS410" s="280"/>
      <c r="BT410" s="280"/>
      <c r="BU410" s="280"/>
      <c r="BV410" s="280"/>
      <c r="BW410" s="280"/>
      <c r="BX410" s="280"/>
      <c r="BY410" s="280"/>
      <c r="BZ410" s="280"/>
      <c r="CA410" s="280"/>
      <c r="CB410" s="280"/>
      <c r="CC410" s="280"/>
      <c r="CD410" s="280"/>
      <c r="CE410" s="280"/>
      <c r="CF410" s="280"/>
      <c r="CG410" s="280"/>
      <c r="CH410" s="280"/>
      <c r="CI410" s="280"/>
      <c r="CJ410" s="280"/>
      <c r="CK410" s="280"/>
      <c r="CL410" s="280"/>
      <c r="CM410" s="280"/>
      <c r="CN410" s="280"/>
      <c r="CO410" s="280"/>
      <c r="CP410" s="280"/>
      <c r="CQ410" s="280"/>
      <c r="CR410" s="280"/>
      <c r="CS410" s="280"/>
      <c r="CT410" s="280"/>
      <c r="CU410" s="280"/>
      <c r="CV410" s="280"/>
      <c r="CW410" s="280"/>
      <c r="CX410" s="280"/>
      <c r="CY410" s="280"/>
      <c r="CZ410" s="280"/>
      <c r="DA410" s="280"/>
      <c r="DB410" s="280"/>
      <c r="DC410" s="280"/>
      <c r="DD410" s="280"/>
      <c r="DE410" s="280"/>
      <c r="DF410" s="280"/>
      <c r="DG410" s="280"/>
      <c r="DH410" s="280"/>
      <c r="DI410" s="280"/>
      <c r="DJ410" s="280"/>
      <c r="DK410" s="280"/>
      <c r="DL410" s="280"/>
      <c r="DM410" s="280"/>
      <c r="DN410" s="280"/>
      <c r="DO410" s="280"/>
      <c r="DP410" s="280"/>
      <c r="DQ410" s="280"/>
      <c r="DR410" s="280"/>
      <c r="DS410" s="280"/>
      <c r="DT410" s="280"/>
      <c r="DU410" s="280"/>
      <c r="DV410" s="280"/>
      <c r="DW410" s="280"/>
      <c r="DX410" s="280"/>
      <c r="DY410" s="280"/>
      <c r="DZ410" s="280"/>
      <c r="EA410" s="280"/>
      <c r="EB410" s="280"/>
      <c r="EC410" s="280"/>
      <c r="ED410" s="280"/>
      <c r="EE410" s="280"/>
      <c r="EF410" s="280"/>
      <c r="EG410" s="280"/>
      <c r="EH410" s="280"/>
      <c r="EI410" s="280"/>
      <c r="EJ410" s="280"/>
      <c r="EK410" s="280"/>
      <c r="EL410" s="280"/>
      <c r="EM410" s="280"/>
      <c r="EN410" s="280"/>
      <c r="EO410" s="280"/>
      <c r="EP410" s="280"/>
      <c r="EQ410" s="280"/>
      <c r="ER410" s="280"/>
      <c r="ES410" s="280"/>
      <c r="ET410" s="280"/>
      <c r="EU410" s="280"/>
      <c r="EV410" s="13"/>
      <c r="EW410" s="43"/>
      <c r="EX410" s="43"/>
      <c r="EY410" s="45"/>
      <c r="HP410" s="12"/>
      <c r="HZ410" s="12"/>
      <c r="IC410" s="12"/>
      <c r="JV410" s="13"/>
      <c r="JX410" s="13"/>
      <c r="JY410" s="12"/>
      <c r="LT410" s="13"/>
      <c r="LU410" s="12"/>
      <c r="LV410" s="13"/>
      <c r="NV410" s="13"/>
      <c r="NY410" s="13"/>
    </row>
    <row r="411" spans="34:389" ht="10.75" customHeight="1" x14ac:dyDescent="0.2">
      <c r="AH411" s="12"/>
      <c r="AI411" s="12"/>
      <c r="AJ411" s="280"/>
      <c r="AK411" s="280"/>
      <c r="AL411" s="280"/>
      <c r="AM411" s="280"/>
      <c r="AN411" s="280"/>
      <c r="AO411" s="280"/>
      <c r="AP411" s="280"/>
      <c r="AQ411" s="13"/>
      <c r="AR411" s="43"/>
      <c r="AS411" s="43"/>
      <c r="AT411" s="283"/>
      <c r="AU411" s="12"/>
      <c r="AV411" s="280"/>
      <c r="AW411" s="280"/>
      <c r="AX411" s="280"/>
      <c r="AY411" s="280"/>
      <c r="AZ411" s="280"/>
      <c r="BA411" s="280"/>
      <c r="BB411" s="13"/>
      <c r="BC411" s="12"/>
      <c r="BD411" s="280"/>
      <c r="BE411" s="280"/>
      <c r="BF411" s="280"/>
      <c r="BG411" s="280"/>
      <c r="BH411" s="280"/>
      <c r="BI411" s="280"/>
      <c r="BJ411" s="280"/>
      <c r="BK411" s="280"/>
      <c r="BL411" s="280"/>
      <c r="BM411" s="280"/>
      <c r="BN411" s="280"/>
      <c r="BO411" s="280"/>
      <c r="BP411" s="280"/>
      <c r="BQ411" s="280"/>
      <c r="BR411" s="280"/>
      <c r="BS411" s="280"/>
      <c r="BT411" s="280"/>
      <c r="BU411" s="280"/>
      <c r="BV411" s="280"/>
      <c r="BW411" s="280"/>
      <c r="BX411" s="280"/>
      <c r="BY411" s="280"/>
      <c r="BZ411" s="280"/>
      <c r="CA411" s="280"/>
      <c r="CB411" s="280"/>
      <c r="CC411" s="280"/>
      <c r="CD411" s="280"/>
      <c r="CE411" s="280"/>
      <c r="CF411" s="280"/>
      <c r="CG411" s="280"/>
      <c r="CH411" s="280"/>
      <c r="CI411" s="280"/>
      <c r="CJ411" s="280"/>
      <c r="CK411" s="280"/>
      <c r="CL411" s="280"/>
      <c r="CM411" s="280"/>
      <c r="CN411" s="280"/>
      <c r="CO411" s="280"/>
      <c r="CP411" s="280"/>
      <c r="CQ411" s="280"/>
      <c r="CR411" s="280"/>
      <c r="CS411" s="280"/>
      <c r="CT411" s="280"/>
      <c r="CU411" s="280"/>
      <c r="CV411" s="280"/>
      <c r="CW411" s="280"/>
      <c r="CX411" s="280"/>
      <c r="CY411" s="280"/>
      <c r="CZ411" s="280"/>
      <c r="DA411" s="280"/>
      <c r="DB411" s="280"/>
      <c r="DC411" s="280"/>
      <c r="DD411" s="280"/>
      <c r="DE411" s="280"/>
      <c r="DF411" s="280"/>
      <c r="DG411" s="280"/>
      <c r="DH411" s="280"/>
      <c r="DI411" s="280"/>
      <c r="DJ411" s="280"/>
      <c r="DK411" s="280"/>
      <c r="DL411" s="280"/>
      <c r="DM411" s="280"/>
      <c r="DN411" s="280"/>
      <c r="DO411" s="280"/>
      <c r="DP411" s="280"/>
      <c r="DQ411" s="280"/>
      <c r="DR411" s="280"/>
      <c r="DS411" s="280"/>
      <c r="DT411" s="280"/>
      <c r="DU411" s="280"/>
      <c r="DV411" s="280"/>
      <c r="DW411" s="280"/>
      <c r="DX411" s="280"/>
      <c r="DY411" s="280"/>
      <c r="DZ411" s="280"/>
      <c r="EA411" s="280"/>
      <c r="EB411" s="280"/>
      <c r="EC411" s="280"/>
      <c r="ED411" s="280"/>
      <c r="EE411" s="280"/>
      <c r="EF411" s="280"/>
      <c r="EG411" s="280"/>
      <c r="EH411" s="280"/>
      <c r="EI411" s="280"/>
      <c r="EJ411" s="280"/>
      <c r="EK411" s="280"/>
      <c r="EL411" s="280"/>
      <c r="EM411" s="280"/>
      <c r="EN411" s="280"/>
      <c r="EO411" s="280"/>
      <c r="EP411" s="280"/>
      <c r="EQ411" s="280"/>
      <c r="ER411" s="280"/>
      <c r="ES411" s="280"/>
      <c r="ET411" s="280"/>
      <c r="EU411" s="280"/>
      <c r="EV411" s="13"/>
      <c r="EW411" s="43"/>
      <c r="EX411" s="43"/>
      <c r="EY411" s="45"/>
      <c r="HP411" s="12"/>
      <c r="HZ411" s="14"/>
      <c r="IA411" s="15"/>
      <c r="IB411" s="15"/>
      <c r="IC411" s="12"/>
      <c r="JV411" s="13"/>
      <c r="JX411" s="13"/>
      <c r="JY411" s="12"/>
      <c r="LT411" s="13"/>
      <c r="LU411" s="12"/>
      <c r="LV411" s="13"/>
      <c r="NV411" s="13"/>
      <c r="NY411" s="13"/>
    </row>
    <row r="412" spans="34:389" ht="10.75" customHeight="1" x14ac:dyDescent="0.2">
      <c r="AH412" s="12"/>
      <c r="AI412" s="12"/>
      <c r="AJ412" s="280"/>
      <c r="AK412" s="280"/>
      <c r="AL412" s="280"/>
      <c r="AM412" s="280"/>
      <c r="AN412" s="280"/>
      <c r="AO412" s="280"/>
      <c r="AP412" s="280"/>
      <c r="AQ412" s="13"/>
      <c r="AR412" s="43"/>
      <c r="AS412" s="43"/>
      <c r="AT412" s="283"/>
      <c r="AU412" s="12"/>
      <c r="AV412" s="280"/>
      <c r="AW412" s="280"/>
      <c r="AX412" s="280"/>
      <c r="AY412" s="280"/>
      <c r="AZ412" s="280"/>
      <c r="BA412" s="280"/>
      <c r="BB412" s="13"/>
      <c r="BC412" s="12"/>
      <c r="BD412" s="280"/>
      <c r="BE412" s="280"/>
      <c r="BF412" s="280"/>
      <c r="BG412" s="280"/>
      <c r="BH412" s="280"/>
      <c r="BI412" s="280"/>
      <c r="BJ412" s="280"/>
      <c r="BK412" s="280"/>
      <c r="BL412" s="280"/>
      <c r="BM412" s="280"/>
      <c r="BN412" s="280"/>
      <c r="BO412" s="280"/>
      <c r="BP412" s="280"/>
      <c r="BQ412" s="280"/>
      <c r="BR412" s="280"/>
      <c r="BS412" s="280"/>
      <c r="BT412" s="280"/>
      <c r="BU412" s="280"/>
      <c r="BV412" s="280"/>
      <c r="BW412" s="280"/>
      <c r="BX412" s="280"/>
      <c r="BY412" s="280"/>
      <c r="BZ412" s="280"/>
      <c r="CA412" s="280"/>
      <c r="CB412" s="280"/>
      <c r="CC412" s="280"/>
      <c r="CD412" s="280"/>
      <c r="CE412" s="280"/>
      <c r="CF412" s="280"/>
      <c r="CG412" s="280"/>
      <c r="CH412" s="280"/>
      <c r="CI412" s="280"/>
      <c r="CJ412" s="280"/>
      <c r="CK412" s="280"/>
      <c r="CL412" s="280"/>
      <c r="CM412" s="280"/>
      <c r="CN412" s="280"/>
      <c r="CO412" s="280"/>
      <c r="CP412" s="280"/>
      <c r="CQ412" s="280"/>
      <c r="CR412" s="280"/>
      <c r="CS412" s="280"/>
      <c r="CT412" s="280"/>
      <c r="CU412" s="280"/>
      <c r="CV412" s="280"/>
      <c r="CW412" s="280"/>
      <c r="CX412" s="280"/>
      <c r="CY412" s="280"/>
      <c r="CZ412" s="280"/>
      <c r="DA412" s="280"/>
      <c r="DB412" s="280"/>
      <c r="DC412" s="280"/>
      <c r="DD412" s="280"/>
      <c r="DE412" s="280"/>
      <c r="DF412" s="280"/>
      <c r="DG412" s="280"/>
      <c r="DH412" s="280"/>
      <c r="DI412" s="280"/>
      <c r="DJ412" s="280"/>
      <c r="DK412" s="280"/>
      <c r="DL412" s="280"/>
      <c r="DM412" s="280"/>
      <c r="DN412" s="280"/>
      <c r="DO412" s="280"/>
      <c r="DP412" s="280"/>
      <c r="DQ412" s="280"/>
      <c r="DR412" s="280"/>
      <c r="DS412" s="280"/>
      <c r="DT412" s="280"/>
      <c r="DU412" s="280"/>
      <c r="DV412" s="280"/>
      <c r="DW412" s="280"/>
      <c r="DX412" s="280"/>
      <c r="DY412" s="280"/>
      <c r="DZ412" s="280"/>
      <c r="EA412" s="280"/>
      <c r="EB412" s="280"/>
      <c r="EC412" s="280"/>
      <c r="ED412" s="280"/>
      <c r="EE412" s="280"/>
      <c r="EF412" s="280"/>
      <c r="EG412" s="280"/>
      <c r="EH412" s="280"/>
      <c r="EI412" s="280"/>
      <c r="EJ412" s="280"/>
      <c r="EK412" s="280"/>
      <c r="EL412" s="280"/>
      <c r="EM412" s="280"/>
      <c r="EN412" s="280"/>
      <c r="EO412" s="280"/>
      <c r="EP412" s="280"/>
      <c r="EQ412" s="280"/>
      <c r="ER412" s="280"/>
      <c r="ES412" s="280"/>
      <c r="ET412" s="280"/>
      <c r="EU412" s="280"/>
      <c r="EV412" s="13"/>
      <c r="EW412" s="43"/>
      <c r="EX412" s="43"/>
      <c r="EY412" s="45"/>
      <c r="HP412" s="9"/>
      <c r="HQ412" s="10"/>
      <c r="HR412" s="10"/>
      <c r="HS412" s="10"/>
      <c r="HT412" s="10"/>
      <c r="HU412" s="10"/>
      <c r="HV412" s="10"/>
      <c r="HW412" s="10"/>
      <c r="HX412" s="10"/>
      <c r="HY412" s="10"/>
      <c r="HZ412" s="12"/>
      <c r="IC412" s="12"/>
      <c r="JV412" s="13"/>
      <c r="JX412" s="13"/>
      <c r="JY412" s="12"/>
      <c r="LT412" s="13"/>
      <c r="LU412" s="12"/>
      <c r="LV412" s="13"/>
      <c r="NV412" s="13"/>
      <c r="NY412" s="13"/>
    </row>
    <row r="413" spans="34:389" ht="10.75" customHeight="1" x14ac:dyDescent="0.2">
      <c r="AH413" s="14"/>
      <c r="AI413" s="14"/>
      <c r="AJ413" s="15"/>
      <c r="AK413" s="15"/>
      <c r="AL413" s="15"/>
      <c r="AM413" s="15"/>
      <c r="AN413" s="15"/>
      <c r="AO413" s="15"/>
      <c r="AP413" s="15"/>
      <c r="AQ413" s="16"/>
      <c r="AR413" s="43"/>
      <c r="AS413" s="43"/>
      <c r="AT413" s="283"/>
      <c r="AU413" s="12"/>
      <c r="AV413" s="280"/>
      <c r="AW413" s="280"/>
      <c r="AX413" s="280"/>
      <c r="AY413" s="280"/>
      <c r="AZ413" s="280"/>
      <c r="BA413" s="280"/>
      <c r="BB413" s="13"/>
      <c r="BC413" s="12"/>
      <c r="BD413" s="280"/>
      <c r="BE413" s="280"/>
      <c r="BF413" s="280"/>
      <c r="BG413" s="280"/>
      <c r="BH413" s="280"/>
      <c r="BI413" s="280"/>
      <c r="BJ413" s="280"/>
      <c r="BK413" s="280"/>
      <c r="BL413" s="280"/>
      <c r="BM413" s="280"/>
      <c r="BN413" s="280"/>
      <c r="BO413" s="280"/>
      <c r="BP413" s="280"/>
      <c r="BQ413" s="280"/>
      <c r="BR413" s="280"/>
      <c r="BS413" s="280"/>
      <c r="BT413" s="280"/>
      <c r="BU413" s="280"/>
      <c r="BV413" s="280"/>
      <c r="BW413" s="280"/>
      <c r="BX413" s="280"/>
      <c r="BY413" s="280"/>
      <c r="BZ413" s="280"/>
      <c r="CA413" s="280"/>
      <c r="CB413" s="280"/>
      <c r="CC413" s="280"/>
      <c r="CD413" s="280"/>
      <c r="CE413" s="280"/>
      <c r="CF413" s="280"/>
      <c r="CG413" s="280"/>
      <c r="CH413" s="280"/>
      <c r="CI413" s="280"/>
      <c r="CJ413" s="280"/>
      <c r="CK413" s="280"/>
      <c r="CL413" s="280"/>
      <c r="CM413" s="280"/>
      <c r="CN413" s="280"/>
      <c r="CO413" s="280"/>
      <c r="CP413" s="280"/>
      <c r="CQ413" s="280"/>
      <c r="CR413" s="280"/>
      <c r="CS413" s="280"/>
      <c r="CT413" s="280"/>
      <c r="CU413" s="280"/>
      <c r="CV413" s="280"/>
      <c r="CW413" s="280"/>
      <c r="CX413" s="280"/>
      <c r="CY413" s="280"/>
      <c r="CZ413" s="280"/>
      <c r="DA413" s="280"/>
      <c r="DB413" s="280"/>
      <c r="DC413" s="280"/>
      <c r="DD413" s="280"/>
      <c r="DE413" s="280"/>
      <c r="DF413" s="280"/>
      <c r="DG413" s="280"/>
      <c r="DH413" s="280"/>
      <c r="DI413" s="280"/>
      <c r="DJ413" s="280"/>
      <c r="DK413" s="280"/>
      <c r="DL413" s="280"/>
      <c r="DM413" s="280"/>
      <c r="DN413" s="280"/>
      <c r="DO413" s="280"/>
      <c r="DP413" s="280"/>
      <c r="DQ413" s="280"/>
      <c r="DR413" s="280"/>
      <c r="DS413" s="280"/>
      <c r="DT413" s="280"/>
      <c r="DU413" s="280"/>
      <c r="DV413" s="280"/>
      <c r="DW413" s="280"/>
      <c r="DX413" s="280"/>
      <c r="DY413" s="280"/>
      <c r="DZ413" s="280"/>
      <c r="EA413" s="280"/>
      <c r="EB413" s="280"/>
      <c r="EC413" s="280"/>
      <c r="ED413" s="280"/>
      <c r="EE413" s="280"/>
      <c r="EF413" s="280"/>
      <c r="EG413" s="280"/>
      <c r="EH413" s="280"/>
      <c r="EI413" s="280"/>
      <c r="EJ413" s="280"/>
      <c r="EK413" s="280"/>
      <c r="EL413" s="280"/>
      <c r="EM413" s="280"/>
      <c r="EN413" s="280"/>
      <c r="EO413" s="280"/>
      <c r="EP413" s="280"/>
      <c r="EQ413" s="280"/>
      <c r="ER413" s="280"/>
      <c r="ES413" s="280"/>
      <c r="ET413" s="280"/>
      <c r="EU413" s="280"/>
      <c r="EV413" s="13"/>
      <c r="EW413" s="43"/>
      <c r="EX413" s="43"/>
      <c r="EY413" s="45"/>
      <c r="HP413" s="12"/>
      <c r="HZ413" s="12"/>
      <c r="IC413" s="12"/>
      <c r="JV413" s="13"/>
      <c r="JX413" s="13"/>
      <c r="JY413" s="12"/>
      <c r="LT413" s="13"/>
      <c r="LU413" s="12"/>
      <c r="LV413" s="13"/>
      <c r="NV413" s="13"/>
      <c r="NY413" s="13"/>
    </row>
    <row r="414" spans="34:389" ht="10.75" customHeight="1" x14ac:dyDescent="0.2">
      <c r="AH414" s="12"/>
      <c r="AI414" s="12"/>
      <c r="AJ414" s="280"/>
      <c r="AK414" s="280"/>
      <c r="AL414" s="280"/>
      <c r="AM414" s="280"/>
      <c r="AN414" s="280"/>
      <c r="AO414" s="280"/>
      <c r="AP414" s="280"/>
      <c r="AQ414" s="13"/>
      <c r="AR414" s="43"/>
      <c r="AS414" s="43"/>
      <c r="AT414" s="283"/>
      <c r="AU414" s="12"/>
      <c r="AV414" s="280"/>
      <c r="AW414" s="280"/>
      <c r="AX414" s="280"/>
      <c r="AY414" s="280"/>
      <c r="AZ414" s="280"/>
      <c r="BA414" s="280"/>
      <c r="BB414" s="13"/>
      <c r="BC414" s="12"/>
      <c r="BD414" s="280"/>
      <c r="BE414" s="280"/>
      <c r="BF414" s="280"/>
      <c r="BG414" s="280"/>
      <c r="BH414" s="280"/>
      <c r="BI414" s="280"/>
      <c r="BJ414" s="280"/>
      <c r="BK414" s="280"/>
      <c r="BL414" s="280"/>
      <c r="BM414" s="280"/>
      <c r="BN414" s="280"/>
      <c r="BO414" s="280"/>
      <c r="BP414" s="280"/>
      <c r="BQ414" s="280"/>
      <c r="BR414" s="280"/>
      <c r="BS414" s="280"/>
      <c r="BT414" s="280"/>
      <c r="BU414" s="280"/>
      <c r="BV414" s="280"/>
      <c r="BW414" s="280"/>
      <c r="BX414" s="280"/>
      <c r="BY414" s="280"/>
      <c r="BZ414" s="280"/>
      <c r="CA414" s="280"/>
      <c r="CB414" s="280"/>
      <c r="CC414" s="280"/>
      <c r="CD414" s="280"/>
      <c r="CE414" s="280"/>
      <c r="CF414" s="280"/>
      <c r="CG414" s="280"/>
      <c r="CH414" s="280"/>
      <c r="CI414" s="280"/>
      <c r="CJ414" s="280"/>
      <c r="CK414" s="280"/>
      <c r="CL414" s="280"/>
      <c r="CM414" s="280"/>
      <c r="CN414" s="280"/>
      <c r="CO414" s="280"/>
      <c r="CP414" s="280"/>
      <c r="CQ414" s="280"/>
      <c r="CR414" s="280"/>
      <c r="CS414" s="280"/>
      <c r="CT414" s="280"/>
      <c r="CU414" s="280"/>
      <c r="CV414" s="280"/>
      <c r="CW414" s="280"/>
      <c r="CX414" s="280"/>
      <c r="CY414" s="280"/>
      <c r="CZ414" s="280"/>
      <c r="DA414" s="280"/>
      <c r="DB414" s="280"/>
      <c r="DC414" s="280"/>
      <c r="DD414" s="280"/>
      <c r="DE414" s="280"/>
      <c r="DF414" s="280"/>
      <c r="DG414" s="280"/>
      <c r="DH414" s="280"/>
      <c r="DI414" s="280"/>
      <c r="DJ414" s="280"/>
      <c r="DK414" s="280"/>
      <c r="DL414" s="280"/>
      <c r="DM414" s="280"/>
      <c r="DN414" s="280"/>
      <c r="DO414" s="280"/>
      <c r="DP414" s="280"/>
      <c r="DQ414" s="280"/>
      <c r="DR414" s="280"/>
      <c r="DS414" s="280"/>
      <c r="DT414" s="280"/>
      <c r="DU414" s="280"/>
      <c r="DV414" s="280"/>
      <c r="DW414" s="280"/>
      <c r="DX414" s="280"/>
      <c r="DY414" s="280"/>
      <c r="DZ414" s="280"/>
      <c r="EA414" s="280"/>
      <c r="EB414" s="280"/>
      <c r="EC414" s="280"/>
      <c r="ED414" s="280"/>
      <c r="EE414" s="280"/>
      <c r="EF414" s="280"/>
      <c r="EG414" s="280"/>
      <c r="EH414" s="280"/>
      <c r="EI414" s="280"/>
      <c r="EJ414" s="280"/>
      <c r="EK414" s="280"/>
      <c r="EL414" s="280"/>
      <c r="EM414" s="280"/>
      <c r="EN414" s="280"/>
      <c r="EO414" s="280"/>
      <c r="EP414" s="280"/>
      <c r="EQ414" s="280"/>
      <c r="ER414" s="280"/>
      <c r="ES414" s="280"/>
      <c r="ET414" s="280"/>
      <c r="EU414" s="280"/>
      <c r="EV414" s="13"/>
      <c r="EW414" s="43"/>
      <c r="EX414" s="43"/>
      <c r="EY414" s="45"/>
      <c r="HP414" s="12"/>
      <c r="HZ414" s="12"/>
      <c r="IC414" s="12"/>
      <c r="JV414" s="13"/>
      <c r="JX414" s="13"/>
      <c r="JY414" s="12"/>
      <c r="LT414" s="13"/>
      <c r="LU414" s="12"/>
      <c r="LV414" s="13"/>
      <c r="NV414" s="13"/>
      <c r="NY414" s="13"/>
    </row>
    <row r="415" spans="34:389" ht="10.75" customHeight="1" x14ac:dyDescent="0.2">
      <c r="AH415" s="12"/>
      <c r="AI415" s="12"/>
      <c r="AJ415" s="280"/>
      <c r="AK415" s="280"/>
      <c r="AL415" s="280"/>
      <c r="AM415" s="280"/>
      <c r="AN415" s="280"/>
      <c r="AO415" s="280"/>
      <c r="AP415" s="280"/>
      <c r="AQ415" s="13"/>
      <c r="AR415" s="43"/>
      <c r="AS415" s="43"/>
      <c r="AT415" s="283"/>
      <c r="AU415" s="12"/>
      <c r="AV415" s="280"/>
      <c r="AW415" s="280"/>
      <c r="AX415" s="280"/>
      <c r="AY415" s="280"/>
      <c r="AZ415" s="280"/>
      <c r="BA415" s="280"/>
      <c r="BB415" s="13"/>
      <c r="BC415" s="12"/>
      <c r="BD415" s="280"/>
      <c r="BE415" s="280"/>
      <c r="BF415" s="280"/>
      <c r="BG415" s="280"/>
      <c r="BH415" s="280"/>
      <c r="BI415" s="280"/>
      <c r="BJ415" s="280"/>
      <c r="BK415" s="280"/>
      <c r="BL415" s="280"/>
      <c r="BM415" s="280"/>
      <c r="BN415" s="280"/>
      <c r="BO415" s="280"/>
      <c r="BP415" s="280"/>
      <c r="BQ415" s="280"/>
      <c r="BR415" s="280"/>
      <c r="BS415" s="280"/>
      <c r="BT415" s="280"/>
      <c r="BU415" s="280"/>
      <c r="BV415" s="280"/>
      <c r="BW415" s="280"/>
      <c r="BX415" s="280"/>
      <c r="BY415" s="280"/>
      <c r="BZ415" s="280"/>
      <c r="CA415" s="280"/>
      <c r="CB415" s="280"/>
      <c r="CC415" s="280"/>
      <c r="CD415" s="280"/>
      <c r="CE415" s="280"/>
      <c r="CF415" s="280"/>
      <c r="CG415" s="280"/>
      <c r="CH415" s="280"/>
      <c r="CI415" s="280"/>
      <c r="CJ415" s="280"/>
      <c r="CK415" s="280"/>
      <c r="CL415" s="280"/>
      <c r="CM415" s="280"/>
      <c r="CN415" s="280"/>
      <c r="CO415" s="280"/>
      <c r="CP415" s="280"/>
      <c r="CQ415" s="280"/>
      <c r="CR415" s="280"/>
      <c r="CS415" s="280"/>
      <c r="CT415" s="280"/>
      <c r="CU415" s="280"/>
      <c r="CV415" s="280"/>
      <c r="CW415" s="280"/>
      <c r="CX415" s="280"/>
      <c r="CY415" s="280"/>
      <c r="CZ415" s="280"/>
      <c r="DA415" s="280"/>
      <c r="DB415" s="280"/>
      <c r="DC415" s="280"/>
      <c r="DD415" s="280"/>
      <c r="DE415" s="280"/>
      <c r="DF415" s="280"/>
      <c r="DG415" s="280"/>
      <c r="DH415" s="280"/>
      <c r="DI415" s="280"/>
      <c r="DJ415" s="280"/>
      <c r="DK415" s="280"/>
      <c r="DL415" s="280"/>
      <c r="DM415" s="280"/>
      <c r="DN415" s="280"/>
      <c r="DO415" s="280"/>
      <c r="DP415" s="280"/>
      <c r="DQ415" s="280"/>
      <c r="DR415" s="280"/>
      <c r="DS415" s="280"/>
      <c r="DT415" s="280"/>
      <c r="DU415" s="280"/>
      <c r="DV415" s="280"/>
      <c r="DW415" s="280"/>
      <c r="DX415" s="280"/>
      <c r="DY415" s="280"/>
      <c r="DZ415" s="280"/>
      <c r="EA415" s="280"/>
      <c r="EB415" s="280"/>
      <c r="EC415" s="280"/>
      <c r="ED415" s="280"/>
      <c r="EE415" s="280"/>
      <c r="EF415" s="280"/>
      <c r="EG415" s="280"/>
      <c r="EH415" s="280"/>
      <c r="EI415" s="280"/>
      <c r="EJ415" s="280"/>
      <c r="EK415" s="280"/>
      <c r="EL415" s="280"/>
      <c r="EM415" s="280"/>
      <c r="EN415" s="280"/>
      <c r="EO415" s="280"/>
      <c r="EP415" s="280"/>
      <c r="EQ415" s="280"/>
      <c r="ER415" s="280"/>
      <c r="ES415" s="280"/>
      <c r="ET415" s="280"/>
      <c r="EU415" s="280"/>
      <c r="EV415" s="13"/>
      <c r="EW415" s="43"/>
      <c r="EX415" s="43"/>
      <c r="EY415" s="45"/>
      <c r="HP415" s="12"/>
      <c r="HZ415" s="12"/>
      <c r="IC415" s="12"/>
      <c r="JV415" s="13"/>
      <c r="JX415" s="13"/>
      <c r="JY415" s="12"/>
      <c r="LT415" s="13"/>
      <c r="LU415" s="12"/>
      <c r="LV415" s="13"/>
      <c r="NV415" s="13"/>
      <c r="NY415" s="13"/>
    </row>
    <row r="416" spans="34:389" ht="10.75" customHeight="1" x14ac:dyDescent="0.2">
      <c r="AH416" s="12"/>
      <c r="AI416" s="12"/>
      <c r="AJ416" s="280"/>
      <c r="AK416" s="280"/>
      <c r="AL416" s="280"/>
      <c r="AM416" s="280"/>
      <c r="AN416" s="280"/>
      <c r="AO416" s="280"/>
      <c r="AP416" s="280"/>
      <c r="AQ416" s="13"/>
      <c r="AR416" s="43"/>
      <c r="AS416" s="43"/>
      <c r="AT416" s="283"/>
      <c r="AU416" s="12"/>
      <c r="AV416" s="280"/>
      <c r="AW416" s="280"/>
      <c r="AX416" s="280"/>
      <c r="AY416" s="280"/>
      <c r="AZ416" s="280"/>
      <c r="BA416" s="280"/>
      <c r="BB416" s="13"/>
      <c r="BC416" s="12"/>
      <c r="BD416" s="280"/>
      <c r="BE416" s="280"/>
      <c r="BF416" s="280"/>
      <c r="BG416" s="280"/>
      <c r="BH416" s="280"/>
      <c r="BI416" s="280"/>
      <c r="BJ416" s="280"/>
      <c r="BK416" s="280"/>
      <c r="BL416" s="280"/>
      <c r="BM416" s="280"/>
      <c r="BN416" s="280"/>
      <c r="BO416" s="280"/>
      <c r="BP416" s="280"/>
      <c r="BQ416" s="280"/>
      <c r="BR416" s="280"/>
      <c r="BS416" s="280"/>
      <c r="BT416" s="280"/>
      <c r="BU416" s="280"/>
      <c r="BV416" s="280"/>
      <c r="BW416" s="280"/>
      <c r="BX416" s="280"/>
      <c r="BY416" s="280"/>
      <c r="BZ416" s="280"/>
      <c r="CA416" s="280"/>
      <c r="CB416" s="280"/>
      <c r="CC416" s="280"/>
      <c r="CD416" s="280"/>
      <c r="CE416" s="280"/>
      <c r="CF416" s="280"/>
      <c r="CG416" s="280"/>
      <c r="CH416" s="280"/>
      <c r="CI416" s="280"/>
      <c r="CJ416" s="280"/>
      <c r="CK416" s="280"/>
      <c r="CL416" s="280"/>
      <c r="CM416" s="280"/>
      <c r="CN416" s="280"/>
      <c r="CO416" s="280"/>
      <c r="CP416" s="280"/>
      <c r="CQ416" s="280"/>
      <c r="CR416" s="280"/>
      <c r="CS416" s="280"/>
      <c r="CT416" s="280"/>
      <c r="CU416" s="280"/>
      <c r="CV416" s="280"/>
      <c r="CW416" s="280"/>
      <c r="CX416" s="280"/>
      <c r="CY416" s="280"/>
      <c r="CZ416" s="280"/>
      <c r="DA416" s="280"/>
      <c r="DB416" s="280"/>
      <c r="DC416" s="280"/>
      <c r="DD416" s="280"/>
      <c r="DE416" s="280"/>
      <c r="DF416" s="280"/>
      <c r="DG416" s="280"/>
      <c r="DH416" s="280"/>
      <c r="DI416" s="280"/>
      <c r="DJ416" s="280"/>
      <c r="DK416" s="280"/>
      <c r="DL416" s="280"/>
      <c r="DM416" s="280"/>
      <c r="DN416" s="280"/>
      <c r="DO416" s="280"/>
      <c r="DP416" s="280"/>
      <c r="DQ416" s="280"/>
      <c r="DR416" s="280"/>
      <c r="DS416" s="280"/>
      <c r="DT416" s="280"/>
      <c r="DU416" s="280"/>
      <c r="DV416" s="280"/>
      <c r="DW416" s="280"/>
      <c r="DX416" s="280"/>
      <c r="DY416" s="280"/>
      <c r="DZ416" s="280"/>
      <c r="EA416" s="280"/>
      <c r="EB416" s="280"/>
      <c r="EC416" s="280"/>
      <c r="ED416" s="280"/>
      <c r="EE416" s="280"/>
      <c r="EF416" s="280"/>
      <c r="EG416" s="280"/>
      <c r="EH416" s="280"/>
      <c r="EI416" s="280"/>
      <c r="EJ416" s="280"/>
      <c r="EK416" s="280"/>
      <c r="EL416" s="280"/>
      <c r="EM416" s="280"/>
      <c r="EN416" s="280"/>
      <c r="EO416" s="280"/>
      <c r="EP416" s="280"/>
      <c r="EQ416" s="280"/>
      <c r="ER416" s="280"/>
      <c r="ES416" s="280"/>
      <c r="ET416" s="280"/>
      <c r="EU416" s="280"/>
      <c r="EV416" s="13"/>
      <c r="EW416" s="43"/>
      <c r="EX416" s="43"/>
      <c r="EY416" s="45"/>
      <c r="HP416" s="12"/>
      <c r="HZ416" s="12"/>
      <c r="IC416" s="12"/>
      <c r="JV416" s="13"/>
      <c r="JX416" s="13"/>
      <c r="JY416" s="12"/>
      <c r="LT416" s="13"/>
      <c r="LU416" s="12"/>
      <c r="LV416" s="13"/>
      <c r="NV416" s="13"/>
      <c r="NY416" s="13"/>
    </row>
    <row r="417" spans="27:389" ht="10.75" customHeight="1" x14ac:dyDescent="0.2">
      <c r="AH417" s="14"/>
      <c r="AI417" s="14"/>
      <c r="AJ417" s="15"/>
      <c r="AK417" s="15"/>
      <c r="AL417" s="15"/>
      <c r="AM417" s="15"/>
      <c r="AN417" s="15"/>
      <c r="AO417" s="15"/>
      <c r="AP417" s="15"/>
      <c r="AQ417" s="16"/>
      <c r="AR417" s="43"/>
      <c r="AS417" s="43"/>
      <c r="AT417" s="283"/>
      <c r="AU417" s="12"/>
      <c r="AV417" s="280"/>
      <c r="AW417" s="280"/>
      <c r="AX417" s="280"/>
      <c r="AY417" s="280"/>
      <c r="AZ417" s="280"/>
      <c r="BA417" s="280"/>
      <c r="BB417" s="13"/>
      <c r="BC417" s="12"/>
      <c r="BD417" s="280"/>
      <c r="BE417" s="280"/>
      <c r="BF417" s="280"/>
      <c r="BG417" s="280"/>
      <c r="BH417" s="280"/>
      <c r="BI417" s="280"/>
      <c r="BJ417" s="280"/>
      <c r="BK417" s="280"/>
      <c r="BL417" s="280"/>
      <c r="BM417" s="280"/>
      <c r="BN417" s="280"/>
      <c r="BO417" s="280"/>
      <c r="BP417" s="280"/>
      <c r="BQ417" s="280"/>
      <c r="BR417" s="280"/>
      <c r="BS417" s="280"/>
      <c r="BT417" s="280"/>
      <c r="BU417" s="280"/>
      <c r="BV417" s="280"/>
      <c r="BW417" s="280"/>
      <c r="BX417" s="280"/>
      <c r="BY417" s="280"/>
      <c r="BZ417" s="280"/>
      <c r="CA417" s="280"/>
      <c r="CB417" s="280"/>
      <c r="CC417" s="280"/>
      <c r="CD417" s="280"/>
      <c r="CE417" s="280"/>
      <c r="CF417" s="280"/>
      <c r="CG417" s="280"/>
      <c r="CH417" s="280"/>
      <c r="CI417" s="280"/>
      <c r="CJ417" s="280"/>
      <c r="CK417" s="280"/>
      <c r="CL417" s="280"/>
      <c r="CM417" s="280"/>
      <c r="CN417" s="280"/>
      <c r="CO417" s="280"/>
      <c r="CP417" s="280"/>
      <c r="CQ417" s="280"/>
      <c r="CR417" s="280"/>
      <c r="CS417" s="280"/>
      <c r="CT417" s="280"/>
      <c r="CU417" s="280"/>
      <c r="CV417" s="280"/>
      <c r="CW417" s="280"/>
      <c r="CX417" s="280"/>
      <c r="CY417" s="280"/>
      <c r="CZ417" s="280"/>
      <c r="DA417" s="280"/>
      <c r="DB417" s="280"/>
      <c r="DC417" s="280"/>
      <c r="DD417" s="280"/>
      <c r="DE417" s="280"/>
      <c r="DF417" s="280"/>
      <c r="DG417" s="280"/>
      <c r="DH417" s="280"/>
      <c r="DI417" s="280"/>
      <c r="DJ417" s="280"/>
      <c r="DK417" s="280"/>
      <c r="DL417" s="280"/>
      <c r="DM417" s="280"/>
      <c r="DN417" s="280"/>
      <c r="DO417" s="280"/>
      <c r="DP417" s="280"/>
      <c r="DQ417" s="280"/>
      <c r="DR417" s="280"/>
      <c r="DS417" s="280"/>
      <c r="DT417" s="280"/>
      <c r="DU417" s="280"/>
      <c r="DV417" s="280"/>
      <c r="DW417" s="280"/>
      <c r="DX417" s="280"/>
      <c r="DY417" s="280"/>
      <c r="DZ417" s="280"/>
      <c r="EA417" s="280"/>
      <c r="EB417" s="280"/>
      <c r="EC417" s="280"/>
      <c r="ED417" s="280"/>
      <c r="EE417" s="280"/>
      <c r="EF417" s="280"/>
      <c r="EG417" s="280"/>
      <c r="EH417" s="280"/>
      <c r="EI417" s="280"/>
      <c r="EJ417" s="280"/>
      <c r="EK417" s="280"/>
      <c r="EL417" s="280"/>
      <c r="EM417" s="280"/>
      <c r="EN417" s="280"/>
      <c r="EO417" s="280"/>
      <c r="EP417" s="280"/>
      <c r="EQ417" s="280"/>
      <c r="ER417" s="280"/>
      <c r="ES417" s="280"/>
      <c r="ET417" s="280"/>
      <c r="EU417" s="280"/>
      <c r="EV417" s="13"/>
      <c r="EW417" s="43"/>
      <c r="EX417" s="43"/>
      <c r="EY417" s="45"/>
      <c r="HP417" s="12"/>
      <c r="HZ417" s="12"/>
      <c r="IC417" s="12"/>
      <c r="JV417" s="13"/>
      <c r="JX417" s="13"/>
      <c r="JY417" s="12"/>
      <c r="LT417" s="13"/>
      <c r="LU417" s="12"/>
      <c r="LV417" s="13"/>
      <c r="NV417" s="13"/>
      <c r="NY417" s="13"/>
    </row>
    <row r="418" spans="27:389" ht="10.75" customHeight="1" x14ac:dyDescent="0.2">
      <c r="AH418" s="12"/>
      <c r="AI418" s="12"/>
      <c r="AJ418" s="280"/>
      <c r="AK418" s="280"/>
      <c r="AL418" s="280"/>
      <c r="AM418" s="280"/>
      <c r="AN418" s="280"/>
      <c r="AO418" s="280"/>
      <c r="AP418" s="280"/>
      <c r="AQ418" s="13"/>
      <c r="AR418" s="43"/>
      <c r="AS418" s="43"/>
      <c r="AT418" s="283"/>
      <c r="AU418" s="12"/>
      <c r="AV418" s="280"/>
      <c r="AW418" s="280"/>
      <c r="AX418" s="280"/>
      <c r="AY418" s="280"/>
      <c r="AZ418" s="280"/>
      <c r="BA418" s="280"/>
      <c r="BB418" s="13"/>
      <c r="BC418" s="12"/>
      <c r="BD418" s="280"/>
      <c r="BE418" s="280"/>
      <c r="BF418" s="280"/>
      <c r="BG418" s="280"/>
      <c r="BH418" s="280"/>
      <c r="BI418" s="280"/>
      <c r="BJ418" s="280"/>
      <c r="BK418" s="280"/>
      <c r="BL418" s="280"/>
      <c r="BM418" s="280"/>
      <c r="BN418" s="280"/>
      <c r="BO418" s="280"/>
      <c r="BP418" s="280"/>
      <c r="BQ418" s="280"/>
      <c r="BR418" s="280"/>
      <c r="BS418" s="280"/>
      <c r="BT418" s="280"/>
      <c r="BU418" s="280"/>
      <c r="BV418" s="280"/>
      <c r="BW418" s="280"/>
      <c r="BX418" s="280"/>
      <c r="BY418" s="280"/>
      <c r="BZ418" s="280"/>
      <c r="CA418" s="280"/>
      <c r="CB418" s="280"/>
      <c r="CC418" s="280"/>
      <c r="CD418" s="280"/>
      <c r="CE418" s="280"/>
      <c r="CF418" s="280"/>
      <c r="CG418" s="280"/>
      <c r="CH418" s="280"/>
      <c r="CI418" s="280"/>
      <c r="CJ418" s="280"/>
      <c r="CK418" s="280"/>
      <c r="CL418" s="280"/>
      <c r="CM418" s="280"/>
      <c r="CN418" s="280"/>
      <c r="CO418" s="280"/>
      <c r="CP418" s="280"/>
      <c r="CQ418" s="280"/>
      <c r="CR418" s="280"/>
      <c r="CS418" s="280"/>
      <c r="CT418" s="280"/>
      <c r="CU418" s="280"/>
      <c r="CV418" s="280"/>
      <c r="CW418" s="280"/>
      <c r="CX418" s="280"/>
      <c r="CY418" s="280"/>
      <c r="CZ418" s="280"/>
      <c r="DA418" s="280"/>
      <c r="DB418" s="280"/>
      <c r="DC418" s="280"/>
      <c r="DD418" s="280"/>
      <c r="DE418" s="280"/>
      <c r="DF418" s="280"/>
      <c r="DG418" s="280"/>
      <c r="DH418" s="280"/>
      <c r="DI418" s="280"/>
      <c r="DJ418" s="280"/>
      <c r="DK418" s="280"/>
      <c r="DL418" s="280"/>
      <c r="DM418" s="280"/>
      <c r="DN418" s="280"/>
      <c r="DO418" s="280"/>
      <c r="DP418" s="280"/>
      <c r="DQ418" s="280"/>
      <c r="DR418" s="280"/>
      <c r="DS418" s="280"/>
      <c r="DT418" s="280"/>
      <c r="DU418" s="280"/>
      <c r="DV418" s="280"/>
      <c r="DW418" s="280"/>
      <c r="DX418" s="280"/>
      <c r="DY418" s="280"/>
      <c r="DZ418" s="280"/>
      <c r="EA418" s="280"/>
      <c r="EB418" s="280"/>
      <c r="EC418" s="280"/>
      <c r="ED418" s="280"/>
      <c r="EE418" s="280"/>
      <c r="EF418" s="280"/>
      <c r="EG418" s="280"/>
      <c r="EH418" s="280"/>
      <c r="EI418" s="280"/>
      <c r="EJ418" s="280"/>
      <c r="EK418" s="280"/>
      <c r="EL418" s="280"/>
      <c r="EM418" s="280"/>
      <c r="EN418" s="280"/>
      <c r="EO418" s="280"/>
      <c r="EP418" s="280"/>
      <c r="EQ418" s="280"/>
      <c r="ER418" s="280"/>
      <c r="ES418" s="280"/>
      <c r="ET418" s="280"/>
      <c r="EU418" s="280"/>
      <c r="EV418" s="13"/>
      <c r="EW418" s="43"/>
      <c r="EX418" s="43"/>
      <c r="EY418" s="45"/>
      <c r="HP418" s="12"/>
      <c r="HZ418" s="12"/>
      <c r="IC418" s="12"/>
      <c r="JV418" s="13"/>
      <c r="JX418" s="13"/>
      <c r="JY418" s="12"/>
      <c r="LT418" s="13"/>
      <c r="LU418" s="12"/>
      <c r="LV418" s="13"/>
      <c r="NV418" s="13"/>
      <c r="NY418" s="13"/>
    </row>
    <row r="419" spans="27:389" ht="10.75" customHeight="1" x14ac:dyDescent="0.2">
      <c r="AH419" s="12"/>
      <c r="AI419" s="12"/>
      <c r="AJ419" s="280"/>
      <c r="AK419" s="280"/>
      <c r="AL419" s="280"/>
      <c r="AM419" s="280"/>
      <c r="AN419" s="280"/>
      <c r="AO419" s="280"/>
      <c r="AP419" s="280"/>
      <c r="AQ419" s="13"/>
      <c r="AR419" s="43"/>
      <c r="AS419" s="43"/>
      <c r="AT419" s="283"/>
      <c r="AU419" s="12"/>
      <c r="AV419" s="280"/>
      <c r="AW419" s="280"/>
      <c r="AX419" s="280"/>
      <c r="AY419" s="280"/>
      <c r="AZ419" s="280"/>
      <c r="BA419" s="280"/>
      <c r="BB419" s="13"/>
      <c r="BC419" s="12"/>
      <c r="BD419" s="280"/>
      <c r="BE419" s="280"/>
      <c r="BF419" s="280"/>
      <c r="BG419" s="280"/>
      <c r="BH419" s="280"/>
      <c r="BI419" s="280"/>
      <c r="BJ419" s="280"/>
      <c r="BK419" s="280"/>
      <c r="BL419" s="280"/>
      <c r="BM419" s="280"/>
      <c r="BN419" s="280"/>
      <c r="BO419" s="280"/>
      <c r="BP419" s="280"/>
      <c r="BQ419" s="280"/>
      <c r="BR419" s="280"/>
      <c r="BS419" s="280"/>
      <c r="BT419" s="280"/>
      <c r="BU419" s="280"/>
      <c r="BV419" s="280"/>
      <c r="BW419" s="280"/>
      <c r="BX419" s="280"/>
      <c r="BY419" s="280"/>
      <c r="BZ419" s="280"/>
      <c r="CA419" s="280"/>
      <c r="CB419" s="280"/>
      <c r="CC419" s="280"/>
      <c r="CD419" s="280"/>
      <c r="CE419" s="280"/>
      <c r="CF419" s="280"/>
      <c r="CG419" s="280"/>
      <c r="CH419" s="280"/>
      <c r="CI419" s="280"/>
      <c r="CJ419" s="280"/>
      <c r="CK419" s="280"/>
      <c r="CL419" s="280"/>
      <c r="CM419" s="280"/>
      <c r="CN419" s="280"/>
      <c r="CO419" s="280"/>
      <c r="CP419" s="280"/>
      <c r="CQ419" s="280"/>
      <c r="CR419" s="280"/>
      <c r="CS419" s="280"/>
      <c r="CT419" s="280"/>
      <c r="CU419" s="280"/>
      <c r="CV419" s="280"/>
      <c r="CW419" s="280"/>
      <c r="CX419" s="280"/>
      <c r="CY419" s="280"/>
      <c r="CZ419" s="280"/>
      <c r="DA419" s="280"/>
      <c r="DB419" s="280"/>
      <c r="DC419" s="280"/>
      <c r="DD419" s="280"/>
      <c r="DE419" s="280"/>
      <c r="DF419" s="280"/>
      <c r="DG419" s="280"/>
      <c r="DH419" s="280"/>
      <c r="DI419" s="280"/>
      <c r="DJ419" s="280"/>
      <c r="DK419" s="280"/>
      <c r="DL419" s="280"/>
      <c r="DM419" s="280"/>
      <c r="DN419" s="280"/>
      <c r="DO419" s="280"/>
      <c r="DP419" s="280"/>
      <c r="DQ419" s="280"/>
      <c r="DR419" s="280"/>
      <c r="DS419" s="280"/>
      <c r="DT419" s="280"/>
      <c r="DU419" s="280"/>
      <c r="DV419" s="280"/>
      <c r="DW419" s="280"/>
      <c r="DX419" s="280"/>
      <c r="DY419" s="280"/>
      <c r="DZ419" s="280"/>
      <c r="EA419" s="280"/>
      <c r="EB419" s="280"/>
      <c r="EC419" s="280"/>
      <c r="ED419" s="280"/>
      <c r="EE419" s="280"/>
      <c r="EF419" s="280"/>
      <c r="EG419" s="280"/>
      <c r="EH419" s="280"/>
      <c r="EI419" s="280"/>
      <c r="EJ419" s="280"/>
      <c r="EK419" s="280"/>
      <c r="EL419" s="280"/>
      <c r="EM419" s="280"/>
      <c r="EN419" s="280"/>
      <c r="EO419" s="280"/>
      <c r="EP419" s="280"/>
      <c r="EQ419" s="280"/>
      <c r="ER419" s="280"/>
      <c r="ES419" s="280"/>
      <c r="ET419" s="280"/>
      <c r="EU419" s="280"/>
      <c r="EV419" s="13"/>
      <c r="EW419" s="43"/>
      <c r="EX419" s="43"/>
      <c r="EY419" s="45"/>
      <c r="HP419" s="12"/>
      <c r="HZ419" s="12"/>
      <c r="IC419" s="12"/>
      <c r="JV419" s="13"/>
      <c r="JX419" s="13"/>
      <c r="JY419" s="12"/>
      <c r="LT419" s="13"/>
      <c r="LU419" s="12"/>
      <c r="LV419" s="13"/>
      <c r="NV419" s="13"/>
      <c r="NY419" s="13"/>
    </row>
    <row r="420" spans="27:389" ht="10.75" customHeight="1" x14ac:dyDescent="0.2">
      <c r="AH420" s="12"/>
      <c r="AI420" s="12"/>
      <c r="AJ420" s="280"/>
      <c r="AK420" s="280"/>
      <c r="AL420" s="280"/>
      <c r="AM420" s="280"/>
      <c r="AN420" s="280"/>
      <c r="AO420" s="280"/>
      <c r="AP420" s="280"/>
      <c r="AQ420" s="13"/>
      <c r="AR420" s="43"/>
      <c r="AS420" s="43"/>
      <c r="AT420" s="283"/>
      <c r="AU420" s="12"/>
      <c r="AV420" s="280"/>
      <c r="AW420" s="280"/>
      <c r="AX420" s="280"/>
      <c r="AY420" s="280"/>
      <c r="AZ420" s="280"/>
      <c r="BA420" s="280"/>
      <c r="BB420" s="13"/>
      <c r="BC420" s="12"/>
      <c r="BD420" s="280"/>
      <c r="BE420" s="280"/>
      <c r="BF420" s="280"/>
      <c r="BG420" s="280"/>
      <c r="BH420" s="280"/>
      <c r="BI420" s="280"/>
      <c r="BJ420" s="280"/>
      <c r="BK420" s="280"/>
      <c r="BL420" s="280"/>
      <c r="BM420" s="280"/>
      <c r="BN420" s="280"/>
      <c r="BO420" s="280"/>
      <c r="BP420" s="280"/>
      <c r="BQ420" s="280"/>
      <c r="BR420" s="280"/>
      <c r="BS420" s="280"/>
      <c r="BT420" s="280"/>
      <c r="BU420" s="280"/>
      <c r="BV420" s="280"/>
      <c r="BW420" s="280"/>
      <c r="BX420" s="280"/>
      <c r="BY420" s="280"/>
      <c r="BZ420" s="280"/>
      <c r="CA420" s="280"/>
      <c r="CB420" s="280"/>
      <c r="CC420" s="280"/>
      <c r="CD420" s="280"/>
      <c r="CE420" s="280"/>
      <c r="CF420" s="280"/>
      <c r="CG420" s="280"/>
      <c r="CH420" s="280"/>
      <c r="CI420" s="280"/>
      <c r="CJ420" s="280"/>
      <c r="CK420" s="280"/>
      <c r="CL420" s="280"/>
      <c r="CM420" s="280"/>
      <c r="CN420" s="280"/>
      <c r="CO420" s="280"/>
      <c r="CP420" s="280"/>
      <c r="CQ420" s="280"/>
      <c r="CR420" s="280"/>
      <c r="CS420" s="280"/>
      <c r="CT420" s="280"/>
      <c r="CU420" s="280"/>
      <c r="CV420" s="280"/>
      <c r="CW420" s="280"/>
      <c r="CX420" s="280"/>
      <c r="CY420" s="280"/>
      <c r="CZ420" s="280"/>
      <c r="DA420" s="280"/>
      <c r="DB420" s="280"/>
      <c r="DC420" s="280"/>
      <c r="DD420" s="280"/>
      <c r="DE420" s="280"/>
      <c r="DF420" s="280"/>
      <c r="DG420" s="280"/>
      <c r="DH420" s="280"/>
      <c r="DI420" s="280"/>
      <c r="DJ420" s="280"/>
      <c r="DK420" s="280"/>
      <c r="DL420" s="280"/>
      <c r="DM420" s="280"/>
      <c r="DN420" s="280"/>
      <c r="DO420" s="280"/>
      <c r="DP420" s="280"/>
      <c r="DQ420" s="280"/>
      <c r="DR420" s="280"/>
      <c r="DS420" s="280"/>
      <c r="DT420" s="280"/>
      <c r="DU420" s="280"/>
      <c r="DV420" s="280"/>
      <c r="DW420" s="280"/>
      <c r="DX420" s="280"/>
      <c r="DY420" s="280"/>
      <c r="DZ420" s="280"/>
      <c r="EA420" s="280"/>
      <c r="EB420" s="280"/>
      <c r="EC420" s="280"/>
      <c r="ED420" s="280"/>
      <c r="EE420" s="280"/>
      <c r="EF420" s="280"/>
      <c r="EG420" s="280"/>
      <c r="EH420" s="280"/>
      <c r="EI420" s="280"/>
      <c r="EJ420" s="280"/>
      <c r="EK420" s="280"/>
      <c r="EL420" s="280"/>
      <c r="EM420" s="280"/>
      <c r="EN420" s="280"/>
      <c r="EO420" s="280"/>
      <c r="EP420" s="280"/>
      <c r="EQ420" s="280"/>
      <c r="ER420" s="280"/>
      <c r="ES420" s="280"/>
      <c r="ET420" s="280"/>
      <c r="EU420" s="280"/>
      <c r="EV420" s="13"/>
      <c r="EW420" s="43"/>
      <c r="EX420" s="43"/>
      <c r="EY420" s="45"/>
      <c r="HP420" s="12"/>
      <c r="HZ420" s="12"/>
      <c r="IC420" s="12"/>
      <c r="JV420" s="13"/>
      <c r="JX420" s="13"/>
      <c r="JY420" s="12"/>
      <c r="LT420" s="13"/>
      <c r="LU420" s="12"/>
      <c r="LV420" s="13"/>
      <c r="NV420" s="13"/>
      <c r="NY420" s="13"/>
    </row>
    <row r="421" spans="27:389" ht="10.75" customHeight="1" x14ac:dyDescent="0.2">
      <c r="AH421" s="14"/>
      <c r="AI421" s="14"/>
      <c r="AJ421" s="15"/>
      <c r="AK421" s="15"/>
      <c r="AL421" s="15"/>
      <c r="AM421" s="15"/>
      <c r="AN421" s="15"/>
      <c r="AO421" s="15"/>
      <c r="AP421" s="15"/>
      <c r="AQ421" s="16"/>
      <c r="AR421" s="43"/>
      <c r="AS421" s="43"/>
      <c r="AT421" s="283"/>
      <c r="AU421" s="12"/>
      <c r="AV421" s="280"/>
      <c r="AW421" s="280"/>
      <c r="AX421" s="280"/>
      <c r="AY421" s="280"/>
      <c r="AZ421" s="280"/>
      <c r="BA421" s="280"/>
      <c r="BB421" s="13"/>
      <c r="BC421" s="12"/>
      <c r="BD421" s="280"/>
      <c r="BE421" s="280"/>
      <c r="BF421" s="280"/>
      <c r="BG421" s="280"/>
      <c r="BH421" s="280"/>
      <c r="BI421" s="280"/>
      <c r="BJ421" s="280"/>
      <c r="BK421" s="280"/>
      <c r="BL421" s="280"/>
      <c r="BM421" s="280"/>
      <c r="BN421" s="280"/>
      <c r="BO421" s="280"/>
      <c r="BP421" s="280"/>
      <c r="BQ421" s="280"/>
      <c r="BR421" s="280"/>
      <c r="BS421" s="280"/>
      <c r="BT421" s="280"/>
      <c r="BU421" s="280"/>
      <c r="BV421" s="280"/>
      <c r="BW421" s="280"/>
      <c r="BX421" s="280"/>
      <c r="BY421" s="280"/>
      <c r="BZ421" s="280"/>
      <c r="CA421" s="280"/>
      <c r="CB421" s="280"/>
      <c r="CC421" s="280"/>
      <c r="CD421" s="280"/>
      <c r="CE421" s="280"/>
      <c r="CF421" s="280"/>
      <c r="CG421" s="280"/>
      <c r="CH421" s="280"/>
      <c r="CI421" s="280"/>
      <c r="CJ421" s="280"/>
      <c r="CK421" s="280"/>
      <c r="CL421" s="280"/>
      <c r="CM421" s="280"/>
      <c r="CN421" s="280"/>
      <c r="CO421" s="280"/>
      <c r="CP421" s="280"/>
      <c r="CQ421" s="280"/>
      <c r="CR421" s="280"/>
      <c r="CS421" s="280"/>
      <c r="CT421" s="280"/>
      <c r="CU421" s="131"/>
      <c r="CV421" s="280"/>
      <c r="CW421" s="280"/>
      <c r="CX421" s="280"/>
      <c r="CY421" s="280"/>
      <c r="CZ421" s="280"/>
      <c r="DA421" s="280"/>
      <c r="DB421" s="280"/>
      <c r="DC421" s="280"/>
      <c r="DD421" s="280"/>
      <c r="DE421" s="280"/>
      <c r="DF421" s="280"/>
      <c r="DG421" s="280"/>
      <c r="DH421" s="280"/>
      <c r="DI421" s="280"/>
      <c r="DJ421" s="280"/>
      <c r="DK421" s="280"/>
      <c r="DL421" s="280"/>
      <c r="DM421" s="280"/>
      <c r="DN421" s="280"/>
      <c r="DO421" s="280"/>
      <c r="DP421" s="280"/>
      <c r="DQ421" s="280"/>
      <c r="DR421" s="280"/>
      <c r="DS421" s="280"/>
      <c r="DT421" s="280"/>
      <c r="DU421" s="280"/>
      <c r="DV421" s="280"/>
      <c r="DW421" s="280"/>
      <c r="DX421" s="280"/>
      <c r="DY421" s="280"/>
      <c r="DZ421" s="280"/>
      <c r="EA421" s="280"/>
      <c r="EB421" s="280"/>
      <c r="EC421" s="280"/>
      <c r="ED421" s="280"/>
      <c r="EE421" s="280"/>
      <c r="EF421" s="280"/>
      <c r="EG421" s="280"/>
      <c r="EH421" s="280"/>
      <c r="EI421" s="280"/>
      <c r="EJ421" s="280"/>
      <c r="EK421" s="280"/>
      <c r="EL421" s="280"/>
      <c r="EM421" s="280"/>
      <c r="EN421" s="280"/>
      <c r="EO421" s="280"/>
      <c r="EP421" s="280"/>
      <c r="EQ421" s="280"/>
      <c r="ER421" s="280"/>
      <c r="ES421" s="280"/>
      <c r="ET421" s="280"/>
      <c r="EU421" s="280"/>
      <c r="EV421" s="13"/>
      <c r="EW421" s="43"/>
      <c r="EX421" s="43"/>
      <c r="EY421" s="45"/>
      <c r="HP421" s="12"/>
      <c r="HZ421" s="12"/>
      <c r="IC421" s="12"/>
      <c r="JV421" s="13"/>
      <c r="JX421" s="13"/>
      <c r="JY421" s="12"/>
      <c r="LT421" s="13"/>
      <c r="LU421" s="12"/>
      <c r="LV421" s="13"/>
      <c r="NV421" s="13"/>
      <c r="NY421" s="13"/>
    </row>
    <row r="422" spans="27:389" ht="10.75" customHeight="1" x14ac:dyDescent="0.2">
      <c r="AA422" s="9"/>
      <c r="AB422" s="20"/>
      <c r="AC422" s="21"/>
      <c r="AD422" s="21"/>
      <c r="AE422" s="21"/>
      <c r="AF422" s="21"/>
      <c r="AG422" s="21"/>
      <c r="AH422" s="22"/>
      <c r="AI422" s="10"/>
      <c r="AJ422" s="10"/>
      <c r="AK422" s="10"/>
      <c r="AL422" s="10"/>
      <c r="AM422" s="10"/>
      <c r="AN422" s="10"/>
      <c r="AO422" s="10"/>
      <c r="AP422" s="10"/>
      <c r="AQ422" s="11"/>
      <c r="AR422" s="43"/>
      <c r="AS422" s="43"/>
      <c r="AT422" s="283"/>
      <c r="AU422" s="12"/>
      <c r="AV422" s="280"/>
      <c r="AW422" s="280"/>
      <c r="AX422" s="280"/>
      <c r="AY422" s="280"/>
      <c r="AZ422" s="280"/>
      <c r="BA422" s="280"/>
      <c r="BB422" s="13"/>
      <c r="BC422" s="12"/>
      <c r="BD422" s="280"/>
      <c r="BE422" s="280"/>
      <c r="BF422" s="280"/>
      <c r="BG422" s="280"/>
      <c r="BH422" s="280"/>
      <c r="BI422" s="280"/>
      <c r="BJ422" s="280"/>
      <c r="BK422" s="280"/>
      <c r="BL422" s="280"/>
      <c r="BM422" s="280"/>
      <c r="BN422" s="280"/>
      <c r="BO422" s="280"/>
      <c r="BP422" s="280"/>
      <c r="BQ422" s="280"/>
      <c r="BR422" s="280"/>
      <c r="BS422" s="280"/>
      <c r="BT422" s="280"/>
      <c r="BU422" s="280"/>
      <c r="BV422" s="280"/>
      <c r="BW422" s="280"/>
      <c r="BX422" s="280"/>
      <c r="BY422" s="280"/>
      <c r="BZ422" s="280"/>
      <c r="CA422" s="280"/>
      <c r="CB422" s="280"/>
      <c r="CC422" s="280"/>
      <c r="CD422" s="280"/>
      <c r="CE422" s="280"/>
      <c r="CF422" s="280"/>
      <c r="CG422" s="280"/>
      <c r="CH422" s="280"/>
      <c r="CI422" s="280"/>
      <c r="CJ422" s="280"/>
      <c r="CK422" s="280"/>
      <c r="CL422" s="280"/>
      <c r="CM422" s="280"/>
      <c r="CN422" s="280"/>
      <c r="CO422" s="280"/>
      <c r="CP422" s="280"/>
      <c r="CQ422" s="280"/>
      <c r="CR422" s="280"/>
      <c r="CS422" s="280"/>
      <c r="CT422" s="280"/>
      <c r="CU422" s="133"/>
      <c r="CV422" s="134"/>
      <c r="CW422" s="134"/>
      <c r="CX422" s="134"/>
      <c r="CY422" s="134"/>
      <c r="CZ422" s="134"/>
      <c r="DA422" s="134"/>
      <c r="DB422" s="143"/>
      <c r="DC422" s="280"/>
      <c r="DD422" s="280"/>
      <c r="DE422" s="280"/>
      <c r="DF422" s="280"/>
      <c r="DG422" s="280"/>
      <c r="DH422" s="280"/>
      <c r="DI422" s="280"/>
      <c r="DJ422" s="280"/>
      <c r="DK422" s="280"/>
      <c r="DL422" s="280"/>
      <c r="DM422" s="280"/>
      <c r="DN422" s="280"/>
      <c r="DO422" s="280"/>
      <c r="DP422" s="280"/>
      <c r="DQ422" s="280"/>
      <c r="DR422" s="280"/>
      <c r="DS422" s="280"/>
      <c r="DT422" s="280"/>
      <c r="DU422" s="280"/>
      <c r="DV422" s="280"/>
      <c r="DW422" s="280"/>
      <c r="DX422" s="280"/>
      <c r="DY422" s="280"/>
      <c r="DZ422" s="280"/>
      <c r="EA422" s="280"/>
      <c r="EB422" s="280"/>
      <c r="EC422" s="280"/>
      <c r="ED422" s="280"/>
      <c r="EE422" s="280"/>
      <c r="EF422" s="280"/>
      <c r="EG422" s="280"/>
      <c r="EH422" s="280"/>
      <c r="EI422" s="280"/>
      <c r="EJ422" s="280"/>
      <c r="EK422" s="280"/>
      <c r="EL422" s="280"/>
      <c r="EM422" s="280"/>
      <c r="EN422" s="280"/>
      <c r="EO422" s="280"/>
      <c r="EP422" s="280"/>
      <c r="EQ422" s="280"/>
      <c r="ER422" s="280"/>
      <c r="ES422" s="280"/>
      <c r="ET422" s="280"/>
      <c r="EU422" s="280"/>
      <c r="EV422" s="13"/>
      <c r="EW422" s="43"/>
      <c r="EX422" s="43"/>
      <c r="EY422" s="45"/>
      <c r="HP422" s="12"/>
      <c r="HZ422" s="12"/>
      <c r="IC422" s="12"/>
      <c r="JV422" s="13"/>
      <c r="JX422" s="13"/>
      <c r="JY422" s="12"/>
      <c r="LT422" s="13"/>
      <c r="LU422" s="12"/>
      <c r="LV422" s="13"/>
      <c r="NV422" s="13"/>
      <c r="NY422" s="13"/>
    </row>
    <row r="423" spans="27:389" ht="10.75" customHeight="1" x14ac:dyDescent="0.2">
      <c r="AA423" s="12"/>
      <c r="AB423" s="12"/>
      <c r="AC423" s="280"/>
      <c r="AD423" s="280"/>
      <c r="AE423" s="280"/>
      <c r="AF423" s="280"/>
      <c r="AG423" s="280"/>
      <c r="AH423" s="280"/>
      <c r="AI423" s="280"/>
      <c r="AJ423" s="280"/>
      <c r="AK423" s="280"/>
      <c r="AL423" s="280"/>
      <c r="AM423" s="280"/>
      <c r="AN423" s="280"/>
      <c r="AO423" s="280"/>
      <c r="AP423" s="280"/>
      <c r="AQ423" s="13"/>
      <c r="AR423" s="42"/>
      <c r="AS423" s="43"/>
      <c r="AT423" s="43"/>
      <c r="AU423" s="12"/>
      <c r="AV423" s="280"/>
      <c r="AW423" s="280"/>
      <c r="AX423" s="280"/>
      <c r="AY423" s="280"/>
      <c r="AZ423" s="280"/>
      <c r="BA423" s="280"/>
      <c r="BB423" s="13"/>
      <c r="BC423" s="12"/>
      <c r="BD423" s="280"/>
      <c r="BE423" s="280"/>
      <c r="BF423" s="280"/>
      <c r="BG423" s="280"/>
      <c r="BH423" s="280"/>
      <c r="BI423" s="280"/>
      <c r="BJ423" s="280"/>
      <c r="BK423" s="280"/>
      <c r="BL423" s="280"/>
      <c r="BM423" s="280"/>
      <c r="BN423" s="280"/>
      <c r="BO423" s="280"/>
      <c r="BP423" s="280"/>
      <c r="BQ423" s="280"/>
      <c r="BR423" s="280"/>
      <c r="BS423" s="280"/>
      <c r="BT423" s="280"/>
      <c r="BU423" s="280"/>
      <c r="BV423" s="280"/>
      <c r="BW423" s="280"/>
      <c r="BX423" s="280"/>
      <c r="BY423" s="280"/>
      <c r="BZ423" s="280"/>
      <c r="CA423" s="280"/>
      <c r="CB423" s="280"/>
      <c r="CC423" s="280"/>
      <c r="CD423" s="280"/>
      <c r="CE423" s="280"/>
      <c r="CF423" s="280"/>
      <c r="CG423" s="280"/>
      <c r="CH423" s="280"/>
      <c r="CI423" s="280"/>
      <c r="CJ423" s="280"/>
      <c r="CK423" s="280"/>
      <c r="CL423" s="280"/>
      <c r="CM423" s="280"/>
      <c r="CN423" s="280"/>
      <c r="CO423" s="280"/>
      <c r="CP423" s="280"/>
      <c r="CQ423" s="280"/>
      <c r="CR423" s="280"/>
      <c r="CS423" s="280"/>
      <c r="CT423" s="280"/>
      <c r="CU423" s="74"/>
      <c r="CV423" s="85"/>
      <c r="CW423" s="85"/>
      <c r="CX423" s="85"/>
      <c r="CY423" s="85"/>
      <c r="CZ423" s="85"/>
      <c r="DA423" s="85"/>
      <c r="DB423" s="75"/>
      <c r="DC423" s="280"/>
      <c r="DD423" s="280"/>
      <c r="DE423" s="280"/>
      <c r="DF423" s="280"/>
      <c r="DG423" s="280"/>
      <c r="DH423" s="280"/>
      <c r="DI423" s="280"/>
      <c r="DJ423" s="280"/>
      <c r="DK423" s="280"/>
      <c r="DL423" s="280"/>
      <c r="DM423" s="280"/>
      <c r="DN423" s="280"/>
      <c r="DO423" s="280"/>
      <c r="DP423" s="280"/>
      <c r="DQ423" s="280"/>
      <c r="DR423" s="280"/>
      <c r="DS423" s="280"/>
      <c r="DT423" s="280"/>
      <c r="DU423" s="280"/>
      <c r="DV423" s="280"/>
      <c r="DW423" s="280"/>
      <c r="DX423" s="280"/>
      <c r="DY423" s="280"/>
      <c r="DZ423" s="280"/>
      <c r="EA423" s="280"/>
      <c r="EB423" s="280"/>
      <c r="EC423" s="280"/>
      <c r="ED423" s="280"/>
      <c r="EE423" s="280"/>
      <c r="EF423" s="280"/>
      <c r="EG423" s="280"/>
      <c r="EH423" s="280"/>
      <c r="EI423" s="280"/>
      <c r="EJ423" s="280"/>
      <c r="EK423" s="280"/>
      <c r="EL423" s="280"/>
      <c r="EM423" s="280"/>
      <c r="EN423" s="280"/>
      <c r="EO423" s="280"/>
      <c r="EP423" s="280"/>
      <c r="EQ423" s="280"/>
      <c r="ER423" s="280"/>
      <c r="ES423" s="280"/>
      <c r="ET423" s="280"/>
      <c r="EU423" s="280"/>
      <c r="EV423" s="13"/>
      <c r="EW423" s="43"/>
      <c r="EX423" s="43"/>
      <c r="EY423" s="45"/>
      <c r="HP423" s="12"/>
      <c r="HZ423" s="12"/>
      <c r="IC423" s="12"/>
      <c r="JV423" s="13"/>
      <c r="JX423" s="13"/>
      <c r="JY423" s="12"/>
      <c r="LT423" s="13"/>
      <c r="LU423" s="12"/>
      <c r="LV423" s="13"/>
      <c r="NV423" s="13"/>
      <c r="NY423" s="13"/>
    </row>
    <row r="424" spans="27:389" ht="10.75" customHeight="1" x14ac:dyDescent="0.2">
      <c r="AA424" s="12"/>
      <c r="AB424" s="12"/>
      <c r="AC424" s="280"/>
      <c r="AD424" s="280"/>
      <c r="AE424" s="280"/>
      <c r="AF424" s="280"/>
      <c r="AG424" s="280"/>
      <c r="AH424" s="280"/>
      <c r="AI424" s="280"/>
      <c r="AJ424" s="280"/>
      <c r="AK424" s="280"/>
      <c r="AL424" s="280"/>
      <c r="AM424" s="280"/>
      <c r="AN424" s="280"/>
      <c r="AO424" s="280"/>
      <c r="AP424" s="280"/>
      <c r="AQ424" s="13"/>
      <c r="AR424" s="42"/>
      <c r="AS424" s="43"/>
      <c r="AT424" s="43"/>
      <c r="AU424" s="9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1"/>
      <c r="BG424" s="10"/>
      <c r="BH424" s="10"/>
      <c r="BI424" s="10"/>
      <c r="BJ424" s="10"/>
      <c r="BK424" s="9"/>
      <c r="BL424" s="10"/>
      <c r="BM424" s="10"/>
      <c r="BN424" s="11"/>
      <c r="BO424" s="10"/>
      <c r="BP424" s="10"/>
      <c r="BQ424" s="10"/>
      <c r="BR424" s="10"/>
      <c r="BS424" s="9"/>
      <c r="BT424" s="10"/>
      <c r="BU424" s="10"/>
      <c r="BV424" s="11"/>
      <c r="BW424" s="10"/>
      <c r="BX424" s="10"/>
      <c r="BY424" s="10"/>
      <c r="BZ424" s="10"/>
      <c r="CA424" s="9"/>
      <c r="CB424" s="10"/>
      <c r="CC424" s="10"/>
      <c r="CD424" s="11"/>
      <c r="CE424" s="280"/>
      <c r="CF424" s="280"/>
      <c r="CG424" s="280"/>
      <c r="CH424" s="280"/>
      <c r="CI424" s="280"/>
      <c r="CJ424" s="280"/>
      <c r="CK424" s="280"/>
      <c r="CL424" s="280"/>
      <c r="CM424" s="280"/>
      <c r="CN424" s="280"/>
      <c r="CO424" s="280"/>
      <c r="CP424" s="280"/>
      <c r="CQ424" s="280"/>
      <c r="CR424" s="280"/>
      <c r="CS424" s="280"/>
      <c r="CT424" s="280"/>
      <c r="CU424" s="86"/>
      <c r="CV424" s="296"/>
      <c r="CW424" s="296"/>
      <c r="CX424" s="296"/>
      <c r="CY424" s="296"/>
      <c r="CZ424" s="296"/>
      <c r="DA424" s="296"/>
      <c r="DB424" s="88"/>
      <c r="DC424" s="280"/>
      <c r="DD424" s="280"/>
      <c r="DE424" s="280"/>
      <c r="DF424" s="280"/>
      <c r="DG424" s="280"/>
      <c r="DH424" s="280"/>
      <c r="DI424" s="280"/>
      <c r="DJ424" s="280"/>
      <c r="DK424" s="280"/>
      <c r="DL424" s="280"/>
      <c r="DM424" s="280"/>
      <c r="DN424" s="280"/>
      <c r="DO424" s="280"/>
      <c r="DP424" s="280"/>
      <c r="DQ424" s="280"/>
      <c r="DR424" s="280"/>
      <c r="DS424" s="280"/>
      <c r="DT424" s="280"/>
      <c r="DU424" s="280"/>
      <c r="DV424" s="280"/>
      <c r="DW424" s="280"/>
      <c r="DX424" s="280"/>
      <c r="DY424" s="280"/>
      <c r="DZ424" s="280"/>
      <c r="EA424" s="280"/>
      <c r="EB424" s="280"/>
      <c r="EC424" s="280"/>
      <c r="ED424" s="280"/>
      <c r="EE424" s="280"/>
      <c r="EF424" s="280"/>
      <c r="EG424" s="280"/>
      <c r="EH424" s="280"/>
      <c r="EI424" s="280"/>
      <c r="EJ424" s="280"/>
      <c r="EK424" s="280"/>
      <c r="EL424" s="280"/>
      <c r="EM424" s="280"/>
      <c r="EN424" s="280"/>
      <c r="EO424" s="280"/>
      <c r="EP424" s="280"/>
      <c r="EQ424" s="280"/>
      <c r="ER424" s="280"/>
      <c r="ES424" s="280"/>
      <c r="ET424" s="280"/>
      <c r="EU424" s="280"/>
      <c r="EV424" s="13"/>
      <c r="EW424" s="43"/>
      <c r="EX424" s="43"/>
      <c r="EY424" s="45"/>
      <c r="HP424" s="12"/>
      <c r="HZ424" s="12"/>
      <c r="IC424" s="12"/>
      <c r="JV424" s="13"/>
      <c r="JX424" s="13"/>
      <c r="JY424" s="12"/>
      <c r="LT424" s="13"/>
      <c r="LU424" s="12"/>
      <c r="LV424" s="13"/>
      <c r="NV424" s="13"/>
      <c r="NY424" s="13"/>
    </row>
    <row r="425" spans="27:389" ht="10.75" customHeight="1" x14ac:dyDescent="0.2">
      <c r="AA425" s="12"/>
      <c r="AB425" s="12"/>
      <c r="AC425" s="280"/>
      <c r="AD425" s="280"/>
      <c r="AE425" s="280"/>
      <c r="AF425" s="280"/>
      <c r="AG425" s="280"/>
      <c r="AH425" s="280"/>
      <c r="AI425" s="280"/>
      <c r="AJ425" s="280"/>
      <c r="AK425" s="280"/>
      <c r="AL425" s="280"/>
      <c r="AM425" s="280"/>
      <c r="AN425" s="280"/>
      <c r="AO425" s="280"/>
      <c r="AP425" s="280"/>
      <c r="AQ425" s="13"/>
      <c r="AR425" s="40"/>
      <c r="AS425" s="277"/>
      <c r="AT425" s="41"/>
      <c r="AU425" s="9"/>
      <c r="AV425" s="10"/>
      <c r="AW425" s="10"/>
      <c r="AX425" s="10"/>
      <c r="AY425" s="10"/>
      <c r="AZ425" s="10"/>
      <c r="BA425" s="10"/>
      <c r="BB425" s="10"/>
      <c r="BC425" s="10"/>
      <c r="BD425" s="10"/>
      <c r="BE425" s="10"/>
      <c r="BF425" s="11"/>
      <c r="BG425" s="10"/>
      <c r="BH425" s="10"/>
      <c r="BI425" s="10"/>
      <c r="BJ425" s="10"/>
      <c r="BK425" s="9"/>
      <c r="BL425" s="10"/>
      <c r="BM425" s="10"/>
      <c r="BN425" s="11"/>
      <c r="BO425" s="10"/>
      <c r="BP425" s="10"/>
      <c r="BQ425" s="10"/>
      <c r="BR425" s="10"/>
      <c r="BS425" s="9"/>
      <c r="BT425" s="10"/>
      <c r="BU425" s="10"/>
      <c r="BV425" s="11"/>
      <c r="BW425" s="10"/>
      <c r="BX425" s="10"/>
      <c r="BY425" s="10"/>
      <c r="BZ425" s="10"/>
      <c r="CA425" s="9"/>
      <c r="CB425" s="10"/>
      <c r="CC425" s="10"/>
      <c r="CD425" s="11"/>
      <c r="CE425" s="280"/>
      <c r="CF425" s="280"/>
      <c r="CG425" s="280"/>
      <c r="CH425" s="280"/>
      <c r="CI425" s="280"/>
      <c r="CJ425" s="280"/>
      <c r="CK425" s="280"/>
      <c r="CL425" s="280"/>
      <c r="CM425" s="280"/>
      <c r="CN425" s="280"/>
      <c r="CO425" s="280"/>
      <c r="CP425" s="280"/>
      <c r="CQ425" s="280"/>
      <c r="CR425" s="280"/>
      <c r="CS425" s="280"/>
      <c r="CT425" s="280"/>
      <c r="CU425" s="86"/>
      <c r="CV425" s="296"/>
      <c r="CW425" s="296"/>
      <c r="CX425" s="296"/>
      <c r="CY425" s="296"/>
      <c r="CZ425" s="296"/>
      <c r="DA425" s="296"/>
      <c r="DB425" s="88"/>
      <c r="DC425" s="280"/>
      <c r="DD425" s="280"/>
      <c r="DE425" s="280"/>
      <c r="DF425" s="280"/>
      <c r="DG425" s="280"/>
      <c r="DH425" s="280"/>
      <c r="DI425" s="280"/>
      <c r="DJ425" s="280"/>
      <c r="DK425" s="280"/>
      <c r="DL425" s="280"/>
      <c r="DM425" s="280"/>
      <c r="DN425" s="280"/>
      <c r="DO425" s="280"/>
      <c r="DP425" s="280"/>
      <c r="DQ425" s="280"/>
      <c r="DR425" s="280"/>
      <c r="DS425" s="280"/>
      <c r="DT425" s="280"/>
      <c r="DU425" s="280"/>
      <c r="DV425" s="280"/>
      <c r="DW425" s="280"/>
      <c r="DX425" s="280"/>
      <c r="DY425" s="280"/>
      <c r="DZ425" s="280"/>
      <c r="EA425" s="280"/>
      <c r="EB425" s="280"/>
      <c r="EC425" s="280"/>
      <c r="ED425" s="280"/>
      <c r="EE425" s="280"/>
      <c r="EF425" s="280"/>
      <c r="EG425" s="280"/>
      <c r="EH425" s="280"/>
      <c r="EI425" s="280"/>
      <c r="EJ425" s="280"/>
      <c r="EK425" s="280"/>
      <c r="EL425" s="280"/>
      <c r="EM425" s="280"/>
      <c r="EN425" s="280"/>
      <c r="EO425" s="280"/>
      <c r="EP425" s="280"/>
      <c r="EQ425" s="280"/>
      <c r="ER425" s="280"/>
      <c r="ES425" s="280"/>
      <c r="ET425" s="280"/>
      <c r="EU425" s="280"/>
      <c r="EV425" s="13"/>
      <c r="EW425" s="43"/>
      <c r="EX425" s="43"/>
      <c r="EY425" s="45"/>
      <c r="HP425" s="12"/>
      <c r="HZ425" s="12"/>
      <c r="IC425" s="12"/>
      <c r="JV425" s="13"/>
      <c r="JX425" s="13"/>
      <c r="JY425" s="12"/>
      <c r="LT425" s="13"/>
      <c r="LU425" s="12"/>
      <c r="LV425" s="13"/>
      <c r="NV425" s="13"/>
      <c r="NY425" s="13"/>
    </row>
    <row r="426" spans="27:389" ht="10.75" customHeight="1" x14ac:dyDescent="0.2">
      <c r="AA426" s="12"/>
      <c r="AB426" s="12"/>
      <c r="AC426" s="280"/>
      <c r="AD426" s="280"/>
      <c r="AE426" s="280"/>
      <c r="AF426" s="280"/>
      <c r="AG426" s="280"/>
      <c r="AH426" s="280"/>
      <c r="AI426" s="280"/>
      <c r="AJ426" s="280"/>
      <c r="AK426" s="280"/>
      <c r="AL426" s="280"/>
      <c r="AM426" s="280"/>
      <c r="AN426" s="280"/>
      <c r="AO426" s="280"/>
      <c r="AP426" s="280"/>
      <c r="AQ426" s="13"/>
      <c r="AR426" s="42"/>
      <c r="AS426" s="278"/>
      <c r="AT426" s="283"/>
      <c r="AU426" s="12"/>
      <c r="AV426" s="280"/>
      <c r="AW426" s="280"/>
      <c r="AX426" s="280"/>
      <c r="AY426" s="280"/>
      <c r="AZ426" s="280"/>
      <c r="BA426" s="280"/>
      <c r="BB426" s="280"/>
      <c r="BC426" s="280"/>
      <c r="BD426" s="280"/>
      <c r="BE426" s="280"/>
      <c r="BF426" s="13"/>
      <c r="BG426" s="280"/>
      <c r="BH426" s="280"/>
      <c r="BI426" s="280"/>
      <c r="BJ426" s="280"/>
      <c r="BK426" s="12"/>
      <c r="BL426" s="280"/>
      <c r="BM426" s="280"/>
      <c r="BN426" s="13"/>
      <c r="BO426" s="280"/>
      <c r="BP426" s="280"/>
      <c r="BQ426" s="280"/>
      <c r="BR426" s="280"/>
      <c r="BS426" s="12"/>
      <c r="BT426" s="280"/>
      <c r="BU426" s="280"/>
      <c r="BV426" s="13"/>
      <c r="BW426" s="280"/>
      <c r="BX426" s="280"/>
      <c r="BY426" s="280"/>
      <c r="BZ426" s="280"/>
      <c r="CA426" s="12"/>
      <c r="CB426" s="280"/>
      <c r="CC426" s="280"/>
      <c r="CD426" s="13"/>
      <c r="CE426" s="280"/>
      <c r="CF426" s="280"/>
      <c r="CG426" s="280"/>
      <c r="CH426" s="280"/>
      <c r="CI426" s="280"/>
      <c r="CJ426" s="280"/>
      <c r="CK426" s="280"/>
      <c r="CL426" s="280"/>
      <c r="CM426" s="280"/>
      <c r="CN426" s="280"/>
      <c r="CO426" s="280"/>
      <c r="CP426" s="280"/>
      <c r="CQ426" s="280"/>
      <c r="CR426" s="280"/>
      <c r="CS426" s="280"/>
      <c r="CT426" s="280"/>
      <c r="CU426" s="86"/>
      <c r="CV426" s="296"/>
      <c r="CW426" s="296"/>
      <c r="CX426" s="296"/>
      <c r="CY426" s="296"/>
      <c r="CZ426" s="296"/>
      <c r="DA426" s="296"/>
      <c r="DB426" s="88"/>
      <c r="DC426" s="280"/>
      <c r="DD426" s="280"/>
      <c r="DE426" s="280"/>
      <c r="DF426" s="280"/>
      <c r="DG426" s="280"/>
      <c r="DH426" s="280"/>
      <c r="DI426" s="280"/>
      <c r="DJ426" s="280"/>
      <c r="DK426" s="280"/>
      <c r="DL426" s="280"/>
      <c r="DM426" s="280"/>
      <c r="DN426" s="280"/>
      <c r="DO426" s="280"/>
      <c r="DP426" s="280"/>
      <c r="DQ426" s="280"/>
      <c r="DR426" s="280"/>
      <c r="DS426" s="280"/>
      <c r="DT426" s="280"/>
      <c r="DU426" s="280"/>
      <c r="DV426" s="280"/>
      <c r="DW426" s="280"/>
      <c r="DX426" s="280"/>
      <c r="DY426" s="280"/>
      <c r="DZ426" s="280"/>
      <c r="EA426" s="280"/>
      <c r="EB426" s="280"/>
      <c r="EC426" s="280"/>
      <c r="ED426" s="280"/>
      <c r="EE426" s="280"/>
      <c r="EF426" s="280"/>
      <c r="EG426" s="280"/>
      <c r="EH426" s="280"/>
      <c r="EI426" s="280"/>
      <c r="EJ426" s="280"/>
      <c r="EK426" s="280"/>
      <c r="EL426" s="280"/>
      <c r="EM426" s="280"/>
      <c r="EN426" s="280"/>
      <c r="EO426" s="280"/>
      <c r="EP426" s="280"/>
      <c r="EQ426" s="280"/>
      <c r="ER426" s="280"/>
      <c r="ES426" s="280"/>
      <c r="ET426" s="280"/>
      <c r="EU426" s="280"/>
      <c r="EV426" s="13"/>
      <c r="EW426" s="43"/>
      <c r="EX426" s="43"/>
      <c r="EY426" s="45"/>
      <c r="HP426" s="12"/>
      <c r="HZ426" s="12"/>
      <c r="IC426" s="12"/>
      <c r="JV426" s="13"/>
      <c r="JX426" s="13"/>
      <c r="JY426" s="12"/>
      <c r="LT426" s="13"/>
      <c r="LU426" s="12"/>
      <c r="LV426" s="13"/>
      <c r="NV426" s="13"/>
      <c r="NY426" s="13"/>
    </row>
    <row r="427" spans="27:389" ht="10.75" customHeight="1" x14ac:dyDescent="0.2">
      <c r="AA427" s="12"/>
      <c r="AB427" s="12"/>
      <c r="AC427" s="280"/>
      <c r="AD427" s="280"/>
      <c r="AE427" s="280"/>
      <c r="AF427" s="280"/>
      <c r="AG427" s="280"/>
      <c r="AH427" s="280"/>
      <c r="AI427" s="280"/>
      <c r="AJ427" s="280"/>
      <c r="AK427" s="280"/>
      <c r="AL427" s="280"/>
      <c r="AM427" s="280"/>
      <c r="AN427" s="280"/>
      <c r="AO427" s="280"/>
      <c r="AP427" s="280"/>
      <c r="AQ427" s="13"/>
      <c r="AR427" s="42"/>
      <c r="AS427" s="278"/>
      <c r="AT427" s="283"/>
      <c r="AU427" s="12"/>
      <c r="AV427" s="280"/>
      <c r="AW427" s="280"/>
      <c r="AX427" s="280"/>
      <c r="AY427" s="280"/>
      <c r="AZ427" s="280"/>
      <c r="BA427" s="280"/>
      <c r="BB427" s="280"/>
      <c r="BC427" s="280"/>
      <c r="BD427" s="280"/>
      <c r="BE427" s="280"/>
      <c r="BF427" s="13"/>
      <c r="BG427" s="280"/>
      <c r="BH427" s="280"/>
      <c r="BI427" s="280"/>
      <c r="BJ427" s="280"/>
      <c r="BK427" s="12"/>
      <c r="BL427" s="280"/>
      <c r="BM427" s="280"/>
      <c r="BN427" s="13"/>
      <c r="BO427" s="280"/>
      <c r="BP427" s="280"/>
      <c r="BQ427" s="280"/>
      <c r="BR427" s="280"/>
      <c r="BS427" s="12"/>
      <c r="BT427" s="280"/>
      <c r="BU427" s="280"/>
      <c r="BV427" s="13"/>
      <c r="BW427" s="280"/>
      <c r="BX427" s="280"/>
      <c r="BY427" s="280"/>
      <c r="BZ427" s="280"/>
      <c r="CA427" s="12"/>
      <c r="CB427" s="280"/>
      <c r="CC427" s="280"/>
      <c r="CD427" s="13"/>
      <c r="CE427" s="280"/>
      <c r="CF427" s="280"/>
      <c r="CG427" s="280"/>
      <c r="CH427" s="280"/>
      <c r="CI427" s="280"/>
      <c r="CJ427" s="280"/>
      <c r="CK427" s="280"/>
      <c r="CL427" s="280"/>
      <c r="CM427" s="280"/>
      <c r="CN427" s="280"/>
      <c r="CO427" s="280"/>
      <c r="CP427" s="280"/>
      <c r="CQ427" s="280"/>
      <c r="CR427" s="280"/>
      <c r="CS427" s="280"/>
      <c r="CT427" s="280"/>
      <c r="CU427" s="86"/>
      <c r="CV427" s="296"/>
      <c r="CW427" s="296"/>
      <c r="CX427" s="296"/>
      <c r="CY427" s="296"/>
      <c r="CZ427" s="296"/>
      <c r="DA427" s="296"/>
      <c r="DB427" s="88"/>
      <c r="DC427" s="280"/>
      <c r="DD427" s="280"/>
      <c r="DE427" s="280"/>
      <c r="DF427" s="280"/>
      <c r="DG427" s="280"/>
      <c r="DH427" s="280"/>
      <c r="DI427" s="280"/>
      <c r="DJ427" s="280"/>
      <c r="DK427" s="280"/>
      <c r="DL427" s="280"/>
      <c r="DM427" s="280"/>
      <c r="DN427" s="280"/>
      <c r="DO427" s="280"/>
      <c r="DP427" s="280"/>
      <c r="DQ427" s="280"/>
      <c r="DR427" s="280"/>
      <c r="DS427" s="280"/>
      <c r="DT427" s="280"/>
      <c r="DU427" s="280"/>
      <c r="DV427" s="280"/>
      <c r="DW427" s="280"/>
      <c r="DX427" s="280"/>
      <c r="DY427" s="280"/>
      <c r="DZ427" s="280"/>
      <c r="EA427" s="280"/>
      <c r="EB427" s="280"/>
      <c r="EC427" s="280"/>
      <c r="ED427" s="280"/>
      <c r="EE427" s="280"/>
      <c r="EF427" s="280"/>
      <c r="EG427" s="280"/>
      <c r="EH427" s="280"/>
      <c r="EI427" s="280"/>
      <c r="EJ427" s="280"/>
      <c r="EK427" s="280"/>
      <c r="EL427" s="280"/>
      <c r="EM427" s="280"/>
      <c r="EN427" s="280"/>
      <c r="EO427" s="280"/>
      <c r="EP427" s="280"/>
      <c r="EQ427" s="280"/>
      <c r="ER427" s="280"/>
      <c r="ES427" s="280"/>
      <c r="ET427" s="280"/>
      <c r="EU427" s="280"/>
      <c r="EV427" s="13"/>
      <c r="EW427" s="43"/>
      <c r="EX427" s="43"/>
      <c r="EY427" s="45"/>
      <c r="HP427" s="12"/>
      <c r="HZ427" s="12"/>
      <c r="IC427" s="12"/>
      <c r="JV427" s="13"/>
      <c r="JX427" s="13"/>
      <c r="JY427" s="12"/>
      <c r="LT427" s="13"/>
      <c r="LU427" s="12"/>
      <c r="LV427" s="13"/>
      <c r="NV427" s="13"/>
      <c r="NY427" s="13"/>
    </row>
    <row r="428" spans="27:389" ht="10.75" customHeight="1" x14ac:dyDescent="0.2">
      <c r="AA428" s="12"/>
      <c r="AB428" s="12"/>
      <c r="AC428" s="280"/>
      <c r="AD428" s="280"/>
      <c r="AE428" s="280"/>
      <c r="AF428" s="280"/>
      <c r="AG428" s="280"/>
      <c r="AH428" s="280"/>
      <c r="AI428" s="280"/>
      <c r="AJ428" s="280"/>
      <c r="AK428" s="280"/>
      <c r="AL428" s="280"/>
      <c r="AM428" s="280"/>
      <c r="AN428" s="280"/>
      <c r="AO428" s="280"/>
      <c r="AP428" s="280"/>
      <c r="AQ428" s="13"/>
      <c r="AR428" s="42"/>
      <c r="AS428" s="278"/>
      <c r="AT428" s="283"/>
      <c r="AU428" s="12"/>
      <c r="AV428" s="280"/>
      <c r="AW428" s="280"/>
      <c r="AX428" s="280"/>
      <c r="AY428" s="280"/>
      <c r="AZ428" s="280"/>
      <c r="BA428" s="280"/>
      <c r="BB428" s="280"/>
      <c r="BC428" s="280"/>
      <c r="BD428" s="280"/>
      <c r="BE428" s="280"/>
      <c r="BF428" s="13"/>
      <c r="BG428" s="280"/>
      <c r="BH428" s="280"/>
      <c r="BI428" s="280"/>
      <c r="BJ428" s="280"/>
      <c r="BK428" s="12"/>
      <c r="BL428" s="280"/>
      <c r="BM428" s="280"/>
      <c r="BN428" s="13"/>
      <c r="BO428" s="280"/>
      <c r="BP428" s="280"/>
      <c r="BQ428" s="280"/>
      <c r="BR428" s="280"/>
      <c r="BS428" s="12"/>
      <c r="BT428" s="280"/>
      <c r="BU428" s="280"/>
      <c r="BV428" s="13"/>
      <c r="BW428" s="280"/>
      <c r="BX428" s="280"/>
      <c r="BY428" s="280"/>
      <c r="BZ428" s="280"/>
      <c r="CA428" s="12"/>
      <c r="CB428" s="280"/>
      <c r="CC428" s="280"/>
      <c r="CD428" s="13"/>
      <c r="CE428" s="280"/>
      <c r="CF428" s="280"/>
      <c r="CG428" s="280"/>
      <c r="CH428" s="280"/>
      <c r="CI428" s="280"/>
      <c r="CJ428" s="280"/>
      <c r="CK428" s="280"/>
      <c r="CL428" s="280"/>
      <c r="CM428" s="280"/>
      <c r="CN428" s="280"/>
      <c r="CO428" s="280"/>
      <c r="CP428" s="280"/>
      <c r="CQ428" s="280"/>
      <c r="CR428" s="280"/>
      <c r="CS428" s="280"/>
      <c r="CT428" s="280"/>
      <c r="CU428" s="86"/>
      <c r="CV428" s="296"/>
      <c r="CW428" s="296"/>
      <c r="CX428" s="296"/>
      <c r="CY428" s="296"/>
      <c r="CZ428" s="296"/>
      <c r="DA428" s="296"/>
      <c r="DB428" s="88"/>
      <c r="DC428" s="280"/>
      <c r="DD428" s="280"/>
      <c r="DE428" s="280"/>
      <c r="DF428" s="280"/>
      <c r="DG428" s="280"/>
      <c r="DH428" s="280"/>
      <c r="DI428" s="280"/>
      <c r="DJ428" s="280"/>
      <c r="DK428" s="280"/>
      <c r="DL428" s="280"/>
      <c r="DM428" s="280"/>
      <c r="DN428" s="280"/>
      <c r="DO428" s="280"/>
      <c r="DP428" s="280"/>
      <c r="DQ428" s="280"/>
      <c r="DR428" s="280"/>
      <c r="DS428" s="280"/>
      <c r="DT428" s="280"/>
      <c r="DU428" s="280"/>
      <c r="DV428" s="280"/>
      <c r="DW428" s="280"/>
      <c r="DX428" s="280"/>
      <c r="DY428" s="280"/>
      <c r="DZ428" s="280"/>
      <c r="EA428" s="280"/>
      <c r="EB428" s="280"/>
      <c r="EC428" s="280"/>
      <c r="ED428" s="280"/>
      <c r="EE428" s="280"/>
      <c r="EF428" s="280"/>
      <c r="EG428" s="280"/>
      <c r="EH428" s="280"/>
      <c r="EI428" s="280"/>
      <c r="EJ428" s="280"/>
      <c r="EK428" s="280"/>
      <c r="EL428" s="280"/>
      <c r="EM428" s="280"/>
      <c r="EN428" s="280"/>
      <c r="EO428" s="280"/>
      <c r="EP428" s="280"/>
      <c r="EQ428" s="280"/>
      <c r="ER428" s="280"/>
      <c r="ES428" s="280"/>
      <c r="ET428" s="280"/>
      <c r="EU428" s="280"/>
      <c r="EV428" s="13"/>
      <c r="EW428" s="43"/>
      <c r="EX428" s="43"/>
      <c r="EY428" s="45"/>
      <c r="HP428" s="12"/>
      <c r="HZ428" s="12"/>
      <c r="IC428" s="12"/>
      <c r="JV428" s="13"/>
      <c r="JX428" s="13"/>
      <c r="JY428" s="12"/>
      <c r="LT428" s="13"/>
      <c r="LU428" s="12"/>
      <c r="LV428" s="13"/>
      <c r="NV428" s="13"/>
      <c r="NY428" s="13"/>
    </row>
    <row r="429" spans="27:389" ht="10.75" customHeight="1" x14ac:dyDescent="0.2">
      <c r="AA429" s="12"/>
      <c r="AB429" s="12"/>
      <c r="AC429" s="280"/>
      <c r="AD429" s="280"/>
      <c r="AE429" s="280"/>
      <c r="AF429" s="280"/>
      <c r="AG429" s="280"/>
      <c r="AH429" s="280"/>
      <c r="AI429" s="280"/>
      <c r="AJ429" s="280"/>
      <c r="AK429" s="280"/>
      <c r="AL429" s="280"/>
      <c r="AM429" s="280"/>
      <c r="AN429" s="280"/>
      <c r="AO429" s="280"/>
      <c r="AP429" s="280"/>
      <c r="AQ429" s="13"/>
      <c r="AR429" s="42"/>
      <c r="AS429" s="278"/>
      <c r="AT429" s="283"/>
      <c r="AU429" s="12"/>
      <c r="AV429" s="280"/>
      <c r="AW429" s="280"/>
      <c r="AX429" s="280"/>
      <c r="AY429" s="280"/>
      <c r="AZ429" s="280"/>
      <c r="BA429" s="280"/>
      <c r="BB429" s="280"/>
      <c r="BC429" s="280"/>
      <c r="BD429" s="280"/>
      <c r="BE429" s="280"/>
      <c r="BF429" s="13"/>
      <c r="BG429" s="280"/>
      <c r="BH429" s="280"/>
      <c r="BI429" s="280"/>
      <c r="BJ429" s="280"/>
      <c r="BK429" s="12"/>
      <c r="BL429" s="280"/>
      <c r="BM429" s="280"/>
      <c r="BN429" s="13"/>
      <c r="BO429" s="280"/>
      <c r="BP429" s="280"/>
      <c r="BQ429" s="280"/>
      <c r="BR429" s="280"/>
      <c r="BS429" s="12"/>
      <c r="BT429" s="280"/>
      <c r="BU429" s="280"/>
      <c r="BV429" s="13"/>
      <c r="BW429" s="280"/>
      <c r="BX429" s="280"/>
      <c r="BY429" s="280"/>
      <c r="BZ429" s="280"/>
      <c r="CA429" s="12"/>
      <c r="CB429" s="280"/>
      <c r="CC429" s="280"/>
      <c r="CD429" s="13"/>
      <c r="CE429" s="280"/>
      <c r="CF429" s="280"/>
      <c r="CG429" s="280"/>
      <c r="CH429" s="280"/>
      <c r="CI429" s="280"/>
      <c r="CJ429" s="280"/>
      <c r="CK429" s="280"/>
      <c r="CL429" s="280"/>
      <c r="CM429" s="280"/>
      <c r="CN429" s="280"/>
      <c r="CO429" s="280"/>
      <c r="CP429" s="280"/>
      <c r="CQ429" s="280"/>
      <c r="CR429" s="280"/>
      <c r="CS429" s="280"/>
      <c r="CT429" s="280"/>
      <c r="CU429" s="86"/>
      <c r="CV429" s="296"/>
      <c r="CW429" s="296"/>
      <c r="CX429" s="296"/>
      <c r="CY429" s="296"/>
      <c r="CZ429" s="296"/>
      <c r="DA429" s="296"/>
      <c r="DB429" s="88"/>
      <c r="DC429" s="280"/>
      <c r="DD429" s="280"/>
      <c r="DE429" s="280"/>
      <c r="DF429" s="280"/>
      <c r="DG429" s="280"/>
      <c r="DH429" s="280"/>
      <c r="DI429" s="280"/>
      <c r="DJ429" s="280"/>
      <c r="DK429" s="280"/>
      <c r="DL429" s="280"/>
      <c r="DM429" s="280"/>
      <c r="DN429" s="280"/>
      <c r="DO429" s="280"/>
      <c r="DP429" s="280"/>
      <c r="DQ429" s="280"/>
      <c r="DR429" s="280"/>
      <c r="DS429" s="280"/>
      <c r="DT429" s="280"/>
      <c r="DU429" s="280"/>
      <c r="DV429" s="280"/>
      <c r="DW429" s="280"/>
      <c r="DX429" s="280"/>
      <c r="DY429" s="280"/>
      <c r="DZ429" s="280"/>
      <c r="EA429" s="280"/>
      <c r="EB429" s="280"/>
      <c r="EC429" s="280"/>
      <c r="ED429" s="280"/>
      <c r="EE429" s="280"/>
      <c r="EF429" s="280"/>
      <c r="EG429" s="280"/>
      <c r="EH429" s="280"/>
      <c r="EI429" s="280"/>
      <c r="EJ429" s="280"/>
      <c r="EK429" s="280"/>
      <c r="EL429" s="280"/>
      <c r="EM429" s="280"/>
      <c r="EN429" s="280"/>
      <c r="EO429" s="280"/>
      <c r="EP429" s="280"/>
      <c r="EQ429" s="280"/>
      <c r="ER429" s="280"/>
      <c r="ES429" s="280"/>
      <c r="ET429" s="280"/>
      <c r="EU429" s="280"/>
      <c r="EV429" s="13"/>
      <c r="EW429" s="43"/>
      <c r="EX429" s="43"/>
      <c r="EY429" s="45"/>
      <c r="HP429" s="12"/>
      <c r="HZ429" s="12"/>
      <c r="IC429" s="12"/>
      <c r="JV429" s="13"/>
      <c r="JX429" s="13"/>
      <c r="JY429" s="12"/>
      <c r="LT429" s="13"/>
      <c r="LU429" s="12"/>
      <c r="LV429" s="13"/>
      <c r="NV429" s="13"/>
      <c r="NY429" s="13"/>
    </row>
    <row r="430" spans="27:389" ht="10.75" customHeight="1" x14ac:dyDescent="0.2">
      <c r="AA430" s="12"/>
      <c r="AB430" s="12"/>
      <c r="AC430" s="280"/>
      <c r="AD430" s="280"/>
      <c r="AE430" s="280"/>
      <c r="AF430" s="280"/>
      <c r="AG430" s="280"/>
      <c r="AH430" s="280"/>
      <c r="AI430" s="280"/>
      <c r="AJ430" s="280"/>
      <c r="AK430" s="280"/>
      <c r="AL430" s="280"/>
      <c r="AM430" s="280"/>
      <c r="AN430" s="280"/>
      <c r="AO430" s="280"/>
      <c r="AP430" s="280"/>
      <c r="AQ430" s="13"/>
      <c r="AR430" s="42"/>
      <c r="AS430" s="278"/>
      <c r="AT430" s="283"/>
      <c r="AU430" s="12"/>
      <c r="AV430" s="280"/>
      <c r="AW430" s="280"/>
      <c r="AX430" s="280"/>
      <c r="AY430" s="280"/>
      <c r="AZ430" s="280"/>
      <c r="BA430" s="280"/>
      <c r="BB430" s="280"/>
      <c r="BC430" s="280"/>
      <c r="BD430" s="280"/>
      <c r="BE430" s="280"/>
      <c r="BF430" s="13"/>
      <c r="BG430" s="280"/>
      <c r="BH430" s="280"/>
      <c r="BI430" s="280"/>
      <c r="BJ430" s="280"/>
      <c r="BK430" s="12"/>
      <c r="BL430" s="280"/>
      <c r="BM430" s="280"/>
      <c r="BN430" s="13"/>
      <c r="BO430" s="280"/>
      <c r="BP430" s="280"/>
      <c r="BQ430" s="280"/>
      <c r="BR430" s="280"/>
      <c r="BS430" s="12"/>
      <c r="BT430" s="280"/>
      <c r="BU430" s="280"/>
      <c r="BV430" s="13"/>
      <c r="BW430" s="280"/>
      <c r="BX430" s="280"/>
      <c r="BY430" s="280"/>
      <c r="BZ430" s="280"/>
      <c r="CA430" s="12"/>
      <c r="CB430" s="280"/>
      <c r="CC430" s="280"/>
      <c r="CD430" s="13"/>
      <c r="CE430" s="280"/>
      <c r="CF430" s="280"/>
      <c r="CG430" s="280"/>
      <c r="CH430" s="280"/>
      <c r="CI430" s="280"/>
      <c r="CJ430" s="280"/>
      <c r="CK430" s="280"/>
      <c r="CL430" s="280"/>
      <c r="CM430" s="280"/>
      <c r="CN430" s="280"/>
      <c r="CO430" s="280"/>
      <c r="CP430" s="280"/>
      <c r="CQ430" s="280"/>
      <c r="CR430" s="280"/>
      <c r="CS430" s="280"/>
      <c r="CT430" s="280"/>
      <c r="CU430" s="76"/>
      <c r="CV430" s="89"/>
      <c r="CW430" s="89"/>
      <c r="CX430" s="89"/>
      <c r="CY430" s="89"/>
      <c r="CZ430" s="89"/>
      <c r="DA430" s="89"/>
      <c r="DB430" s="77"/>
      <c r="DC430" s="280"/>
      <c r="DD430" s="280"/>
      <c r="DE430" s="280"/>
      <c r="DF430" s="280"/>
      <c r="DG430" s="280"/>
      <c r="DH430" s="280"/>
      <c r="DI430" s="280"/>
      <c r="DJ430" s="280"/>
      <c r="DK430" s="280"/>
      <c r="DL430" s="280"/>
      <c r="DM430" s="280"/>
      <c r="DN430" s="280"/>
      <c r="DO430" s="280"/>
      <c r="DP430" s="280"/>
      <c r="DQ430" s="280"/>
      <c r="DR430" s="280"/>
      <c r="DS430" s="280"/>
      <c r="DT430" s="280"/>
      <c r="DU430" s="280"/>
      <c r="DV430" s="280"/>
      <c r="DW430" s="280"/>
      <c r="DX430" s="280"/>
      <c r="DY430" s="280"/>
      <c r="DZ430" s="280"/>
      <c r="EA430" s="280"/>
      <c r="EB430" s="280"/>
      <c r="EC430" s="280"/>
      <c r="ED430" s="280"/>
      <c r="EE430" s="280"/>
      <c r="EF430" s="280"/>
      <c r="EG430" s="280"/>
      <c r="EH430" s="280"/>
      <c r="EI430" s="280"/>
      <c r="EJ430" s="280"/>
      <c r="EK430" s="280"/>
      <c r="EL430" s="280"/>
      <c r="EM430" s="280"/>
      <c r="EN430" s="280"/>
      <c r="EO430" s="280"/>
      <c r="EP430" s="280"/>
      <c r="EQ430" s="280"/>
      <c r="ER430" s="280"/>
      <c r="ES430" s="280"/>
      <c r="ET430" s="280"/>
      <c r="EU430" s="280"/>
      <c r="EV430" s="13"/>
      <c r="EW430" s="43"/>
      <c r="EX430" s="43"/>
      <c r="EY430" s="45"/>
      <c r="HP430" s="12"/>
      <c r="HZ430" s="12"/>
      <c r="IC430" s="12"/>
      <c r="JV430" s="13"/>
      <c r="JX430" s="13"/>
      <c r="JY430" s="12"/>
      <c r="LT430" s="13"/>
      <c r="LU430" s="12"/>
      <c r="LV430" s="13"/>
      <c r="NV430" s="13"/>
      <c r="NY430" s="13"/>
    </row>
    <row r="431" spans="27:389" ht="10.75" customHeight="1" x14ac:dyDescent="0.2">
      <c r="AA431" s="12"/>
      <c r="AB431" s="12"/>
      <c r="AC431" s="280"/>
      <c r="AD431" s="280"/>
      <c r="AE431" s="280"/>
      <c r="AF431" s="280"/>
      <c r="AG431" s="280"/>
      <c r="AH431" s="280"/>
      <c r="AI431" s="280"/>
      <c r="AJ431" s="280"/>
      <c r="AK431" s="280"/>
      <c r="AL431" s="280"/>
      <c r="AM431" s="280"/>
      <c r="AN431" s="280"/>
      <c r="AO431" s="280"/>
      <c r="AP431" s="280"/>
      <c r="AQ431" s="13"/>
      <c r="AR431" s="42"/>
      <c r="AS431" s="278"/>
      <c r="AT431" s="283"/>
      <c r="AU431" s="12"/>
      <c r="AV431" s="280"/>
      <c r="AW431" s="280"/>
      <c r="AX431" s="280"/>
      <c r="AY431" s="280"/>
      <c r="AZ431" s="280"/>
      <c r="BA431" s="280"/>
      <c r="BB431" s="280"/>
      <c r="BC431" s="280"/>
      <c r="BD431" s="280"/>
      <c r="BE431" s="280"/>
      <c r="BF431" s="13"/>
      <c r="BG431" s="280"/>
      <c r="BH431" s="280"/>
      <c r="BI431" s="280"/>
      <c r="BJ431" s="280"/>
      <c r="BK431" s="12"/>
      <c r="BL431" s="280"/>
      <c r="BM431" s="280"/>
      <c r="BN431" s="13"/>
      <c r="BO431" s="280"/>
      <c r="BP431" s="280"/>
      <c r="BQ431" s="280"/>
      <c r="BR431" s="280"/>
      <c r="BS431" s="12"/>
      <c r="BT431" s="280"/>
      <c r="BU431" s="280"/>
      <c r="BV431" s="13"/>
      <c r="BW431" s="280"/>
      <c r="BX431" s="280"/>
      <c r="BY431" s="280"/>
      <c r="BZ431" s="280"/>
      <c r="CA431" s="12"/>
      <c r="CB431" s="280"/>
      <c r="CC431" s="280"/>
      <c r="CD431" s="13"/>
      <c r="CE431" s="280"/>
      <c r="CF431" s="280"/>
      <c r="CG431" s="280"/>
      <c r="CH431" s="280"/>
      <c r="CI431" s="280"/>
      <c r="CJ431" s="280"/>
      <c r="CK431" s="280"/>
      <c r="CL431" s="280"/>
      <c r="CM431" s="280"/>
      <c r="CN431" s="280"/>
      <c r="CO431" s="280"/>
      <c r="CP431" s="280"/>
      <c r="CQ431" s="280"/>
      <c r="CR431" s="280"/>
      <c r="CS431" s="280"/>
      <c r="CT431" s="280"/>
      <c r="CU431" s="280"/>
      <c r="CV431" s="280"/>
      <c r="CW431" s="280"/>
      <c r="CX431" s="280"/>
      <c r="CY431" s="280"/>
      <c r="CZ431" s="280"/>
      <c r="DA431" s="280"/>
      <c r="DB431" s="280"/>
      <c r="DC431" s="280"/>
      <c r="DD431" s="280"/>
      <c r="DE431" s="280"/>
      <c r="DF431" s="280"/>
      <c r="DG431" s="280"/>
      <c r="DH431" s="280"/>
      <c r="DI431" s="280"/>
      <c r="DJ431" s="280"/>
      <c r="DK431" s="280"/>
      <c r="DL431" s="280"/>
      <c r="DM431" s="280"/>
      <c r="DN431" s="280"/>
      <c r="DO431" s="280"/>
      <c r="DP431" s="280"/>
      <c r="DQ431" s="280"/>
      <c r="DR431" s="280"/>
      <c r="DS431" s="280"/>
      <c r="DT431" s="280"/>
      <c r="DU431" s="280"/>
      <c r="DV431" s="280"/>
      <c r="DW431" s="280"/>
      <c r="DX431" s="280"/>
      <c r="DY431" s="280"/>
      <c r="DZ431" s="280"/>
      <c r="EA431" s="280"/>
      <c r="EB431" s="280"/>
      <c r="EC431" s="280"/>
      <c r="ED431" s="280"/>
      <c r="EE431" s="280"/>
      <c r="EF431" s="280"/>
      <c r="EG431" s="280"/>
      <c r="EH431" s="280"/>
      <c r="EI431" s="280"/>
      <c r="EJ431" s="280"/>
      <c r="EK431" s="280"/>
      <c r="EL431" s="280"/>
      <c r="EM431" s="280"/>
      <c r="EN431" s="280"/>
      <c r="EO431" s="280"/>
      <c r="EP431" s="280"/>
      <c r="EQ431" s="280"/>
      <c r="ER431" s="280"/>
      <c r="ES431" s="280"/>
      <c r="ET431" s="280"/>
      <c r="EU431" s="280"/>
      <c r="EV431" s="13"/>
      <c r="EW431" s="43"/>
      <c r="EX431" s="43"/>
      <c r="EY431" s="45"/>
      <c r="HP431" s="12"/>
      <c r="HZ431" s="12"/>
      <c r="IC431" s="12"/>
      <c r="JV431" s="13"/>
      <c r="JX431" s="13"/>
      <c r="JY431" s="12"/>
      <c r="LT431" s="13"/>
      <c r="LU431" s="12"/>
      <c r="LV431" s="13"/>
      <c r="NV431" s="13"/>
      <c r="NY431" s="13"/>
    </row>
    <row r="432" spans="27:389" ht="10.75" customHeight="1" x14ac:dyDescent="0.2">
      <c r="AA432" s="12"/>
      <c r="AB432" s="12"/>
      <c r="AC432" s="280"/>
      <c r="AD432" s="280"/>
      <c r="AE432" s="280"/>
      <c r="AF432" s="280"/>
      <c r="AG432" s="280"/>
      <c r="AH432" s="280"/>
      <c r="AI432" s="280"/>
      <c r="AJ432" s="280"/>
      <c r="AK432" s="280"/>
      <c r="AL432" s="280"/>
      <c r="AM432" s="280"/>
      <c r="AN432" s="280"/>
      <c r="AO432" s="280"/>
      <c r="AP432" s="280"/>
      <c r="AQ432" s="13"/>
      <c r="AR432" s="46"/>
      <c r="AS432" s="279"/>
      <c r="AT432" s="47"/>
      <c r="AU432" s="12"/>
      <c r="AV432" s="280"/>
      <c r="AW432" s="280"/>
      <c r="AX432" s="280"/>
      <c r="AY432" s="280"/>
      <c r="AZ432" s="280"/>
      <c r="BA432" s="280"/>
      <c r="BB432" s="280"/>
      <c r="BC432" s="280"/>
      <c r="BD432" s="280"/>
      <c r="BE432" s="280"/>
      <c r="BF432" s="13"/>
      <c r="BG432" s="280"/>
      <c r="BH432" s="280"/>
      <c r="BI432" s="280"/>
      <c r="BJ432" s="280"/>
      <c r="BK432" s="12"/>
      <c r="BL432" s="280"/>
      <c r="BM432" s="280"/>
      <c r="BN432" s="13"/>
      <c r="BO432" s="280"/>
      <c r="BP432" s="280"/>
      <c r="BQ432" s="280"/>
      <c r="BR432" s="280"/>
      <c r="BS432" s="12"/>
      <c r="BT432" s="280"/>
      <c r="BU432" s="280"/>
      <c r="BV432" s="13"/>
      <c r="BW432" s="280"/>
      <c r="BX432" s="280"/>
      <c r="BY432" s="280"/>
      <c r="BZ432" s="280"/>
      <c r="CA432" s="12"/>
      <c r="CB432" s="280"/>
      <c r="CC432" s="280"/>
      <c r="CD432" s="13"/>
      <c r="CE432" s="280"/>
      <c r="CF432" s="280"/>
      <c r="CG432" s="280"/>
      <c r="CH432" s="280"/>
      <c r="CI432" s="280"/>
      <c r="CJ432" s="280"/>
      <c r="CK432" s="280"/>
      <c r="CL432" s="280"/>
      <c r="CM432" s="280"/>
      <c r="CN432" s="280"/>
      <c r="CO432" s="280"/>
      <c r="CP432" s="280"/>
      <c r="CQ432" s="280"/>
      <c r="CR432" s="280"/>
      <c r="CS432" s="280"/>
      <c r="CT432" s="280"/>
      <c r="CU432" s="280"/>
      <c r="CV432" s="280"/>
      <c r="CW432" s="280"/>
      <c r="CX432" s="280"/>
      <c r="CY432" s="280"/>
      <c r="CZ432" s="280"/>
      <c r="DA432" s="280"/>
      <c r="DB432" s="280"/>
      <c r="DC432" s="280"/>
      <c r="DD432" s="280"/>
      <c r="DE432" s="280"/>
      <c r="DF432" s="280"/>
      <c r="DG432" s="280"/>
      <c r="DH432" s="280"/>
      <c r="DI432" s="280"/>
      <c r="DJ432" s="280"/>
      <c r="DK432" s="280"/>
      <c r="DL432" s="280"/>
      <c r="DM432" s="280"/>
      <c r="DN432" s="280"/>
      <c r="DO432" s="280"/>
      <c r="DP432" s="280"/>
      <c r="DQ432" s="280"/>
      <c r="DR432" s="280"/>
      <c r="DS432" s="280"/>
      <c r="DT432" s="280"/>
      <c r="DU432" s="280"/>
      <c r="DV432" s="280"/>
      <c r="DW432" s="280"/>
      <c r="DX432" s="280"/>
      <c r="DY432" s="280"/>
      <c r="DZ432" s="280"/>
      <c r="EA432" s="280"/>
      <c r="EB432" s="280"/>
      <c r="EC432" s="280"/>
      <c r="ED432" s="280"/>
      <c r="EE432" s="280"/>
      <c r="EF432" s="280"/>
      <c r="EG432" s="280"/>
      <c r="EH432" s="280"/>
      <c r="EI432" s="280"/>
      <c r="EJ432" s="280"/>
      <c r="EK432" s="280"/>
      <c r="EL432" s="280"/>
      <c r="EM432" s="280"/>
      <c r="EN432" s="280"/>
      <c r="EO432" s="280"/>
      <c r="EP432" s="280"/>
      <c r="EQ432" s="280"/>
      <c r="ER432" s="280"/>
      <c r="ES432" s="280"/>
      <c r="ET432" s="280"/>
      <c r="EU432" s="280"/>
      <c r="EV432" s="13"/>
      <c r="EW432" s="43"/>
      <c r="EX432" s="43"/>
      <c r="EY432" s="45"/>
      <c r="HP432" s="12"/>
      <c r="HZ432" s="12"/>
      <c r="IC432" s="12"/>
      <c r="JV432" s="13"/>
      <c r="JX432" s="13"/>
      <c r="JY432" s="12"/>
      <c r="LT432" s="13"/>
      <c r="LU432" s="12"/>
      <c r="LV432" s="13"/>
      <c r="NV432" s="13"/>
      <c r="NY432" s="13"/>
    </row>
    <row r="433" spans="27:389" ht="10.75" customHeight="1" x14ac:dyDescent="0.2">
      <c r="AA433" s="12"/>
      <c r="AB433" s="12"/>
      <c r="AC433" s="280"/>
      <c r="AD433" s="280"/>
      <c r="AE433" s="280"/>
      <c r="AF433" s="280"/>
      <c r="AG433" s="280"/>
      <c r="AH433" s="280"/>
      <c r="AI433" s="280"/>
      <c r="AJ433" s="280"/>
      <c r="AK433" s="280"/>
      <c r="AL433" s="280"/>
      <c r="AM433" s="280"/>
      <c r="AN433" s="280"/>
      <c r="AO433" s="280"/>
      <c r="AP433" s="280"/>
      <c r="AQ433" s="13"/>
      <c r="AR433" s="42"/>
      <c r="AS433" s="43"/>
      <c r="AT433" s="43"/>
      <c r="AU433" s="14"/>
      <c r="AV433" s="15"/>
      <c r="AW433" s="15"/>
      <c r="AX433" s="15"/>
      <c r="AY433" s="15"/>
      <c r="AZ433" s="15"/>
      <c r="BA433" s="15"/>
      <c r="BB433" s="15"/>
      <c r="BC433" s="15"/>
      <c r="BD433" s="15"/>
      <c r="BE433" s="15"/>
      <c r="BF433" s="16"/>
      <c r="BG433" s="15"/>
      <c r="BH433" s="15"/>
      <c r="BI433" s="15"/>
      <c r="BJ433" s="15"/>
      <c r="BK433" s="14"/>
      <c r="BL433" s="15"/>
      <c r="BM433" s="15"/>
      <c r="BN433" s="16"/>
      <c r="BO433" s="15"/>
      <c r="BP433" s="15"/>
      <c r="BQ433" s="15"/>
      <c r="BR433" s="15"/>
      <c r="BS433" s="14"/>
      <c r="BT433" s="15"/>
      <c r="BU433" s="15"/>
      <c r="BV433" s="16"/>
      <c r="BW433" s="15"/>
      <c r="BX433" s="15"/>
      <c r="BY433" s="15"/>
      <c r="BZ433" s="15"/>
      <c r="CA433" s="14"/>
      <c r="CB433" s="15"/>
      <c r="CC433" s="15"/>
      <c r="CD433" s="16"/>
      <c r="CE433" s="15"/>
      <c r="CF433" s="15"/>
      <c r="CG433" s="15"/>
      <c r="CH433" s="15"/>
      <c r="CI433" s="15"/>
      <c r="CJ433" s="15"/>
      <c r="CK433" s="15"/>
      <c r="CL433" s="15"/>
      <c r="CM433" s="15"/>
      <c r="CN433" s="15"/>
      <c r="CO433" s="15"/>
      <c r="CP433" s="15"/>
      <c r="CQ433" s="15"/>
      <c r="CR433" s="15"/>
      <c r="CS433" s="15"/>
      <c r="CT433" s="15"/>
      <c r="CU433" s="15"/>
      <c r="CV433" s="15"/>
      <c r="CW433" s="15"/>
      <c r="CX433" s="15"/>
      <c r="CY433" s="15"/>
      <c r="CZ433" s="15"/>
      <c r="DA433" s="15"/>
      <c r="DB433" s="15"/>
      <c r="DC433" s="15"/>
      <c r="DD433" s="15"/>
      <c r="DE433" s="15"/>
      <c r="DF433" s="15"/>
      <c r="DG433" s="15"/>
      <c r="DH433" s="15"/>
      <c r="DI433" s="15"/>
      <c r="DJ433" s="15"/>
      <c r="DK433" s="15"/>
      <c r="DL433" s="15"/>
      <c r="DM433" s="15"/>
      <c r="DN433" s="15"/>
      <c r="DO433" s="15"/>
      <c r="DP433" s="15"/>
      <c r="DQ433" s="15"/>
      <c r="DR433" s="15"/>
      <c r="DS433" s="15"/>
      <c r="DT433" s="15"/>
      <c r="DU433" s="15"/>
      <c r="DV433" s="15"/>
      <c r="DW433" s="15"/>
      <c r="DX433" s="15"/>
      <c r="DY433" s="15"/>
      <c r="DZ433" s="15"/>
      <c r="EA433" s="15"/>
      <c r="EB433" s="15"/>
      <c r="EC433" s="15"/>
      <c r="ED433" s="15"/>
      <c r="EE433" s="15"/>
      <c r="EF433" s="15"/>
      <c r="EG433" s="15"/>
      <c r="EH433" s="15"/>
      <c r="EI433" s="15"/>
      <c r="EJ433" s="15"/>
      <c r="EK433" s="15"/>
      <c r="EL433" s="15"/>
      <c r="EM433" s="15"/>
      <c r="EN433" s="15"/>
      <c r="EO433" s="15"/>
      <c r="EP433" s="15"/>
      <c r="EQ433" s="15"/>
      <c r="ER433" s="15"/>
      <c r="ES433" s="15"/>
      <c r="ET433" s="15"/>
      <c r="EU433" s="15"/>
      <c r="EV433" s="16"/>
      <c r="EW433" s="97"/>
      <c r="EX433" s="97"/>
      <c r="EY433" s="98"/>
      <c r="HP433" s="12"/>
      <c r="HZ433" s="12"/>
      <c r="IC433" s="12"/>
      <c r="JV433" s="13"/>
      <c r="JX433" s="13"/>
      <c r="JY433" s="12"/>
      <c r="LT433" s="13"/>
      <c r="LU433" s="12"/>
      <c r="LV433" s="13"/>
      <c r="NV433" s="13"/>
      <c r="NY433" s="13"/>
    </row>
    <row r="434" spans="27:389" ht="10.75" customHeight="1" x14ac:dyDescent="0.2">
      <c r="AA434" s="12"/>
      <c r="AB434" s="12"/>
      <c r="AC434" s="280"/>
      <c r="AD434" s="280"/>
      <c r="AE434" s="280"/>
      <c r="AF434" s="280"/>
      <c r="AG434" s="280"/>
      <c r="AH434" s="280"/>
      <c r="AI434" s="280"/>
      <c r="AJ434" s="280"/>
      <c r="AK434" s="280"/>
      <c r="AL434" s="280"/>
      <c r="AM434" s="280"/>
      <c r="AN434" s="280"/>
      <c r="AO434" s="280"/>
      <c r="AP434" s="280"/>
      <c r="AQ434" s="13"/>
      <c r="AR434" s="96"/>
      <c r="AS434" s="97"/>
      <c r="AT434" s="97"/>
      <c r="AU434" s="97"/>
      <c r="AV434" s="43"/>
      <c r="AW434" s="43"/>
      <c r="AX434" s="43"/>
      <c r="AY434" s="43"/>
      <c r="AZ434" s="43"/>
      <c r="BA434" s="43"/>
      <c r="BB434" s="45"/>
      <c r="BC434" s="43"/>
      <c r="BD434" s="43"/>
      <c r="BE434" s="43"/>
      <c r="BF434" s="43"/>
      <c r="BG434" s="43"/>
      <c r="BH434" s="43"/>
      <c r="BI434" s="43"/>
      <c r="BJ434" s="43"/>
      <c r="BK434" s="43"/>
      <c r="BL434" s="43"/>
      <c r="BM434" s="43"/>
      <c r="BN434" s="43"/>
      <c r="BO434" s="43"/>
      <c r="BP434" s="43"/>
      <c r="BQ434" s="43"/>
      <c r="BR434" s="43"/>
      <c r="BS434" s="43"/>
      <c r="BT434" s="43"/>
      <c r="BU434" s="43"/>
      <c r="BV434" s="43"/>
      <c r="BW434" s="43"/>
      <c r="BX434" s="43"/>
      <c r="BY434" s="43"/>
      <c r="BZ434" s="43"/>
      <c r="CA434" s="43"/>
      <c r="CB434" s="43"/>
      <c r="CC434" s="43"/>
      <c r="CD434" s="43"/>
      <c r="CE434" s="43"/>
      <c r="CF434" s="43"/>
      <c r="CG434" s="43"/>
      <c r="CH434" s="43"/>
      <c r="CI434" s="43"/>
      <c r="CJ434" s="43"/>
      <c r="CK434" s="43"/>
      <c r="CL434" s="43"/>
      <c r="CM434" s="43"/>
      <c r="CN434" s="43"/>
      <c r="CO434" s="43"/>
      <c r="CP434" s="43"/>
      <c r="CQ434" s="43"/>
      <c r="CR434" s="43"/>
      <c r="CS434" s="43"/>
      <c r="CT434" s="43"/>
      <c r="CU434" s="97"/>
      <c r="CV434" s="97"/>
      <c r="CW434" s="97"/>
      <c r="CX434" s="97"/>
      <c r="CY434" s="43"/>
      <c r="CZ434" s="43"/>
      <c r="DA434" s="43"/>
      <c r="DB434" s="43"/>
      <c r="DC434" s="43"/>
      <c r="DD434" s="43"/>
      <c r="DE434" s="43"/>
      <c r="DF434" s="43"/>
      <c r="DG434" s="43"/>
      <c r="DH434" s="43"/>
      <c r="DI434" s="43"/>
      <c r="DJ434" s="43"/>
      <c r="DK434" s="43"/>
      <c r="DL434" s="43"/>
      <c r="DM434" s="43"/>
      <c r="DN434" s="43"/>
      <c r="DO434" s="43"/>
      <c r="DP434" s="43"/>
      <c r="DQ434" s="43"/>
      <c r="DR434" s="43"/>
      <c r="DS434" s="43"/>
      <c r="DT434" s="43"/>
      <c r="DU434" s="43"/>
      <c r="DV434" s="43"/>
      <c r="DW434" s="43"/>
      <c r="DX434" s="43"/>
      <c r="DY434" s="43"/>
      <c r="DZ434" s="43"/>
      <c r="EA434" s="43"/>
      <c r="EB434" s="43"/>
      <c r="EC434" s="43"/>
      <c r="ED434" s="43"/>
      <c r="EE434" s="43"/>
      <c r="EF434" s="43"/>
      <c r="EG434" s="43"/>
      <c r="EH434" s="43"/>
      <c r="EI434" s="43"/>
      <c r="EJ434" s="43"/>
      <c r="EK434" s="123"/>
      <c r="EL434" s="109"/>
      <c r="EM434" s="109"/>
      <c r="EN434" s="109"/>
      <c r="EO434" s="109"/>
      <c r="EP434" s="109"/>
      <c r="EQ434" s="109"/>
      <c r="ER434" s="109"/>
      <c r="ES434" s="109"/>
      <c r="ET434" s="124"/>
      <c r="EU434" s="43"/>
      <c r="EV434" s="43"/>
      <c r="EW434" s="97"/>
      <c r="EX434" s="97"/>
      <c r="EY434" s="98"/>
      <c r="HP434" s="12"/>
      <c r="HZ434" s="12"/>
      <c r="IC434" s="12"/>
      <c r="JV434" s="13"/>
      <c r="JX434" s="13"/>
      <c r="JY434" s="12"/>
      <c r="LT434" s="13"/>
      <c r="LU434" s="12"/>
      <c r="LV434" s="13"/>
      <c r="NV434" s="13"/>
      <c r="NY434" s="13"/>
    </row>
    <row r="435" spans="27:389" ht="10.75" customHeight="1" x14ac:dyDescent="0.2">
      <c r="AA435" s="12"/>
      <c r="AB435" s="12"/>
      <c r="AC435" s="280"/>
      <c r="AD435" s="280"/>
      <c r="AE435" s="280"/>
      <c r="AF435" s="280"/>
      <c r="AG435" s="280"/>
      <c r="AH435" s="280"/>
      <c r="AI435" s="280"/>
      <c r="AJ435" s="280"/>
      <c r="AK435" s="280"/>
      <c r="AL435" s="280"/>
      <c r="AM435" s="280"/>
      <c r="AN435" s="280"/>
      <c r="AO435" s="280"/>
      <c r="AP435" s="280"/>
      <c r="AQ435" s="13"/>
      <c r="AR435" s="96"/>
      <c r="AS435" s="97"/>
      <c r="AT435" s="97"/>
      <c r="AU435" s="97"/>
      <c r="AV435" s="43"/>
      <c r="AW435" s="43"/>
      <c r="AX435" s="43"/>
      <c r="AY435" s="43"/>
      <c r="AZ435" s="43"/>
      <c r="BA435" s="43"/>
      <c r="BB435" s="45"/>
      <c r="BC435" s="43"/>
      <c r="BD435" s="43"/>
      <c r="BE435" s="43"/>
      <c r="BF435" s="43"/>
      <c r="BG435" s="43"/>
      <c r="BH435" s="43"/>
      <c r="BI435" s="43"/>
      <c r="BJ435" s="43"/>
      <c r="BK435" s="43"/>
      <c r="BL435" s="43"/>
      <c r="BM435" s="43"/>
      <c r="BN435" s="43"/>
      <c r="BO435" s="43"/>
      <c r="BP435" s="43"/>
      <c r="BQ435" s="43"/>
      <c r="BR435" s="43"/>
      <c r="BS435" s="43"/>
      <c r="BT435" s="43"/>
      <c r="BU435" s="43"/>
      <c r="BV435" s="43"/>
      <c r="BW435" s="43"/>
      <c r="BX435" s="43"/>
      <c r="BY435" s="43"/>
      <c r="BZ435" s="43"/>
      <c r="CA435" s="43"/>
      <c r="CB435" s="43"/>
      <c r="CC435" s="43"/>
      <c r="CD435" s="43"/>
      <c r="CE435" s="43"/>
      <c r="CF435" s="43"/>
      <c r="CG435" s="43"/>
      <c r="CH435" s="43"/>
      <c r="CI435" s="43"/>
      <c r="CJ435" s="43"/>
      <c r="CK435" s="43"/>
      <c r="CL435" s="43"/>
      <c r="CM435" s="43"/>
      <c r="CN435" s="43"/>
      <c r="CO435" s="43"/>
      <c r="CP435" s="43"/>
      <c r="CQ435" s="43"/>
      <c r="CR435" s="43"/>
      <c r="CS435" s="43"/>
      <c r="CT435" s="43"/>
      <c r="CU435" s="97"/>
      <c r="CV435" s="97"/>
      <c r="CW435" s="97"/>
      <c r="CX435" s="97"/>
      <c r="CY435" s="43"/>
      <c r="CZ435" s="43"/>
      <c r="DA435" s="43"/>
      <c r="DB435" s="43"/>
      <c r="DC435" s="43"/>
      <c r="DD435" s="43"/>
      <c r="DE435" s="43"/>
      <c r="DF435" s="43"/>
      <c r="DG435" s="43"/>
      <c r="DH435" s="43"/>
      <c r="DI435" s="43"/>
      <c r="DJ435" s="43"/>
      <c r="DK435" s="43"/>
      <c r="DL435" s="43"/>
      <c r="DM435" s="43"/>
      <c r="DN435" s="43"/>
      <c r="DO435" s="43"/>
      <c r="DP435" s="43"/>
      <c r="DQ435" s="43"/>
      <c r="DR435" s="43"/>
      <c r="DS435" s="43"/>
      <c r="DT435" s="43"/>
      <c r="DU435" s="43"/>
      <c r="DV435" s="43"/>
      <c r="DW435" s="43"/>
      <c r="DX435" s="43"/>
      <c r="DY435" s="43"/>
      <c r="DZ435" s="43"/>
      <c r="EA435" s="43"/>
      <c r="EB435" s="43"/>
      <c r="EC435" s="43"/>
      <c r="ED435" s="43"/>
      <c r="EE435" s="43"/>
      <c r="EF435" s="43"/>
      <c r="EG435" s="43"/>
      <c r="EH435" s="43"/>
      <c r="EI435" s="43"/>
      <c r="EJ435" s="43"/>
      <c r="EK435" s="121"/>
      <c r="EL435" s="119"/>
      <c r="EM435" s="119"/>
      <c r="EN435" s="119"/>
      <c r="EO435" s="119"/>
      <c r="EP435" s="119"/>
      <c r="EQ435" s="119"/>
      <c r="ER435" s="119"/>
      <c r="ES435" s="119"/>
      <c r="ET435" s="122"/>
      <c r="EU435" s="43"/>
      <c r="EV435" s="43"/>
      <c r="EW435" s="97"/>
      <c r="EX435" s="97"/>
      <c r="EY435" s="98"/>
      <c r="HP435" s="12"/>
      <c r="HZ435" s="12"/>
      <c r="IC435" s="12"/>
      <c r="JV435" s="13"/>
      <c r="JX435" s="13"/>
      <c r="JY435" s="12"/>
      <c r="LT435" s="13"/>
      <c r="LU435" s="12"/>
      <c r="LV435" s="13"/>
      <c r="NV435" s="13"/>
      <c r="NY435" s="13"/>
    </row>
    <row r="436" spans="27:389" ht="10.75" customHeight="1" x14ac:dyDescent="0.2">
      <c r="AA436" s="12"/>
      <c r="AB436" s="12"/>
      <c r="AC436" s="280"/>
      <c r="AD436" s="280"/>
      <c r="AE436" s="280"/>
      <c r="AF436" s="280"/>
      <c r="AG436" s="280"/>
      <c r="AH436" s="280"/>
      <c r="AI436" s="280"/>
      <c r="AJ436" s="280"/>
      <c r="AK436" s="280"/>
      <c r="AL436" s="280"/>
      <c r="AM436" s="280"/>
      <c r="AN436" s="280"/>
      <c r="AO436" s="280"/>
      <c r="AP436" s="280"/>
      <c r="AQ436" s="13"/>
      <c r="AR436" s="59"/>
      <c r="AS436" s="60"/>
      <c r="AT436" s="60"/>
      <c r="AU436" s="60"/>
      <c r="AV436" s="47"/>
      <c r="AW436" s="47"/>
      <c r="AX436" s="47"/>
      <c r="AY436" s="47"/>
      <c r="AZ436" s="47"/>
      <c r="BA436" s="47"/>
      <c r="BB436" s="48"/>
      <c r="BC436" s="47"/>
      <c r="BD436" s="47"/>
      <c r="BE436" s="47"/>
      <c r="BF436" s="47"/>
      <c r="BG436" s="47"/>
      <c r="BH436" s="47"/>
      <c r="BI436" s="47"/>
      <c r="BJ436" s="47"/>
      <c r="BK436" s="47"/>
      <c r="BL436" s="47"/>
      <c r="BM436" s="47"/>
      <c r="BN436" s="47"/>
      <c r="BO436" s="47"/>
      <c r="BP436" s="47"/>
      <c r="BQ436" s="47"/>
      <c r="BR436" s="47"/>
      <c r="BS436" s="47"/>
      <c r="BT436" s="47"/>
      <c r="BU436" s="47"/>
      <c r="BV436" s="47"/>
      <c r="BW436" s="47"/>
      <c r="BX436" s="47"/>
      <c r="BY436" s="47"/>
      <c r="BZ436" s="47"/>
      <c r="CA436" s="47"/>
      <c r="CB436" s="47"/>
      <c r="CC436" s="47"/>
      <c r="CD436" s="47"/>
      <c r="CE436" s="47"/>
      <c r="CF436" s="47"/>
      <c r="CG436" s="47"/>
      <c r="CH436" s="47"/>
      <c r="CI436" s="47"/>
      <c r="CJ436" s="47"/>
      <c r="CK436" s="47"/>
      <c r="CL436" s="47"/>
      <c r="CM436" s="47"/>
      <c r="CN436" s="47"/>
      <c r="CO436" s="47"/>
      <c r="CP436" s="47"/>
      <c r="CQ436" s="47"/>
      <c r="CR436" s="47"/>
      <c r="CS436" s="47"/>
      <c r="CT436" s="47"/>
      <c r="CU436" s="60"/>
      <c r="CV436" s="60"/>
      <c r="CW436" s="60"/>
      <c r="CX436" s="60"/>
      <c r="CY436" s="47"/>
      <c r="CZ436" s="47"/>
      <c r="DA436" s="47"/>
      <c r="DB436" s="47"/>
      <c r="DC436" s="47"/>
      <c r="DD436" s="47"/>
      <c r="DE436" s="47"/>
      <c r="DF436" s="47"/>
      <c r="DG436" s="47"/>
      <c r="DH436" s="47"/>
      <c r="DI436" s="47"/>
      <c r="DJ436" s="47"/>
      <c r="DK436" s="47"/>
      <c r="DL436" s="47"/>
      <c r="DM436" s="47"/>
      <c r="DN436" s="47"/>
      <c r="DO436" s="47"/>
      <c r="DP436" s="47"/>
      <c r="DQ436" s="47"/>
      <c r="DR436" s="47"/>
      <c r="DS436" s="47"/>
      <c r="DT436" s="47"/>
      <c r="DU436" s="47"/>
      <c r="DV436" s="47"/>
      <c r="DW436" s="47"/>
      <c r="DX436" s="47"/>
      <c r="DY436" s="47"/>
      <c r="DZ436" s="47"/>
      <c r="EA436" s="47"/>
      <c r="EB436" s="47"/>
      <c r="EC436" s="47"/>
      <c r="ED436" s="47"/>
      <c r="EE436" s="47"/>
      <c r="EF436" s="47"/>
      <c r="EG436" s="47"/>
      <c r="EH436" s="47"/>
      <c r="EI436" s="47"/>
      <c r="EJ436" s="47"/>
      <c r="EK436" s="123"/>
      <c r="EL436" s="109"/>
      <c r="EM436" s="109"/>
      <c r="EN436" s="109"/>
      <c r="EO436" s="109"/>
      <c r="EP436" s="109"/>
      <c r="EQ436" s="109"/>
      <c r="ER436" s="109"/>
      <c r="ES436" s="109"/>
      <c r="ET436" s="124"/>
      <c r="EU436" s="47"/>
      <c r="EV436" s="47"/>
      <c r="EW436" s="60"/>
      <c r="EX436" s="60"/>
      <c r="EY436" s="61"/>
      <c r="HP436" s="12"/>
      <c r="HZ436" s="12"/>
      <c r="IC436" s="12"/>
      <c r="JV436" s="13"/>
      <c r="JX436" s="13"/>
      <c r="JY436" s="12"/>
      <c r="LT436" s="13"/>
      <c r="LU436" s="12"/>
      <c r="LV436" s="13"/>
      <c r="NV436" s="13"/>
      <c r="NY436" s="13"/>
    </row>
    <row r="437" spans="27:389" ht="10.75" customHeight="1" x14ac:dyDescent="0.2">
      <c r="AA437" s="12"/>
      <c r="AB437" s="12"/>
      <c r="AC437" s="280"/>
      <c r="AD437" s="280"/>
      <c r="AE437" s="280"/>
      <c r="AF437" s="280"/>
      <c r="AG437" s="280"/>
      <c r="AH437" s="280"/>
      <c r="AI437" s="280"/>
      <c r="AJ437" s="280"/>
      <c r="AK437" s="280"/>
      <c r="AL437" s="280"/>
      <c r="AM437" s="280"/>
      <c r="AN437" s="280"/>
      <c r="AO437" s="280"/>
      <c r="AP437" s="280"/>
      <c r="AQ437" s="280"/>
      <c r="AR437" s="280"/>
      <c r="AS437" s="280"/>
      <c r="AT437" s="280"/>
      <c r="AU437" s="280"/>
      <c r="AV437" s="280"/>
      <c r="AW437" s="280"/>
      <c r="AX437" s="280"/>
      <c r="AY437" s="13"/>
      <c r="AZ437" s="17"/>
      <c r="EZ437" s="280"/>
      <c r="FA437" s="280"/>
      <c r="FB437" s="280"/>
      <c r="FC437" s="280"/>
      <c r="FD437" s="280"/>
      <c r="FE437" s="280"/>
      <c r="FF437" s="280"/>
      <c r="FG437" s="280"/>
      <c r="FH437" s="280"/>
      <c r="FI437" s="280"/>
      <c r="FJ437" s="280"/>
      <c r="FK437" s="280"/>
      <c r="FL437" s="280"/>
      <c r="FM437" s="280"/>
      <c r="FN437" s="280"/>
      <c r="FO437" s="280"/>
      <c r="FP437" s="280"/>
      <c r="FQ437" s="280"/>
      <c r="FR437" s="280"/>
      <c r="FS437" s="280"/>
      <c r="FT437" s="280"/>
      <c r="FU437" s="280"/>
      <c r="FV437" s="280"/>
      <c r="FW437" s="280"/>
      <c r="FX437" s="280"/>
      <c r="FY437" s="280"/>
      <c r="FZ437" s="280"/>
      <c r="GA437" s="280"/>
      <c r="GB437" s="280"/>
      <c r="GC437" s="280"/>
      <c r="GD437" s="280"/>
      <c r="GE437" s="280"/>
      <c r="GF437" s="280"/>
      <c r="GG437" s="280"/>
      <c r="GH437" s="280"/>
      <c r="GI437" s="280"/>
      <c r="HP437" s="12"/>
      <c r="HZ437" s="12"/>
      <c r="IC437" s="12"/>
      <c r="JV437" s="13"/>
      <c r="JX437" s="13"/>
      <c r="JY437" s="12"/>
      <c r="LT437" s="13"/>
      <c r="LU437" s="12"/>
      <c r="LV437" s="13"/>
      <c r="NV437" s="13"/>
      <c r="NY437" s="13"/>
    </row>
    <row r="438" spans="27:389" ht="10.75" customHeight="1" x14ac:dyDescent="0.2">
      <c r="AA438" s="12"/>
      <c r="AB438" s="12"/>
      <c r="AC438" s="280"/>
      <c r="AD438" s="280"/>
      <c r="AE438" s="280"/>
      <c r="AF438" s="280"/>
      <c r="AG438" s="280"/>
      <c r="AH438" s="280"/>
      <c r="AI438" s="280"/>
      <c r="AJ438" s="280"/>
      <c r="AK438" s="280"/>
      <c r="AL438" s="280"/>
      <c r="AM438" s="280"/>
      <c r="AN438" s="280"/>
      <c r="AO438" s="280"/>
      <c r="AP438" s="280"/>
      <c r="AQ438" s="280"/>
      <c r="AR438" s="280"/>
      <c r="AS438" s="280"/>
      <c r="AT438" s="280"/>
      <c r="AU438" s="280"/>
      <c r="AV438" s="280"/>
      <c r="AW438" s="280"/>
      <c r="AX438" s="280"/>
      <c r="AY438" s="13"/>
      <c r="AZ438" s="18"/>
      <c r="EZ438" s="280"/>
      <c r="FA438" s="280"/>
      <c r="FB438" s="280"/>
      <c r="FC438" s="280"/>
      <c r="FD438" s="280"/>
      <c r="FE438" s="280"/>
      <c r="FF438" s="280"/>
      <c r="FG438" s="280"/>
      <c r="FH438" s="280"/>
      <c r="FI438" s="280"/>
      <c r="FJ438" s="280"/>
      <c r="FK438" s="280"/>
      <c r="FL438" s="280"/>
      <c r="FM438" s="280"/>
      <c r="FN438" s="280"/>
      <c r="FO438" s="280"/>
      <c r="FP438" s="280"/>
      <c r="FQ438" s="280"/>
      <c r="FR438" s="280"/>
      <c r="FS438" s="280"/>
      <c r="FT438" s="280"/>
      <c r="FU438" s="280"/>
      <c r="FV438" s="280"/>
      <c r="FW438" s="280"/>
      <c r="FX438" s="280"/>
      <c r="FY438" s="280"/>
      <c r="FZ438" s="280"/>
      <c r="GA438" s="280"/>
      <c r="GB438" s="280"/>
      <c r="GC438" s="280"/>
      <c r="GD438" s="280"/>
      <c r="GE438" s="280"/>
      <c r="GF438" s="280"/>
      <c r="GG438" s="280"/>
      <c r="GH438" s="280" t="s">
        <v>6</v>
      </c>
      <c r="GI438" s="280"/>
      <c r="HP438" s="12"/>
      <c r="HZ438" s="12"/>
      <c r="IC438" s="12"/>
      <c r="JV438" s="13"/>
      <c r="JX438" s="13"/>
      <c r="JY438" s="12"/>
      <c r="LT438" s="13"/>
      <c r="LU438" s="12"/>
      <c r="LV438" s="13"/>
      <c r="NV438" s="13"/>
      <c r="NY438" s="13"/>
    </row>
    <row r="439" spans="27:389" ht="10.75" customHeight="1" x14ac:dyDescent="0.2">
      <c r="AA439" s="12"/>
      <c r="AB439" s="12"/>
      <c r="AC439" s="280"/>
      <c r="AD439" s="280"/>
      <c r="AE439" s="280"/>
      <c r="AF439" s="280"/>
      <c r="AG439" s="280"/>
      <c r="AH439" s="280"/>
      <c r="AI439" s="280"/>
      <c r="AJ439" s="280"/>
      <c r="AK439" s="280"/>
      <c r="AL439" s="280"/>
      <c r="AM439" s="280"/>
      <c r="AN439" s="280"/>
      <c r="AO439" s="280"/>
      <c r="AP439" s="280"/>
      <c r="AQ439" s="280"/>
      <c r="AR439" s="280"/>
      <c r="AS439" s="280"/>
      <c r="AT439" s="280"/>
      <c r="AU439" s="280"/>
      <c r="AV439" s="280"/>
      <c r="AW439" s="280"/>
      <c r="AX439" s="280"/>
      <c r="AY439" s="13"/>
      <c r="AZ439" s="18"/>
      <c r="EZ439" s="280"/>
      <c r="FA439" s="280"/>
      <c r="FB439" s="280"/>
      <c r="FC439" s="280"/>
      <c r="FD439" s="280"/>
      <c r="FE439" s="280"/>
      <c r="FF439" s="280"/>
      <c r="FG439" s="280"/>
      <c r="FH439" s="280"/>
      <c r="FI439" s="280"/>
      <c r="FJ439" s="280"/>
      <c r="FK439" s="280"/>
      <c r="FL439" s="280"/>
      <c r="FM439" s="280"/>
      <c r="FN439" s="280"/>
      <c r="FO439" s="280"/>
      <c r="FP439" s="280"/>
      <c r="FQ439" s="280"/>
      <c r="FR439" s="280"/>
      <c r="FS439" s="280"/>
      <c r="FT439" s="280"/>
      <c r="FU439" s="280"/>
      <c r="FV439" s="280"/>
      <c r="FW439" s="280"/>
      <c r="FX439" s="280"/>
      <c r="FY439" s="280"/>
      <c r="FZ439" s="280"/>
      <c r="GA439" s="280"/>
      <c r="GB439" s="280"/>
      <c r="GC439" s="280"/>
      <c r="GD439" s="280"/>
      <c r="GE439" s="280"/>
      <c r="GF439" s="280"/>
      <c r="GG439" s="280"/>
      <c r="GH439" s="280"/>
      <c r="GI439" s="280"/>
      <c r="HP439" s="12"/>
      <c r="HZ439" s="12"/>
      <c r="IC439" s="12"/>
      <c r="JV439" s="13"/>
      <c r="JX439" s="13"/>
      <c r="JY439" s="12"/>
      <c r="LT439" s="13"/>
      <c r="LU439" s="12"/>
      <c r="LV439" s="13"/>
      <c r="NV439" s="13"/>
      <c r="NY439" s="13"/>
    </row>
    <row r="440" spans="27:389" ht="10.75" customHeight="1" x14ac:dyDescent="0.2">
      <c r="AA440" s="12"/>
      <c r="AB440" s="12"/>
      <c r="AC440" s="280"/>
      <c r="AD440" s="280"/>
      <c r="AE440" s="280"/>
      <c r="AF440" s="280"/>
      <c r="AG440" s="280"/>
      <c r="AH440" s="280"/>
      <c r="AI440" s="280"/>
      <c r="AJ440" s="280"/>
      <c r="AK440" s="280"/>
      <c r="AL440" s="280"/>
      <c r="AM440" s="280"/>
      <c r="AN440" s="280"/>
      <c r="AO440" s="280"/>
      <c r="AP440" s="280"/>
      <c r="AQ440" s="280"/>
      <c r="AR440" s="280"/>
      <c r="AS440" s="280"/>
      <c r="AT440" s="280"/>
      <c r="AU440" s="280"/>
      <c r="AV440" s="280"/>
      <c r="AW440" s="280"/>
      <c r="AX440" s="280"/>
      <c r="AY440" s="13"/>
      <c r="AZ440" s="18"/>
      <c r="EZ440" s="280"/>
      <c r="FA440" s="280"/>
      <c r="FB440" s="280"/>
      <c r="FC440" s="280"/>
      <c r="FD440" s="280"/>
      <c r="FE440" s="280"/>
      <c r="FF440" s="280"/>
      <c r="FG440" s="280"/>
      <c r="FH440" s="280"/>
      <c r="FI440" s="280"/>
      <c r="FJ440" s="280"/>
      <c r="FK440" s="280"/>
      <c r="FL440" s="280"/>
      <c r="FM440" s="280"/>
      <c r="FN440" s="280"/>
      <c r="FO440" s="280"/>
      <c r="FP440" s="280"/>
      <c r="FQ440" s="280"/>
      <c r="FR440" s="280"/>
      <c r="FS440" s="280"/>
      <c r="FT440" s="280"/>
      <c r="FU440" s="280"/>
      <c r="FV440" s="280"/>
      <c r="FW440" s="280"/>
      <c r="FX440" s="280"/>
      <c r="FY440" s="280"/>
      <c r="FZ440" s="280"/>
      <c r="GA440" s="280"/>
      <c r="GB440" s="280"/>
      <c r="GC440" s="280"/>
      <c r="GD440" s="280"/>
      <c r="GE440" s="280"/>
      <c r="GF440" s="280"/>
      <c r="GG440" s="280"/>
      <c r="GH440" s="280"/>
      <c r="GI440" s="280"/>
      <c r="HP440" s="12"/>
      <c r="HZ440" s="12"/>
      <c r="IC440" s="12"/>
      <c r="JV440" s="13"/>
      <c r="JX440" s="13"/>
      <c r="JY440" s="12"/>
      <c r="LT440" s="13"/>
      <c r="LU440" s="12"/>
      <c r="LV440" s="13"/>
      <c r="NV440" s="13"/>
      <c r="NY440" s="13"/>
    </row>
    <row r="441" spans="27:389" ht="10.75" customHeight="1" x14ac:dyDescent="0.2">
      <c r="AA441" s="12"/>
      <c r="AB441" s="12"/>
      <c r="AC441" s="280"/>
      <c r="AD441" s="280"/>
      <c r="AE441" s="280"/>
      <c r="AF441" s="280"/>
      <c r="AG441" s="280"/>
      <c r="AH441" s="280"/>
      <c r="AI441" s="280"/>
      <c r="AJ441" s="280"/>
      <c r="AK441" s="280"/>
      <c r="AL441" s="280"/>
      <c r="AM441" s="280"/>
      <c r="AN441" s="280"/>
      <c r="AO441" s="280"/>
      <c r="AP441" s="280"/>
      <c r="AQ441" s="280"/>
      <c r="AR441" s="280"/>
      <c r="AS441" s="280"/>
      <c r="AT441" s="280"/>
      <c r="AU441" s="280"/>
      <c r="AV441" s="280"/>
      <c r="AW441" s="280"/>
      <c r="AX441" s="280"/>
      <c r="AY441" s="13"/>
      <c r="AZ441" s="18"/>
      <c r="EZ441" s="280"/>
      <c r="FA441" s="280"/>
      <c r="FB441" s="280"/>
      <c r="FC441" s="280"/>
      <c r="FD441" s="280"/>
      <c r="FE441" s="280"/>
      <c r="FF441" s="280"/>
      <c r="FG441" s="280"/>
      <c r="FH441" s="280"/>
      <c r="FI441" s="280"/>
      <c r="FJ441" s="280"/>
      <c r="FK441" s="280"/>
      <c r="FL441" s="280"/>
      <c r="FM441" s="280"/>
      <c r="FN441" s="280"/>
      <c r="FO441" s="280"/>
      <c r="FP441" s="280"/>
      <c r="FQ441" s="280"/>
      <c r="FR441" s="280"/>
      <c r="FS441" s="280"/>
      <c r="FT441" s="280"/>
      <c r="FU441" s="280"/>
      <c r="FV441" s="280"/>
      <c r="FW441" s="280"/>
      <c r="FX441" s="280"/>
      <c r="FY441" s="280"/>
      <c r="FZ441" s="280"/>
      <c r="GA441" s="280"/>
      <c r="GB441" s="280"/>
      <c r="GC441" s="280"/>
      <c r="GD441" s="280"/>
      <c r="GE441" s="280"/>
      <c r="GF441" s="280"/>
      <c r="GG441" s="280"/>
      <c r="GH441" s="280"/>
      <c r="GI441" s="280"/>
      <c r="HP441" s="12"/>
      <c r="HZ441" s="12"/>
      <c r="IC441" s="14"/>
      <c r="ID441" s="15"/>
      <c r="IE441" s="15"/>
      <c r="IF441" s="15"/>
      <c r="IG441" s="15"/>
      <c r="IH441" s="15"/>
      <c r="II441" s="15"/>
      <c r="IJ441" s="15"/>
      <c r="IK441" s="15"/>
      <c r="IL441" s="15"/>
      <c r="IM441" s="15"/>
      <c r="IN441" s="15"/>
      <c r="IO441" s="15"/>
      <c r="IP441" s="15"/>
      <c r="IQ441" s="15"/>
      <c r="IR441" s="15"/>
      <c r="IS441" s="15"/>
      <c r="IT441" s="15"/>
      <c r="IU441" s="15"/>
      <c r="IV441" s="15"/>
      <c r="IW441" s="15"/>
      <c r="IX441" s="15"/>
      <c r="IY441" s="15"/>
      <c r="IZ441" s="15"/>
      <c r="JA441" s="15"/>
      <c r="JB441" s="15"/>
      <c r="JC441" s="15"/>
      <c r="JD441" s="15"/>
      <c r="JE441" s="15"/>
      <c r="JF441" s="15"/>
      <c r="JG441" s="15"/>
      <c r="JH441" s="15"/>
      <c r="JI441" s="15"/>
      <c r="JJ441" s="15"/>
      <c r="JK441" s="15"/>
      <c r="JL441" s="15"/>
      <c r="JM441" s="15"/>
      <c r="JN441" s="15"/>
      <c r="JO441" s="15"/>
      <c r="JP441" s="15"/>
      <c r="JQ441" s="15"/>
      <c r="JR441" s="15"/>
      <c r="JS441" s="15"/>
      <c r="JT441" s="15"/>
      <c r="JU441" s="15"/>
      <c r="JV441" s="16"/>
      <c r="JX441" s="13"/>
      <c r="JY441" s="12"/>
      <c r="LT441" s="13"/>
      <c r="LU441" s="12"/>
      <c r="LV441" s="13"/>
      <c r="NV441" s="13"/>
      <c r="NY441" s="13"/>
    </row>
    <row r="442" spans="27:389" ht="10.75" customHeight="1" x14ac:dyDescent="0.2">
      <c r="AA442" s="12"/>
      <c r="AB442" s="12"/>
      <c r="AC442" s="280"/>
      <c r="AD442" s="280"/>
      <c r="AE442" s="280"/>
      <c r="AF442" s="280"/>
      <c r="AG442" s="280"/>
      <c r="AH442" s="280"/>
      <c r="AI442" s="280"/>
      <c r="AJ442" s="280"/>
      <c r="AK442" s="280"/>
      <c r="AL442" s="280"/>
      <c r="AM442" s="280"/>
      <c r="AN442" s="280"/>
      <c r="AO442" s="280"/>
      <c r="AP442" s="280"/>
      <c r="AQ442" s="280"/>
      <c r="AR442" s="280"/>
      <c r="AS442" s="280"/>
      <c r="AT442" s="280"/>
      <c r="AU442" s="280"/>
      <c r="AV442" s="280"/>
      <c r="AW442" s="280"/>
      <c r="AX442" s="280"/>
      <c r="AY442" s="13"/>
      <c r="AZ442" s="18"/>
      <c r="EZ442" s="280"/>
      <c r="FA442" s="280"/>
      <c r="FB442" s="280"/>
      <c r="FC442" s="280"/>
      <c r="FD442" s="280"/>
      <c r="FE442" s="280"/>
      <c r="FF442" s="280"/>
      <c r="FG442" s="280"/>
      <c r="FH442" s="280"/>
      <c r="FI442" s="280"/>
      <c r="FJ442" s="280"/>
      <c r="FK442" s="280"/>
      <c r="FL442" s="280"/>
      <c r="FM442" s="280"/>
      <c r="FN442" s="280"/>
      <c r="FO442" s="280"/>
      <c r="FP442" s="280"/>
      <c r="FQ442" s="280"/>
      <c r="FR442" s="280"/>
      <c r="FS442" s="280"/>
      <c r="FT442" s="280"/>
      <c r="FU442" s="280"/>
      <c r="FV442" s="280"/>
      <c r="FW442" s="280"/>
      <c r="FX442" s="280"/>
      <c r="FY442" s="280"/>
      <c r="FZ442" s="280"/>
      <c r="GA442" s="280"/>
      <c r="GB442" s="280"/>
      <c r="GC442" s="280"/>
      <c r="GD442" s="280"/>
      <c r="GE442" s="280"/>
      <c r="GF442" s="280"/>
      <c r="GG442" s="280"/>
      <c r="GH442" s="280"/>
      <c r="GI442" s="280"/>
      <c r="HP442" s="12"/>
      <c r="HZ442" s="12"/>
      <c r="IC442" s="12"/>
      <c r="JV442" s="13"/>
      <c r="JX442" s="13"/>
      <c r="JY442" s="12"/>
      <c r="LT442" s="13"/>
      <c r="LU442" s="12"/>
      <c r="LV442" s="13"/>
      <c r="NV442" s="13"/>
      <c r="NY442" s="13"/>
    </row>
    <row r="443" spans="27:389" ht="10.75" customHeight="1" x14ac:dyDescent="0.2">
      <c r="AA443" s="12"/>
      <c r="AB443" s="12"/>
      <c r="AC443" s="280"/>
      <c r="AD443" s="280"/>
      <c r="AE443" s="280"/>
      <c r="AF443" s="280"/>
      <c r="AG443" s="280"/>
      <c r="AH443" s="280"/>
      <c r="AI443" s="280"/>
      <c r="AJ443" s="280"/>
      <c r="AK443" s="280"/>
      <c r="AL443" s="280"/>
      <c r="AM443" s="280"/>
      <c r="AN443" s="280"/>
      <c r="AO443" s="280"/>
      <c r="AP443" s="280"/>
      <c r="AQ443" s="280"/>
      <c r="AR443" s="280"/>
      <c r="AS443" s="280"/>
      <c r="AT443" s="280"/>
      <c r="AU443" s="280"/>
      <c r="AV443" s="280"/>
      <c r="AW443" s="280"/>
      <c r="AX443" s="280"/>
      <c r="AY443" s="13"/>
      <c r="AZ443" s="18"/>
      <c r="EZ443" s="280"/>
      <c r="FA443" s="280"/>
      <c r="FB443" s="280"/>
      <c r="FC443" s="280"/>
      <c r="FD443" s="280"/>
      <c r="FE443" s="280"/>
      <c r="FF443" s="280"/>
      <c r="FG443" s="280"/>
      <c r="FH443" s="280"/>
      <c r="FI443" s="280"/>
      <c r="FJ443" s="280"/>
      <c r="FK443" s="280"/>
      <c r="FL443" s="280"/>
      <c r="FM443" s="280"/>
      <c r="FN443" s="280"/>
      <c r="FO443" s="280"/>
      <c r="FP443" s="280"/>
      <c r="FQ443" s="280"/>
      <c r="FR443" s="280"/>
      <c r="FS443" s="280"/>
      <c r="FT443" s="280"/>
      <c r="FU443" s="280"/>
      <c r="FV443" s="280"/>
      <c r="FW443" s="280"/>
      <c r="FX443" s="280"/>
      <c r="FY443" s="280"/>
      <c r="FZ443" s="280"/>
      <c r="GA443" s="280"/>
      <c r="GB443" s="280"/>
      <c r="GC443" s="280"/>
      <c r="GD443" s="280"/>
      <c r="GE443" s="280"/>
      <c r="GF443" s="280"/>
      <c r="GG443" s="280"/>
      <c r="GH443" s="280"/>
      <c r="GI443" s="280"/>
      <c r="HP443" s="12"/>
      <c r="HZ443" s="12"/>
      <c r="IC443" s="14"/>
      <c r="ID443" s="15"/>
      <c r="IE443" s="15"/>
      <c r="IF443" s="15"/>
      <c r="IG443" s="15"/>
      <c r="IH443" s="15"/>
      <c r="II443" s="15"/>
      <c r="IJ443" s="15"/>
      <c r="IK443" s="15"/>
      <c r="IL443" s="15"/>
      <c r="IM443" s="15"/>
      <c r="IN443" s="15"/>
      <c r="IO443" s="15"/>
      <c r="IP443" s="15"/>
      <c r="IQ443" s="15"/>
      <c r="IR443" s="15"/>
      <c r="IS443" s="15"/>
      <c r="IT443" s="15"/>
      <c r="IU443" s="15"/>
      <c r="IV443" s="15"/>
      <c r="IW443" s="15"/>
      <c r="IX443" s="15"/>
      <c r="IY443" s="15"/>
      <c r="IZ443" s="15"/>
      <c r="JA443" s="15"/>
      <c r="JB443" s="15"/>
      <c r="JC443" s="15"/>
      <c r="JD443" s="15"/>
      <c r="JE443" s="15"/>
      <c r="JF443" s="15"/>
      <c r="JG443" s="15"/>
      <c r="JH443" s="15"/>
      <c r="JI443" s="15"/>
      <c r="JJ443" s="15"/>
      <c r="JK443" s="15"/>
      <c r="JL443" s="15"/>
      <c r="JM443" s="15"/>
      <c r="JN443" s="15"/>
      <c r="JO443" s="15"/>
      <c r="JP443" s="15"/>
      <c r="JQ443" s="15"/>
      <c r="JR443" s="15"/>
      <c r="JS443" s="15"/>
      <c r="JT443" s="15"/>
      <c r="JU443" s="15"/>
      <c r="JV443" s="16"/>
      <c r="JX443" s="13"/>
      <c r="JY443" s="12"/>
      <c r="LT443" s="13"/>
      <c r="LU443" s="12"/>
      <c r="LV443" s="13"/>
      <c r="NV443" s="13"/>
      <c r="NY443" s="13"/>
    </row>
    <row r="444" spans="27:389" ht="10.75" customHeight="1" x14ac:dyDescent="0.2">
      <c r="AA444" s="12"/>
      <c r="AB444" s="12"/>
      <c r="AC444" s="280"/>
      <c r="AD444" s="280"/>
      <c r="AE444" s="280"/>
      <c r="AF444" s="280"/>
      <c r="AG444" s="280"/>
      <c r="AH444" s="280"/>
      <c r="AI444" s="280"/>
      <c r="AJ444" s="280"/>
      <c r="AK444" s="280"/>
      <c r="AL444" s="280"/>
      <c r="AM444" s="280"/>
      <c r="AN444" s="280"/>
      <c r="AO444" s="280"/>
      <c r="AP444" s="280"/>
      <c r="AQ444" s="280"/>
      <c r="AR444" s="280"/>
      <c r="AS444" s="280"/>
      <c r="AT444" s="280"/>
      <c r="AU444" s="280"/>
      <c r="AV444" s="280"/>
      <c r="AW444" s="280"/>
      <c r="AX444" s="280"/>
      <c r="AY444" s="13"/>
      <c r="AZ444" s="18"/>
      <c r="EZ444" s="280"/>
      <c r="FA444" s="280"/>
      <c r="FB444" s="280"/>
      <c r="FC444" s="280"/>
      <c r="FD444" s="280"/>
      <c r="FE444" s="280"/>
      <c r="FF444" s="280"/>
      <c r="FG444" s="280"/>
      <c r="FH444" s="280"/>
      <c r="FI444" s="280"/>
      <c r="FJ444" s="280"/>
      <c r="FK444" s="280"/>
      <c r="FL444" s="280"/>
      <c r="FM444" s="280"/>
      <c r="FN444" s="280"/>
      <c r="FO444" s="280"/>
      <c r="FP444" s="280"/>
      <c r="FQ444" s="280"/>
      <c r="FR444" s="280"/>
      <c r="FS444" s="280"/>
      <c r="FT444" s="280"/>
      <c r="FU444" s="280"/>
      <c r="FV444" s="280"/>
      <c r="FW444" s="280"/>
      <c r="FX444" s="280"/>
      <c r="FY444" s="280"/>
      <c r="FZ444" s="280"/>
      <c r="GA444" s="280"/>
      <c r="GB444" s="280"/>
      <c r="GC444" s="280"/>
      <c r="GD444" s="280"/>
      <c r="GE444" s="280"/>
      <c r="GF444" s="280"/>
      <c r="GG444" s="280"/>
      <c r="GH444" s="280"/>
      <c r="GI444" s="280"/>
      <c r="HP444" s="12"/>
      <c r="HZ444" s="12"/>
      <c r="IC444" s="12"/>
      <c r="JV444" s="13"/>
      <c r="JX444" s="13"/>
      <c r="JY444" s="12"/>
      <c r="LT444" s="13"/>
      <c r="LU444" s="12"/>
      <c r="LV444" s="13"/>
      <c r="NV444" s="13"/>
      <c r="NY444" s="13"/>
    </row>
    <row r="445" spans="27:389" ht="10.75" customHeight="1" x14ac:dyDescent="0.2">
      <c r="AA445" s="12"/>
      <c r="AB445" s="12"/>
      <c r="AC445" s="280"/>
      <c r="AD445" s="280"/>
      <c r="AE445" s="280"/>
      <c r="AF445" s="280"/>
      <c r="AG445" s="280"/>
      <c r="AH445" s="280"/>
      <c r="AI445" s="280"/>
      <c r="AJ445" s="280"/>
      <c r="AK445" s="280"/>
      <c r="AL445" s="280"/>
      <c r="AM445" s="280"/>
      <c r="AN445" s="280"/>
      <c r="AO445" s="280"/>
      <c r="AP445" s="280"/>
      <c r="AQ445" s="280"/>
      <c r="AR445" s="280"/>
      <c r="AS445" s="280"/>
      <c r="AT445" s="280"/>
      <c r="AU445" s="280"/>
      <c r="AV445" s="280"/>
      <c r="AW445" s="280"/>
      <c r="AX445" s="280"/>
      <c r="AY445" s="13"/>
      <c r="AZ445" s="18"/>
      <c r="EZ445" s="280"/>
      <c r="FA445" s="280"/>
      <c r="FB445" s="280"/>
      <c r="FC445" s="280"/>
      <c r="FD445" s="280"/>
      <c r="FE445" s="280"/>
      <c r="FF445" s="280"/>
      <c r="FG445" s="280"/>
      <c r="FH445" s="280"/>
      <c r="FI445" s="280"/>
      <c r="FJ445" s="280"/>
      <c r="FK445" s="280"/>
      <c r="FL445" s="280"/>
      <c r="FM445" s="280"/>
      <c r="FN445" s="280"/>
      <c r="FO445" s="280"/>
      <c r="FP445" s="280"/>
      <c r="FQ445" s="280"/>
      <c r="FR445" s="280"/>
      <c r="FS445" s="280"/>
      <c r="FT445" s="280"/>
      <c r="FU445" s="280"/>
      <c r="FV445" s="280"/>
      <c r="FW445" s="280"/>
      <c r="FX445" s="280"/>
      <c r="FY445" s="280"/>
      <c r="FZ445" s="280"/>
      <c r="GA445" s="280"/>
      <c r="GB445" s="280"/>
      <c r="GC445" s="280"/>
      <c r="GD445" s="280"/>
      <c r="GE445" s="280"/>
      <c r="GF445" s="280"/>
      <c r="GG445" s="280"/>
      <c r="GH445" s="280"/>
      <c r="GI445" s="280"/>
      <c r="HP445" s="12"/>
      <c r="HZ445" s="12"/>
      <c r="IC445" s="12"/>
      <c r="JV445" s="13"/>
      <c r="JX445" s="13"/>
      <c r="JY445" s="12"/>
      <c r="LT445" s="13"/>
      <c r="LU445" s="12"/>
      <c r="LV445" s="13"/>
      <c r="NV445" s="13"/>
      <c r="NY445" s="13"/>
    </row>
    <row r="446" spans="27:389" ht="10.75" customHeight="1" x14ac:dyDescent="0.2">
      <c r="AA446" s="12"/>
      <c r="AB446" s="14"/>
      <c r="AC446" s="15"/>
      <c r="AD446" s="15"/>
      <c r="AE446" s="15"/>
      <c r="AF446" s="15"/>
      <c r="AG446" s="15"/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  <c r="AX446" s="15"/>
      <c r="AY446" s="16"/>
      <c r="AZ446" s="18"/>
      <c r="EZ446" s="280"/>
      <c r="FA446" s="280"/>
      <c r="FB446" s="280"/>
      <c r="FC446" s="280"/>
      <c r="FD446" s="280"/>
      <c r="FE446" s="280"/>
      <c r="FF446" s="280"/>
      <c r="FG446" s="280"/>
      <c r="FH446" s="280"/>
      <c r="FI446" s="280"/>
      <c r="FJ446" s="280"/>
      <c r="FK446" s="280"/>
      <c r="FL446" s="280"/>
      <c r="FM446" s="280"/>
      <c r="FN446" s="280"/>
      <c r="FO446" s="280"/>
      <c r="FP446" s="280"/>
      <c r="FQ446" s="280"/>
      <c r="FR446" s="280"/>
      <c r="FS446" s="280"/>
      <c r="FT446" s="280"/>
      <c r="FU446" s="280"/>
      <c r="FV446" s="280"/>
      <c r="FW446" s="280"/>
      <c r="FX446" s="280"/>
      <c r="FY446" s="280"/>
      <c r="FZ446" s="280"/>
      <c r="GA446" s="280"/>
      <c r="GB446" s="280"/>
      <c r="GC446" s="280"/>
      <c r="GD446" s="280"/>
      <c r="GE446" s="280"/>
      <c r="GF446" s="280"/>
      <c r="GG446" s="280"/>
      <c r="GH446" s="280"/>
      <c r="GI446" s="280"/>
      <c r="HP446" s="12"/>
      <c r="HZ446" s="12"/>
      <c r="IC446" s="12"/>
      <c r="JV446" s="13"/>
      <c r="JX446" s="13"/>
      <c r="JY446" s="12"/>
      <c r="LT446" s="13"/>
      <c r="LU446" s="12"/>
      <c r="LV446" s="13"/>
      <c r="NV446" s="13"/>
      <c r="NY446" s="13"/>
    </row>
    <row r="447" spans="27:389" ht="10.75" customHeight="1" x14ac:dyDescent="0.2">
      <c r="AA447" s="14"/>
      <c r="AB447" s="15"/>
      <c r="AC447" s="15"/>
      <c r="AD447" s="15"/>
      <c r="AE447" s="15"/>
      <c r="AF447" s="15"/>
      <c r="AG447" s="15"/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  <c r="AX447" s="15"/>
      <c r="AY447" s="16"/>
      <c r="AZ447" s="19"/>
      <c r="EZ447" s="280"/>
      <c r="FA447" s="280"/>
      <c r="FB447" s="280"/>
      <c r="FC447" s="280"/>
      <c r="FD447" s="280"/>
      <c r="FE447" s="280"/>
      <c r="FF447" s="280"/>
      <c r="FG447" s="280"/>
      <c r="FH447" s="280"/>
      <c r="FI447" s="280"/>
      <c r="FJ447" s="280"/>
      <c r="FK447" s="280"/>
      <c r="FL447" s="280"/>
      <c r="FM447" s="280"/>
      <c r="FN447" s="280"/>
      <c r="FO447" s="280"/>
      <c r="FP447" s="280"/>
      <c r="FQ447" s="280"/>
      <c r="FR447" s="280"/>
      <c r="FS447" s="280"/>
      <c r="FT447" s="280"/>
      <c r="FU447" s="280"/>
      <c r="FV447" s="280"/>
      <c r="FW447" s="280"/>
      <c r="FX447" s="280"/>
      <c r="FY447" s="280"/>
      <c r="FZ447" s="280"/>
      <c r="GA447" s="280"/>
      <c r="GB447" s="280"/>
      <c r="GC447" s="280"/>
      <c r="GD447" s="280"/>
      <c r="GE447" s="280"/>
      <c r="GF447" s="280"/>
      <c r="GG447" s="280"/>
      <c r="GH447" s="280"/>
      <c r="GI447" s="280"/>
      <c r="HP447" s="12"/>
      <c r="HZ447" s="12"/>
      <c r="IC447" s="12"/>
      <c r="JV447" s="13"/>
      <c r="JX447" s="13"/>
      <c r="JY447" s="12"/>
      <c r="LT447" s="13"/>
      <c r="LU447" s="12"/>
      <c r="LV447" s="13"/>
      <c r="NV447" s="13"/>
      <c r="NY447" s="13"/>
    </row>
    <row r="448" spans="27:389" ht="10.75" customHeight="1" x14ac:dyDescent="0.2">
      <c r="EZ448" s="280"/>
      <c r="FA448" s="280"/>
      <c r="FB448" s="280"/>
      <c r="FC448" s="280"/>
      <c r="FD448" s="280"/>
      <c r="FE448" s="280"/>
      <c r="FF448" s="280"/>
      <c r="FG448" s="280"/>
      <c r="FH448" s="280"/>
      <c r="FI448" s="280"/>
      <c r="FJ448" s="280"/>
      <c r="FK448" s="280"/>
      <c r="FL448" s="280"/>
      <c r="FM448" s="280"/>
      <c r="FN448" s="280"/>
      <c r="FO448" s="280"/>
      <c r="FP448" s="280"/>
      <c r="FQ448" s="280"/>
      <c r="FR448" s="280"/>
      <c r="FS448" s="280"/>
      <c r="FT448" s="280"/>
      <c r="FU448" s="280"/>
      <c r="FV448" s="280"/>
      <c r="FW448" s="280"/>
      <c r="FX448" s="280"/>
      <c r="FY448" s="280"/>
      <c r="FZ448" s="280"/>
      <c r="GA448" s="280"/>
      <c r="GB448" s="280"/>
      <c r="GC448" s="280"/>
      <c r="GD448" s="280"/>
      <c r="GE448" s="280"/>
      <c r="GF448" s="280"/>
      <c r="GG448" s="280"/>
      <c r="GH448" s="280"/>
      <c r="GI448" s="280"/>
      <c r="HP448" s="12"/>
      <c r="HZ448" s="12"/>
      <c r="IC448" s="12"/>
      <c r="JV448" s="13"/>
      <c r="JX448" s="13"/>
      <c r="JY448" s="12"/>
      <c r="LT448" s="13"/>
      <c r="LU448" s="12"/>
      <c r="LV448" s="13"/>
      <c r="NV448" s="13"/>
      <c r="NY448" s="13"/>
    </row>
    <row r="449" spans="156:389" ht="10.75" customHeight="1" x14ac:dyDescent="0.2">
      <c r="EZ449" s="280"/>
      <c r="FA449" s="280"/>
      <c r="FB449" s="280"/>
      <c r="FC449" s="280"/>
      <c r="FD449" s="280"/>
      <c r="FE449" s="280"/>
      <c r="FF449" s="280"/>
      <c r="FG449" s="280"/>
      <c r="FH449" s="280"/>
      <c r="FI449" s="280"/>
      <c r="FJ449" s="280"/>
      <c r="FK449" s="280"/>
      <c r="FL449" s="280"/>
      <c r="FM449" s="280"/>
      <c r="FN449" s="280"/>
      <c r="FO449" s="280"/>
      <c r="FP449" s="280"/>
      <c r="FQ449" s="280"/>
      <c r="FR449" s="280"/>
      <c r="FS449" s="280"/>
      <c r="FT449" s="280"/>
      <c r="FU449" s="280"/>
      <c r="FV449" s="280"/>
      <c r="FW449" s="280"/>
      <c r="FX449" s="280"/>
      <c r="FY449" s="280"/>
      <c r="FZ449" s="280"/>
      <c r="GA449" s="280"/>
      <c r="GB449" s="280"/>
      <c r="GC449" s="280"/>
      <c r="GD449" s="280"/>
      <c r="GE449" s="280"/>
      <c r="GF449" s="280"/>
      <c r="GG449" s="280"/>
      <c r="GH449" s="280"/>
      <c r="GI449" s="280"/>
      <c r="HP449" s="12"/>
      <c r="HZ449" s="12"/>
      <c r="IC449" s="12"/>
      <c r="JV449" s="13"/>
      <c r="JX449" s="13"/>
      <c r="JY449" s="12"/>
      <c r="LT449" s="13"/>
      <c r="LU449" s="12"/>
      <c r="LV449" s="13"/>
      <c r="NV449" s="13"/>
      <c r="NY449" s="13"/>
    </row>
    <row r="450" spans="156:389" ht="10.75" customHeight="1" x14ac:dyDescent="0.2">
      <c r="EZ450" s="280"/>
      <c r="FA450" s="280"/>
      <c r="FB450" s="280"/>
      <c r="FC450" s="280"/>
      <c r="FD450" s="280"/>
      <c r="FE450" s="280"/>
      <c r="FF450" s="280"/>
      <c r="FG450" s="280"/>
      <c r="FH450" s="280"/>
      <c r="FI450" s="280"/>
      <c r="FJ450" s="280"/>
      <c r="FK450" s="280"/>
      <c r="FL450" s="280"/>
      <c r="FM450" s="280"/>
      <c r="FN450" s="280"/>
      <c r="FO450" s="280"/>
      <c r="FP450" s="280"/>
      <c r="FQ450" s="280"/>
      <c r="FR450" s="280"/>
      <c r="FS450" s="280"/>
      <c r="FT450" s="280"/>
      <c r="FU450" s="280"/>
      <c r="FV450" s="280"/>
      <c r="FW450" s="280"/>
      <c r="FX450" s="280"/>
      <c r="FY450" s="280"/>
      <c r="FZ450" s="280"/>
      <c r="GA450" s="280"/>
      <c r="GB450" s="280"/>
      <c r="GC450" s="280"/>
      <c r="GD450" s="280"/>
      <c r="GE450" s="280"/>
      <c r="GF450" s="280"/>
      <c r="GG450" s="280"/>
      <c r="GH450" s="280"/>
      <c r="GI450" s="280"/>
      <c r="HP450" s="12"/>
      <c r="HZ450" s="12"/>
      <c r="IC450" s="12"/>
      <c r="JV450" s="13"/>
      <c r="JX450" s="13"/>
      <c r="JY450" s="12"/>
      <c r="LT450" s="13"/>
      <c r="LU450" s="12"/>
      <c r="LV450" s="13"/>
      <c r="NV450" s="13"/>
      <c r="NY450" s="13"/>
    </row>
    <row r="451" spans="156:389" ht="10.75" customHeight="1" x14ac:dyDescent="0.2">
      <c r="EZ451" s="280"/>
      <c r="FA451" s="280"/>
      <c r="FB451" s="280"/>
      <c r="FC451" s="280"/>
      <c r="FD451" s="280"/>
      <c r="FE451" s="280"/>
      <c r="FF451" s="280"/>
      <c r="FG451" s="280"/>
      <c r="FH451" s="280"/>
      <c r="FI451" s="280"/>
      <c r="FJ451" s="280"/>
      <c r="FK451" s="280"/>
      <c r="FL451" s="280"/>
      <c r="FM451" s="280"/>
      <c r="FN451" s="280"/>
      <c r="FO451" s="280"/>
      <c r="FP451" s="280"/>
      <c r="FQ451" s="280"/>
      <c r="FR451" s="280"/>
      <c r="FS451" s="280"/>
      <c r="FT451" s="280"/>
      <c r="FU451" s="280"/>
      <c r="FV451" s="280"/>
      <c r="FW451" s="280"/>
      <c r="FX451" s="280"/>
      <c r="FY451" s="280"/>
      <c r="FZ451" s="280"/>
      <c r="GA451" s="280"/>
      <c r="GB451" s="280"/>
      <c r="GC451" s="280"/>
      <c r="GD451" s="280"/>
      <c r="GE451" s="280"/>
      <c r="GF451" s="280"/>
      <c r="GG451" s="280"/>
      <c r="GH451" s="280"/>
      <c r="GI451" s="280"/>
      <c r="HP451" s="12"/>
      <c r="HZ451" s="12"/>
      <c r="IC451" s="12"/>
      <c r="JV451" s="13"/>
      <c r="JX451" s="13"/>
      <c r="JY451" s="12"/>
      <c r="LT451" s="13"/>
      <c r="LU451" s="12"/>
      <c r="LV451" s="13"/>
      <c r="NV451" s="13"/>
      <c r="NY451" s="13"/>
    </row>
    <row r="452" spans="156:389" ht="10.75" customHeight="1" x14ac:dyDescent="0.2">
      <c r="EZ452" s="280"/>
      <c r="FA452" s="280"/>
      <c r="FB452" s="280"/>
      <c r="FC452" s="280"/>
      <c r="FD452" s="280"/>
      <c r="FE452" s="280"/>
      <c r="FF452" s="280"/>
      <c r="FG452" s="280"/>
      <c r="FH452" s="280"/>
      <c r="FI452" s="280"/>
      <c r="FJ452" s="280"/>
      <c r="FK452" s="280"/>
      <c r="FL452" s="280"/>
      <c r="FM452" s="280"/>
      <c r="FN452" s="280"/>
      <c r="FO452" s="280"/>
      <c r="FP452" s="280"/>
      <c r="FQ452" s="280"/>
      <c r="FR452" s="280"/>
      <c r="FS452" s="280"/>
      <c r="FT452" s="280"/>
      <c r="FU452" s="280"/>
      <c r="FV452" s="280"/>
      <c r="FW452" s="280"/>
      <c r="FX452" s="280"/>
      <c r="FY452" s="280"/>
      <c r="FZ452" s="280"/>
      <c r="GA452" s="280"/>
      <c r="GB452" s="280"/>
      <c r="GC452" s="280"/>
      <c r="GD452" s="280"/>
      <c r="GE452" s="280"/>
      <c r="GF452" s="280"/>
      <c r="GG452" s="280"/>
      <c r="GH452" s="280"/>
      <c r="GI452" s="280"/>
      <c r="HP452" s="12"/>
      <c r="HZ452" s="12"/>
      <c r="IC452" s="12"/>
      <c r="JV452" s="13"/>
      <c r="JX452" s="13"/>
      <c r="JY452" s="12"/>
      <c r="LT452" s="13"/>
      <c r="LU452" s="12"/>
      <c r="LV452" s="13"/>
      <c r="NV452" s="13"/>
      <c r="NY452" s="13"/>
    </row>
    <row r="453" spans="156:389" ht="10.75" customHeight="1" x14ac:dyDescent="0.2">
      <c r="EZ453" s="280"/>
      <c r="FA453" s="280"/>
      <c r="FB453" s="280"/>
      <c r="FC453" s="280"/>
      <c r="FD453" s="280"/>
      <c r="FE453" s="280"/>
      <c r="FF453" s="280"/>
      <c r="FG453" s="280"/>
      <c r="FH453" s="280"/>
      <c r="FI453" s="280"/>
      <c r="FJ453" s="280"/>
      <c r="FK453" s="280"/>
      <c r="FL453" s="280"/>
      <c r="FM453" s="280"/>
      <c r="FN453" s="280"/>
      <c r="FO453" s="280"/>
      <c r="FP453" s="280"/>
      <c r="FQ453" s="280"/>
      <c r="FR453" s="280"/>
      <c r="FS453" s="280"/>
      <c r="FT453" s="280"/>
      <c r="FU453" s="280"/>
      <c r="FV453" s="280"/>
      <c r="FW453" s="280"/>
      <c r="FX453" s="280"/>
      <c r="FY453" s="280"/>
      <c r="FZ453" s="280"/>
      <c r="GA453" s="280"/>
      <c r="GB453" s="280"/>
      <c r="GC453" s="280"/>
      <c r="GD453" s="280"/>
      <c r="GE453" s="280"/>
      <c r="GF453" s="280"/>
      <c r="GG453" s="280"/>
      <c r="GH453" s="280"/>
      <c r="GI453" s="280"/>
      <c r="HP453" s="12"/>
      <c r="HZ453" s="12"/>
      <c r="IC453" s="12"/>
      <c r="JV453" s="13"/>
      <c r="JX453" s="13"/>
      <c r="JY453" s="12"/>
      <c r="LT453" s="13"/>
      <c r="LU453" s="12"/>
      <c r="LV453" s="13"/>
      <c r="NV453" s="13"/>
      <c r="NY453" s="13"/>
    </row>
    <row r="454" spans="156:389" ht="10.75" customHeight="1" x14ac:dyDescent="0.2">
      <c r="EZ454" s="280"/>
      <c r="FA454" s="280"/>
      <c r="FB454" s="280"/>
      <c r="FC454" s="280"/>
      <c r="FD454" s="280"/>
      <c r="FE454" s="280"/>
      <c r="FF454" s="280"/>
      <c r="FG454" s="280"/>
      <c r="FH454" s="280"/>
      <c r="FI454" s="280"/>
      <c r="FJ454" s="280"/>
      <c r="FK454" s="280"/>
      <c r="FL454" s="280"/>
      <c r="FM454" s="280"/>
      <c r="FN454" s="280"/>
      <c r="FO454" s="280"/>
      <c r="FP454" s="280"/>
      <c r="FQ454" s="280"/>
      <c r="FR454" s="280"/>
      <c r="FS454" s="280"/>
      <c r="FT454" s="280"/>
      <c r="FU454" s="280"/>
      <c r="FV454" s="280"/>
      <c r="FW454" s="280"/>
      <c r="FX454" s="280"/>
      <c r="FY454" s="280"/>
      <c r="FZ454" s="280"/>
      <c r="GA454" s="280"/>
      <c r="GB454" s="280"/>
      <c r="GC454" s="280"/>
      <c r="GD454" s="280"/>
      <c r="GE454" s="280"/>
      <c r="GF454" s="280"/>
      <c r="GG454" s="280"/>
      <c r="GH454" s="280"/>
      <c r="GI454" s="280"/>
      <c r="HP454" s="12"/>
      <c r="HZ454" s="12"/>
      <c r="IC454" s="12"/>
      <c r="JV454" s="13"/>
      <c r="JX454" s="13"/>
      <c r="JY454" s="12"/>
      <c r="LT454" s="13"/>
      <c r="LU454" s="12"/>
      <c r="LV454" s="13"/>
      <c r="NV454" s="13"/>
      <c r="NY454" s="13"/>
    </row>
    <row r="455" spans="156:389" ht="10.75" customHeight="1" x14ac:dyDescent="0.2">
      <c r="EZ455" s="280"/>
      <c r="FA455" s="280"/>
      <c r="FB455" s="280"/>
      <c r="FC455" s="280"/>
      <c r="FD455" s="280"/>
      <c r="FE455" s="280"/>
      <c r="FF455" s="280"/>
      <c r="FG455" s="280"/>
      <c r="FH455" s="280"/>
      <c r="FI455" s="280"/>
      <c r="FJ455" s="280"/>
      <c r="FK455" s="280"/>
      <c r="FL455" s="280"/>
      <c r="FM455" s="280"/>
      <c r="FN455" s="280"/>
      <c r="FO455" s="280"/>
      <c r="FP455" s="280"/>
      <c r="FQ455" s="280"/>
      <c r="FR455" s="280"/>
      <c r="FS455" s="280"/>
      <c r="FT455" s="280"/>
      <c r="FU455" s="280"/>
      <c r="FV455" s="280"/>
      <c r="FW455" s="280"/>
      <c r="FX455" s="280"/>
      <c r="FY455" s="280"/>
      <c r="FZ455" s="280"/>
      <c r="GA455" s="280"/>
      <c r="GB455" s="280"/>
      <c r="GC455" s="280"/>
      <c r="GD455" s="280"/>
      <c r="GE455" s="280"/>
      <c r="GF455" s="280"/>
      <c r="GG455" s="280"/>
      <c r="GH455" s="280"/>
      <c r="GI455" s="280"/>
      <c r="HP455" s="12"/>
      <c r="HZ455" s="12"/>
      <c r="IC455" s="12"/>
      <c r="JV455" s="13"/>
      <c r="JX455" s="13"/>
      <c r="JY455" s="12"/>
      <c r="LT455" s="13"/>
      <c r="LU455" s="12"/>
      <c r="LV455" s="13"/>
      <c r="NV455" s="13"/>
      <c r="NY455" s="13"/>
    </row>
    <row r="456" spans="156:389" ht="10.75" customHeight="1" x14ac:dyDescent="0.2">
      <c r="EZ456" s="280"/>
      <c r="FA456" s="280"/>
      <c r="FB456" s="280"/>
      <c r="FC456" s="280"/>
      <c r="FD456" s="280"/>
      <c r="FE456" s="280"/>
      <c r="FF456" s="280"/>
      <c r="FG456" s="280"/>
      <c r="FH456" s="280"/>
      <c r="FI456" s="280"/>
      <c r="FJ456" s="280"/>
      <c r="FK456" s="280"/>
      <c r="FL456" s="280"/>
      <c r="FM456" s="280"/>
      <c r="FN456" s="280"/>
      <c r="FO456" s="280"/>
      <c r="FP456" s="280"/>
      <c r="FQ456" s="280"/>
      <c r="FR456" s="280"/>
      <c r="FS456" s="280"/>
      <c r="FT456" s="280"/>
      <c r="FU456" s="280"/>
      <c r="FV456" s="280"/>
      <c r="FW456" s="280"/>
      <c r="FX456" s="280"/>
      <c r="FY456" s="280"/>
      <c r="FZ456" s="280"/>
      <c r="GA456" s="280"/>
      <c r="GB456" s="280"/>
      <c r="GC456" s="280"/>
      <c r="GD456" s="280"/>
      <c r="GE456" s="280"/>
      <c r="GF456" s="280"/>
      <c r="GG456" s="280"/>
      <c r="GH456" s="280"/>
      <c r="GI456" s="280"/>
      <c r="HP456" s="12"/>
      <c r="HZ456" s="12"/>
      <c r="IC456" s="12"/>
      <c r="JV456" s="13"/>
      <c r="JX456" s="13"/>
      <c r="JY456" s="12"/>
      <c r="LT456" s="13"/>
      <c r="LU456" s="12"/>
      <c r="LV456" s="13"/>
      <c r="NV456" s="13"/>
      <c r="NY456" s="13"/>
    </row>
    <row r="457" spans="156:389" ht="10.75" customHeight="1" x14ac:dyDescent="0.2">
      <c r="EZ457" s="280"/>
      <c r="FA457" s="280"/>
      <c r="FB457" s="280"/>
      <c r="FC457" s="280"/>
      <c r="FD457" s="280"/>
      <c r="FE457" s="280"/>
      <c r="FF457" s="280"/>
      <c r="FG457" s="280"/>
      <c r="FH457" s="280"/>
      <c r="FI457" s="280"/>
      <c r="FJ457" s="280"/>
      <c r="FK457" s="280"/>
      <c r="FL457" s="280"/>
      <c r="FM457" s="280"/>
      <c r="FN457" s="280"/>
      <c r="FO457" s="280"/>
      <c r="FP457" s="280"/>
      <c r="FQ457" s="280"/>
      <c r="FR457" s="280"/>
      <c r="FS457" s="280"/>
      <c r="FT457" s="280"/>
      <c r="FU457" s="280"/>
      <c r="FV457" s="280"/>
      <c r="FW457" s="280"/>
      <c r="FX457" s="280"/>
      <c r="FY457" s="280"/>
      <c r="FZ457" s="280"/>
      <c r="GA457" s="280"/>
      <c r="GB457" s="280"/>
      <c r="GC457" s="280"/>
      <c r="GD457" s="280"/>
      <c r="GE457" s="280"/>
      <c r="GF457" s="280"/>
      <c r="GG457" s="280"/>
      <c r="GH457" s="280"/>
      <c r="GI457" s="280"/>
      <c r="HP457" s="12"/>
      <c r="HZ457" s="12"/>
      <c r="IC457" s="12"/>
      <c r="JV457" s="13"/>
      <c r="JX457" s="13"/>
      <c r="JY457" s="12"/>
      <c r="LT457" s="13"/>
      <c r="LU457" s="12"/>
      <c r="LV457" s="13"/>
      <c r="NV457" s="13"/>
      <c r="NY457" s="13"/>
    </row>
    <row r="458" spans="156:389" ht="10.75" customHeight="1" x14ac:dyDescent="0.2">
      <c r="EZ458" s="280"/>
      <c r="FA458" s="280"/>
      <c r="FB458" s="280"/>
      <c r="FC458" s="280"/>
      <c r="FD458" s="280"/>
      <c r="FE458" s="280"/>
      <c r="FF458" s="280"/>
      <c r="FG458" s="280"/>
      <c r="FH458" s="280"/>
      <c r="FI458" s="280"/>
      <c r="FJ458" s="280"/>
      <c r="FK458" s="280"/>
      <c r="FL458" s="280"/>
      <c r="FM458" s="280"/>
      <c r="FN458" s="280"/>
      <c r="FO458" s="280"/>
      <c r="FP458" s="280"/>
      <c r="FQ458" s="280"/>
      <c r="FR458" s="280"/>
      <c r="FS458" s="280"/>
      <c r="FT458" s="280"/>
      <c r="FU458" s="280"/>
      <c r="FV458" s="280"/>
      <c r="FW458" s="280"/>
      <c r="FX458" s="280"/>
      <c r="FY458" s="280"/>
      <c r="FZ458" s="280"/>
      <c r="GA458" s="280"/>
      <c r="GB458" s="280"/>
      <c r="GC458" s="280"/>
      <c r="GD458" s="280"/>
      <c r="GE458" s="280"/>
      <c r="GF458" s="280"/>
      <c r="GG458" s="280"/>
      <c r="GH458" s="280"/>
      <c r="GI458" s="280"/>
      <c r="HP458" s="12"/>
      <c r="HZ458" s="12"/>
      <c r="IC458" s="12"/>
      <c r="JV458" s="13"/>
      <c r="JX458" s="13"/>
      <c r="JY458" s="12"/>
      <c r="LT458" s="13"/>
      <c r="LU458" s="12"/>
      <c r="LV458" s="13"/>
      <c r="NV458" s="13"/>
      <c r="NY458" s="13"/>
    </row>
    <row r="459" spans="156:389" ht="10.75" customHeight="1" x14ac:dyDescent="0.2">
      <c r="EZ459" s="280"/>
      <c r="FA459" s="280"/>
      <c r="FB459" s="280"/>
      <c r="FC459" s="280"/>
      <c r="FD459" s="280"/>
      <c r="FE459" s="280"/>
      <c r="FF459" s="280"/>
      <c r="FG459" s="280"/>
      <c r="FH459" s="280"/>
      <c r="FI459" s="280"/>
      <c r="FJ459" s="280"/>
      <c r="FK459" s="280"/>
      <c r="FL459" s="280"/>
      <c r="FM459" s="280"/>
      <c r="FN459" s="280"/>
      <c r="FO459" s="280"/>
      <c r="FP459" s="280"/>
      <c r="FQ459" s="280"/>
      <c r="FR459" s="280"/>
      <c r="FS459" s="280"/>
      <c r="FT459" s="280"/>
      <c r="FU459" s="280"/>
      <c r="FV459" s="280"/>
      <c r="FW459" s="280"/>
      <c r="FX459" s="280"/>
      <c r="FY459" s="280"/>
      <c r="FZ459" s="280"/>
      <c r="GA459" s="280"/>
      <c r="GB459" s="280"/>
      <c r="GC459" s="280"/>
      <c r="GD459" s="280"/>
      <c r="GE459" s="280"/>
      <c r="GF459" s="280"/>
      <c r="GG459" s="280"/>
      <c r="GH459" s="280"/>
      <c r="GI459" s="280"/>
      <c r="HP459" s="12"/>
      <c r="HZ459" s="12"/>
      <c r="IC459" s="12"/>
      <c r="JV459" s="13"/>
      <c r="JX459" s="13"/>
      <c r="JY459" s="12"/>
      <c r="LT459" s="13"/>
      <c r="LU459" s="12"/>
      <c r="LV459" s="13"/>
      <c r="NV459" s="13"/>
      <c r="NY459" s="13"/>
    </row>
    <row r="460" spans="156:389" ht="10.75" customHeight="1" x14ac:dyDescent="0.2">
      <c r="EZ460" s="280"/>
      <c r="FA460" s="280"/>
      <c r="FB460" s="280"/>
      <c r="FC460" s="280"/>
      <c r="FD460" s="280"/>
      <c r="FE460" s="280"/>
      <c r="FF460" s="280"/>
      <c r="FG460" s="280"/>
      <c r="FH460" s="280"/>
      <c r="FI460" s="280"/>
      <c r="FJ460" s="280"/>
      <c r="FK460" s="280"/>
      <c r="FL460" s="280"/>
      <c r="FM460" s="280"/>
      <c r="FN460" s="280"/>
      <c r="FO460" s="280"/>
      <c r="FP460" s="280"/>
      <c r="FQ460" s="280"/>
      <c r="FR460" s="280"/>
      <c r="FS460" s="280"/>
      <c r="FT460" s="280"/>
      <c r="FU460" s="280"/>
      <c r="FV460" s="280"/>
      <c r="FW460" s="280"/>
      <c r="FX460" s="280"/>
      <c r="FY460" s="280"/>
      <c r="FZ460" s="280"/>
      <c r="GA460" s="280"/>
      <c r="GB460" s="280"/>
      <c r="GC460" s="280"/>
      <c r="GD460" s="280"/>
      <c r="GE460" s="280"/>
      <c r="GF460" s="280"/>
      <c r="GG460" s="280"/>
      <c r="GH460" s="280"/>
      <c r="GI460" s="280"/>
      <c r="HP460" s="12"/>
      <c r="HZ460" s="12"/>
      <c r="IC460" s="12"/>
      <c r="JV460" s="13"/>
      <c r="JX460" s="13"/>
      <c r="JY460" s="12"/>
      <c r="LT460" s="13"/>
      <c r="LU460" s="12"/>
      <c r="LV460" s="13"/>
      <c r="NV460" s="13"/>
      <c r="NY460" s="13"/>
    </row>
    <row r="461" spans="156:389" ht="10.75" customHeight="1" x14ac:dyDescent="0.2">
      <c r="EZ461" s="280"/>
      <c r="FA461" s="280"/>
      <c r="FB461" s="280"/>
      <c r="FC461" s="280"/>
      <c r="FD461" s="280"/>
      <c r="FE461" s="280"/>
      <c r="FF461" s="280"/>
      <c r="FG461" s="280"/>
      <c r="FH461" s="280"/>
      <c r="FI461" s="280"/>
      <c r="FJ461" s="280"/>
      <c r="FK461" s="280"/>
      <c r="FL461" s="280"/>
      <c r="FM461" s="280"/>
      <c r="FN461" s="280"/>
      <c r="FO461" s="280"/>
      <c r="FP461" s="280"/>
      <c r="FQ461" s="280"/>
      <c r="FR461" s="280"/>
      <c r="FS461" s="280"/>
      <c r="FT461" s="280"/>
      <c r="FU461" s="280"/>
      <c r="FV461" s="280"/>
      <c r="FW461" s="280"/>
      <c r="FX461" s="280"/>
      <c r="FY461" s="280"/>
      <c r="FZ461" s="280"/>
      <c r="GA461" s="280"/>
      <c r="GB461" s="280"/>
      <c r="GC461" s="280"/>
      <c r="GD461" s="280"/>
      <c r="GE461" s="280"/>
      <c r="GF461" s="280"/>
      <c r="GG461" s="280"/>
      <c r="GH461" s="280"/>
      <c r="GI461" s="280"/>
      <c r="HP461" s="12"/>
      <c r="HZ461" s="12"/>
      <c r="IC461" s="12"/>
      <c r="JV461" s="13"/>
      <c r="JX461" s="13"/>
      <c r="JY461" s="12"/>
      <c r="LT461" s="13"/>
      <c r="LU461" s="12"/>
      <c r="LV461" s="13"/>
      <c r="NV461" s="13"/>
      <c r="NY461" s="13"/>
    </row>
    <row r="462" spans="156:389" ht="10.75" customHeight="1" x14ac:dyDescent="0.2">
      <c r="EZ462" s="280"/>
      <c r="FA462" s="280"/>
      <c r="FB462" s="280"/>
      <c r="FC462" s="280"/>
      <c r="FD462" s="280"/>
      <c r="FE462" s="280"/>
      <c r="FF462" s="280"/>
      <c r="FG462" s="280"/>
      <c r="FH462" s="280"/>
      <c r="FI462" s="280"/>
      <c r="FJ462" s="280"/>
      <c r="FK462" s="280"/>
      <c r="FL462" s="280"/>
      <c r="FM462" s="280"/>
      <c r="FN462" s="280"/>
      <c r="FO462" s="280"/>
      <c r="FP462" s="280"/>
      <c r="FQ462" s="280"/>
      <c r="FR462" s="280"/>
      <c r="FS462" s="280"/>
      <c r="FT462" s="280"/>
      <c r="FU462" s="280"/>
      <c r="FV462" s="280"/>
      <c r="FW462" s="280"/>
      <c r="FX462" s="280"/>
      <c r="FY462" s="280"/>
      <c r="FZ462" s="280"/>
      <c r="GA462" s="280"/>
      <c r="GB462" s="280"/>
      <c r="GC462" s="280"/>
      <c r="GD462" s="280"/>
      <c r="GE462" s="280"/>
      <c r="GF462" s="280"/>
      <c r="GG462" s="280"/>
      <c r="GH462" s="280"/>
      <c r="GI462" s="280"/>
      <c r="HP462" s="12"/>
      <c r="HZ462" s="12"/>
      <c r="IC462" s="12"/>
      <c r="JV462" s="13"/>
      <c r="JX462" s="13"/>
      <c r="JY462" s="12"/>
      <c r="LT462" s="13"/>
      <c r="LU462" s="12"/>
      <c r="LV462" s="13"/>
      <c r="NV462" s="13"/>
      <c r="NY462" s="13"/>
    </row>
    <row r="463" spans="156:389" ht="10.75" customHeight="1" x14ac:dyDescent="0.2">
      <c r="EZ463" s="280"/>
      <c r="FA463" s="280"/>
      <c r="FB463" s="280"/>
      <c r="FC463" s="280"/>
      <c r="FD463" s="280"/>
      <c r="FE463" s="280"/>
      <c r="FF463" s="280"/>
      <c r="FG463" s="280"/>
      <c r="FH463" s="280"/>
      <c r="FI463" s="280"/>
      <c r="FJ463" s="280"/>
      <c r="FK463" s="280"/>
      <c r="FL463" s="280"/>
      <c r="FM463" s="280"/>
      <c r="FN463" s="280"/>
      <c r="FO463" s="280"/>
      <c r="FP463" s="280"/>
      <c r="FQ463" s="280"/>
      <c r="FR463" s="280"/>
      <c r="FS463" s="280"/>
      <c r="FT463" s="280"/>
      <c r="FU463" s="280"/>
      <c r="FV463" s="280"/>
      <c r="FW463" s="280"/>
      <c r="FX463" s="280"/>
      <c r="FY463" s="280"/>
      <c r="FZ463" s="280"/>
      <c r="GA463" s="280"/>
      <c r="GB463" s="280"/>
      <c r="GC463" s="280"/>
      <c r="GD463" s="280"/>
      <c r="GE463" s="280"/>
      <c r="GF463" s="280"/>
      <c r="GG463" s="280"/>
      <c r="GH463" s="280"/>
      <c r="GI463" s="280"/>
      <c r="HP463" s="14"/>
      <c r="HQ463" s="15"/>
      <c r="HR463" s="15"/>
      <c r="HS463" s="15"/>
      <c r="HT463" s="15"/>
      <c r="HU463" s="15"/>
      <c r="HV463" s="15"/>
      <c r="HW463" s="15"/>
      <c r="HX463" s="15"/>
      <c r="HY463" s="15"/>
      <c r="HZ463" s="12"/>
      <c r="IC463" s="12"/>
      <c r="JV463" s="13"/>
      <c r="JX463" s="13"/>
      <c r="JY463" s="12"/>
      <c r="LT463" s="13"/>
      <c r="LU463" s="12"/>
      <c r="LV463" s="13"/>
      <c r="NV463" s="13"/>
      <c r="NY463" s="13"/>
    </row>
    <row r="464" spans="156:389" ht="10.75" customHeight="1" x14ac:dyDescent="0.2">
      <c r="EZ464" s="280"/>
      <c r="FA464" s="280"/>
      <c r="FB464" s="280"/>
      <c r="FC464" s="280"/>
      <c r="FD464" s="280"/>
      <c r="FE464" s="280"/>
      <c r="FF464" s="280"/>
      <c r="FG464" s="280"/>
      <c r="FH464" s="280"/>
      <c r="FI464" s="280"/>
      <c r="FJ464" s="280"/>
      <c r="FK464" s="280"/>
      <c r="FL464" s="280"/>
      <c r="FM464" s="280"/>
      <c r="FN464" s="280"/>
      <c r="FO464" s="280"/>
      <c r="FP464" s="280"/>
      <c r="FQ464" s="280"/>
      <c r="FR464" s="280"/>
      <c r="FS464" s="280"/>
      <c r="FT464" s="280"/>
      <c r="FU464" s="280"/>
      <c r="FV464" s="280"/>
      <c r="FW464" s="280"/>
      <c r="FX464" s="280"/>
      <c r="FY464" s="280"/>
      <c r="FZ464" s="280"/>
      <c r="GA464" s="280"/>
      <c r="GB464" s="280"/>
      <c r="GC464" s="280"/>
      <c r="GD464" s="280"/>
      <c r="GE464" s="280"/>
      <c r="GF464" s="280"/>
      <c r="GG464" s="280"/>
      <c r="GH464" s="280"/>
      <c r="GI464" s="280"/>
      <c r="HP464" s="9"/>
      <c r="HQ464" s="10"/>
      <c r="HR464" s="10"/>
      <c r="HS464" s="10"/>
      <c r="HT464" s="10"/>
      <c r="HU464" s="10"/>
      <c r="HV464" s="10"/>
      <c r="HW464" s="10"/>
      <c r="HX464" s="10"/>
      <c r="HY464" s="10"/>
      <c r="HZ464" s="9"/>
      <c r="IA464" s="10"/>
      <c r="IB464" s="10"/>
      <c r="IC464" s="12"/>
      <c r="JV464" s="13"/>
      <c r="JX464" s="13"/>
      <c r="JY464" s="12"/>
      <c r="LT464" s="13"/>
      <c r="LU464" s="12"/>
      <c r="LV464" s="13"/>
      <c r="NV464" s="13"/>
      <c r="NY464" s="13"/>
    </row>
    <row r="465" spans="156:389" ht="10.75" customHeight="1" x14ac:dyDescent="0.2">
      <c r="EZ465" s="280"/>
      <c r="FA465" s="280"/>
      <c r="FB465" s="280"/>
      <c r="FC465" s="280"/>
      <c r="FD465" s="280"/>
      <c r="FE465" s="280"/>
      <c r="FF465" s="280"/>
      <c r="FG465" s="280"/>
      <c r="FH465" s="280"/>
      <c r="FI465" s="280"/>
      <c r="FJ465" s="280"/>
      <c r="FK465" s="280"/>
      <c r="FL465" s="280"/>
      <c r="FM465" s="280"/>
      <c r="FN465" s="280"/>
      <c r="FO465" s="280"/>
      <c r="FP465" s="280"/>
      <c r="FQ465" s="280"/>
      <c r="FR465" s="280"/>
      <c r="FS465" s="280"/>
      <c r="FT465" s="280"/>
      <c r="FU465" s="280"/>
      <c r="FV465" s="280"/>
      <c r="FW465" s="280"/>
      <c r="FX465" s="280"/>
      <c r="FY465" s="280"/>
      <c r="FZ465" s="280"/>
      <c r="GA465" s="280"/>
      <c r="GB465" s="280"/>
      <c r="GC465" s="280"/>
      <c r="GD465" s="280"/>
      <c r="GE465" s="280"/>
      <c r="GF465" s="280"/>
      <c r="GG465" s="280"/>
      <c r="GH465" s="280"/>
      <c r="GI465" s="280"/>
      <c r="HP465" s="12"/>
      <c r="HZ465" s="12"/>
      <c r="IC465" s="12"/>
      <c r="JV465" s="13"/>
      <c r="JX465" s="13"/>
      <c r="JY465" s="12"/>
      <c r="LT465" s="13"/>
      <c r="LU465" s="12"/>
      <c r="LV465" s="13"/>
      <c r="NV465" s="13"/>
      <c r="NY465" s="13"/>
    </row>
    <row r="466" spans="156:389" ht="10.75" customHeight="1" x14ac:dyDescent="0.2">
      <c r="EZ466" s="280"/>
      <c r="FA466" s="280"/>
      <c r="FB466" s="280"/>
      <c r="FC466" s="280"/>
      <c r="FD466" s="280"/>
      <c r="FE466" s="280"/>
      <c r="FF466" s="280"/>
      <c r="FG466" s="280"/>
      <c r="FH466" s="280"/>
      <c r="FI466" s="280"/>
      <c r="FJ466" s="280"/>
      <c r="FK466" s="280"/>
      <c r="FL466" s="280"/>
      <c r="FM466" s="280"/>
      <c r="FN466" s="280"/>
      <c r="FO466" s="280"/>
      <c r="FP466" s="280"/>
      <c r="FQ466" s="280"/>
      <c r="FR466" s="280"/>
      <c r="FS466" s="280"/>
      <c r="FT466" s="280"/>
      <c r="FU466" s="280"/>
      <c r="FV466" s="280"/>
      <c r="FW466" s="280"/>
      <c r="FX466" s="280"/>
      <c r="FY466" s="280"/>
      <c r="FZ466" s="280"/>
      <c r="GA466" s="280"/>
      <c r="GB466" s="280"/>
      <c r="GC466" s="280"/>
      <c r="GD466" s="280"/>
      <c r="GE466" s="280"/>
      <c r="GF466" s="280"/>
      <c r="GG466" s="280"/>
      <c r="GH466" s="280"/>
      <c r="GI466" s="280"/>
      <c r="HP466" s="12"/>
      <c r="HZ466" s="12"/>
      <c r="IC466" s="12"/>
      <c r="JV466" s="13"/>
      <c r="JX466" s="13"/>
      <c r="JY466" s="12"/>
      <c r="LT466" s="13"/>
      <c r="LU466" s="12"/>
      <c r="LV466" s="13"/>
      <c r="NV466" s="13"/>
      <c r="NY466" s="13"/>
    </row>
    <row r="467" spans="156:389" ht="10.75" customHeight="1" x14ac:dyDescent="0.2">
      <c r="EZ467" s="280"/>
      <c r="FA467" s="280"/>
      <c r="FB467" s="280"/>
      <c r="FC467" s="280"/>
      <c r="FD467" s="280"/>
      <c r="FE467" s="280"/>
      <c r="FF467" s="280"/>
      <c r="FG467" s="280"/>
      <c r="FH467" s="280"/>
      <c r="FI467" s="280"/>
      <c r="FJ467" s="280"/>
      <c r="FK467" s="280"/>
      <c r="FL467" s="280"/>
      <c r="FM467" s="280"/>
      <c r="FN467" s="280"/>
      <c r="FO467" s="280"/>
      <c r="FP467" s="280"/>
      <c r="FQ467" s="280"/>
      <c r="FR467" s="280"/>
      <c r="FS467" s="280"/>
      <c r="FT467" s="280"/>
      <c r="FU467" s="280"/>
      <c r="FV467" s="280"/>
      <c r="FW467" s="280"/>
      <c r="FX467" s="280"/>
      <c r="FY467" s="280"/>
      <c r="FZ467" s="280"/>
      <c r="GA467" s="280"/>
      <c r="GB467" s="280"/>
      <c r="GC467" s="280"/>
      <c r="GD467" s="280"/>
      <c r="GE467" s="280"/>
      <c r="GF467" s="280"/>
      <c r="GG467" s="280"/>
      <c r="GH467" s="280"/>
      <c r="GI467" s="280"/>
      <c r="HP467" s="12"/>
      <c r="HZ467" s="12"/>
      <c r="IC467" s="12"/>
      <c r="JV467" s="13"/>
      <c r="JX467" s="13"/>
      <c r="JY467" s="12"/>
      <c r="LT467" s="13"/>
      <c r="LU467" s="12"/>
      <c r="LV467" s="13"/>
      <c r="NV467" s="13"/>
      <c r="NY467" s="13"/>
    </row>
    <row r="468" spans="156:389" ht="10.75" customHeight="1" x14ac:dyDescent="0.2">
      <c r="EZ468" s="280"/>
      <c r="FA468" s="280"/>
      <c r="FB468" s="280"/>
      <c r="FC468" s="280"/>
      <c r="FD468" s="280"/>
      <c r="FE468" s="280"/>
      <c r="FF468" s="280"/>
      <c r="FG468" s="280"/>
      <c r="FH468" s="280"/>
      <c r="FI468" s="280"/>
      <c r="FJ468" s="280"/>
      <c r="FK468" s="280"/>
      <c r="FL468" s="280"/>
      <c r="FM468" s="280"/>
      <c r="FN468" s="280"/>
      <c r="FO468" s="280"/>
      <c r="FP468" s="280"/>
      <c r="FQ468" s="280"/>
      <c r="FR468" s="280"/>
      <c r="FS468" s="280"/>
      <c r="FT468" s="280"/>
      <c r="FU468" s="280"/>
      <c r="FV468" s="280"/>
      <c r="FW468" s="280"/>
      <c r="FX468" s="280"/>
      <c r="FY468" s="280"/>
      <c r="FZ468" s="280"/>
      <c r="GA468" s="280"/>
      <c r="GB468" s="280"/>
      <c r="GC468" s="280"/>
      <c r="GD468" s="280"/>
      <c r="GE468" s="280"/>
      <c r="GF468" s="280"/>
      <c r="GG468" s="280"/>
      <c r="GH468" s="280"/>
      <c r="GI468" s="280"/>
      <c r="HP468" s="12"/>
      <c r="HZ468" s="12"/>
      <c r="IC468" s="12"/>
      <c r="JV468" s="13"/>
      <c r="JX468" s="13"/>
      <c r="JY468" s="12"/>
      <c r="LT468" s="13"/>
      <c r="LU468" s="12"/>
      <c r="LV468" s="13"/>
      <c r="NV468" s="13"/>
      <c r="NY468" s="13"/>
    </row>
    <row r="469" spans="156:389" ht="10.75" customHeight="1" x14ac:dyDescent="0.2">
      <c r="EZ469" s="280"/>
      <c r="FA469" s="280"/>
      <c r="FB469" s="280"/>
      <c r="FC469" s="280"/>
      <c r="FD469" s="280"/>
      <c r="FE469" s="280"/>
      <c r="FF469" s="280"/>
      <c r="FG469" s="280"/>
      <c r="FH469" s="280"/>
      <c r="FI469" s="280"/>
      <c r="FJ469" s="280"/>
      <c r="FK469" s="280"/>
      <c r="FL469" s="280"/>
      <c r="FM469" s="280"/>
      <c r="FN469" s="280"/>
      <c r="FO469" s="280"/>
      <c r="FP469" s="280"/>
      <c r="FQ469" s="280"/>
      <c r="FR469" s="280"/>
      <c r="FS469" s="280"/>
      <c r="FT469" s="280"/>
      <c r="FU469" s="280"/>
      <c r="FV469" s="280"/>
      <c r="FW469" s="280"/>
      <c r="FX469" s="280"/>
      <c r="FY469" s="280"/>
      <c r="FZ469" s="280"/>
      <c r="GA469" s="280"/>
      <c r="GB469" s="280"/>
      <c r="GC469" s="280"/>
      <c r="GD469" s="280"/>
      <c r="GE469" s="280"/>
      <c r="GF469" s="280"/>
      <c r="GG469" s="280"/>
      <c r="GH469" s="280"/>
      <c r="GI469" s="280"/>
      <c r="HP469" s="12"/>
      <c r="HZ469" s="12"/>
      <c r="IC469" s="12"/>
      <c r="JV469" s="13"/>
      <c r="JX469" s="13"/>
      <c r="JY469" s="12"/>
      <c r="LT469" s="13"/>
      <c r="LU469" s="12"/>
      <c r="LV469" s="13"/>
      <c r="NV469" s="13"/>
      <c r="NY469" s="13"/>
    </row>
    <row r="470" spans="156:389" ht="10.75" customHeight="1" x14ac:dyDescent="0.2">
      <c r="EZ470" s="280"/>
      <c r="FA470" s="280"/>
      <c r="FB470" s="280"/>
      <c r="FC470" s="280"/>
      <c r="FD470" s="280"/>
      <c r="FE470" s="280"/>
      <c r="FF470" s="280"/>
      <c r="FG470" s="280"/>
      <c r="FH470" s="280"/>
      <c r="FI470" s="280"/>
      <c r="FJ470" s="280"/>
      <c r="FK470" s="280"/>
      <c r="FL470" s="280"/>
      <c r="FM470" s="280"/>
      <c r="FN470" s="280"/>
      <c r="FO470" s="280"/>
      <c r="FP470" s="280"/>
      <c r="FQ470" s="280"/>
      <c r="FR470" s="280"/>
      <c r="FS470" s="280"/>
      <c r="FT470" s="280"/>
      <c r="FU470" s="280"/>
      <c r="FV470" s="280"/>
      <c r="FW470" s="280"/>
      <c r="FX470" s="280"/>
      <c r="FY470" s="280"/>
      <c r="FZ470" s="280"/>
      <c r="GA470" s="280"/>
      <c r="GB470" s="280"/>
      <c r="GC470" s="280"/>
      <c r="GD470" s="280"/>
      <c r="GE470" s="280"/>
      <c r="GF470" s="280"/>
      <c r="GG470" s="280"/>
      <c r="GH470" s="280"/>
      <c r="GI470" s="280"/>
      <c r="HP470" s="12"/>
      <c r="HZ470" s="12"/>
      <c r="IC470" s="12"/>
      <c r="JV470" s="13"/>
      <c r="JX470" s="13"/>
      <c r="JY470" s="12"/>
      <c r="LT470" s="13"/>
      <c r="LU470" s="12"/>
      <c r="LV470" s="13"/>
      <c r="NV470" s="13"/>
      <c r="NY470" s="13"/>
    </row>
    <row r="471" spans="156:389" ht="10.75" customHeight="1" x14ac:dyDescent="0.2">
      <c r="HP471" s="12"/>
      <c r="HZ471" s="12"/>
      <c r="IC471" s="12"/>
      <c r="JV471" s="13"/>
      <c r="JX471" s="13"/>
      <c r="JY471" s="12"/>
      <c r="LT471" s="13"/>
      <c r="LU471" s="12"/>
      <c r="LV471" s="13"/>
      <c r="NV471" s="13"/>
      <c r="NY471" s="13"/>
    </row>
    <row r="472" spans="156:389" ht="10.75" customHeight="1" x14ac:dyDescent="0.2">
      <c r="HP472" s="12"/>
      <c r="HZ472" s="12"/>
      <c r="IC472" s="12"/>
      <c r="JV472" s="13"/>
      <c r="JX472" s="13"/>
      <c r="JY472" s="12"/>
      <c r="LT472" s="13"/>
      <c r="LU472" s="12"/>
      <c r="LV472" s="13"/>
      <c r="NV472" s="13"/>
      <c r="NY472" s="13"/>
    </row>
    <row r="473" spans="156:389" ht="10.75" customHeight="1" x14ac:dyDescent="0.2">
      <c r="HP473" s="12"/>
      <c r="HZ473" s="12"/>
      <c r="IC473" s="12"/>
      <c r="JV473" s="13"/>
      <c r="JX473" s="13"/>
      <c r="JY473" s="12"/>
      <c r="LT473" s="13"/>
      <c r="LU473" s="12"/>
      <c r="LV473" s="13"/>
      <c r="NV473" s="13"/>
      <c r="NY473" s="13"/>
    </row>
    <row r="474" spans="156:389" ht="10.75" customHeight="1" x14ac:dyDescent="0.2">
      <c r="HP474" s="12"/>
      <c r="HZ474" s="12"/>
      <c r="IC474" s="12"/>
      <c r="JV474" s="13"/>
      <c r="JX474" s="13"/>
      <c r="JY474" s="12"/>
      <c r="LT474" s="13"/>
      <c r="LU474" s="12"/>
      <c r="LV474" s="13"/>
      <c r="NV474" s="13"/>
      <c r="NY474" s="13"/>
    </row>
    <row r="475" spans="156:389" ht="10.75" customHeight="1" x14ac:dyDescent="0.2">
      <c r="HP475" s="12"/>
      <c r="HZ475" s="12"/>
      <c r="IC475" s="14"/>
      <c r="ID475" s="15"/>
      <c r="IE475" s="15"/>
      <c r="IF475" s="15"/>
      <c r="IG475" s="15"/>
      <c r="IH475" s="15"/>
      <c r="II475" s="15"/>
      <c r="IJ475" s="15"/>
      <c r="IK475" s="15"/>
      <c r="IL475" s="15"/>
      <c r="IM475" s="15"/>
      <c r="IN475" s="15"/>
      <c r="IO475" s="15"/>
      <c r="IP475" s="15"/>
      <c r="IQ475" s="15"/>
      <c r="IR475" s="15"/>
      <c r="IS475" s="15"/>
      <c r="IT475" s="15"/>
      <c r="IU475" s="15"/>
      <c r="IV475" s="15"/>
      <c r="IW475" s="15"/>
      <c r="IX475" s="15"/>
      <c r="IY475" s="15"/>
      <c r="IZ475" s="15"/>
      <c r="JA475" s="15"/>
      <c r="JB475" s="15"/>
      <c r="JC475" s="15"/>
      <c r="JD475" s="15"/>
      <c r="JE475" s="15"/>
      <c r="JF475" s="15"/>
      <c r="JG475" s="15"/>
      <c r="JH475" s="15"/>
      <c r="JI475" s="15"/>
      <c r="JJ475" s="15"/>
      <c r="JK475" s="15"/>
      <c r="JL475" s="15"/>
      <c r="JM475" s="15"/>
      <c r="JN475" s="15"/>
      <c r="JO475" s="15"/>
      <c r="JP475" s="15"/>
      <c r="JQ475" s="15"/>
      <c r="JR475" s="15"/>
      <c r="JS475" s="15"/>
      <c r="JT475" s="15"/>
      <c r="JU475" s="15"/>
      <c r="JV475" s="16"/>
      <c r="JW475" s="15"/>
      <c r="JX475" s="16"/>
      <c r="JY475" s="14"/>
      <c r="JZ475" s="15"/>
      <c r="KA475" s="15"/>
      <c r="KB475" s="15"/>
      <c r="KC475" s="15"/>
      <c r="KD475" s="15"/>
      <c r="KE475" s="15"/>
      <c r="KF475" s="15"/>
      <c r="KG475" s="15"/>
      <c r="KH475" s="15"/>
      <c r="KI475" s="15"/>
      <c r="KJ475" s="15"/>
      <c r="KK475" s="15"/>
      <c r="KL475" s="15"/>
      <c r="KM475" s="15"/>
      <c r="KN475" s="15"/>
      <c r="KO475" s="15"/>
      <c r="KP475" s="15"/>
      <c r="KQ475" s="15"/>
      <c r="KR475" s="15"/>
      <c r="KS475" s="15"/>
      <c r="KT475" s="15"/>
      <c r="KU475" s="15"/>
      <c r="KV475" s="15"/>
      <c r="KW475" s="15"/>
      <c r="KX475" s="15"/>
      <c r="KY475" s="15"/>
      <c r="KZ475" s="15"/>
      <c r="LA475" s="15"/>
      <c r="LB475" s="15"/>
      <c r="LC475" s="15"/>
      <c r="LD475" s="15"/>
      <c r="LE475" s="15"/>
      <c r="LF475" s="15"/>
      <c r="LG475" s="15"/>
      <c r="LH475" s="15"/>
      <c r="LI475" s="15"/>
      <c r="LJ475" s="15"/>
      <c r="LK475" s="15"/>
      <c r="LL475" s="15"/>
      <c r="LM475" s="15"/>
      <c r="LN475" s="15"/>
      <c r="LO475" s="15"/>
      <c r="LP475" s="15"/>
      <c r="LQ475" s="15"/>
      <c r="LR475" s="15"/>
      <c r="LS475" s="15"/>
      <c r="LT475" s="16"/>
      <c r="LU475" s="14"/>
      <c r="LV475" s="16"/>
      <c r="LW475" s="15"/>
      <c r="LX475" s="15"/>
      <c r="LY475" s="15"/>
      <c r="LZ475" s="15"/>
      <c r="MA475" s="15"/>
      <c r="MB475" s="15"/>
      <c r="MC475" s="15"/>
      <c r="MD475" s="15"/>
      <c r="ME475" s="15"/>
      <c r="MF475" s="15"/>
      <c r="MG475" s="15"/>
      <c r="MH475" s="15"/>
      <c r="MI475" s="15"/>
      <c r="MJ475" s="15"/>
      <c r="MK475" s="15"/>
      <c r="ML475" s="15"/>
      <c r="MM475" s="15"/>
      <c r="MN475" s="15"/>
      <c r="MO475" s="15"/>
      <c r="MP475" s="15"/>
      <c r="MQ475" s="15"/>
      <c r="MR475" s="15"/>
      <c r="MS475" s="15"/>
      <c r="MT475" s="15"/>
      <c r="MU475" s="15"/>
      <c r="MV475" s="15"/>
      <c r="MW475" s="15"/>
      <c r="MX475" s="15"/>
      <c r="MY475" s="15"/>
      <c r="MZ475" s="15"/>
      <c r="NA475" s="15"/>
      <c r="NB475" s="15"/>
      <c r="NC475" s="15"/>
      <c r="ND475" s="15"/>
      <c r="NE475" s="15"/>
      <c r="NF475" s="15"/>
      <c r="NG475" s="15"/>
      <c r="NH475" s="15"/>
      <c r="NI475" s="15"/>
      <c r="NJ475" s="15"/>
      <c r="NK475" s="15"/>
      <c r="NL475" s="15"/>
      <c r="NM475" s="15"/>
      <c r="NN475" s="15"/>
      <c r="NO475" s="15"/>
      <c r="NP475" s="15"/>
      <c r="NQ475" s="15"/>
      <c r="NR475" s="15"/>
      <c r="NS475" s="15"/>
      <c r="NT475" s="15"/>
      <c r="NU475" s="15"/>
      <c r="NV475" s="16"/>
      <c r="NY475" s="13"/>
    </row>
    <row r="476" spans="156:389" ht="10.75" customHeight="1" x14ac:dyDescent="0.2">
      <c r="HP476" s="12"/>
      <c r="HZ476" s="12"/>
      <c r="IL476" s="13"/>
      <c r="NY476" s="13"/>
    </row>
    <row r="477" spans="156:389" ht="10.75" customHeight="1" x14ac:dyDescent="0.2">
      <c r="HP477" s="12"/>
      <c r="HZ477" s="12"/>
      <c r="IL477" s="13"/>
      <c r="NY477" s="13"/>
    </row>
    <row r="478" spans="156:389" ht="10.75" customHeight="1" x14ac:dyDescent="0.2">
      <c r="HP478" s="14"/>
      <c r="HQ478" s="15"/>
      <c r="HR478" s="15"/>
      <c r="HS478" s="15"/>
      <c r="HT478" s="15"/>
      <c r="HU478" s="15"/>
      <c r="HV478" s="15"/>
      <c r="HW478" s="15"/>
      <c r="HX478" s="15"/>
      <c r="HY478" s="15"/>
      <c r="HZ478" s="14"/>
      <c r="IA478" s="15"/>
      <c r="IB478" s="15"/>
      <c r="IC478" s="15"/>
      <c r="ID478" s="15"/>
      <c r="IE478" s="15"/>
      <c r="IF478" s="15"/>
      <c r="IG478" s="15"/>
      <c r="IH478" s="15"/>
      <c r="II478" s="15"/>
      <c r="IJ478" s="15"/>
      <c r="IK478" s="15"/>
      <c r="IL478" s="16"/>
      <c r="IM478" s="15"/>
      <c r="IN478" s="15"/>
      <c r="IO478" s="15"/>
      <c r="IP478" s="15"/>
      <c r="IQ478" s="15"/>
      <c r="IR478" s="15"/>
      <c r="IS478" s="15"/>
      <c r="IT478" s="15"/>
      <c r="IU478" s="15"/>
      <c r="IV478" s="15"/>
      <c r="IW478" s="15"/>
      <c r="IX478" s="15"/>
      <c r="IY478" s="15"/>
      <c r="IZ478" s="15"/>
      <c r="JA478" s="15"/>
      <c r="JB478" s="15"/>
      <c r="JC478" s="15"/>
      <c r="JD478" s="15"/>
      <c r="JE478" s="15"/>
      <c r="JF478" s="15"/>
      <c r="JG478" s="15"/>
      <c r="JH478" s="15"/>
      <c r="JI478" s="15"/>
      <c r="JJ478" s="15"/>
      <c r="JK478" s="15"/>
      <c r="JL478" s="15"/>
      <c r="JM478" s="15"/>
      <c r="JN478" s="15"/>
      <c r="JO478" s="15"/>
      <c r="JP478" s="15"/>
      <c r="JQ478" s="15"/>
      <c r="JR478" s="15"/>
      <c r="JS478" s="15"/>
      <c r="JT478" s="15"/>
      <c r="JU478" s="15"/>
      <c r="JV478" s="15"/>
      <c r="JW478" s="15"/>
      <c r="JX478" s="15"/>
      <c r="JY478" s="15"/>
      <c r="JZ478" s="15"/>
      <c r="KA478" s="15"/>
      <c r="KB478" s="15"/>
      <c r="KC478" s="15"/>
      <c r="KD478" s="15"/>
      <c r="KE478" s="15"/>
      <c r="KF478" s="15"/>
      <c r="KG478" s="15"/>
      <c r="KH478" s="15"/>
      <c r="KI478" s="15"/>
      <c r="KJ478" s="15"/>
      <c r="KK478" s="15"/>
      <c r="KL478" s="15"/>
      <c r="KM478" s="15"/>
      <c r="KN478" s="15"/>
      <c r="KO478" s="15"/>
      <c r="KP478" s="15"/>
      <c r="KQ478" s="15"/>
      <c r="KR478" s="15"/>
      <c r="KS478" s="15"/>
      <c r="KT478" s="15"/>
      <c r="KU478" s="15"/>
      <c r="KV478" s="15"/>
      <c r="KW478" s="15"/>
      <c r="KX478" s="15"/>
      <c r="KY478" s="15"/>
      <c r="KZ478" s="15"/>
      <c r="LA478" s="15"/>
      <c r="LB478" s="15"/>
      <c r="LC478" s="15"/>
      <c r="LD478" s="15"/>
      <c r="LE478" s="15"/>
      <c r="LF478" s="15"/>
      <c r="LG478" s="15"/>
      <c r="LH478" s="15"/>
      <c r="LI478" s="15"/>
      <c r="LJ478" s="15"/>
      <c r="LK478" s="15"/>
      <c r="LL478" s="15"/>
      <c r="LM478" s="15"/>
      <c r="LN478" s="15"/>
      <c r="LO478" s="15"/>
      <c r="LP478" s="15"/>
      <c r="LQ478" s="15"/>
      <c r="LR478" s="15"/>
      <c r="LS478" s="15"/>
      <c r="LT478" s="15"/>
      <c r="LU478" s="15"/>
      <c r="LV478" s="15"/>
      <c r="LW478" s="15"/>
      <c r="LX478" s="15"/>
      <c r="LY478" s="15"/>
      <c r="LZ478" s="15"/>
      <c r="MA478" s="15"/>
      <c r="MB478" s="15"/>
      <c r="MC478" s="15"/>
      <c r="MD478" s="15"/>
      <c r="ME478" s="15"/>
      <c r="MF478" s="15"/>
      <c r="MG478" s="15"/>
      <c r="MH478" s="15"/>
      <c r="MI478" s="15"/>
      <c r="MJ478" s="15"/>
      <c r="MK478" s="15"/>
      <c r="ML478" s="15"/>
      <c r="MM478" s="15"/>
      <c r="MN478" s="15"/>
      <c r="MO478" s="15"/>
      <c r="MP478" s="15"/>
      <c r="MQ478" s="15"/>
      <c r="MR478" s="15"/>
      <c r="MS478" s="15"/>
      <c r="MT478" s="15"/>
      <c r="MU478" s="15"/>
      <c r="MV478" s="15"/>
      <c r="MW478" s="15"/>
      <c r="MX478" s="15"/>
      <c r="MY478" s="15"/>
      <c r="MZ478" s="15"/>
      <c r="NA478" s="15"/>
      <c r="NB478" s="15"/>
      <c r="NC478" s="15"/>
      <c r="ND478" s="15"/>
      <c r="NE478" s="15"/>
      <c r="NF478" s="15"/>
      <c r="NG478" s="15"/>
      <c r="NH478" s="15"/>
      <c r="NI478" s="15"/>
      <c r="NJ478" s="15"/>
      <c r="NK478" s="15"/>
      <c r="NL478" s="15"/>
      <c r="NM478" s="15"/>
      <c r="NN478" s="15"/>
      <c r="NO478" s="15"/>
      <c r="NP478" s="15"/>
      <c r="NQ478" s="15"/>
      <c r="NR478" s="15"/>
      <c r="NS478" s="15"/>
      <c r="NT478" s="15"/>
      <c r="NU478" s="15"/>
      <c r="NV478" s="15"/>
      <c r="NW478" s="15"/>
      <c r="NX478" s="15"/>
      <c r="NY478" s="16"/>
    </row>
    <row r="485" spans="47:192" ht="10.75" customHeight="1" x14ac:dyDescent="0.2">
      <c r="DD485" s="9"/>
      <c r="DE485" s="10"/>
      <c r="DF485" s="10"/>
      <c r="DG485" s="10"/>
      <c r="DH485" s="10"/>
      <c r="DI485" s="10"/>
      <c r="DJ485" s="10"/>
      <c r="DK485" s="10"/>
      <c r="DL485" s="10"/>
      <c r="DM485" s="10"/>
      <c r="DN485" s="10"/>
      <c r="DO485" s="11"/>
    </row>
    <row r="486" spans="47:192" ht="10.75" customHeight="1" x14ac:dyDescent="0.2">
      <c r="DD486" s="12"/>
      <c r="DO486" s="13"/>
    </row>
    <row r="487" spans="47:192" ht="10.75" customHeight="1" x14ac:dyDescent="0.2">
      <c r="AU487" s="9"/>
      <c r="AV487" s="10"/>
      <c r="AW487" s="10"/>
      <c r="AX487" s="10"/>
      <c r="AY487" s="10"/>
      <c r="AZ487" s="10"/>
      <c r="BA487" s="10"/>
      <c r="BB487" s="10"/>
      <c r="BC487" s="10"/>
      <c r="BD487" s="10"/>
      <c r="BE487" s="10"/>
      <c r="BF487" s="10"/>
      <c r="BG487" s="10"/>
      <c r="BH487" s="10"/>
      <c r="BI487" s="10"/>
      <c r="BJ487" s="10"/>
      <c r="BK487" s="10"/>
      <c r="BL487" s="10"/>
      <c r="BM487" s="10"/>
      <c r="BN487" s="10"/>
      <c r="BO487" s="10"/>
      <c r="BP487" s="10"/>
      <c r="BQ487" s="10"/>
      <c r="BR487" s="10"/>
      <c r="BS487" s="10"/>
      <c r="BT487" s="10"/>
      <c r="BU487" s="10"/>
      <c r="BV487" s="10"/>
      <c r="BW487" s="10"/>
      <c r="BX487" s="10"/>
      <c r="BY487" s="10"/>
      <c r="BZ487" s="10"/>
      <c r="CA487" s="10"/>
      <c r="CB487" s="10"/>
      <c r="CC487" s="10"/>
      <c r="CD487" s="10"/>
      <c r="CE487" s="10"/>
      <c r="CF487" s="10"/>
      <c r="CG487" s="10"/>
      <c r="CH487" s="10"/>
      <c r="CI487" s="10"/>
      <c r="CJ487" s="10"/>
      <c r="CK487" s="10"/>
      <c r="CL487" s="10"/>
      <c r="CM487" s="10"/>
      <c r="CN487" s="10"/>
      <c r="CO487" s="10"/>
      <c r="CP487" s="10"/>
      <c r="CQ487" s="10"/>
      <c r="CR487" s="10"/>
      <c r="CS487" s="10"/>
      <c r="CT487" s="10"/>
      <c r="CU487" s="10"/>
      <c r="CV487" s="10"/>
      <c r="CW487" s="10"/>
      <c r="CX487" s="10"/>
      <c r="CY487" s="10"/>
      <c r="CZ487" s="10"/>
      <c r="DA487" s="10"/>
      <c r="DB487" s="10"/>
      <c r="DC487" s="10"/>
      <c r="DD487" s="9"/>
      <c r="DE487" s="10"/>
      <c r="DF487" s="10"/>
      <c r="DG487" s="10"/>
      <c r="DH487" s="10"/>
      <c r="DI487" s="10"/>
      <c r="DJ487" s="10"/>
      <c r="DK487" s="10"/>
      <c r="DL487" s="10"/>
      <c r="DM487" s="10"/>
      <c r="DN487" s="10"/>
      <c r="DO487" s="11"/>
      <c r="DP487" s="10"/>
      <c r="DQ487" s="10"/>
      <c r="DR487" s="10"/>
      <c r="DS487" s="10"/>
      <c r="DT487" s="10"/>
      <c r="DU487" s="10"/>
      <c r="DV487" s="10"/>
      <c r="DW487" s="10"/>
      <c r="DX487" s="10"/>
      <c r="DY487" s="10"/>
      <c r="DZ487" s="10"/>
      <c r="EA487" s="10"/>
      <c r="EB487" s="10"/>
      <c r="EC487" s="10"/>
      <c r="ED487" s="10"/>
      <c r="EE487" s="10"/>
      <c r="EF487" s="10"/>
      <c r="EG487" s="10"/>
      <c r="EH487" s="10"/>
      <c r="EI487" s="10"/>
      <c r="EJ487" s="10"/>
      <c r="EK487" s="10"/>
      <c r="EL487" s="10"/>
      <c r="EM487" s="10"/>
      <c r="EN487" s="10"/>
      <c r="EO487" s="10"/>
      <c r="EP487" s="10"/>
      <c r="EQ487" s="10"/>
      <c r="ER487" s="10"/>
      <c r="ES487" s="10"/>
      <c r="ET487" s="10"/>
      <c r="EU487" s="10"/>
      <c r="EV487" s="10"/>
      <c r="EW487" s="10"/>
      <c r="EX487" s="10"/>
      <c r="EY487" s="10"/>
      <c r="EZ487" s="10"/>
      <c r="FA487" s="10"/>
      <c r="FB487" s="10"/>
      <c r="FC487" s="10"/>
      <c r="FD487" s="10"/>
      <c r="FE487" s="10"/>
      <c r="FF487" s="10"/>
      <c r="FG487" s="10"/>
      <c r="FH487" s="10"/>
      <c r="FI487" s="10"/>
      <c r="FJ487" s="10"/>
      <c r="FK487" s="10"/>
      <c r="FL487" s="10"/>
      <c r="FM487" s="10"/>
      <c r="FN487" s="10"/>
      <c r="FO487" s="10"/>
      <c r="FP487" s="10"/>
      <c r="FQ487" s="10"/>
      <c r="FR487" s="11"/>
    </row>
    <row r="488" spans="47:192" ht="10.75" customHeight="1" x14ac:dyDescent="0.2">
      <c r="AU488" s="14"/>
      <c r="AV488" s="15"/>
      <c r="AW488" s="15"/>
      <c r="AX488" s="15"/>
      <c r="AY488" s="15"/>
      <c r="AZ488" s="15"/>
      <c r="BA488" s="15"/>
      <c r="BB488" s="15"/>
      <c r="BC488" s="15"/>
      <c r="BD488" s="15"/>
      <c r="BE488" s="15"/>
      <c r="BF488" s="15"/>
      <c r="BG488" s="15"/>
      <c r="BH488" s="15"/>
      <c r="BI488" s="15"/>
      <c r="BJ488" s="15"/>
      <c r="BK488" s="15"/>
      <c r="BL488" s="15"/>
      <c r="BM488" s="15"/>
      <c r="BN488" s="15"/>
      <c r="BO488" s="15"/>
      <c r="BP488" s="15"/>
      <c r="BQ488" s="15"/>
      <c r="BR488" s="15"/>
      <c r="BS488" s="15"/>
      <c r="BT488" s="15"/>
      <c r="BU488" s="15"/>
      <c r="BV488" s="15"/>
      <c r="BW488" s="15"/>
      <c r="BX488" s="15"/>
      <c r="BY488" s="15"/>
      <c r="BZ488" s="15"/>
      <c r="CA488" s="15"/>
      <c r="CB488" s="15"/>
      <c r="CC488" s="15"/>
      <c r="CD488" s="15"/>
      <c r="CE488" s="15"/>
      <c r="CF488" s="15"/>
      <c r="CG488" s="15"/>
      <c r="CH488" s="15"/>
      <c r="CI488" s="15"/>
      <c r="CJ488" s="15"/>
      <c r="CK488" s="15"/>
      <c r="CL488" s="15"/>
      <c r="CM488" s="15"/>
      <c r="CN488" s="15"/>
      <c r="CO488" s="15"/>
      <c r="CP488" s="15"/>
      <c r="CQ488" s="15"/>
      <c r="CR488" s="15"/>
      <c r="CS488" s="15"/>
      <c r="CT488" s="15"/>
      <c r="CU488" s="15"/>
      <c r="CV488" s="15"/>
      <c r="CW488" s="15"/>
      <c r="CX488" s="15"/>
      <c r="CY488" s="15"/>
      <c r="CZ488" s="15"/>
      <c r="DA488" s="15"/>
      <c r="DB488" s="15"/>
      <c r="DC488" s="15"/>
      <c r="DD488" s="14"/>
      <c r="DE488" s="15"/>
      <c r="DF488" s="15"/>
      <c r="DG488" s="15"/>
      <c r="DH488" s="15"/>
      <c r="DI488" s="15"/>
      <c r="DJ488" s="15"/>
      <c r="DK488" s="15"/>
      <c r="DL488" s="15"/>
      <c r="DM488" s="15"/>
      <c r="DN488" s="15"/>
      <c r="DO488" s="16"/>
      <c r="DP488" s="15"/>
      <c r="DQ488" s="15"/>
      <c r="DR488" s="15"/>
      <c r="DS488" s="15"/>
      <c r="DT488" s="15"/>
      <c r="DU488" s="15"/>
      <c r="DV488" s="15"/>
      <c r="DW488" s="15"/>
      <c r="DX488" s="15"/>
      <c r="DY488" s="15"/>
      <c r="DZ488" s="15"/>
      <c r="EA488" s="15"/>
      <c r="EB488" s="15"/>
      <c r="EC488" s="15"/>
      <c r="ED488" s="15"/>
      <c r="EE488" s="15"/>
      <c r="EF488" s="15"/>
      <c r="EG488" s="15"/>
      <c r="EH488" s="15"/>
      <c r="EI488" s="15"/>
      <c r="EJ488" s="15"/>
      <c r="EK488" s="15"/>
      <c r="EL488" s="15"/>
      <c r="EM488" s="15"/>
      <c r="EN488" s="15"/>
      <c r="EO488" s="15"/>
      <c r="EP488" s="15"/>
      <c r="EQ488" s="15"/>
      <c r="ER488" s="15"/>
      <c r="ES488" s="15"/>
      <c r="ET488" s="15"/>
      <c r="EU488" s="15"/>
      <c r="EV488" s="15"/>
      <c r="EW488" s="15"/>
      <c r="EX488" s="15"/>
      <c r="EY488" s="15"/>
      <c r="EZ488" s="15"/>
      <c r="FA488" s="15"/>
      <c r="FB488" s="15"/>
      <c r="FC488" s="15"/>
      <c r="FD488" s="15"/>
      <c r="FE488" s="15"/>
      <c r="FF488" s="15"/>
      <c r="FG488" s="15"/>
      <c r="FH488" s="15"/>
      <c r="FI488" s="15"/>
      <c r="FJ488" s="15"/>
      <c r="FK488" s="15"/>
      <c r="FL488" s="15"/>
      <c r="FM488" s="15"/>
      <c r="FN488" s="15"/>
      <c r="FO488" s="15"/>
      <c r="FP488" s="15"/>
      <c r="FQ488" s="15"/>
      <c r="FR488" s="16"/>
    </row>
    <row r="489" spans="47:192" ht="10.75" customHeight="1" x14ac:dyDescent="0.2">
      <c r="AU489" s="56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7"/>
      <c r="CC489" s="57"/>
      <c r="CD489" s="57"/>
      <c r="CE489" s="57"/>
      <c r="CF489" s="57"/>
      <c r="CG489" s="57"/>
      <c r="CH489" s="57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6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8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  <c r="EB489" s="57"/>
      <c r="EC489" s="57"/>
      <c r="ED489" s="57"/>
      <c r="EE489" s="57"/>
      <c r="EF489" s="57"/>
      <c r="EG489" s="57"/>
      <c r="EH489" s="57"/>
      <c r="EI489" s="57"/>
      <c r="EJ489" s="57"/>
      <c r="EK489" s="57"/>
      <c r="EL489" s="57"/>
      <c r="EM489" s="57"/>
      <c r="EN489" s="57"/>
      <c r="EO489" s="57"/>
      <c r="EP489" s="57"/>
      <c r="EQ489" s="57"/>
      <c r="ER489" s="57"/>
      <c r="ES489" s="57"/>
      <c r="ET489" s="57"/>
      <c r="EU489" s="57"/>
      <c r="EV489" s="57"/>
      <c r="EW489" s="57"/>
      <c r="EX489" s="57"/>
      <c r="EY489" s="57"/>
      <c r="EZ489" s="57"/>
      <c r="FA489" s="57"/>
      <c r="FB489" s="57"/>
      <c r="FC489" s="57"/>
      <c r="FD489" s="57"/>
      <c r="FE489" s="57"/>
      <c r="FF489" s="57"/>
      <c r="FG489" s="57"/>
      <c r="FH489" s="57"/>
      <c r="FI489" s="57"/>
      <c r="FJ489" s="57"/>
      <c r="FK489" s="57"/>
      <c r="FL489" s="57"/>
      <c r="FM489" s="57"/>
      <c r="FN489" s="57"/>
      <c r="FO489" s="57"/>
      <c r="FP489" s="57"/>
      <c r="FQ489" s="57"/>
      <c r="FR489" s="58"/>
    </row>
    <row r="490" spans="47:192" ht="10.75" customHeight="1" x14ac:dyDescent="0.2">
      <c r="AU490" s="96"/>
      <c r="AV490" s="97"/>
      <c r="AW490" s="97"/>
      <c r="AX490" s="97"/>
      <c r="AY490" s="97"/>
      <c r="AZ490" s="97"/>
      <c r="BA490" s="97"/>
      <c r="BB490" s="97"/>
      <c r="BC490" s="97"/>
      <c r="BD490" s="97"/>
      <c r="BE490" s="97"/>
      <c r="BF490" s="97"/>
      <c r="BG490" s="97"/>
      <c r="BH490" s="97"/>
      <c r="BI490" s="97"/>
      <c r="BJ490" s="97"/>
      <c r="BK490" s="97"/>
      <c r="BL490" s="97"/>
      <c r="BM490" s="97"/>
      <c r="BN490" s="97"/>
      <c r="BO490" s="97"/>
      <c r="BP490" s="97"/>
      <c r="BQ490" s="97"/>
      <c r="BR490" s="97"/>
      <c r="BS490" s="97"/>
      <c r="BT490" s="97"/>
      <c r="BU490" s="97"/>
      <c r="BV490" s="97"/>
      <c r="BW490" s="97"/>
      <c r="BX490" s="97"/>
      <c r="BY490" s="97"/>
      <c r="BZ490" s="97"/>
      <c r="CA490" s="97"/>
      <c r="CB490" s="97"/>
      <c r="CC490" s="97"/>
      <c r="CD490" s="97"/>
      <c r="CE490" s="97"/>
      <c r="CF490" s="97"/>
      <c r="CG490" s="97"/>
      <c r="CH490" s="97"/>
      <c r="CI490" s="97"/>
      <c r="CJ490" s="97"/>
      <c r="CK490" s="97"/>
      <c r="CL490" s="97"/>
      <c r="CM490" s="97"/>
      <c r="CN490" s="97"/>
      <c r="CO490" s="97"/>
      <c r="CP490" s="97"/>
      <c r="CQ490" s="97"/>
      <c r="CR490" s="97"/>
      <c r="CS490" s="97"/>
      <c r="CT490" s="97"/>
      <c r="CU490" s="97"/>
      <c r="CV490" s="97"/>
      <c r="CW490" s="97"/>
      <c r="CX490" s="97"/>
      <c r="CY490" s="97"/>
      <c r="CZ490" s="97"/>
      <c r="DA490" s="97"/>
      <c r="DB490" s="97"/>
      <c r="DC490" s="97"/>
      <c r="DD490" s="96"/>
      <c r="DE490" s="97"/>
      <c r="DF490" s="97"/>
      <c r="DG490" s="97"/>
      <c r="DH490" s="97"/>
      <c r="DI490" s="97"/>
      <c r="DJ490" s="97"/>
      <c r="DK490" s="97"/>
      <c r="DL490" s="97"/>
      <c r="DM490" s="97"/>
      <c r="DN490" s="97"/>
      <c r="DO490" s="98"/>
      <c r="DP490" s="97"/>
      <c r="DQ490" s="97"/>
      <c r="DR490" s="97"/>
      <c r="DS490" s="97"/>
      <c r="DT490" s="97"/>
      <c r="DU490" s="97"/>
      <c r="DV490" s="97"/>
      <c r="DW490" s="97"/>
      <c r="DX490" s="97"/>
      <c r="DY490" s="97"/>
      <c r="DZ490" s="97"/>
      <c r="EA490" s="97"/>
      <c r="EB490" s="97"/>
      <c r="EC490" s="97"/>
      <c r="ED490" s="97"/>
      <c r="EE490" s="97"/>
      <c r="EF490" s="97"/>
      <c r="EG490" s="97"/>
      <c r="EH490" s="97"/>
      <c r="EI490" s="97"/>
      <c r="EJ490" s="97"/>
      <c r="EK490" s="97"/>
      <c r="EL490" s="97"/>
      <c r="EM490" s="97"/>
      <c r="EN490" s="97"/>
      <c r="EO490" s="97"/>
      <c r="EP490" s="97"/>
      <c r="EQ490" s="97"/>
      <c r="ER490" s="97"/>
      <c r="ES490" s="97"/>
      <c r="ET490" s="97"/>
      <c r="EU490" s="97"/>
      <c r="EV490" s="97"/>
      <c r="EW490" s="97"/>
      <c r="EX490" s="97"/>
      <c r="EY490" s="97"/>
      <c r="EZ490" s="97"/>
      <c r="FA490" s="97"/>
      <c r="FB490" s="97"/>
      <c r="FC490" s="97"/>
      <c r="FD490" s="97"/>
      <c r="FE490" s="97"/>
      <c r="FF490" s="97"/>
      <c r="FG490" s="97"/>
      <c r="FH490" s="97"/>
      <c r="FI490" s="97"/>
      <c r="FJ490" s="97"/>
      <c r="FK490" s="97"/>
      <c r="FL490" s="97"/>
      <c r="FM490" s="97"/>
      <c r="FN490" s="97"/>
      <c r="FO490" s="97"/>
      <c r="FP490" s="97"/>
      <c r="FQ490" s="97"/>
      <c r="FR490" s="98"/>
    </row>
    <row r="491" spans="47:192" ht="10.75" customHeight="1" x14ac:dyDescent="0.2">
      <c r="AU491" s="59"/>
      <c r="AV491" s="60"/>
      <c r="AW491" s="60"/>
      <c r="AX491" s="60"/>
      <c r="AY491" s="60"/>
      <c r="AZ491" s="60"/>
      <c r="BA491" s="60"/>
      <c r="BB491" s="60"/>
      <c r="BC491" s="60"/>
      <c r="BD491" s="60"/>
      <c r="BE491" s="60"/>
      <c r="BF491" s="60"/>
      <c r="BG491" s="60"/>
      <c r="BH491" s="60"/>
      <c r="BI491" s="60"/>
      <c r="BJ491" s="60"/>
      <c r="BK491" s="60"/>
      <c r="BL491" s="60"/>
      <c r="BM491" s="60"/>
      <c r="BN491" s="60"/>
      <c r="BO491" s="60"/>
      <c r="BP491" s="60"/>
      <c r="BQ491" s="60"/>
      <c r="BR491" s="60"/>
      <c r="BS491" s="60"/>
      <c r="BT491" s="60"/>
      <c r="BU491" s="60"/>
      <c r="BV491" s="60"/>
      <c r="BW491" s="60"/>
      <c r="BX491" s="60"/>
      <c r="BY491" s="60"/>
      <c r="BZ491" s="60"/>
      <c r="CA491" s="60"/>
      <c r="CB491" s="60"/>
      <c r="CC491" s="60"/>
      <c r="CD491" s="60"/>
      <c r="CE491" s="60"/>
      <c r="CF491" s="60"/>
      <c r="CG491" s="60"/>
      <c r="CH491" s="60"/>
      <c r="CI491" s="60"/>
      <c r="CJ491" s="60"/>
      <c r="CK491" s="60"/>
      <c r="CL491" s="60"/>
      <c r="CM491" s="60"/>
      <c r="CN491" s="60"/>
      <c r="CO491" s="60"/>
      <c r="CP491" s="60"/>
      <c r="CQ491" s="60"/>
      <c r="CR491" s="60"/>
      <c r="CS491" s="60"/>
      <c r="CT491" s="60"/>
      <c r="CU491" s="60"/>
      <c r="CV491" s="60"/>
      <c r="CW491" s="60"/>
      <c r="CX491" s="60"/>
      <c r="CY491" s="60"/>
      <c r="CZ491" s="60"/>
      <c r="DA491" s="60"/>
      <c r="DB491" s="60"/>
      <c r="DC491" s="60"/>
      <c r="DD491" s="59"/>
      <c r="DE491" s="60"/>
      <c r="DF491" s="60"/>
      <c r="DG491" s="60"/>
      <c r="DH491" s="60"/>
      <c r="DI491" s="60"/>
      <c r="DJ491" s="60"/>
      <c r="DK491" s="60"/>
      <c r="DL491" s="60"/>
      <c r="DM491" s="60"/>
      <c r="DN491" s="60"/>
      <c r="DO491" s="61"/>
      <c r="DP491" s="60"/>
      <c r="DQ491" s="60"/>
      <c r="DR491" s="60"/>
      <c r="DS491" s="60"/>
      <c r="DT491" s="60"/>
      <c r="DU491" s="60"/>
      <c r="DV491" s="60"/>
      <c r="DW491" s="60"/>
      <c r="DX491" s="60"/>
      <c r="DY491" s="60"/>
      <c r="DZ491" s="60"/>
      <c r="EA491" s="60"/>
      <c r="EB491" s="60"/>
      <c r="EC491" s="60"/>
      <c r="ED491" s="60"/>
      <c r="EE491" s="60"/>
      <c r="EF491" s="60"/>
      <c r="EG491" s="60"/>
      <c r="EH491" s="60"/>
      <c r="EI491" s="60"/>
      <c r="EJ491" s="60"/>
      <c r="EK491" s="60"/>
      <c r="EL491" s="60"/>
      <c r="EM491" s="60"/>
      <c r="EN491" s="60"/>
      <c r="EO491" s="60"/>
      <c r="EP491" s="60"/>
      <c r="EQ491" s="60"/>
      <c r="ER491" s="60"/>
      <c r="ES491" s="60"/>
      <c r="ET491" s="60"/>
      <c r="EU491" s="60"/>
      <c r="EV491" s="60"/>
      <c r="EW491" s="60"/>
      <c r="EX491" s="60"/>
      <c r="EY491" s="60"/>
      <c r="EZ491" s="60"/>
      <c r="FA491" s="60"/>
      <c r="FB491" s="60"/>
      <c r="FC491" s="60"/>
      <c r="FD491" s="60"/>
      <c r="FE491" s="60"/>
      <c r="FF491" s="60"/>
      <c r="FG491" s="60"/>
      <c r="FH491" s="60"/>
      <c r="FI491" s="60"/>
      <c r="FJ491" s="60"/>
      <c r="FK491" s="60"/>
      <c r="FL491" s="60"/>
      <c r="FM491" s="60"/>
      <c r="FN491" s="60"/>
      <c r="FO491" s="60"/>
      <c r="FP491" s="60"/>
      <c r="FQ491" s="60"/>
      <c r="FR491" s="61"/>
    </row>
    <row r="492" spans="47:192" ht="10.75" customHeight="1" x14ac:dyDescent="0.2">
      <c r="AY492" s="265"/>
      <c r="AZ492" s="266"/>
      <c r="BA492" s="266"/>
      <c r="BB492" s="267"/>
      <c r="DD492" s="275"/>
      <c r="DE492" s="264"/>
      <c r="DF492" s="264"/>
      <c r="DG492" s="276"/>
      <c r="DH492" s="20"/>
      <c r="DI492" s="21"/>
      <c r="DJ492" s="21"/>
      <c r="DK492" s="21"/>
      <c r="DL492" s="21"/>
      <c r="DM492" s="21"/>
      <c r="DN492" s="21"/>
      <c r="DO492" s="22"/>
      <c r="DP492" s="10"/>
      <c r="DQ492" s="10"/>
      <c r="DR492" s="10"/>
      <c r="DS492" s="10"/>
      <c r="DT492" s="10"/>
      <c r="DU492" s="10"/>
      <c r="DV492" s="10"/>
      <c r="DW492" s="10"/>
      <c r="DX492" s="10"/>
      <c r="DY492" s="10"/>
      <c r="DZ492" s="10"/>
      <c r="EA492" s="10"/>
      <c r="EB492" s="10"/>
      <c r="EC492" s="10"/>
      <c r="ED492" s="10"/>
      <c r="EE492" s="10"/>
      <c r="EF492" s="10"/>
      <c r="EG492" s="10"/>
      <c r="EH492" s="10"/>
      <c r="EI492" s="10"/>
      <c r="EJ492" s="10"/>
      <c r="EK492" s="10"/>
      <c r="EL492" s="10"/>
      <c r="EM492" s="10"/>
      <c r="EN492" s="10"/>
      <c r="EO492" s="10"/>
      <c r="EP492" s="10"/>
      <c r="EQ492" s="10"/>
      <c r="ER492" s="10"/>
      <c r="ES492" s="10"/>
      <c r="ET492" s="10"/>
      <c r="EU492" s="10"/>
      <c r="EV492" s="10"/>
      <c r="EW492" s="10"/>
      <c r="EX492" s="10"/>
      <c r="EY492" s="10"/>
      <c r="EZ492" s="10"/>
      <c r="FA492" s="20"/>
      <c r="FB492" s="21"/>
      <c r="FC492" s="21"/>
      <c r="FD492" s="21"/>
      <c r="FE492" s="21"/>
      <c r="FF492" s="21"/>
      <c r="FG492" s="21"/>
      <c r="FH492" s="21"/>
      <c r="FI492" s="21"/>
      <c r="FJ492" s="22"/>
      <c r="FK492" s="11"/>
      <c r="FL492" s="265"/>
      <c r="FM492" s="266"/>
      <c r="FN492" s="267"/>
    </row>
    <row r="493" spans="47:192" ht="10.75" customHeight="1" x14ac:dyDescent="0.2">
      <c r="AY493" s="271"/>
      <c r="AZ493" s="272"/>
      <c r="BA493" s="272"/>
      <c r="BB493" s="273"/>
      <c r="DD493" s="271"/>
      <c r="DE493" s="272"/>
      <c r="DF493" s="272"/>
      <c r="DG493" s="273"/>
      <c r="DH493" s="12"/>
      <c r="DP493" s="9"/>
      <c r="DQ493" s="10"/>
      <c r="DR493" s="10"/>
      <c r="DS493" s="10"/>
      <c r="DT493" s="10"/>
      <c r="DU493" s="10"/>
      <c r="DV493" s="10"/>
      <c r="DW493" s="10"/>
      <c r="DX493" s="10"/>
      <c r="DY493" s="10"/>
      <c r="DZ493" s="10"/>
      <c r="EA493" s="11"/>
      <c r="FA493" s="12"/>
      <c r="FB493" s="9"/>
      <c r="FC493" s="10"/>
      <c r="FD493" s="10"/>
      <c r="FE493" s="10"/>
      <c r="FF493" s="10"/>
      <c r="FG493" s="10"/>
      <c r="FH493" s="10"/>
      <c r="FI493" s="11"/>
      <c r="FJ493" s="13"/>
      <c r="FK493" s="13"/>
      <c r="FL493" s="271"/>
      <c r="FM493" s="272"/>
      <c r="FN493" s="273"/>
    </row>
    <row r="494" spans="47:192" ht="10.75" customHeight="1" x14ac:dyDescent="0.2">
      <c r="AY494" s="271"/>
      <c r="AZ494" s="272"/>
      <c r="BA494" s="272"/>
      <c r="BB494" s="273"/>
      <c r="DD494" s="271"/>
      <c r="DE494" s="272"/>
      <c r="DF494" s="272"/>
      <c r="DG494" s="273"/>
      <c r="DH494" s="12"/>
      <c r="DP494" s="12"/>
      <c r="EA494" s="13"/>
      <c r="FA494" s="12"/>
      <c r="FB494" s="12"/>
      <c r="FI494" s="13"/>
      <c r="FJ494" s="13"/>
      <c r="FK494" s="13"/>
      <c r="FL494" s="271"/>
      <c r="FM494" s="272"/>
      <c r="FN494" s="273"/>
    </row>
    <row r="495" spans="47:192" ht="10.75" customHeight="1" x14ac:dyDescent="0.2">
      <c r="AY495" s="271"/>
      <c r="AZ495" s="272"/>
      <c r="BA495" s="272"/>
      <c r="BB495" s="273"/>
      <c r="DD495" s="271"/>
      <c r="DE495" s="272"/>
      <c r="DF495" s="272"/>
      <c r="DG495" s="273"/>
      <c r="DH495" s="12"/>
      <c r="DP495" s="12"/>
      <c r="EA495" s="13"/>
      <c r="FA495" s="12"/>
      <c r="FB495" s="12"/>
      <c r="FI495" s="13"/>
      <c r="FJ495" s="13"/>
      <c r="FK495" s="13"/>
      <c r="FL495" s="271"/>
      <c r="FM495" s="272"/>
      <c r="FN495" s="273"/>
    </row>
    <row r="496" spans="47:192" ht="10.75" customHeight="1" x14ac:dyDescent="0.2">
      <c r="AY496" s="271"/>
      <c r="AZ496" s="272"/>
      <c r="BA496" s="272"/>
      <c r="BB496" s="273"/>
      <c r="DD496" s="271"/>
      <c r="DE496" s="272"/>
      <c r="DF496" s="272"/>
      <c r="DG496" s="273"/>
      <c r="DH496" s="12"/>
      <c r="DP496" s="12"/>
      <c r="EA496" s="13"/>
      <c r="FA496" s="12"/>
      <c r="FB496" s="12"/>
      <c r="FI496" s="13"/>
      <c r="FJ496" s="13"/>
      <c r="FK496" s="13"/>
      <c r="FL496" s="271"/>
      <c r="FM496" s="272"/>
      <c r="FN496" s="273"/>
      <c r="GH496" s="246"/>
      <c r="GI496" s="246"/>
      <c r="GJ496" s="246"/>
    </row>
    <row r="497" spans="51:213" ht="10.75" customHeight="1" x14ac:dyDescent="0.2">
      <c r="AY497" s="271"/>
      <c r="AZ497" s="272"/>
      <c r="BA497" s="272"/>
      <c r="BB497" s="273"/>
      <c r="DD497" s="271"/>
      <c r="DE497" s="272"/>
      <c r="DF497" s="272"/>
      <c r="DG497" s="273"/>
      <c r="DH497" s="12"/>
      <c r="DP497" s="12"/>
      <c r="EA497" s="13"/>
      <c r="FA497" s="12"/>
      <c r="FB497" s="12"/>
      <c r="FI497" s="13"/>
      <c r="FJ497" s="13"/>
      <c r="FK497" s="13"/>
      <c r="FL497" s="271"/>
      <c r="FM497" s="272"/>
      <c r="FN497" s="273"/>
      <c r="GH497" s="246"/>
      <c r="GI497" s="246"/>
      <c r="GJ497" s="246"/>
      <c r="GK497" s="246"/>
      <c r="GL497" s="246"/>
      <c r="GM497" s="246"/>
    </row>
    <row r="498" spans="51:213" ht="10.75" customHeight="1" x14ac:dyDescent="0.2">
      <c r="AY498" s="271"/>
      <c r="AZ498" s="272"/>
      <c r="BA498" s="272"/>
      <c r="BB498" s="273"/>
      <c r="DD498" s="271"/>
      <c r="DE498" s="272"/>
      <c r="DF498" s="272"/>
      <c r="DG498" s="273"/>
      <c r="DH498" s="12"/>
      <c r="DP498" s="12"/>
      <c r="EA498" s="13"/>
      <c r="FA498" s="12"/>
      <c r="FB498" s="12"/>
      <c r="FI498" s="13"/>
      <c r="FJ498" s="13"/>
      <c r="FK498" s="13"/>
      <c r="FL498" s="271"/>
      <c r="FM498" s="272"/>
      <c r="FN498" s="273"/>
      <c r="GH498" s="246"/>
      <c r="GI498" s="246"/>
      <c r="GJ498" s="246"/>
      <c r="GK498" s="246"/>
      <c r="GL498" s="246"/>
      <c r="GM498" s="246"/>
    </row>
    <row r="499" spans="51:213" ht="10.75" customHeight="1" x14ac:dyDescent="0.2">
      <c r="AY499" s="271"/>
      <c r="AZ499" s="272"/>
      <c r="BA499" s="272"/>
      <c r="BB499" s="273"/>
      <c r="DD499" s="271"/>
      <c r="DE499" s="272"/>
      <c r="DF499" s="272"/>
      <c r="DG499" s="273"/>
      <c r="DH499" s="12"/>
      <c r="DP499" s="12"/>
      <c r="EA499" s="13"/>
      <c r="FA499" s="12"/>
      <c r="FB499" s="12"/>
      <c r="FI499" s="13"/>
      <c r="FJ499" s="13"/>
      <c r="FK499" s="13"/>
      <c r="FL499" s="271"/>
      <c r="FM499" s="272"/>
      <c r="FN499" s="273"/>
      <c r="GH499" s="246"/>
      <c r="GI499" s="246"/>
      <c r="GJ499" s="246"/>
      <c r="GK499" s="246"/>
      <c r="GL499" s="246"/>
      <c r="GM499" s="246"/>
    </row>
    <row r="500" spans="51:213" ht="10.75" customHeight="1" x14ac:dyDescent="0.2">
      <c r="AY500" s="271"/>
      <c r="AZ500" s="272"/>
      <c r="BA500" s="272"/>
      <c r="BB500" s="273"/>
      <c r="DD500" s="271"/>
      <c r="DE500" s="272"/>
      <c r="DF500" s="272"/>
      <c r="DG500" s="273"/>
      <c r="DH500" s="12"/>
      <c r="DP500" s="14"/>
      <c r="DQ500" s="15"/>
      <c r="DR500" s="15"/>
      <c r="DS500" s="15"/>
      <c r="DT500" s="15"/>
      <c r="DU500" s="15"/>
      <c r="DV500" s="15"/>
      <c r="DW500" s="15"/>
      <c r="DX500" s="15"/>
      <c r="DY500" s="15"/>
      <c r="DZ500" s="15"/>
      <c r="EA500" s="16"/>
      <c r="FA500" s="12"/>
      <c r="FB500" s="12"/>
      <c r="FI500" s="13"/>
      <c r="FJ500" s="13"/>
      <c r="FK500" s="13"/>
      <c r="FL500" s="271"/>
      <c r="FM500" s="272"/>
      <c r="FN500" s="273"/>
      <c r="GN500" s="246"/>
      <c r="GO500" s="246"/>
      <c r="GP500" s="246"/>
      <c r="GQ500" s="246"/>
      <c r="GR500" s="246"/>
      <c r="GS500" s="246"/>
    </row>
    <row r="501" spans="51:213" ht="10.75" customHeight="1" x14ac:dyDescent="0.2">
      <c r="AY501" s="271"/>
      <c r="AZ501" s="272"/>
      <c r="BA501" s="272"/>
      <c r="BB501" s="273"/>
      <c r="DD501" s="271"/>
      <c r="DE501" s="272"/>
      <c r="DF501" s="272"/>
      <c r="DG501" s="273"/>
      <c r="DH501" s="12"/>
      <c r="EB501" s="9"/>
      <c r="EC501" s="10"/>
      <c r="ED501" s="10"/>
      <c r="EE501" s="10"/>
      <c r="EF501" s="10"/>
      <c r="EG501" s="10"/>
      <c r="EH501" s="10"/>
      <c r="EI501" s="10"/>
      <c r="EJ501" s="10"/>
      <c r="EK501" s="10"/>
      <c r="EL501" s="10"/>
      <c r="EM501" s="11"/>
      <c r="FA501" s="12"/>
      <c r="FB501" s="12"/>
      <c r="FI501" s="13"/>
      <c r="FJ501" s="13"/>
      <c r="FK501" s="13"/>
      <c r="FL501" s="271"/>
      <c r="FM501" s="272"/>
      <c r="FN501" s="273"/>
      <c r="GN501" s="246"/>
      <c r="GO501" s="246"/>
      <c r="GP501" s="246"/>
      <c r="GQ501" s="246"/>
      <c r="GR501" s="246"/>
      <c r="GS501" s="246"/>
    </row>
    <row r="502" spans="51:213" ht="10.75" customHeight="1" x14ac:dyDescent="0.2">
      <c r="AY502" s="271"/>
      <c r="AZ502" s="272"/>
      <c r="BA502" s="272"/>
      <c r="BB502" s="273"/>
      <c r="DD502" s="271"/>
      <c r="DE502" s="272"/>
      <c r="DF502" s="272"/>
      <c r="DG502" s="273"/>
      <c r="DH502" s="12"/>
      <c r="EB502" s="12"/>
      <c r="EM502" s="13"/>
      <c r="FA502" s="12"/>
      <c r="FB502" s="12"/>
      <c r="FI502" s="13"/>
      <c r="FJ502" s="13"/>
      <c r="FK502" s="13"/>
      <c r="FL502" s="271"/>
      <c r="FM502" s="272"/>
      <c r="FN502" s="273"/>
      <c r="GN502" s="246"/>
      <c r="GO502" s="246"/>
      <c r="GP502" s="246"/>
      <c r="GQ502" s="246"/>
      <c r="GR502" s="246"/>
      <c r="GS502" s="246"/>
    </row>
    <row r="503" spans="51:213" ht="10.75" customHeight="1" x14ac:dyDescent="0.2">
      <c r="AY503" s="271"/>
      <c r="AZ503" s="272"/>
      <c r="BA503" s="272"/>
      <c r="BB503" s="273"/>
      <c r="DD503" s="271"/>
      <c r="DE503" s="272"/>
      <c r="DF503" s="272"/>
      <c r="DG503" s="273"/>
      <c r="DH503" s="12"/>
      <c r="EB503" s="12"/>
      <c r="EM503" s="13"/>
      <c r="FA503" s="12"/>
      <c r="FB503" s="12"/>
      <c r="FI503" s="13"/>
      <c r="FJ503" s="13"/>
      <c r="FK503" s="13"/>
      <c r="FL503" s="271"/>
      <c r="FM503" s="272"/>
      <c r="FN503" s="273"/>
      <c r="GN503" s="246"/>
      <c r="GO503" s="246"/>
      <c r="GP503" s="246"/>
      <c r="GQ503" s="246"/>
      <c r="GR503" s="246"/>
      <c r="GS503" s="246"/>
    </row>
    <row r="504" spans="51:213" ht="10.75" customHeight="1" x14ac:dyDescent="0.2">
      <c r="AY504" s="271"/>
      <c r="AZ504" s="272"/>
      <c r="BA504" s="272"/>
      <c r="BB504" s="273"/>
      <c r="DD504" s="271"/>
      <c r="DE504" s="272"/>
      <c r="DF504" s="272"/>
      <c r="DG504" s="273"/>
      <c r="DH504" s="12"/>
      <c r="EB504" s="12"/>
      <c r="EM504" s="13"/>
      <c r="FA504" s="12"/>
      <c r="FB504" s="12"/>
      <c r="FI504" s="13"/>
      <c r="FJ504" s="13"/>
      <c r="FK504" s="13"/>
      <c r="FL504" s="271"/>
      <c r="FM504" s="272"/>
      <c r="FN504" s="273"/>
      <c r="GT504" s="246"/>
      <c r="GU504" s="246"/>
      <c r="GV504" s="246"/>
      <c r="GW504" s="246"/>
      <c r="GX504" s="246"/>
      <c r="GY504" s="246"/>
    </row>
    <row r="505" spans="51:213" ht="10.75" customHeight="1" x14ac:dyDescent="0.2">
      <c r="AY505" s="271"/>
      <c r="AZ505" s="272"/>
      <c r="BA505" s="272"/>
      <c r="BB505" s="273"/>
      <c r="DD505" s="271"/>
      <c r="DE505" s="272"/>
      <c r="DF505" s="272"/>
      <c r="DG505" s="273"/>
      <c r="DH505" s="12"/>
      <c r="EB505" s="12"/>
      <c r="EM505" s="13"/>
      <c r="FA505" s="12"/>
      <c r="FB505" s="12"/>
      <c r="FI505" s="13"/>
      <c r="FJ505" s="13"/>
      <c r="FK505" s="13"/>
      <c r="FL505" s="271"/>
      <c r="FM505" s="272"/>
      <c r="FN505" s="273"/>
      <c r="GT505" s="246"/>
      <c r="GU505" s="246"/>
      <c r="GV505" s="246"/>
      <c r="GW505" s="246"/>
      <c r="GX505" s="246"/>
      <c r="GY505" s="246"/>
    </row>
    <row r="506" spans="51:213" ht="10.75" customHeight="1" x14ac:dyDescent="0.2">
      <c r="AY506" s="271"/>
      <c r="AZ506" s="272"/>
      <c r="BA506" s="272"/>
      <c r="BB506" s="273"/>
      <c r="DD506" s="271"/>
      <c r="DE506" s="272"/>
      <c r="DF506" s="272"/>
      <c r="DG506" s="273"/>
      <c r="DH506" s="12"/>
      <c r="EB506" s="12"/>
      <c r="EM506" s="13"/>
      <c r="FA506" s="12"/>
      <c r="FB506" s="12"/>
      <c r="FI506" s="13"/>
      <c r="FJ506" s="13"/>
      <c r="FK506" s="13"/>
      <c r="FL506" s="271"/>
      <c r="FM506" s="272"/>
      <c r="FN506" s="273"/>
      <c r="GT506" s="246"/>
      <c r="GU506" s="246"/>
      <c r="GV506" s="246"/>
      <c r="GW506" s="246"/>
      <c r="GX506" s="246"/>
      <c r="GY506" s="246"/>
    </row>
    <row r="507" spans="51:213" ht="10.75" customHeight="1" x14ac:dyDescent="0.2">
      <c r="AY507" s="271"/>
      <c r="AZ507" s="272"/>
      <c r="BA507" s="272"/>
      <c r="BB507" s="273"/>
      <c r="DD507" s="271"/>
      <c r="DE507" s="272"/>
      <c r="DF507" s="272"/>
      <c r="DG507" s="273"/>
      <c r="DH507" s="12"/>
      <c r="EB507" s="12"/>
      <c r="EM507" s="13"/>
      <c r="FA507" s="12"/>
      <c r="FB507" s="12"/>
      <c r="FI507" s="13"/>
      <c r="FJ507" s="13"/>
      <c r="FK507" s="13"/>
      <c r="FL507" s="271"/>
      <c r="FM507" s="272"/>
      <c r="FN507" s="273"/>
      <c r="GT507" s="246"/>
      <c r="GU507" s="246"/>
      <c r="GV507" s="246"/>
      <c r="GW507" s="246"/>
      <c r="GX507" s="246"/>
      <c r="GY507" s="246"/>
    </row>
    <row r="508" spans="51:213" ht="10.75" customHeight="1" x14ac:dyDescent="0.2">
      <c r="AY508" s="271"/>
      <c r="AZ508" s="272"/>
      <c r="BA508" s="272"/>
      <c r="BB508" s="273"/>
      <c r="DD508" s="271"/>
      <c r="DE508" s="272"/>
      <c r="DF508" s="272"/>
      <c r="DG508" s="273"/>
      <c r="DH508" s="12"/>
      <c r="EB508" s="14"/>
      <c r="EC508" s="15"/>
      <c r="ED508" s="15"/>
      <c r="EE508" s="15"/>
      <c r="EF508" s="15"/>
      <c r="EG508" s="15"/>
      <c r="EH508" s="15"/>
      <c r="EI508" s="15"/>
      <c r="EJ508" s="15"/>
      <c r="EK508" s="15"/>
      <c r="EL508" s="15"/>
      <c r="EM508" s="16"/>
      <c r="FA508" s="12"/>
      <c r="FB508" s="12"/>
      <c r="FI508" s="13"/>
      <c r="FJ508" s="13"/>
      <c r="FK508" s="13"/>
      <c r="FL508" s="271"/>
      <c r="FM508" s="272"/>
      <c r="FN508" s="273"/>
      <c r="GZ508" s="246"/>
      <c r="HA508" s="246"/>
      <c r="HB508" s="246"/>
      <c r="HC508" s="246"/>
      <c r="HD508" s="246"/>
      <c r="HE508" s="246"/>
    </row>
    <row r="509" spans="51:213" ht="10.75" customHeight="1" x14ac:dyDescent="0.2">
      <c r="AY509" s="271"/>
      <c r="AZ509" s="272"/>
      <c r="BA509" s="272"/>
      <c r="BB509" s="273"/>
      <c r="DD509" s="271"/>
      <c r="DE509" s="272"/>
      <c r="DF509" s="272"/>
      <c r="DG509" s="273"/>
      <c r="DH509" s="12"/>
      <c r="EN509" s="9"/>
      <c r="EO509" s="10"/>
      <c r="EP509" s="10"/>
      <c r="EQ509" s="10"/>
      <c r="ER509" s="10"/>
      <c r="ES509" s="10"/>
      <c r="ET509" s="10"/>
      <c r="EU509" s="10"/>
      <c r="EV509" s="10"/>
      <c r="EW509" s="10"/>
      <c r="EX509" s="10"/>
      <c r="EY509" s="11"/>
      <c r="FA509" s="12"/>
      <c r="FB509" s="12"/>
      <c r="FI509" s="13"/>
      <c r="FJ509" s="13"/>
      <c r="FK509" s="13"/>
      <c r="FL509" s="271"/>
      <c r="FM509" s="272"/>
      <c r="FN509" s="273"/>
      <c r="GZ509" s="246"/>
      <c r="HA509" s="246"/>
      <c r="HB509" s="246"/>
      <c r="HC509" s="246"/>
      <c r="HD509" s="246"/>
      <c r="HE509" s="246"/>
    </row>
    <row r="510" spans="51:213" ht="10.75" customHeight="1" x14ac:dyDescent="0.2">
      <c r="AY510" s="271"/>
      <c r="AZ510" s="272"/>
      <c r="BA510" s="272"/>
      <c r="BB510" s="273"/>
      <c r="DD510" s="271"/>
      <c r="DE510" s="272"/>
      <c r="DF510" s="272"/>
      <c r="DG510" s="273"/>
      <c r="DH510" s="12"/>
      <c r="EN510" s="12"/>
      <c r="EY510" s="13"/>
      <c r="FA510" s="12"/>
      <c r="FB510" s="12"/>
      <c r="FI510" s="13"/>
      <c r="FJ510" s="13"/>
      <c r="FK510" s="13"/>
      <c r="FL510" s="271"/>
      <c r="FM510" s="272"/>
      <c r="FN510" s="273"/>
      <c r="GZ510" s="246"/>
      <c r="HA510" s="246"/>
      <c r="HB510" s="246"/>
      <c r="HC510" s="246"/>
      <c r="HD510" s="246"/>
      <c r="HE510" s="246"/>
    </row>
    <row r="511" spans="51:213" ht="10.75" customHeight="1" x14ac:dyDescent="0.2">
      <c r="AY511" s="271"/>
      <c r="AZ511" s="272"/>
      <c r="BA511" s="272"/>
      <c r="BB511" s="273"/>
      <c r="DD511" s="271"/>
      <c r="DE511" s="272"/>
      <c r="DF511" s="272"/>
      <c r="DG511" s="273"/>
      <c r="DH511" s="12"/>
      <c r="EN511" s="12"/>
      <c r="EY511" s="13"/>
      <c r="FA511" s="12"/>
      <c r="FB511" s="12"/>
      <c r="FI511" s="13"/>
      <c r="FJ511" s="13"/>
      <c r="FK511" s="13"/>
      <c r="FL511" s="271"/>
      <c r="FM511" s="272"/>
      <c r="FN511" s="273"/>
      <c r="GZ511" s="246"/>
      <c r="HA511" s="246"/>
      <c r="HB511" s="246"/>
      <c r="HC511" s="246"/>
      <c r="HD511" s="246"/>
      <c r="HE511" s="246"/>
    </row>
    <row r="512" spans="51:213" ht="10.75" customHeight="1" x14ac:dyDescent="0.2">
      <c r="AY512" s="271"/>
      <c r="AZ512" s="272"/>
      <c r="BA512" s="272"/>
      <c r="BB512" s="273"/>
      <c r="DD512" s="271"/>
      <c r="DE512" s="272"/>
      <c r="DF512" s="272"/>
      <c r="DG512" s="273"/>
      <c r="DH512" s="12"/>
      <c r="EN512" s="12"/>
      <c r="EY512" s="13"/>
      <c r="FA512" s="12"/>
      <c r="FB512" s="12"/>
      <c r="FI512" s="13"/>
      <c r="FJ512" s="13"/>
      <c r="FK512" s="13"/>
      <c r="FL512" s="271"/>
      <c r="FM512" s="272"/>
      <c r="FN512" s="273"/>
    </row>
    <row r="513" spans="51:321" ht="10.75" customHeight="1" x14ac:dyDescent="0.2">
      <c r="AY513" s="271"/>
      <c r="AZ513" s="272"/>
      <c r="BA513" s="272"/>
      <c r="BB513" s="273"/>
      <c r="DD513" s="271"/>
      <c r="DE513" s="272"/>
      <c r="DF513" s="272"/>
      <c r="DG513" s="273"/>
      <c r="DH513" s="12"/>
      <c r="EN513" s="12"/>
      <c r="EY513" s="13"/>
      <c r="FA513" s="12"/>
      <c r="FB513" s="12"/>
      <c r="FI513" s="13"/>
      <c r="FJ513" s="13"/>
      <c r="FK513" s="13"/>
      <c r="FL513" s="271"/>
      <c r="FM513" s="272"/>
      <c r="FN513" s="273"/>
    </row>
    <row r="514" spans="51:321" ht="10.75" customHeight="1" x14ac:dyDescent="0.2">
      <c r="AY514" s="271"/>
      <c r="AZ514" s="272"/>
      <c r="BA514" s="272"/>
      <c r="BB514" s="273"/>
      <c r="DD514" s="271"/>
      <c r="DE514" s="272"/>
      <c r="DF514" s="272"/>
      <c r="DG514" s="273"/>
      <c r="DH514" s="12"/>
      <c r="EN514" s="12"/>
      <c r="EY514" s="13"/>
      <c r="FA514" s="14"/>
      <c r="FB514" s="14"/>
      <c r="FC514" s="15"/>
      <c r="FD514" s="15"/>
      <c r="FE514" s="15"/>
      <c r="FF514" s="15"/>
      <c r="FG514" s="15"/>
      <c r="FH514" s="15"/>
      <c r="FI514" s="16"/>
      <c r="FJ514" s="16"/>
      <c r="FK514" s="13"/>
      <c r="FL514" s="271"/>
      <c r="FM514" s="272"/>
      <c r="FN514" s="273"/>
    </row>
    <row r="515" spans="51:321" ht="10.75" customHeight="1" x14ac:dyDescent="0.2">
      <c r="AY515" s="271"/>
      <c r="AZ515" s="272"/>
      <c r="BA515" s="272"/>
      <c r="BB515" s="273"/>
      <c r="DD515" s="271"/>
      <c r="DE515" s="272"/>
      <c r="DF515" s="272"/>
      <c r="DG515" s="273"/>
      <c r="DH515" s="12"/>
      <c r="EN515" s="12"/>
      <c r="EY515" s="13"/>
      <c r="FA515" s="9"/>
      <c r="FB515" s="10"/>
      <c r="FC515" s="10"/>
      <c r="FD515" s="10"/>
      <c r="FE515" s="10"/>
      <c r="FF515" s="10"/>
      <c r="FG515" s="10"/>
      <c r="FH515" s="10"/>
      <c r="FI515" s="10"/>
      <c r="FJ515" s="11"/>
      <c r="FK515" s="13"/>
      <c r="FL515" s="271"/>
      <c r="FM515" s="272"/>
      <c r="FN515" s="273"/>
    </row>
    <row r="516" spans="51:321" ht="10.75" customHeight="1" x14ac:dyDescent="0.2">
      <c r="AY516" s="271"/>
      <c r="AZ516" s="272"/>
      <c r="BA516" s="272"/>
      <c r="BB516" s="273"/>
      <c r="DD516" s="271"/>
      <c r="DE516" s="272"/>
      <c r="DF516" s="272"/>
      <c r="DG516" s="273"/>
      <c r="DH516" s="12"/>
      <c r="EN516" s="14"/>
      <c r="EO516" s="15"/>
      <c r="EP516" s="15"/>
      <c r="EQ516" s="15"/>
      <c r="ER516" s="15"/>
      <c r="ES516" s="15"/>
      <c r="ET516" s="15"/>
      <c r="EU516" s="15"/>
      <c r="EV516" s="15"/>
      <c r="EW516" s="15"/>
      <c r="EX516" s="15"/>
      <c r="EY516" s="16"/>
      <c r="FA516" s="12"/>
      <c r="FJ516" s="13"/>
      <c r="FK516" s="13"/>
      <c r="FL516" s="271"/>
      <c r="FM516" s="272"/>
      <c r="FN516" s="273"/>
    </row>
    <row r="517" spans="51:321" ht="10.75" customHeight="1" x14ac:dyDescent="0.2">
      <c r="AY517" s="271"/>
      <c r="AZ517" s="272"/>
      <c r="BA517" s="272"/>
      <c r="BB517" s="273"/>
      <c r="DD517" s="271"/>
      <c r="DE517" s="272"/>
      <c r="DF517" s="272"/>
      <c r="DG517" s="273"/>
      <c r="DH517" s="12"/>
      <c r="EZ517" s="265"/>
      <c r="FA517" s="266"/>
      <c r="FB517" s="266"/>
      <c r="FC517" s="266"/>
      <c r="FD517" s="266"/>
      <c r="FE517" s="266"/>
      <c r="FF517" s="266"/>
      <c r="FG517" s="266"/>
      <c r="FH517" s="266"/>
      <c r="FI517" s="266"/>
      <c r="FJ517" s="266"/>
      <c r="FK517" s="267"/>
      <c r="FL517" s="271"/>
      <c r="FM517" s="272"/>
      <c r="FN517" s="273"/>
    </row>
    <row r="518" spans="51:321" ht="10.75" customHeight="1" x14ac:dyDescent="0.2">
      <c r="AY518" s="271"/>
      <c r="AZ518" s="272"/>
      <c r="BA518" s="272"/>
      <c r="BB518" s="273"/>
      <c r="DD518" s="271"/>
      <c r="DE518" s="272"/>
      <c r="DF518" s="272"/>
      <c r="DG518" s="273"/>
      <c r="DH518" s="12"/>
      <c r="EZ518" s="268"/>
      <c r="FA518" s="269"/>
      <c r="FB518" s="269"/>
      <c r="FC518" s="269"/>
      <c r="FD518" s="269"/>
      <c r="FE518" s="269"/>
      <c r="FF518" s="269"/>
      <c r="FG518" s="269"/>
      <c r="FH518" s="269"/>
      <c r="FI518" s="269"/>
      <c r="FJ518" s="269"/>
      <c r="FK518" s="270"/>
      <c r="FL518" s="271"/>
      <c r="FM518" s="272"/>
      <c r="FN518" s="273"/>
    </row>
    <row r="519" spans="51:321" ht="10.75" customHeight="1" x14ac:dyDescent="0.2">
      <c r="AY519" s="271"/>
      <c r="AZ519" s="272"/>
      <c r="BA519" s="272"/>
      <c r="BB519" s="273"/>
      <c r="DD519" s="271"/>
      <c r="DE519" s="272"/>
      <c r="DF519" s="272"/>
      <c r="DG519" s="273"/>
      <c r="DH519" s="12"/>
      <c r="FK519" s="13"/>
      <c r="FL519" s="271"/>
      <c r="FM519" s="272"/>
      <c r="FN519" s="273"/>
    </row>
    <row r="520" spans="51:321" ht="10.75" customHeight="1" x14ac:dyDescent="0.2">
      <c r="AY520" s="271"/>
      <c r="AZ520" s="272"/>
      <c r="BA520" s="272"/>
      <c r="BB520" s="273"/>
      <c r="DD520" s="271"/>
      <c r="DE520" s="272"/>
      <c r="DF520" s="272"/>
      <c r="DG520" s="273"/>
      <c r="DH520" s="12"/>
      <c r="FK520" s="13"/>
      <c r="FL520" s="271"/>
      <c r="FM520" s="272"/>
      <c r="FN520" s="273"/>
    </row>
    <row r="521" spans="51:321" ht="10.75" customHeight="1" x14ac:dyDescent="0.2">
      <c r="AY521" s="271"/>
      <c r="AZ521" s="272"/>
      <c r="BA521" s="272"/>
      <c r="BB521" s="273"/>
      <c r="DD521" s="271"/>
      <c r="DE521" s="272"/>
      <c r="DF521" s="272"/>
      <c r="DG521" s="273"/>
      <c r="DH521" s="12"/>
      <c r="FK521" s="13"/>
      <c r="FL521" s="271"/>
      <c r="FM521" s="272"/>
      <c r="FN521" s="273"/>
    </row>
    <row r="522" spans="51:321" ht="10.75" customHeight="1" x14ac:dyDescent="0.2">
      <c r="AY522" s="271"/>
      <c r="AZ522" s="272"/>
      <c r="BA522" s="272"/>
      <c r="BB522" s="273"/>
      <c r="DD522" s="271"/>
      <c r="DE522" s="272"/>
      <c r="DF522" s="272"/>
      <c r="DG522" s="273"/>
      <c r="DH522" s="12"/>
      <c r="FK522" s="13"/>
      <c r="FL522" s="271"/>
      <c r="FM522" s="272"/>
      <c r="FN522" s="273"/>
    </row>
    <row r="523" spans="51:321" ht="10.75" customHeight="1" x14ac:dyDescent="0.2">
      <c r="AY523" s="271"/>
      <c r="AZ523" s="272"/>
      <c r="BA523" s="272"/>
      <c r="BB523" s="273"/>
      <c r="DD523" s="271"/>
      <c r="DE523" s="272"/>
      <c r="DF523" s="272"/>
      <c r="DG523" s="273"/>
      <c r="DH523" s="12"/>
      <c r="FK523" s="13"/>
      <c r="FL523" s="271"/>
      <c r="FM523" s="272"/>
      <c r="FN523" s="273"/>
    </row>
    <row r="524" spans="51:321" ht="10.75" customHeight="1" x14ac:dyDescent="0.2">
      <c r="AY524" s="271"/>
      <c r="AZ524" s="272"/>
      <c r="BA524" s="272"/>
      <c r="BB524" s="273"/>
      <c r="DD524" s="271"/>
      <c r="DE524" s="272"/>
      <c r="DF524" s="272"/>
      <c r="DG524" s="273"/>
      <c r="DH524" s="12"/>
      <c r="FK524" s="13"/>
      <c r="FL524" s="271"/>
      <c r="FM524" s="272"/>
      <c r="FN524" s="273"/>
    </row>
    <row r="525" spans="51:321" ht="10.75" customHeight="1" x14ac:dyDescent="0.2">
      <c r="AY525" s="271"/>
      <c r="AZ525" s="272"/>
      <c r="BA525" s="272"/>
      <c r="BB525" s="273"/>
      <c r="DD525" s="271"/>
      <c r="DE525" s="272"/>
      <c r="DF525" s="272"/>
      <c r="DG525" s="273"/>
      <c r="DH525" s="12"/>
      <c r="FK525" s="13"/>
      <c r="FL525" s="271"/>
      <c r="FM525" s="272"/>
      <c r="FN525" s="273"/>
    </row>
    <row r="526" spans="51:321" ht="10.75" customHeight="1" x14ac:dyDescent="0.2">
      <c r="AY526" s="271"/>
      <c r="AZ526" s="272"/>
      <c r="BA526" s="272"/>
      <c r="BB526" s="273"/>
      <c r="DD526" s="271"/>
      <c r="DE526" s="272"/>
      <c r="DF526" s="272"/>
      <c r="DG526" s="273"/>
      <c r="DH526" s="12"/>
      <c r="FK526" s="13"/>
      <c r="FL526" s="271"/>
      <c r="FM526" s="272"/>
      <c r="FN526" s="273"/>
    </row>
    <row r="527" spans="51:321" ht="10.75" customHeight="1" x14ac:dyDescent="0.2">
      <c r="AY527" s="271"/>
      <c r="AZ527" s="272"/>
      <c r="BA527" s="272"/>
      <c r="BB527" s="273"/>
      <c r="DD527" s="271"/>
      <c r="DE527" s="272"/>
      <c r="DF527" s="272"/>
      <c r="DG527" s="273"/>
      <c r="DH527" s="12"/>
      <c r="FK527" s="13"/>
      <c r="FL527" s="271"/>
      <c r="FM527" s="272"/>
      <c r="FN527" s="273"/>
    </row>
    <row r="528" spans="51:321" ht="10.75" customHeight="1" x14ac:dyDescent="0.2">
      <c r="AY528" s="271"/>
      <c r="AZ528" s="272"/>
      <c r="BA528" s="272"/>
      <c r="BB528" s="273"/>
      <c r="DD528" s="271"/>
      <c r="DE528" s="272"/>
      <c r="DF528" s="272"/>
      <c r="DG528" s="273"/>
      <c r="DH528" s="12"/>
      <c r="FK528" s="13"/>
      <c r="FL528" s="271"/>
      <c r="FM528" s="272"/>
      <c r="FN528" s="273"/>
      <c r="JI528" s="9"/>
      <c r="JJ528" s="10"/>
      <c r="JK528" s="10"/>
      <c r="JL528" s="10"/>
      <c r="JM528" s="10"/>
      <c r="JN528" s="10"/>
      <c r="JO528" s="10"/>
      <c r="JP528" s="10"/>
      <c r="JQ528" s="10"/>
      <c r="JR528" s="10"/>
      <c r="JS528" s="10"/>
      <c r="JT528" s="10"/>
      <c r="JU528" s="10"/>
      <c r="JV528" s="10"/>
      <c r="JW528" s="10"/>
      <c r="JX528" s="10"/>
      <c r="JY528" s="10"/>
      <c r="JZ528" s="10"/>
      <c r="KA528" s="10"/>
      <c r="KB528" s="10"/>
      <c r="KC528" s="10"/>
      <c r="KD528" s="10"/>
      <c r="KE528" s="10"/>
      <c r="KF528" s="10"/>
      <c r="KG528" s="10"/>
      <c r="KH528" s="11"/>
      <c r="KI528" s="17"/>
      <c r="KJ528" s="10"/>
      <c r="KK528" s="10"/>
      <c r="KL528" s="10"/>
      <c r="KM528" s="10"/>
      <c r="KN528" s="10"/>
      <c r="KO528" s="10"/>
      <c r="KP528" s="10"/>
      <c r="KQ528" s="10"/>
      <c r="KR528" s="10"/>
      <c r="KS528" s="10"/>
      <c r="KT528" s="10"/>
      <c r="KU528" s="10"/>
      <c r="KV528" s="10"/>
      <c r="KW528" s="10"/>
      <c r="KX528" s="10"/>
      <c r="KY528" s="10"/>
      <c r="KZ528" s="10"/>
      <c r="LA528" s="10"/>
      <c r="LB528" s="10"/>
      <c r="LC528" s="10"/>
      <c r="LD528" s="10"/>
      <c r="LE528" s="10"/>
      <c r="LF528" s="10"/>
      <c r="LG528" s="10"/>
      <c r="LH528" s="10"/>
      <c r="LI528" s="11"/>
    </row>
    <row r="529" spans="43:407" ht="10.75" customHeight="1" x14ac:dyDescent="0.2">
      <c r="AY529" s="271"/>
      <c r="AZ529" s="272"/>
      <c r="BA529" s="272"/>
      <c r="BB529" s="273"/>
      <c r="DD529" s="271"/>
      <c r="DE529" s="272"/>
      <c r="DF529" s="272"/>
      <c r="DG529" s="273"/>
      <c r="DH529" s="12"/>
      <c r="FK529" s="13"/>
      <c r="FL529" s="271"/>
      <c r="FM529" s="272"/>
      <c r="FN529" s="273"/>
      <c r="JI529" s="12"/>
      <c r="KH529" s="13"/>
      <c r="KI529" s="18"/>
      <c r="LI529" s="13"/>
    </row>
    <row r="530" spans="43:407" ht="10.75" customHeight="1" x14ac:dyDescent="0.2">
      <c r="AY530" s="271"/>
      <c r="AZ530" s="272"/>
      <c r="BA530" s="272"/>
      <c r="BB530" s="273"/>
      <c r="DD530" s="271"/>
      <c r="DE530" s="272"/>
      <c r="DF530" s="272"/>
      <c r="DG530" s="273"/>
      <c r="DH530" s="12"/>
      <c r="FK530" s="13"/>
      <c r="FL530" s="271"/>
      <c r="FM530" s="272"/>
      <c r="FN530" s="273"/>
      <c r="JI530" s="12"/>
      <c r="KH530" s="13"/>
      <c r="KI530" s="18"/>
      <c r="LI530" s="13"/>
    </row>
    <row r="531" spans="43:407" ht="10.75" customHeight="1" x14ac:dyDescent="0.2">
      <c r="AY531" s="271"/>
      <c r="AZ531" s="272"/>
      <c r="BA531" s="272"/>
      <c r="BB531" s="273"/>
      <c r="DD531" s="271"/>
      <c r="DE531" s="272"/>
      <c r="DF531" s="272"/>
      <c r="DG531" s="273"/>
      <c r="DH531" s="12"/>
      <c r="FK531" s="13"/>
      <c r="FL531" s="271"/>
      <c r="FM531" s="272"/>
      <c r="FN531" s="273"/>
      <c r="JI531" s="12"/>
      <c r="KH531" s="13"/>
      <c r="KI531" s="18"/>
      <c r="LI531" s="13"/>
    </row>
    <row r="532" spans="43:407" ht="10.75" customHeight="1" x14ac:dyDescent="0.2">
      <c r="AY532" s="271"/>
      <c r="AZ532" s="272"/>
      <c r="BA532" s="272"/>
      <c r="BB532" s="273"/>
      <c r="DD532" s="271"/>
      <c r="DE532" s="272"/>
      <c r="DF532" s="272"/>
      <c r="DG532" s="273"/>
      <c r="DH532" s="12"/>
      <c r="FK532" s="13"/>
      <c r="FL532" s="271"/>
      <c r="FM532" s="272"/>
      <c r="FN532" s="273"/>
      <c r="JI532" s="12"/>
      <c r="KH532" s="13"/>
      <c r="KI532" s="18"/>
      <c r="LI532" s="13"/>
    </row>
    <row r="533" spans="43:407" ht="10.75" customHeight="1" x14ac:dyDescent="0.2">
      <c r="AY533" s="271"/>
      <c r="AZ533" s="272"/>
      <c r="BA533" s="272"/>
      <c r="BB533" s="273"/>
      <c r="DD533" s="271"/>
      <c r="DE533" s="272"/>
      <c r="DF533" s="272"/>
      <c r="DG533" s="273"/>
      <c r="DH533" s="12"/>
      <c r="FK533" s="13"/>
      <c r="FL533" s="271"/>
      <c r="FM533" s="272"/>
      <c r="FN533" s="273"/>
      <c r="JI533" s="12"/>
      <c r="KH533" s="13"/>
      <c r="KI533" s="18"/>
      <c r="LI533" s="13"/>
    </row>
    <row r="534" spans="43:407" ht="10.75" customHeight="1" x14ac:dyDescent="0.2">
      <c r="AY534" s="271"/>
      <c r="AZ534" s="272"/>
      <c r="BA534" s="272"/>
      <c r="BB534" s="273"/>
      <c r="DD534" s="271"/>
      <c r="DE534" s="272"/>
      <c r="DF534" s="272"/>
      <c r="DG534" s="273"/>
      <c r="DH534" s="12"/>
      <c r="FK534" s="13"/>
      <c r="FL534" s="271"/>
      <c r="FM534" s="272"/>
      <c r="FN534" s="273"/>
      <c r="JI534" s="12"/>
      <c r="KH534" s="13"/>
      <c r="KI534" s="18"/>
      <c r="LI534" s="13"/>
    </row>
    <row r="535" spans="43:407" ht="10.75" customHeight="1" x14ac:dyDescent="0.2">
      <c r="AY535" s="271"/>
      <c r="AZ535" s="272"/>
      <c r="BA535" s="272"/>
      <c r="BB535" s="273"/>
      <c r="DD535" s="271"/>
      <c r="DE535" s="272"/>
      <c r="DF535" s="272"/>
      <c r="DG535" s="273"/>
      <c r="DH535" s="12"/>
      <c r="FK535" s="13"/>
      <c r="FL535" s="271"/>
      <c r="FM535" s="272"/>
      <c r="FN535" s="273"/>
      <c r="JI535" s="12"/>
      <c r="KH535" s="13"/>
      <c r="KI535" s="18"/>
      <c r="LI535" s="13"/>
    </row>
    <row r="536" spans="43:407" ht="10.75" customHeight="1" x14ac:dyDescent="0.2">
      <c r="AY536" s="268"/>
      <c r="AZ536" s="269"/>
      <c r="BA536" s="269"/>
      <c r="BB536" s="270"/>
      <c r="DD536" s="268"/>
      <c r="DE536" s="269"/>
      <c r="DF536" s="269"/>
      <c r="DG536" s="270"/>
      <c r="DH536" s="14"/>
      <c r="DI536" s="15"/>
      <c r="DJ536" s="15"/>
      <c r="DK536" s="15"/>
      <c r="DL536" s="15"/>
      <c r="DM536" s="15"/>
      <c r="DN536" s="15"/>
      <c r="DO536" s="15"/>
      <c r="DP536" s="15"/>
      <c r="DQ536" s="15"/>
      <c r="DR536" s="15"/>
      <c r="DS536" s="15"/>
      <c r="DT536" s="15"/>
      <c r="DU536" s="15"/>
      <c r="DV536" s="15"/>
      <c r="DW536" s="15"/>
      <c r="DX536" s="15"/>
      <c r="DY536" s="15"/>
      <c r="DZ536" s="15"/>
      <c r="EA536" s="15"/>
      <c r="EB536" s="15"/>
      <c r="EC536" s="15"/>
      <c r="ED536" s="15"/>
      <c r="EE536" s="15"/>
      <c r="EF536" s="15"/>
      <c r="EG536" s="15"/>
      <c r="EH536" s="15"/>
      <c r="EI536" s="15"/>
      <c r="EJ536" s="15"/>
      <c r="EK536" s="15"/>
      <c r="EL536" s="15"/>
      <c r="EM536" s="15"/>
      <c r="EN536" s="15"/>
      <c r="EO536" s="15"/>
      <c r="EP536" s="15"/>
      <c r="EQ536" s="15"/>
      <c r="ER536" s="15"/>
      <c r="ES536" s="15"/>
      <c r="ET536" s="15"/>
      <c r="EU536" s="15"/>
      <c r="EV536" s="15"/>
      <c r="EW536" s="15"/>
      <c r="EX536" s="15"/>
      <c r="EY536" s="15"/>
      <c r="EZ536" s="15"/>
      <c r="FA536" s="15"/>
      <c r="FB536" s="15"/>
      <c r="FC536" s="15"/>
      <c r="FD536" s="15"/>
      <c r="FE536" s="15"/>
      <c r="FF536" s="15"/>
      <c r="FG536" s="15"/>
      <c r="FH536" s="15"/>
      <c r="FI536" s="15"/>
      <c r="FJ536" s="15"/>
      <c r="FK536" s="16"/>
      <c r="FL536" s="268"/>
      <c r="FM536" s="269"/>
      <c r="FN536" s="270"/>
      <c r="JI536" s="14"/>
      <c r="JJ536" s="15"/>
      <c r="JK536" s="15"/>
      <c r="JL536" s="15"/>
      <c r="JM536" s="15"/>
      <c r="JN536" s="15"/>
      <c r="JO536" s="15"/>
      <c r="JP536" s="15"/>
      <c r="JQ536" s="15"/>
      <c r="JR536" s="15"/>
      <c r="JS536" s="15"/>
      <c r="JT536" s="15"/>
      <c r="JU536" s="15"/>
      <c r="JV536" s="15"/>
      <c r="JW536" s="15"/>
      <c r="JX536" s="15"/>
      <c r="JY536" s="15"/>
      <c r="JZ536" s="15"/>
      <c r="KA536" s="15"/>
      <c r="KB536" s="15"/>
      <c r="KC536" s="15"/>
      <c r="KD536" s="15"/>
      <c r="KE536" s="15"/>
      <c r="KF536" s="15"/>
      <c r="KG536" s="15"/>
      <c r="KH536" s="16"/>
      <c r="KI536" s="18"/>
      <c r="LI536" s="13"/>
      <c r="MG536" s="280"/>
      <c r="MH536" s="280"/>
      <c r="MI536" s="280"/>
      <c r="MJ536" s="280"/>
      <c r="MK536" s="280"/>
      <c r="ML536" s="280"/>
      <c r="MM536" s="280"/>
      <c r="MN536" s="280"/>
      <c r="MO536" s="280"/>
      <c r="MP536" s="280"/>
      <c r="MQ536" s="280"/>
      <c r="MR536" s="280"/>
      <c r="MS536" s="280"/>
      <c r="MT536" s="280"/>
      <c r="MU536" s="280"/>
      <c r="MV536" s="280"/>
      <c r="MW536" s="280"/>
      <c r="MX536" s="280"/>
      <c r="MY536" s="280"/>
      <c r="MZ536" s="280"/>
      <c r="NA536" s="280"/>
      <c r="NB536" s="280"/>
      <c r="NC536" s="280"/>
      <c r="ND536" s="280"/>
      <c r="NE536" s="280"/>
      <c r="NF536" s="280"/>
      <c r="NG536" s="280"/>
      <c r="NH536" s="280"/>
      <c r="NI536" s="280"/>
      <c r="NJ536" s="280"/>
      <c r="NK536" s="280"/>
      <c r="NL536" s="280"/>
      <c r="NM536" s="280"/>
      <c r="NN536" s="280"/>
      <c r="NO536" s="280"/>
      <c r="NP536" s="280"/>
      <c r="NQ536" s="280"/>
      <c r="NR536" s="280"/>
      <c r="NS536" s="280"/>
      <c r="NT536" s="280"/>
      <c r="NU536" s="280"/>
      <c r="NV536" s="280"/>
      <c r="NW536" s="280"/>
      <c r="NX536" s="280"/>
      <c r="NY536" s="280"/>
      <c r="NZ536" s="280"/>
      <c r="OA536" s="280"/>
      <c r="OB536" s="280"/>
      <c r="OC536" s="280"/>
      <c r="OD536" s="280"/>
      <c r="OE536" s="280"/>
      <c r="OF536" s="280"/>
      <c r="OG536" s="280"/>
      <c r="OH536" s="280"/>
      <c r="OI536" s="280"/>
      <c r="OJ536" s="280"/>
      <c r="OK536" s="280"/>
      <c r="OL536" s="280"/>
      <c r="OM536" s="280"/>
      <c r="ON536" s="280"/>
      <c r="OO536" s="280"/>
      <c r="OP536" s="280"/>
      <c r="OQ536" s="280"/>
    </row>
    <row r="537" spans="43:407" ht="10.75" customHeight="1" x14ac:dyDescent="0.2"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  <c r="BA537" s="10"/>
      <c r="BB537" s="10"/>
      <c r="BC537" s="10"/>
      <c r="BD537" s="10"/>
      <c r="BE537" s="10"/>
      <c r="BF537" s="10"/>
      <c r="BG537" s="10"/>
      <c r="BH537" s="10"/>
      <c r="BI537" s="10"/>
      <c r="BJ537" s="10"/>
      <c r="BK537" s="10"/>
      <c r="BL537" s="10"/>
      <c r="BM537" s="10"/>
      <c r="BN537" s="10"/>
      <c r="BO537" s="10"/>
      <c r="BP537" s="10"/>
      <c r="BQ537" s="10"/>
      <c r="BR537" s="10"/>
      <c r="BS537" s="10"/>
      <c r="BT537" s="10"/>
      <c r="BU537" s="10"/>
      <c r="BV537" s="10"/>
      <c r="BW537" s="10"/>
      <c r="BX537" s="10"/>
      <c r="BY537" s="10"/>
      <c r="BZ537" s="10"/>
      <c r="CA537" s="10"/>
      <c r="CB537" s="10"/>
      <c r="CC537" s="10"/>
      <c r="CD537" s="10"/>
      <c r="CE537" s="10"/>
      <c r="CF537" s="10"/>
      <c r="CG537" s="10"/>
      <c r="CH537" s="10"/>
      <c r="CI537" s="10"/>
      <c r="CJ537" s="10"/>
      <c r="CK537" s="10"/>
      <c r="CL537" s="10"/>
      <c r="CM537" s="10"/>
      <c r="CN537" s="10"/>
      <c r="CO537" s="10"/>
      <c r="CP537" s="10"/>
      <c r="CQ537" s="10"/>
      <c r="CR537" s="10"/>
      <c r="CS537" s="10"/>
      <c r="CT537" s="10"/>
      <c r="CU537" s="10"/>
      <c r="CV537" s="10"/>
      <c r="CW537" s="10"/>
      <c r="CX537" s="10"/>
      <c r="CY537" s="10"/>
      <c r="CZ537" s="10"/>
      <c r="DA537" s="10"/>
      <c r="DB537" s="10"/>
      <c r="DC537" s="10"/>
      <c r="DD537" s="10"/>
      <c r="DE537" s="10"/>
      <c r="DF537" s="10"/>
      <c r="DG537" s="10"/>
      <c r="DH537" s="10"/>
      <c r="DI537" s="10"/>
      <c r="DJ537" s="10"/>
      <c r="DK537" s="10"/>
      <c r="DL537" s="10"/>
      <c r="DM537" s="10"/>
      <c r="DN537" s="10"/>
      <c r="DO537" s="10"/>
      <c r="DP537" s="10"/>
      <c r="DQ537" s="10"/>
      <c r="DR537" s="10"/>
      <c r="DS537" s="10"/>
      <c r="DT537" s="10"/>
      <c r="DU537" s="10"/>
      <c r="DV537" s="10"/>
      <c r="DW537" s="10"/>
      <c r="DX537" s="10"/>
      <c r="DY537" s="10"/>
      <c r="DZ537" s="10"/>
      <c r="EA537" s="10"/>
      <c r="EB537" s="10"/>
      <c r="EC537" s="10"/>
      <c r="ED537" s="10"/>
      <c r="EE537" s="10"/>
      <c r="EF537" s="10"/>
      <c r="EG537" s="10"/>
      <c r="EH537" s="10"/>
      <c r="EI537" s="10"/>
      <c r="EJ537" s="10"/>
      <c r="EK537" s="10"/>
      <c r="EL537" s="10"/>
      <c r="EM537" s="10"/>
      <c r="EN537" s="10"/>
      <c r="EO537" s="10"/>
      <c r="EP537" s="10"/>
      <c r="EQ537" s="10"/>
      <c r="ER537" s="10"/>
      <c r="ES537" s="10"/>
      <c r="ET537" s="10"/>
      <c r="EU537" s="10"/>
      <c r="EV537" s="10"/>
      <c r="EW537" s="10"/>
      <c r="EX537" s="10"/>
      <c r="EY537" s="10"/>
      <c r="EZ537" s="10"/>
      <c r="FA537" s="10"/>
      <c r="FB537" s="10"/>
      <c r="FC537" s="10"/>
      <c r="FD537" s="10"/>
      <c r="FE537" s="10"/>
      <c r="FF537" s="10"/>
      <c r="FG537" s="10"/>
      <c r="FH537" s="10"/>
      <c r="FI537" s="10"/>
      <c r="FJ537" s="10"/>
      <c r="FK537" s="10"/>
      <c r="FL537" s="10"/>
      <c r="FM537" s="10"/>
      <c r="FN537" s="10"/>
      <c r="FO537" s="10"/>
      <c r="FP537" s="10"/>
      <c r="FQ537" s="10"/>
      <c r="FR537" s="10"/>
      <c r="FS537" s="10"/>
      <c r="FT537" s="10"/>
      <c r="FU537" s="10"/>
      <c r="FV537" s="10"/>
      <c r="FW537" s="10"/>
      <c r="FX537" s="10"/>
      <c r="FY537" s="10"/>
      <c r="FZ537" s="10"/>
      <c r="GA537" s="10"/>
      <c r="GB537" s="10"/>
      <c r="GC537" s="10"/>
      <c r="GD537" s="10"/>
      <c r="JI537" s="20"/>
      <c r="JJ537" s="21"/>
      <c r="JK537" s="21"/>
      <c r="JL537" s="21"/>
      <c r="JM537" s="21"/>
      <c r="JN537" s="21"/>
      <c r="JO537" s="21"/>
      <c r="JP537" s="21"/>
      <c r="JQ537" s="21"/>
      <c r="JR537" s="21"/>
      <c r="JS537" s="21"/>
      <c r="JT537" s="21"/>
      <c r="JU537" s="21"/>
      <c r="JV537" s="21"/>
      <c r="JW537" s="21"/>
      <c r="JX537" s="21"/>
      <c r="JY537" s="21"/>
      <c r="JZ537" s="21"/>
      <c r="KA537" s="21"/>
      <c r="KB537" s="21"/>
      <c r="KC537" s="21"/>
      <c r="KD537" s="21"/>
      <c r="KE537" s="21"/>
      <c r="KF537" s="21"/>
      <c r="KG537" s="21"/>
      <c r="KH537" s="22"/>
      <c r="KI537" s="18"/>
      <c r="LI537" s="13"/>
      <c r="MG537" s="280"/>
      <c r="MH537" s="280"/>
      <c r="MI537" s="280"/>
      <c r="MJ537" s="280"/>
      <c r="MK537" s="280"/>
      <c r="ML537" s="280"/>
      <c r="MM537" s="280"/>
      <c r="MN537" s="280"/>
      <c r="MO537" s="280"/>
      <c r="MP537" s="280"/>
      <c r="MQ537" s="280"/>
      <c r="MR537" s="280"/>
      <c r="MS537" s="280"/>
      <c r="MT537" s="280"/>
      <c r="MU537" s="280"/>
      <c r="MV537" s="280"/>
      <c r="MW537" s="280"/>
      <c r="MX537" s="280"/>
      <c r="MY537" s="280"/>
      <c r="MZ537" s="280"/>
      <c r="NA537" s="280"/>
      <c r="NB537" s="280"/>
      <c r="NC537" s="280"/>
      <c r="ND537" s="280"/>
      <c r="NE537" s="280"/>
      <c r="NF537" s="280"/>
      <c r="NG537" s="280"/>
      <c r="NH537" s="280"/>
      <c r="NI537" s="280"/>
      <c r="NJ537" s="280"/>
      <c r="NK537" s="280"/>
      <c r="NL537" s="280"/>
      <c r="NM537" s="280"/>
      <c r="NN537" s="280"/>
      <c r="NO537" s="280"/>
      <c r="NP537" s="280"/>
      <c r="NQ537" s="280"/>
      <c r="NR537" s="280"/>
      <c r="NS537" s="280"/>
      <c r="NT537" s="280"/>
      <c r="NU537" s="280"/>
      <c r="NV537" s="280"/>
      <c r="NW537" s="280"/>
      <c r="NX537" s="280"/>
      <c r="NY537" s="280"/>
      <c r="NZ537" s="280"/>
      <c r="OA537" s="280"/>
      <c r="OB537" s="280"/>
      <c r="OC537" s="280"/>
      <c r="OD537" s="280"/>
      <c r="OE537" s="280"/>
      <c r="OF537" s="280"/>
      <c r="OG537" s="280"/>
      <c r="OH537" s="280"/>
      <c r="OI537" s="280"/>
      <c r="OJ537" s="280"/>
      <c r="OK537" s="280"/>
      <c r="OL537" s="280"/>
      <c r="OM537" s="280"/>
      <c r="ON537" s="280"/>
      <c r="OO537" s="280"/>
      <c r="OP537" s="280"/>
      <c r="OQ537" s="280"/>
    </row>
    <row r="538" spans="43:407" ht="10.75" customHeight="1" x14ac:dyDescent="0.2">
      <c r="JI538" s="12"/>
      <c r="KH538" s="13"/>
      <c r="KI538" s="18"/>
      <c r="LI538" s="13"/>
      <c r="MG538" s="280"/>
      <c r="MH538" s="280"/>
      <c r="MI538" s="280"/>
      <c r="MJ538" s="280"/>
      <c r="MK538" s="280"/>
      <c r="ML538" s="280"/>
      <c r="MM538" s="280"/>
      <c r="MN538" s="280"/>
      <c r="MO538" s="280"/>
      <c r="MP538" s="280"/>
      <c r="MQ538" s="280"/>
      <c r="MR538" s="280"/>
      <c r="MS538" s="280"/>
      <c r="MT538" s="280"/>
      <c r="MU538" s="280"/>
      <c r="MV538" s="280"/>
      <c r="MW538" s="280"/>
      <c r="MX538" s="280"/>
      <c r="MY538" s="280"/>
      <c r="MZ538" s="280"/>
      <c r="NA538" s="280"/>
      <c r="NB538" s="280"/>
      <c r="NC538" s="280"/>
      <c r="ND538" s="280"/>
      <c r="NE538" s="280"/>
      <c r="NF538" s="280"/>
      <c r="NG538" s="280"/>
      <c r="NH538" s="280"/>
      <c r="NI538" s="280"/>
      <c r="NJ538" s="280"/>
      <c r="NK538" s="280"/>
      <c r="NL538" s="280"/>
      <c r="NM538" s="280"/>
      <c r="NN538" s="280"/>
      <c r="NO538" s="280"/>
      <c r="NP538" s="280"/>
      <c r="NQ538" s="280"/>
      <c r="NR538" s="280"/>
      <c r="NS538" s="280"/>
      <c r="NT538" s="280"/>
      <c r="NU538" s="280"/>
      <c r="NV538" s="280"/>
      <c r="NW538" s="280"/>
      <c r="NX538" s="280"/>
      <c r="NY538" s="280"/>
      <c r="NZ538" s="280"/>
      <c r="OA538" s="280"/>
      <c r="OB538" s="280"/>
      <c r="OC538" s="280"/>
      <c r="OD538" s="280"/>
      <c r="OE538" s="280"/>
      <c r="OF538" s="280"/>
      <c r="OG538" s="280"/>
      <c r="OH538" s="280"/>
      <c r="OI538" s="280"/>
      <c r="OJ538" s="280"/>
      <c r="OK538" s="280"/>
      <c r="OL538" s="280"/>
      <c r="OM538" s="280"/>
      <c r="ON538" s="280"/>
      <c r="OO538" s="280"/>
      <c r="OP538" s="280"/>
      <c r="OQ538" s="280"/>
    </row>
    <row r="539" spans="43:407" ht="10.75" customHeight="1" x14ac:dyDescent="0.2">
      <c r="JI539" s="12"/>
      <c r="KH539" s="13"/>
      <c r="KI539" s="18"/>
      <c r="LI539" s="13"/>
      <c r="MG539" s="280"/>
      <c r="MH539" s="280"/>
      <c r="MI539" s="280"/>
      <c r="MJ539" s="280"/>
      <c r="MK539" s="280"/>
      <c r="ML539" s="280"/>
      <c r="MM539" s="280"/>
      <c r="MN539" s="280"/>
      <c r="MO539" s="280"/>
      <c r="MP539" s="280"/>
      <c r="MQ539" s="280"/>
      <c r="MR539" s="280"/>
      <c r="MS539" s="280"/>
      <c r="MT539" s="280"/>
      <c r="MU539" s="280"/>
      <c r="MV539" s="280"/>
      <c r="MW539" s="280"/>
      <c r="MX539" s="280"/>
      <c r="MY539" s="280"/>
      <c r="MZ539" s="280"/>
      <c r="NA539" s="280"/>
      <c r="NB539" s="280"/>
      <c r="NC539" s="280"/>
      <c r="ND539" s="280"/>
      <c r="NE539" s="280"/>
      <c r="NF539" s="280"/>
      <c r="NG539" s="280"/>
      <c r="NH539" s="280"/>
      <c r="NI539" s="280"/>
      <c r="NJ539" s="280"/>
      <c r="NK539" s="280"/>
      <c r="NL539" s="280"/>
      <c r="NM539" s="280"/>
      <c r="NN539" s="280"/>
      <c r="NO539" s="280"/>
      <c r="NP539" s="280"/>
      <c r="NQ539" s="280"/>
      <c r="NR539" s="280"/>
      <c r="NS539" s="280"/>
      <c r="NT539" s="280"/>
      <c r="NU539" s="280"/>
      <c r="NV539" s="280"/>
      <c r="NW539" s="280"/>
      <c r="NX539" s="280"/>
      <c r="NY539" s="280"/>
      <c r="NZ539" s="280"/>
      <c r="OA539" s="280"/>
      <c r="OB539" s="280"/>
      <c r="OC539" s="280"/>
      <c r="OD539" s="280"/>
      <c r="OE539" s="280"/>
      <c r="OF539" s="280"/>
      <c r="OG539" s="280"/>
      <c r="OH539" s="280"/>
      <c r="OI539" s="280"/>
      <c r="OJ539" s="280"/>
      <c r="OK539" s="280"/>
      <c r="OL539" s="280"/>
      <c r="OM539" s="280"/>
      <c r="ON539" s="280"/>
      <c r="OO539" s="280"/>
      <c r="OP539" s="280"/>
      <c r="OQ539" s="280"/>
    </row>
    <row r="540" spans="43:407" ht="10.75" customHeight="1" x14ac:dyDescent="0.2">
      <c r="JI540" s="12"/>
      <c r="KH540" s="13"/>
      <c r="KI540" s="18"/>
      <c r="LI540" s="13"/>
      <c r="MG540" s="280"/>
      <c r="MH540" s="280"/>
      <c r="MI540" s="280"/>
      <c r="MJ540" s="280"/>
      <c r="MK540" s="280"/>
      <c r="ML540" s="280"/>
      <c r="MM540" s="280"/>
      <c r="MN540" s="280"/>
      <c r="MO540" s="280"/>
      <c r="MP540" s="280"/>
      <c r="MQ540" s="280"/>
      <c r="MR540" s="280"/>
      <c r="MS540" s="280"/>
      <c r="MT540" s="280"/>
      <c r="MU540" s="280"/>
      <c r="MV540" s="280"/>
      <c r="MW540" s="280"/>
      <c r="MX540" s="280"/>
      <c r="MY540" s="280"/>
      <c r="MZ540" s="280"/>
      <c r="NA540" s="280"/>
      <c r="NB540" s="280"/>
      <c r="NC540" s="280"/>
      <c r="ND540" s="280"/>
      <c r="NE540" s="280"/>
      <c r="NF540" s="280"/>
      <c r="NG540" s="280"/>
      <c r="NH540" s="280"/>
      <c r="NI540" s="280"/>
      <c r="NJ540" s="280"/>
      <c r="NK540" s="280"/>
      <c r="NL540" s="280"/>
      <c r="NM540" s="280"/>
      <c r="NN540" s="280"/>
      <c r="NO540" s="280"/>
      <c r="NP540" s="280"/>
      <c r="NQ540" s="280"/>
      <c r="NR540" s="280"/>
      <c r="NS540" s="280"/>
      <c r="NT540" s="280"/>
      <c r="NU540" s="280"/>
      <c r="NV540" s="280"/>
      <c r="NW540" s="280"/>
      <c r="NX540" s="280"/>
      <c r="NY540" s="280"/>
      <c r="NZ540" s="280"/>
      <c r="OA540" s="280"/>
      <c r="OB540" s="280"/>
      <c r="OC540" s="280"/>
      <c r="OD540" s="280"/>
      <c r="OE540" s="280"/>
      <c r="OF540" s="280"/>
      <c r="OG540" s="280"/>
      <c r="OH540" s="280"/>
      <c r="OI540" s="280"/>
      <c r="OJ540" s="280"/>
      <c r="OK540" s="280"/>
      <c r="OL540" s="280"/>
      <c r="OM540" s="280"/>
      <c r="ON540" s="280"/>
      <c r="OO540" s="280"/>
      <c r="OP540" s="280"/>
      <c r="OQ540" s="280"/>
    </row>
    <row r="541" spans="43:407" ht="10.75" customHeight="1" x14ac:dyDescent="0.2">
      <c r="JI541" s="12"/>
      <c r="KH541" s="13"/>
      <c r="KI541" s="18"/>
      <c r="LI541" s="13"/>
      <c r="MG541" s="280"/>
      <c r="MH541" s="280"/>
      <c r="MI541" s="280"/>
      <c r="MJ541" s="280"/>
      <c r="MK541" s="280"/>
      <c r="ML541" s="280"/>
      <c r="MM541" s="280"/>
      <c r="MN541" s="280"/>
      <c r="MO541" s="280"/>
      <c r="MP541" s="280"/>
      <c r="MQ541" s="280"/>
      <c r="MR541" s="280"/>
      <c r="MS541" s="280"/>
      <c r="MT541" s="280"/>
      <c r="MU541" s="280"/>
      <c r="MV541" s="280"/>
      <c r="MW541" s="280"/>
      <c r="MX541" s="280"/>
      <c r="MY541" s="280"/>
      <c r="MZ541" s="280"/>
      <c r="NA541" s="280"/>
      <c r="NB541" s="280"/>
      <c r="NC541" s="280"/>
      <c r="ND541" s="280"/>
      <c r="NE541" s="280"/>
      <c r="NF541" s="280"/>
      <c r="NG541" s="280"/>
      <c r="NH541" s="280"/>
      <c r="NI541" s="280"/>
      <c r="NJ541" s="280"/>
      <c r="NK541" s="280"/>
      <c r="NL541" s="280"/>
      <c r="NM541" s="280"/>
      <c r="NN541" s="280"/>
      <c r="NO541" s="280"/>
      <c r="NP541" s="280"/>
      <c r="NQ541" s="280"/>
      <c r="NR541" s="280"/>
      <c r="NS541" s="280"/>
      <c r="NT541" s="280"/>
      <c r="NU541" s="280"/>
      <c r="NV541" s="280"/>
      <c r="NW541" s="280"/>
      <c r="NX541" s="280"/>
      <c r="NY541" s="280"/>
      <c r="NZ541" s="280"/>
      <c r="OA541" s="280"/>
      <c r="OB541" s="280"/>
      <c r="OC541" s="280"/>
      <c r="OD541" s="280"/>
      <c r="OE541" s="280"/>
      <c r="OF541" s="280"/>
      <c r="OG541" s="280"/>
      <c r="OH541" s="280"/>
      <c r="OI541" s="280"/>
      <c r="OJ541" s="280"/>
      <c r="OK541" s="280"/>
      <c r="OL541" s="280"/>
      <c r="OM541" s="280"/>
      <c r="ON541" s="280"/>
      <c r="OO541" s="280"/>
      <c r="OP541" s="280"/>
      <c r="OQ541" s="280"/>
    </row>
    <row r="542" spans="43:407" ht="10.75" customHeight="1" x14ac:dyDescent="0.2">
      <c r="JI542" s="12"/>
      <c r="KH542" s="13"/>
      <c r="KI542" s="18"/>
      <c r="LI542" s="13"/>
      <c r="MG542" s="280"/>
      <c r="MH542" s="280"/>
      <c r="MI542" s="280"/>
      <c r="MJ542" s="280"/>
      <c r="MK542" s="280"/>
      <c r="ML542" s="280"/>
      <c r="MM542" s="280"/>
      <c r="MN542" s="280"/>
      <c r="MO542" s="280"/>
      <c r="MP542" s="280"/>
      <c r="MQ542" s="280"/>
      <c r="MR542" s="280"/>
      <c r="MS542" s="280"/>
      <c r="MT542" s="280"/>
      <c r="MU542" s="280"/>
      <c r="MV542" s="280"/>
      <c r="MW542" s="280"/>
      <c r="MX542" s="280"/>
      <c r="MY542" s="280"/>
      <c r="MZ542" s="280"/>
      <c r="NA542" s="280"/>
      <c r="NB542" s="280"/>
      <c r="NC542" s="280"/>
      <c r="ND542" s="280"/>
      <c r="NE542" s="280"/>
      <c r="NF542" s="280"/>
      <c r="NG542" s="280"/>
      <c r="NH542" s="280"/>
      <c r="NI542" s="280"/>
      <c r="NJ542" s="280"/>
      <c r="NK542" s="280"/>
      <c r="NL542" s="280"/>
      <c r="NM542" s="280"/>
      <c r="NN542" s="280"/>
      <c r="NO542" s="280"/>
      <c r="NP542" s="280"/>
      <c r="NQ542" s="280"/>
      <c r="NR542" s="280"/>
      <c r="NS542" s="280"/>
      <c r="NT542" s="280"/>
      <c r="NU542" s="280"/>
      <c r="NV542" s="280"/>
      <c r="NW542" s="280"/>
      <c r="NX542" s="280"/>
      <c r="NY542" s="280"/>
      <c r="NZ542" s="280"/>
      <c r="OA542" s="280"/>
      <c r="OB542" s="280"/>
      <c r="OC542" s="280"/>
      <c r="OD542" s="280"/>
      <c r="OE542" s="280"/>
      <c r="OF542" s="280"/>
      <c r="OG542" s="280"/>
      <c r="OH542" s="280"/>
      <c r="OI542" s="280"/>
      <c r="OJ542" s="280"/>
      <c r="OK542" s="280"/>
      <c r="OL542" s="280"/>
      <c r="OM542" s="280"/>
      <c r="ON542" s="280"/>
      <c r="OO542" s="280"/>
      <c r="OP542" s="280"/>
      <c r="OQ542" s="280"/>
    </row>
    <row r="543" spans="43:407" ht="10.75" customHeight="1" x14ac:dyDescent="0.2">
      <c r="JI543" s="12"/>
      <c r="KH543" s="13"/>
      <c r="KI543" s="18"/>
      <c r="LI543" s="13"/>
      <c r="MG543" s="280"/>
      <c r="MH543" s="280"/>
      <c r="MI543" s="280"/>
      <c r="MJ543" s="280"/>
      <c r="MK543" s="280"/>
      <c r="ML543" s="280"/>
      <c r="MM543" s="280"/>
      <c r="MN543" s="280"/>
      <c r="MO543" s="280"/>
      <c r="MP543" s="280"/>
      <c r="MQ543" s="280"/>
      <c r="MR543" s="280"/>
      <c r="MS543" s="280"/>
      <c r="MT543" s="280"/>
      <c r="MU543" s="280"/>
      <c r="MV543" s="280"/>
      <c r="MW543" s="280"/>
      <c r="MX543" s="280"/>
      <c r="MY543" s="280"/>
      <c r="MZ543" s="280"/>
      <c r="NA543" s="280"/>
      <c r="NB543" s="280"/>
      <c r="NC543" s="280"/>
      <c r="ND543" s="280"/>
      <c r="NE543" s="280"/>
      <c r="NF543" s="280"/>
      <c r="NG543" s="280"/>
      <c r="NH543" s="280"/>
      <c r="NI543" s="280"/>
      <c r="NJ543" s="280"/>
      <c r="NK543" s="280"/>
      <c r="NL543" s="281"/>
      <c r="NM543" s="281"/>
      <c r="NN543" s="281"/>
      <c r="NO543" s="281"/>
      <c r="NP543" s="281"/>
      <c r="NQ543" s="281"/>
      <c r="NR543" s="281"/>
      <c r="NS543" s="281"/>
      <c r="NT543" s="281"/>
      <c r="NU543" s="281"/>
      <c r="NV543" s="281"/>
      <c r="NW543" s="281"/>
      <c r="NX543" s="281"/>
      <c r="NY543" s="281"/>
      <c r="NZ543" s="281"/>
      <c r="OA543" s="281"/>
      <c r="OB543" s="281"/>
      <c r="OC543" s="281"/>
      <c r="OD543" s="281"/>
      <c r="OE543" s="281"/>
      <c r="OF543" s="281"/>
      <c r="OG543" s="281"/>
      <c r="OH543" s="281"/>
      <c r="OI543" s="280"/>
      <c r="OJ543" s="280"/>
      <c r="OK543" s="280"/>
      <c r="OL543" s="280"/>
      <c r="OM543" s="280"/>
      <c r="ON543" s="280"/>
      <c r="OO543" s="280"/>
      <c r="OP543" s="280"/>
      <c r="OQ543" s="280"/>
    </row>
    <row r="544" spans="43:407" ht="10.75" customHeight="1" x14ac:dyDescent="0.2">
      <c r="AQ544" s="15"/>
      <c r="AR544" s="15"/>
      <c r="AS544" s="15"/>
      <c r="AT544" s="15"/>
      <c r="AU544" s="15"/>
      <c r="AV544" s="15"/>
      <c r="AW544" s="15"/>
      <c r="AX544" s="15"/>
      <c r="AY544" s="15"/>
      <c r="AZ544" s="15"/>
      <c r="BA544" s="15"/>
      <c r="BB544" s="15"/>
      <c r="BC544" s="15"/>
      <c r="BD544" s="15"/>
      <c r="BE544" s="15"/>
      <c r="BF544" s="15"/>
      <c r="BG544" s="15"/>
      <c r="BH544" s="15"/>
      <c r="BI544" s="15"/>
      <c r="BJ544" s="15"/>
      <c r="BK544" s="15"/>
      <c r="BL544" s="15"/>
      <c r="BM544" s="15"/>
      <c r="BN544" s="15"/>
      <c r="BO544" s="15"/>
      <c r="BP544" s="15"/>
      <c r="BQ544" s="15"/>
      <c r="BR544" s="15"/>
      <c r="BS544" s="15"/>
      <c r="BT544" s="15"/>
      <c r="BU544" s="15"/>
      <c r="BV544" s="15"/>
      <c r="BW544" s="15"/>
      <c r="BX544" s="15"/>
      <c r="BY544" s="15"/>
      <c r="BZ544" s="15"/>
      <c r="CA544" s="15"/>
      <c r="CB544" s="15"/>
      <c r="CC544" s="15"/>
      <c r="CD544" s="15"/>
      <c r="CE544" s="15"/>
      <c r="CF544" s="15"/>
      <c r="CG544" s="15"/>
      <c r="CH544" s="15"/>
      <c r="CI544" s="15"/>
      <c r="CJ544" s="15"/>
      <c r="CK544" s="15"/>
      <c r="CL544" s="15"/>
      <c r="CM544" s="15"/>
      <c r="CN544" s="15"/>
      <c r="CO544" s="15"/>
      <c r="CP544" s="15"/>
      <c r="CQ544" s="15"/>
      <c r="CR544" s="15"/>
      <c r="CS544" s="15"/>
      <c r="CT544" s="15"/>
      <c r="CU544" s="15"/>
      <c r="CV544" s="15"/>
      <c r="CW544" s="15"/>
      <c r="CX544" s="15"/>
      <c r="CY544" s="15"/>
      <c r="CZ544" s="15"/>
      <c r="DA544" s="15"/>
      <c r="DB544" s="15"/>
      <c r="DC544" s="15"/>
      <c r="DD544" s="15"/>
      <c r="DE544" s="15"/>
      <c r="DF544" s="15"/>
      <c r="DG544" s="15"/>
      <c r="DH544" s="15"/>
      <c r="DI544" s="15"/>
      <c r="DJ544" s="15"/>
      <c r="DK544" s="15"/>
      <c r="DL544" s="15"/>
      <c r="DM544" s="15"/>
      <c r="DN544" s="15"/>
      <c r="DO544" s="15"/>
      <c r="DP544" s="15"/>
      <c r="DQ544" s="15"/>
      <c r="DR544" s="15"/>
      <c r="DS544" s="15"/>
      <c r="DT544" s="15"/>
      <c r="DU544" s="15"/>
      <c r="DV544" s="15"/>
      <c r="DW544" s="15"/>
      <c r="DX544" s="15"/>
      <c r="DY544" s="15"/>
      <c r="DZ544" s="15"/>
      <c r="EA544" s="15"/>
      <c r="EB544" s="15"/>
      <c r="EC544" s="15"/>
      <c r="ED544" s="15"/>
      <c r="EE544" s="15"/>
      <c r="EF544" s="15"/>
      <c r="EG544" s="15"/>
      <c r="EH544" s="15"/>
      <c r="EI544" s="15"/>
      <c r="EJ544" s="15"/>
      <c r="EK544" s="15"/>
      <c r="EL544" s="15"/>
      <c r="EM544" s="15"/>
      <c r="EN544" s="15"/>
      <c r="EO544" s="15"/>
      <c r="EP544" s="15"/>
      <c r="EQ544" s="15"/>
      <c r="ER544" s="15"/>
      <c r="ES544" s="15"/>
      <c r="ET544" s="15"/>
      <c r="EU544" s="15"/>
      <c r="EV544" s="15"/>
      <c r="EW544" s="15"/>
      <c r="EX544" s="15"/>
      <c r="EY544" s="15"/>
      <c r="EZ544" s="15"/>
      <c r="FA544" s="15"/>
      <c r="FB544" s="15"/>
      <c r="FC544" s="15"/>
      <c r="FD544" s="15"/>
      <c r="FE544" s="15"/>
      <c r="FF544" s="15"/>
      <c r="FG544" s="15"/>
      <c r="FH544" s="15"/>
      <c r="FI544" s="15"/>
      <c r="FJ544" s="15"/>
      <c r="FK544" s="15"/>
      <c r="FL544" s="15"/>
      <c r="FM544" s="15"/>
      <c r="FN544" s="15"/>
      <c r="FO544" s="15"/>
      <c r="FP544" s="15"/>
      <c r="FQ544" s="15"/>
      <c r="FR544" s="15"/>
      <c r="FS544" s="15"/>
      <c r="FT544" s="15"/>
      <c r="FU544" s="15"/>
      <c r="FV544" s="15"/>
      <c r="FW544" s="15"/>
      <c r="FX544" s="15"/>
      <c r="FY544" s="15"/>
      <c r="FZ544" s="15"/>
      <c r="GA544" s="15"/>
      <c r="GB544" s="15"/>
      <c r="GC544" s="15"/>
      <c r="GD544" s="15"/>
      <c r="JI544" s="12"/>
      <c r="KH544" s="13"/>
      <c r="KI544" s="18"/>
      <c r="LI544" s="13"/>
      <c r="MG544" s="280"/>
      <c r="MH544" s="280"/>
      <c r="MI544" s="280"/>
      <c r="MJ544" s="280"/>
      <c r="MK544" s="280"/>
      <c r="ML544" s="280"/>
      <c r="MM544" s="280"/>
      <c r="MN544" s="280"/>
      <c r="MO544" s="280"/>
      <c r="MP544" s="280"/>
      <c r="MQ544" s="280"/>
      <c r="MR544" s="280"/>
      <c r="MS544" s="280"/>
      <c r="MT544" s="280"/>
      <c r="MU544" s="280"/>
      <c r="MV544" s="280"/>
      <c r="MW544" s="280"/>
      <c r="MX544" s="280"/>
      <c r="MY544" s="280"/>
      <c r="MZ544" s="280"/>
      <c r="NA544" s="280"/>
      <c r="NB544" s="280"/>
      <c r="NC544" s="280"/>
      <c r="ND544" s="280"/>
      <c r="NE544" s="280"/>
      <c r="NF544" s="280"/>
      <c r="NG544" s="280"/>
      <c r="NH544" s="280"/>
      <c r="NI544" s="280"/>
      <c r="NJ544" s="280"/>
      <c r="NK544" s="280"/>
      <c r="NL544" s="281"/>
      <c r="NM544" s="281"/>
      <c r="NN544" s="281"/>
      <c r="NO544" s="281"/>
      <c r="NP544" s="281"/>
      <c r="NQ544" s="281"/>
      <c r="NR544" s="281"/>
      <c r="NS544" s="281"/>
      <c r="NT544" s="281"/>
      <c r="NU544" s="281"/>
      <c r="NV544" s="281"/>
      <c r="NW544" s="281"/>
      <c r="NX544" s="281"/>
      <c r="NY544" s="281"/>
      <c r="NZ544" s="281"/>
      <c r="OA544" s="281"/>
      <c r="OB544" s="281"/>
      <c r="OC544" s="281"/>
      <c r="OD544" s="281"/>
      <c r="OE544" s="281"/>
      <c r="OF544" s="281"/>
      <c r="OG544" s="281"/>
      <c r="OH544" s="281"/>
      <c r="OI544" s="280"/>
      <c r="OJ544" s="280"/>
      <c r="OK544" s="280"/>
      <c r="OL544" s="280"/>
      <c r="OM544" s="280"/>
      <c r="ON544" s="280"/>
      <c r="OO544" s="280"/>
      <c r="OP544" s="280"/>
      <c r="OQ544" s="280"/>
    </row>
    <row r="545" spans="269:407" ht="10.75" customHeight="1" x14ac:dyDescent="0.2">
      <c r="JI545" s="12"/>
      <c r="KH545" s="13"/>
      <c r="KI545" s="18"/>
      <c r="LI545" s="13"/>
      <c r="MG545" s="280"/>
      <c r="MH545" s="280"/>
      <c r="MI545" s="280"/>
      <c r="MJ545" s="280"/>
      <c r="MK545" s="280"/>
      <c r="ML545" s="280"/>
      <c r="MM545" s="280"/>
      <c r="MN545" s="280"/>
      <c r="MO545" s="280"/>
      <c r="MP545" s="280"/>
      <c r="MQ545" s="280"/>
      <c r="MR545" s="280"/>
      <c r="MS545" s="280"/>
      <c r="MT545" s="280"/>
      <c r="MU545" s="280"/>
      <c r="MV545" s="280"/>
      <c r="MW545" s="280"/>
      <c r="MX545" s="280"/>
      <c r="MY545" s="280"/>
      <c r="MZ545" s="280"/>
      <c r="NA545" s="280"/>
      <c r="NB545" s="280"/>
      <c r="NC545" s="280"/>
      <c r="ND545" s="280"/>
      <c r="NE545" s="280"/>
      <c r="NF545" s="280"/>
      <c r="NG545" s="280"/>
      <c r="NH545" s="280"/>
      <c r="NI545" s="280"/>
      <c r="NJ545" s="280"/>
      <c r="NK545" s="280"/>
      <c r="NL545" s="281"/>
      <c r="NM545" s="281"/>
      <c r="NN545" s="281"/>
      <c r="NO545" s="281"/>
      <c r="NP545" s="281"/>
      <c r="NQ545" s="281"/>
      <c r="NR545" s="281"/>
      <c r="NS545" s="281"/>
      <c r="NT545" s="281"/>
      <c r="NU545" s="281"/>
      <c r="NV545" s="281"/>
      <c r="NW545" s="281"/>
      <c r="NX545" s="281"/>
      <c r="NY545" s="281"/>
      <c r="NZ545" s="281"/>
      <c r="OA545" s="281"/>
      <c r="OB545" s="281"/>
      <c r="OC545" s="281"/>
      <c r="OD545" s="281"/>
      <c r="OE545" s="281"/>
      <c r="OF545" s="281"/>
      <c r="OG545" s="281"/>
      <c r="OH545" s="281"/>
      <c r="OI545" s="280"/>
      <c r="OJ545" s="280"/>
      <c r="OK545" s="280"/>
      <c r="OL545" s="280"/>
      <c r="OM545" s="280"/>
      <c r="ON545" s="280"/>
      <c r="OO545" s="280"/>
      <c r="OP545" s="280"/>
      <c r="OQ545" s="280"/>
    </row>
    <row r="546" spans="269:407" ht="10.75" customHeight="1" x14ac:dyDescent="0.2">
      <c r="JI546" s="12"/>
      <c r="KH546" s="13"/>
      <c r="KI546" s="18"/>
      <c r="LI546" s="13"/>
      <c r="MG546" s="280"/>
      <c r="MH546" s="280"/>
      <c r="MI546" s="280"/>
      <c r="MJ546" s="280"/>
      <c r="MK546" s="280"/>
      <c r="ML546" s="280"/>
      <c r="MM546" s="280"/>
      <c r="MN546" s="280"/>
      <c r="MO546" s="280"/>
      <c r="MP546" s="280"/>
      <c r="MQ546" s="280"/>
      <c r="MR546" s="280"/>
      <c r="MS546" s="280"/>
      <c r="MT546" s="280"/>
      <c r="MU546" s="280"/>
      <c r="MV546" s="280"/>
      <c r="MW546" s="280"/>
      <c r="MX546" s="280"/>
      <c r="MY546" s="280"/>
      <c r="MZ546" s="280"/>
      <c r="NA546" s="280"/>
      <c r="NB546" s="280"/>
      <c r="NC546" s="280"/>
      <c r="ND546" s="280"/>
      <c r="NE546" s="280"/>
      <c r="NF546" s="280"/>
      <c r="NG546" s="280"/>
      <c r="NH546" s="280"/>
      <c r="NI546" s="280"/>
      <c r="NJ546" s="280"/>
      <c r="NK546" s="280"/>
      <c r="NL546" s="281"/>
      <c r="NM546" s="281"/>
      <c r="NN546" s="281"/>
      <c r="NO546" s="281"/>
      <c r="NP546" s="281"/>
      <c r="NQ546" s="281"/>
      <c r="NR546" s="281"/>
      <c r="NS546" s="281"/>
      <c r="NT546" s="281"/>
      <c r="NU546" s="281"/>
      <c r="NV546" s="281"/>
      <c r="NW546" s="281"/>
      <c r="NX546" s="281"/>
      <c r="NY546" s="281"/>
      <c r="NZ546" s="281"/>
      <c r="OA546" s="281"/>
      <c r="OB546" s="281"/>
      <c r="OC546" s="281"/>
      <c r="OD546" s="281"/>
      <c r="OE546" s="281"/>
      <c r="OF546" s="281"/>
      <c r="OG546" s="281"/>
      <c r="OH546" s="281"/>
      <c r="OI546" s="280"/>
      <c r="OJ546" s="280"/>
      <c r="OK546" s="280"/>
      <c r="OL546" s="280"/>
      <c r="OM546" s="280"/>
      <c r="ON546" s="280"/>
      <c r="OO546" s="280"/>
      <c r="OP546" s="280"/>
      <c r="OQ546" s="280"/>
    </row>
    <row r="547" spans="269:407" ht="10.75" customHeight="1" x14ac:dyDescent="0.2">
      <c r="JI547" s="12"/>
      <c r="KH547" s="13"/>
      <c r="KI547" s="18"/>
      <c r="LI547" s="13"/>
      <c r="MG547" s="280"/>
      <c r="MH547" s="280"/>
      <c r="MI547" s="280"/>
      <c r="MJ547" s="280"/>
      <c r="MK547" s="280"/>
      <c r="ML547" s="280"/>
      <c r="MM547" s="280"/>
      <c r="MN547" s="280"/>
      <c r="MO547" s="280"/>
      <c r="MP547" s="280"/>
      <c r="MQ547" s="280"/>
      <c r="MR547" s="280"/>
      <c r="MS547" s="280"/>
      <c r="MT547" s="280"/>
      <c r="MU547" s="280"/>
      <c r="MV547" s="280"/>
      <c r="MW547" s="280"/>
      <c r="MX547" s="280"/>
      <c r="MY547" s="280"/>
      <c r="MZ547" s="280"/>
      <c r="NA547" s="280"/>
      <c r="NB547" s="280"/>
      <c r="NC547" s="280"/>
      <c r="ND547" s="280"/>
      <c r="NE547" s="280"/>
      <c r="NF547" s="280"/>
      <c r="NG547" s="280"/>
      <c r="NH547" s="280"/>
      <c r="NI547" s="280"/>
      <c r="NJ547" s="280"/>
      <c r="NK547" s="280"/>
      <c r="NL547" s="281"/>
      <c r="NM547" s="281"/>
      <c r="NN547" s="281"/>
      <c r="NO547" s="281"/>
      <c r="NP547" s="281"/>
      <c r="NQ547" s="281"/>
      <c r="NR547" s="281"/>
      <c r="NS547" s="281"/>
      <c r="NT547" s="281"/>
      <c r="NU547" s="281"/>
      <c r="NV547" s="281"/>
      <c r="NW547" s="281"/>
      <c r="NX547" s="281"/>
      <c r="NY547" s="281"/>
      <c r="NZ547" s="281"/>
      <c r="OA547" s="281"/>
      <c r="OB547" s="281"/>
      <c r="OC547" s="281"/>
      <c r="OD547" s="281"/>
      <c r="OE547" s="281"/>
      <c r="OF547" s="281"/>
      <c r="OG547" s="281"/>
      <c r="OH547" s="281"/>
      <c r="OI547" s="280"/>
      <c r="OJ547" s="280"/>
      <c r="OK547" s="280"/>
      <c r="OL547" s="280"/>
      <c r="OM547" s="280"/>
      <c r="ON547" s="280"/>
      <c r="OO547" s="280"/>
      <c r="OP547" s="280"/>
      <c r="OQ547" s="280"/>
    </row>
    <row r="548" spans="269:407" ht="10.75" customHeight="1" x14ac:dyDescent="0.2">
      <c r="JI548" s="12"/>
      <c r="KH548" s="13"/>
      <c r="KI548" s="18"/>
      <c r="LI548" s="13"/>
      <c r="MG548" s="280"/>
      <c r="MH548" s="280"/>
      <c r="MI548" s="280"/>
      <c r="MJ548" s="280"/>
      <c r="MK548" s="280"/>
      <c r="ML548" s="280"/>
      <c r="MM548" s="280"/>
      <c r="MN548" s="280"/>
      <c r="MO548" s="280"/>
      <c r="MP548" s="280"/>
      <c r="MQ548" s="280"/>
      <c r="MR548" s="280"/>
      <c r="MS548" s="280"/>
      <c r="MT548" s="280"/>
      <c r="MU548" s="280"/>
      <c r="MV548" s="280"/>
      <c r="MW548" s="280"/>
      <c r="MX548" s="280"/>
      <c r="MY548" s="280"/>
      <c r="MZ548" s="280"/>
      <c r="NA548" s="280"/>
      <c r="NB548" s="280"/>
      <c r="NC548" s="280"/>
      <c r="ND548" s="280"/>
      <c r="NE548" s="280"/>
      <c r="NF548" s="280"/>
      <c r="NG548" s="280"/>
      <c r="NH548" s="280"/>
      <c r="NI548" s="280"/>
      <c r="NJ548" s="280"/>
      <c r="NK548" s="280"/>
      <c r="NL548" s="281"/>
      <c r="NM548" s="281"/>
      <c r="NN548" s="281"/>
      <c r="NO548" s="281"/>
      <c r="NP548" s="281"/>
      <c r="NQ548" s="281"/>
      <c r="NR548" s="281"/>
      <c r="NS548" s="281"/>
      <c r="NT548" s="281"/>
      <c r="NU548" s="281"/>
      <c r="NV548" s="281"/>
      <c r="NW548" s="281"/>
      <c r="NX548" s="281"/>
      <c r="NY548" s="281"/>
      <c r="NZ548" s="281"/>
      <c r="OA548" s="281"/>
      <c r="OB548" s="281"/>
      <c r="OC548" s="281"/>
      <c r="OD548" s="281"/>
      <c r="OE548" s="281"/>
      <c r="OF548" s="281"/>
      <c r="OG548" s="281"/>
      <c r="OH548" s="281"/>
      <c r="OI548" s="280"/>
      <c r="OJ548" s="280"/>
      <c r="OK548" s="280"/>
      <c r="OL548" s="280"/>
      <c r="OM548" s="280"/>
      <c r="ON548" s="280"/>
      <c r="OO548" s="280"/>
      <c r="OP548" s="280"/>
      <c r="OQ548" s="280"/>
    </row>
    <row r="549" spans="269:407" ht="10.75" customHeight="1" x14ac:dyDescent="0.2">
      <c r="JI549" s="12"/>
      <c r="KH549" s="13"/>
      <c r="KI549" s="18"/>
      <c r="LI549" s="13"/>
      <c r="MG549" s="280"/>
      <c r="MH549" s="280"/>
      <c r="MI549" s="280"/>
      <c r="MJ549" s="280"/>
      <c r="MK549" s="280"/>
      <c r="ML549" s="280"/>
      <c r="MM549" s="280"/>
      <c r="MN549" s="280"/>
      <c r="MO549" s="280"/>
      <c r="MP549" s="280"/>
      <c r="MQ549" s="280"/>
      <c r="MR549" s="280"/>
      <c r="MS549" s="280"/>
      <c r="MT549" s="280"/>
      <c r="MU549" s="280"/>
      <c r="MV549" s="280"/>
      <c r="MW549" s="280"/>
      <c r="MX549" s="280"/>
      <c r="MY549" s="280"/>
      <c r="MZ549" s="280"/>
      <c r="NA549" s="280"/>
      <c r="NB549" s="280"/>
      <c r="NC549" s="280"/>
      <c r="ND549" s="280"/>
      <c r="NE549" s="280"/>
      <c r="NF549" s="280"/>
      <c r="NG549" s="280"/>
      <c r="NH549" s="280"/>
      <c r="NI549" s="280"/>
      <c r="NJ549" s="280"/>
      <c r="NK549" s="280"/>
      <c r="NL549" s="281"/>
      <c r="NM549" s="281"/>
      <c r="NN549" s="281"/>
      <c r="NO549" s="281"/>
      <c r="NP549" s="281"/>
      <c r="NQ549" s="281"/>
      <c r="NR549" s="281"/>
      <c r="NS549" s="281"/>
      <c r="NT549" s="281"/>
      <c r="NU549" s="281"/>
      <c r="NV549" s="281"/>
      <c r="NW549" s="281"/>
      <c r="NX549" s="281"/>
      <c r="NY549" s="281"/>
      <c r="NZ549" s="281"/>
      <c r="OA549" s="281"/>
      <c r="OB549" s="281"/>
      <c r="OC549" s="281"/>
      <c r="OD549" s="281"/>
      <c r="OE549" s="281"/>
      <c r="OF549" s="281"/>
      <c r="OG549" s="281"/>
      <c r="OH549" s="281"/>
      <c r="OI549" s="280"/>
      <c r="OJ549" s="280"/>
      <c r="OK549" s="280"/>
      <c r="OL549" s="280"/>
      <c r="OM549" s="280"/>
      <c r="ON549" s="280"/>
      <c r="OO549" s="280"/>
      <c r="OP549" s="280"/>
      <c r="OQ549" s="280"/>
    </row>
    <row r="550" spans="269:407" ht="10.75" customHeight="1" x14ac:dyDescent="0.2">
      <c r="JI550" s="12"/>
      <c r="KH550" s="13"/>
      <c r="KI550" s="18"/>
      <c r="LI550" s="13"/>
      <c r="MG550" s="280"/>
      <c r="MH550" s="280"/>
      <c r="MI550" s="280"/>
      <c r="MJ550" s="280"/>
      <c r="MK550" s="280"/>
      <c r="ML550" s="280"/>
      <c r="MM550" s="280"/>
      <c r="MN550" s="280"/>
      <c r="MO550" s="280"/>
      <c r="MP550" s="280"/>
      <c r="MQ550" s="280"/>
      <c r="MR550" s="280"/>
      <c r="MS550" s="280"/>
      <c r="MT550" s="280"/>
      <c r="MU550" s="280"/>
      <c r="MV550" s="280"/>
      <c r="MW550" s="280"/>
      <c r="MX550" s="280"/>
      <c r="MY550" s="280"/>
      <c r="MZ550" s="280"/>
      <c r="NA550" s="280"/>
      <c r="NB550" s="280"/>
      <c r="NC550" s="280"/>
      <c r="ND550" s="280"/>
      <c r="NE550" s="280"/>
      <c r="NF550" s="280"/>
      <c r="NG550" s="280"/>
      <c r="NH550" s="280"/>
      <c r="NI550" s="280"/>
      <c r="NJ550" s="280"/>
      <c r="NK550" s="280"/>
      <c r="NL550" s="281"/>
      <c r="NM550" s="281"/>
      <c r="NN550" s="281"/>
      <c r="NO550" s="281"/>
      <c r="NP550" s="281"/>
      <c r="NQ550" s="281"/>
      <c r="NR550" s="281"/>
      <c r="NS550" s="281"/>
      <c r="NT550" s="281"/>
      <c r="NU550" s="281"/>
      <c r="NV550" s="281"/>
      <c r="NW550" s="281"/>
      <c r="NX550" s="281"/>
      <c r="NY550" s="281"/>
      <c r="NZ550" s="281"/>
      <c r="OA550" s="281"/>
      <c r="OB550" s="281"/>
      <c r="OC550" s="281"/>
      <c r="OD550" s="281"/>
      <c r="OE550" s="281"/>
      <c r="OF550" s="281"/>
      <c r="OG550" s="281"/>
      <c r="OH550" s="281"/>
      <c r="OI550" s="280"/>
      <c r="OJ550" s="280"/>
      <c r="OK550" s="280"/>
      <c r="OL550" s="280"/>
      <c r="OM550" s="280"/>
      <c r="ON550" s="280"/>
      <c r="OO550" s="280"/>
      <c r="OP550" s="280"/>
      <c r="OQ550" s="280"/>
    </row>
    <row r="551" spans="269:407" ht="10.75" customHeight="1" x14ac:dyDescent="0.2">
      <c r="JI551" s="12"/>
      <c r="KH551" s="13"/>
      <c r="KI551" s="18"/>
      <c r="LI551" s="13"/>
      <c r="MG551" s="280"/>
      <c r="MH551" s="280"/>
      <c r="MI551" s="280"/>
      <c r="MJ551" s="280"/>
      <c r="MK551" s="280"/>
      <c r="ML551" s="280"/>
      <c r="MM551" s="280"/>
      <c r="MN551" s="280"/>
      <c r="MO551" s="280"/>
      <c r="MP551" s="280"/>
      <c r="MQ551" s="280"/>
      <c r="MR551" s="280"/>
      <c r="MS551" s="280"/>
      <c r="MT551" s="280"/>
      <c r="MU551" s="280"/>
      <c r="MV551" s="280"/>
      <c r="MW551" s="280"/>
      <c r="MX551" s="280"/>
      <c r="MY551" s="280"/>
      <c r="MZ551" s="280"/>
      <c r="NA551" s="280"/>
      <c r="NB551" s="280"/>
      <c r="NC551" s="280"/>
      <c r="ND551" s="280"/>
      <c r="NE551" s="280"/>
      <c r="NF551" s="280"/>
      <c r="NG551" s="280"/>
      <c r="NH551" s="280"/>
      <c r="NI551" s="280"/>
      <c r="NJ551" s="280"/>
      <c r="NK551" s="280"/>
      <c r="NL551" s="281"/>
      <c r="NM551" s="281"/>
      <c r="NN551" s="281"/>
      <c r="NO551" s="281"/>
      <c r="NP551" s="281"/>
      <c r="NQ551" s="281"/>
      <c r="NR551" s="281"/>
      <c r="NS551" s="281"/>
      <c r="NT551" s="281"/>
      <c r="NU551" s="281"/>
      <c r="NV551" s="281"/>
      <c r="NW551" s="281"/>
      <c r="NX551" s="281"/>
      <c r="NY551" s="281"/>
      <c r="NZ551" s="281"/>
      <c r="OA551" s="281"/>
      <c r="OB551" s="281"/>
      <c r="OC551" s="281"/>
      <c r="OD551" s="281"/>
      <c r="OE551" s="281"/>
      <c r="OF551" s="281"/>
      <c r="OG551" s="281"/>
      <c r="OH551" s="281"/>
      <c r="OI551" s="280"/>
      <c r="OJ551" s="280"/>
      <c r="OK551" s="280"/>
      <c r="OL551" s="280"/>
      <c r="OM551" s="280"/>
      <c r="ON551" s="280"/>
      <c r="OO551" s="280"/>
      <c r="OP551" s="280"/>
      <c r="OQ551" s="280"/>
    </row>
    <row r="552" spans="269:407" ht="10.75" customHeight="1" x14ac:dyDescent="0.2">
      <c r="JI552" s="12"/>
      <c r="KH552" s="13"/>
      <c r="KI552" s="18"/>
      <c r="LI552" s="13"/>
      <c r="MG552" s="280"/>
      <c r="MH552" s="280"/>
      <c r="MI552" s="280"/>
      <c r="MJ552" s="280"/>
      <c r="MK552" s="280"/>
      <c r="ML552" s="280"/>
      <c r="MM552" s="280"/>
      <c r="MN552" s="280"/>
      <c r="MO552" s="280"/>
      <c r="MP552" s="280"/>
      <c r="MQ552" s="280"/>
      <c r="MR552" s="280"/>
      <c r="MS552" s="280"/>
      <c r="MT552" s="280"/>
      <c r="MU552" s="280"/>
      <c r="MV552" s="280"/>
      <c r="MW552" s="280"/>
      <c r="MX552" s="280"/>
      <c r="MY552" s="280"/>
      <c r="MZ552" s="280"/>
      <c r="NA552" s="280"/>
      <c r="NB552" s="280"/>
      <c r="NC552" s="280"/>
      <c r="ND552" s="280"/>
      <c r="NE552" s="280"/>
      <c r="NF552" s="280"/>
      <c r="NG552" s="280"/>
      <c r="NH552" s="280"/>
      <c r="NI552" s="280"/>
      <c r="NJ552" s="280"/>
      <c r="NK552" s="280"/>
      <c r="NL552" s="281"/>
      <c r="NM552" s="281"/>
      <c r="NN552" s="281"/>
      <c r="NO552" s="281"/>
      <c r="NP552" s="281"/>
      <c r="NQ552" s="281"/>
      <c r="NR552" s="281"/>
      <c r="NS552" s="281"/>
      <c r="NT552" s="281"/>
      <c r="NU552" s="281"/>
      <c r="NV552" s="281"/>
      <c r="NW552" s="281"/>
      <c r="NX552" s="281"/>
      <c r="NY552" s="281"/>
      <c r="NZ552" s="281"/>
      <c r="OA552" s="281"/>
      <c r="OB552" s="281"/>
      <c r="OC552" s="281"/>
      <c r="OD552" s="281"/>
      <c r="OE552" s="281"/>
      <c r="OF552" s="281"/>
      <c r="OG552" s="281"/>
      <c r="OH552" s="281"/>
      <c r="OI552" s="280"/>
      <c r="OJ552" s="280"/>
      <c r="OK552" s="280"/>
      <c r="OL552" s="280"/>
      <c r="OM552" s="280"/>
      <c r="ON552" s="280"/>
      <c r="OO552" s="280"/>
      <c r="OP552" s="280"/>
      <c r="OQ552" s="280"/>
    </row>
    <row r="553" spans="269:407" ht="10.75" customHeight="1" x14ac:dyDescent="0.2">
      <c r="JI553" s="12"/>
      <c r="KH553" s="13"/>
      <c r="KI553" s="18"/>
      <c r="LI553" s="13"/>
      <c r="MG553" s="280"/>
      <c r="MH553" s="280"/>
      <c r="MI553" s="280"/>
      <c r="MJ553" s="280"/>
      <c r="MK553" s="280"/>
      <c r="ML553" s="280"/>
      <c r="MM553" s="280"/>
      <c r="MN553" s="280"/>
      <c r="MO553" s="280"/>
      <c r="MP553" s="280"/>
      <c r="MQ553" s="280"/>
      <c r="MR553" s="280"/>
      <c r="MS553" s="280"/>
      <c r="MT553" s="280"/>
      <c r="MU553" s="280"/>
      <c r="MV553" s="280"/>
      <c r="MW553" s="280"/>
      <c r="MX553" s="280"/>
      <c r="MY553" s="280"/>
      <c r="MZ553" s="280"/>
      <c r="NA553" s="280"/>
      <c r="NB553" s="280"/>
      <c r="NC553" s="280"/>
      <c r="ND553" s="280"/>
      <c r="NE553" s="280"/>
      <c r="NF553" s="280"/>
      <c r="NG553" s="280"/>
      <c r="NH553" s="280"/>
      <c r="NI553" s="280"/>
      <c r="NJ553" s="280"/>
      <c r="NK553" s="280"/>
      <c r="NL553" s="280"/>
      <c r="NM553" s="280"/>
      <c r="NN553" s="280"/>
      <c r="NO553" s="280"/>
      <c r="NP553" s="280"/>
      <c r="NQ553" s="280"/>
      <c r="NR553" s="280"/>
      <c r="NS553" s="280"/>
      <c r="NT553" s="280"/>
      <c r="NU553" s="280"/>
      <c r="NV553" s="280"/>
      <c r="NW553" s="280"/>
      <c r="NX553" s="280"/>
      <c r="NY553" s="280"/>
      <c r="NZ553" s="280"/>
      <c r="OA553" s="280"/>
      <c r="OB553" s="280"/>
      <c r="OC553" s="280"/>
      <c r="OD553" s="280"/>
      <c r="OE553" s="280"/>
      <c r="OF553" s="280"/>
      <c r="OG553" s="280"/>
      <c r="OH553" s="280"/>
      <c r="OI553" s="280"/>
      <c r="OJ553" s="280"/>
      <c r="OK553" s="280"/>
      <c r="OL553" s="280"/>
      <c r="OM553" s="280"/>
      <c r="ON553" s="280"/>
      <c r="OO553" s="280"/>
      <c r="OP553" s="280"/>
      <c r="OQ553" s="280"/>
    </row>
    <row r="554" spans="269:407" ht="10.75" customHeight="1" x14ac:dyDescent="0.2">
      <c r="JI554" s="12"/>
      <c r="KH554" s="13"/>
      <c r="KI554" s="18"/>
      <c r="LI554" s="13"/>
      <c r="MG554" s="280"/>
      <c r="MH554" s="280"/>
      <c r="MI554" s="280"/>
      <c r="MJ554" s="280"/>
      <c r="MK554" s="280"/>
      <c r="ML554" s="280"/>
      <c r="MM554" s="280"/>
      <c r="MN554" s="280"/>
      <c r="MO554" s="280"/>
      <c r="MP554" s="280"/>
      <c r="MQ554" s="280"/>
      <c r="MR554" s="280"/>
      <c r="MS554" s="280"/>
      <c r="MT554" s="280"/>
      <c r="MU554" s="280"/>
      <c r="MV554" s="280"/>
      <c r="MW554" s="280"/>
      <c r="MX554" s="280"/>
      <c r="MY554" s="280"/>
      <c r="MZ554" s="280"/>
      <c r="NA554" s="280"/>
      <c r="NB554" s="280"/>
      <c r="NC554" s="280"/>
      <c r="ND554" s="280"/>
      <c r="NE554" s="280"/>
      <c r="NF554" s="280"/>
      <c r="NG554" s="280"/>
      <c r="NH554" s="280"/>
      <c r="NI554" s="280"/>
      <c r="NJ554" s="280"/>
      <c r="NK554" s="280"/>
      <c r="NL554" s="280"/>
      <c r="NM554" s="280"/>
      <c r="NN554" s="280"/>
      <c r="NO554" s="280"/>
      <c r="NP554" s="280"/>
      <c r="NQ554" s="280"/>
      <c r="NR554" s="280"/>
      <c r="NS554" s="280"/>
      <c r="NT554" s="280"/>
      <c r="NU554" s="280"/>
      <c r="NV554" s="280"/>
      <c r="NW554" s="280"/>
      <c r="NX554" s="280"/>
      <c r="NY554" s="280"/>
      <c r="NZ554" s="280"/>
      <c r="OA554" s="280"/>
      <c r="OB554" s="280"/>
      <c r="OC554" s="280"/>
      <c r="OD554" s="280"/>
      <c r="OE554" s="280"/>
      <c r="OF554" s="280"/>
      <c r="OG554" s="280"/>
      <c r="OH554" s="280"/>
      <c r="OI554" s="280"/>
      <c r="OJ554" s="280"/>
      <c r="OK554" s="280"/>
      <c r="OL554" s="280"/>
      <c r="OM554" s="280"/>
      <c r="ON554" s="280"/>
      <c r="OO554" s="280"/>
      <c r="OP554" s="280"/>
      <c r="OQ554" s="280"/>
    </row>
    <row r="555" spans="269:407" ht="10.75" customHeight="1" x14ac:dyDescent="0.2">
      <c r="JI555" s="12"/>
      <c r="KH555" s="13"/>
      <c r="KI555" s="18"/>
      <c r="LI555" s="13"/>
      <c r="MG555" s="280"/>
      <c r="MH555" s="280"/>
      <c r="MI555" s="280"/>
      <c r="MJ555" s="280"/>
      <c r="MK555" s="280"/>
      <c r="ML555" s="280"/>
      <c r="MM555" s="280"/>
      <c r="MN555" s="280"/>
      <c r="MO555" s="280"/>
      <c r="MP555" s="280"/>
      <c r="MQ555" s="280"/>
      <c r="MR555" s="280"/>
      <c r="MS555" s="280"/>
      <c r="MT555" s="280"/>
      <c r="MU555" s="280"/>
      <c r="MV555" s="280"/>
      <c r="MW555" s="280"/>
      <c r="MX555" s="280"/>
      <c r="MY555" s="280"/>
      <c r="MZ555" s="280"/>
      <c r="NA555" s="280"/>
      <c r="NB555" s="280"/>
      <c r="NC555" s="280"/>
      <c r="ND555" s="280"/>
      <c r="NE555" s="280"/>
      <c r="NF555" s="280"/>
      <c r="NG555" s="280"/>
      <c r="NH555" s="280"/>
      <c r="NI555" s="280"/>
      <c r="NJ555" s="280"/>
      <c r="NK555" s="280"/>
      <c r="NL555" s="280"/>
      <c r="NM555" s="280"/>
      <c r="NN555" s="280"/>
      <c r="NO555" s="280"/>
      <c r="NP555" s="280"/>
      <c r="NQ555" s="280"/>
      <c r="NR555" s="280"/>
      <c r="NS555" s="280"/>
      <c r="NT555" s="280"/>
      <c r="NU555" s="280"/>
      <c r="NV555" s="280"/>
      <c r="NW555" s="280"/>
      <c r="NX555" s="280"/>
      <c r="NY555" s="280"/>
      <c r="NZ555" s="280"/>
      <c r="OA555" s="280"/>
      <c r="OB555" s="280"/>
      <c r="OC555" s="280"/>
      <c r="OD555" s="280"/>
      <c r="OE555" s="280"/>
      <c r="OF555" s="280"/>
      <c r="OG555" s="280"/>
      <c r="OH555" s="280"/>
      <c r="OI555" s="280"/>
      <c r="OJ555" s="280"/>
      <c r="OK555" s="280"/>
      <c r="OL555" s="280"/>
      <c r="OM555" s="280"/>
      <c r="ON555" s="280"/>
      <c r="OO555" s="280"/>
      <c r="OP555" s="280"/>
      <c r="OQ555" s="280"/>
    </row>
    <row r="556" spans="269:407" ht="10.75" customHeight="1" x14ac:dyDescent="0.2">
      <c r="JI556" s="12"/>
      <c r="KH556" s="13"/>
      <c r="KI556" s="18"/>
      <c r="LI556" s="13"/>
      <c r="MG556" s="280"/>
      <c r="MH556" s="280"/>
      <c r="MI556" s="280"/>
      <c r="MJ556" s="280"/>
      <c r="MK556" s="280"/>
      <c r="ML556" s="280"/>
      <c r="MM556" s="280"/>
      <c r="MN556" s="280"/>
      <c r="MO556" s="280"/>
      <c r="MP556" s="280"/>
      <c r="MQ556" s="280"/>
      <c r="MR556" s="280"/>
      <c r="MS556" s="280"/>
      <c r="MT556" s="280"/>
      <c r="MU556" s="280"/>
      <c r="MV556" s="280"/>
      <c r="MW556" s="280"/>
      <c r="MX556" s="280"/>
      <c r="MY556" s="280"/>
      <c r="MZ556" s="280"/>
      <c r="NA556" s="280"/>
      <c r="NB556" s="280"/>
      <c r="NC556" s="280"/>
      <c r="ND556" s="280"/>
      <c r="NE556" s="280"/>
      <c r="NF556" s="280"/>
      <c r="NG556" s="280"/>
      <c r="NH556" s="280"/>
      <c r="NI556" s="280"/>
      <c r="NJ556" s="280"/>
      <c r="NK556" s="280"/>
      <c r="NL556" s="280"/>
      <c r="NM556" s="280"/>
      <c r="NN556" s="280"/>
      <c r="NO556" s="280"/>
      <c r="NP556" s="280"/>
      <c r="NQ556" s="280"/>
      <c r="NR556" s="280"/>
      <c r="NS556" s="280"/>
      <c r="NT556" s="280"/>
      <c r="NU556" s="280"/>
      <c r="NV556" s="280"/>
      <c r="NW556" s="280"/>
      <c r="NX556" s="280"/>
      <c r="NY556" s="280"/>
      <c r="NZ556" s="280"/>
      <c r="OA556" s="280"/>
      <c r="OB556" s="280"/>
      <c r="OC556" s="280"/>
      <c r="OD556" s="280"/>
      <c r="OE556" s="280"/>
      <c r="OF556" s="280"/>
      <c r="OG556" s="280"/>
      <c r="OH556" s="280"/>
      <c r="OI556" s="280"/>
      <c r="OJ556" s="280"/>
      <c r="OK556" s="280"/>
      <c r="OL556" s="280"/>
      <c r="OM556" s="280"/>
      <c r="ON556" s="280"/>
      <c r="OO556" s="280"/>
      <c r="OP556" s="280"/>
      <c r="OQ556" s="280"/>
    </row>
    <row r="557" spans="269:407" ht="10.75" customHeight="1" x14ac:dyDescent="0.2">
      <c r="JI557" s="12"/>
      <c r="KH557" s="13"/>
      <c r="KI557" s="18"/>
      <c r="LI557" s="13"/>
      <c r="MG557" s="280"/>
      <c r="MH557" s="280"/>
      <c r="MI557" s="280"/>
      <c r="MJ557" s="280"/>
      <c r="MK557" s="280"/>
      <c r="ML557" s="280"/>
      <c r="MM557" s="280"/>
      <c r="MN557" s="280"/>
      <c r="MO557" s="280"/>
      <c r="MP557" s="280"/>
      <c r="MQ557" s="280"/>
      <c r="MR557" s="280"/>
      <c r="MS557" s="280"/>
      <c r="MT557" s="280"/>
      <c r="MU557" s="280"/>
      <c r="MV557" s="280"/>
      <c r="MW557" s="280"/>
      <c r="MX557" s="280"/>
      <c r="MY557" s="280"/>
      <c r="MZ557" s="280"/>
      <c r="NA557" s="280"/>
      <c r="NB557" s="280"/>
      <c r="NC557" s="280"/>
      <c r="ND557" s="280"/>
      <c r="NE557" s="280"/>
      <c r="NF557" s="280"/>
      <c r="NG557" s="280"/>
      <c r="NH557" s="280"/>
      <c r="NI557" s="280"/>
      <c r="NJ557" s="280"/>
      <c r="NK557" s="280"/>
      <c r="NL557" s="280"/>
      <c r="NM557" s="280"/>
      <c r="NN557" s="280"/>
      <c r="NO557" s="280"/>
      <c r="NP557" s="280"/>
      <c r="NQ557" s="280"/>
      <c r="NR557" s="280"/>
      <c r="NS557" s="280"/>
      <c r="NT557" s="280"/>
      <c r="NU557" s="280"/>
      <c r="NV557" s="280"/>
      <c r="NW557" s="280"/>
      <c r="NX557" s="280"/>
      <c r="NY557" s="280"/>
      <c r="NZ557" s="280"/>
      <c r="OA557" s="280"/>
      <c r="OB557" s="280"/>
      <c r="OC557" s="280"/>
      <c r="OD557" s="280"/>
      <c r="OE557" s="280"/>
      <c r="OF557" s="280"/>
      <c r="OG557" s="280"/>
      <c r="OH557" s="280"/>
      <c r="OI557" s="280"/>
      <c r="OJ557" s="280"/>
      <c r="OK557" s="280"/>
      <c r="OL557" s="280"/>
      <c r="OM557" s="280"/>
      <c r="ON557" s="280"/>
      <c r="OO557" s="280"/>
      <c r="OP557" s="280"/>
      <c r="OQ557" s="280"/>
    </row>
    <row r="558" spans="269:407" ht="10.75" customHeight="1" x14ac:dyDescent="0.2">
      <c r="JI558" s="12"/>
      <c r="KH558" s="13"/>
      <c r="KI558" s="18"/>
      <c r="LI558" s="13"/>
      <c r="MG558" s="280"/>
      <c r="MH558" s="280"/>
      <c r="MI558" s="280"/>
      <c r="MJ558" s="280"/>
      <c r="MK558" s="280"/>
      <c r="ML558" s="280"/>
      <c r="MM558" s="280"/>
      <c r="MN558" s="280"/>
      <c r="MO558" s="280"/>
      <c r="MP558" s="280"/>
      <c r="MQ558" s="280"/>
      <c r="MR558" s="280"/>
      <c r="MS558" s="280"/>
      <c r="MT558" s="280"/>
      <c r="MU558" s="280"/>
      <c r="MV558" s="280"/>
      <c r="MW558" s="280"/>
      <c r="MX558" s="280"/>
      <c r="MY558" s="280"/>
      <c r="MZ558" s="280"/>
      <c r="NA558" s="280"/>
      <c r="NB558" s="280"/>
      <c r="NC558" s="280"/>
      <c r="ND558" s="280"/>
      <c r="NE558" s="280"/>
      <c r="NF558" s="280"/>
      <c r="NG558" s="280"/>
      <c r="NH558" s="280"/>
      <c r="NI558" s="280"/>
      <c r="NJ558" s="280"/>
      <c r="NK558" s="280"/>
      <c r="NL558" s="280"/>
      <c r="NM558" s="280"/>
      <c r="NN558" s="280"/>
      <c r="NO558" s="280"/>
      <c r="NP558" s="280"/>
      <c r="NQ558" s="280"/>
      <c r="NR558" s="280"/>
      <c r="NS558" s="280"/>
      <c r="NT558" s="280"/>
      <c r="NU558" s="280"/>
      <c r="NV558" s="280"/>
      <c r="NW558" s="280"/>
      <c r="NX558" s="280"/>
      <c r="NY558" s="280"/>
      <c r="NZ558" s="280"/>
      <c r="OA558" s="280"/>
      <c r="OB558" s="280"/>
      <c r="OC558" s="280"/>
      <c r="OD558" s="280"/>
      <c r="OE558" s="280"/>
      <c r="OF558" s="280"/>
      <c r="OG558" s="280"/>
      <c r="OH558" s="280"/>
      <c r="OI558" s="280"/>
      <c r="OJ558" s="280"/>
      <c r="OK558" s="280"/>
      <c r="OL558" s="280"/>
      <c r="OM558" s="280"/>
      <c r="ON558" s="280"/>
      <c r="OO558" s="280"/>
      <c r="OP558" s="280"/>
      <c r="OQ558" s="280"/>
    </row>
    <row r="559" spans="269:407" ht="10.75" customHeight="1" x14ac:dyDescent="0.2">
      <c r="JI559" s="12"/>
      <c r="KH559" s="13"/>
      <c r="KI559" s="18"/>
      <c r="LI559" s="13"/>
      <c r="MG559" s="280"/>
      <c r="MH559" s="280"/>
      <c r="MI559" s="280"/>
      <c r="MJ559" s="280"/>
      <c r="MK559" s="280"/>
      <c r="ML559" s="280"/>
      <c r="MM559" s="280"/>
      <c r="MN559" s="280"/>
      <c r="MO559" s="280"/>
      <c r="MP559" s="280"/>
      <c r="MQ559" s="280"/>
      <c r="MR559" s="280"/>
      <c r="MS559" s="280"/>
      <c r="MT559" s="280"/>
      <c r="MU559" s="280"/>
      <c r="MV559" s="280"/>
      <c r="MW559" s="280"/>
      <c r="MX559" s="280"/>
      <c r="MY559" s="280"/>
      <c r="MZ559" s="280"/>
      <c r="NA559" s="280"/>
      <c r="NB559" s="280"/>
      <c r="NC559" s="280"/>
      <c r="ND559" s="280"/>
      <c r="NE559" s="280"/>
      <c r="NF559" s="280"/>
      <c r="NG559" s="280"/>
      <c r="NH559" s="280"/>
      <c r="NI559" s="280"/>
      <c r="NJ559" s="280"/>
      <c r="NK559" s="280"/>
      <c r="NL559" s="280"/>
      <c r="NM559" s="280"/>
      <c r="NN559" s="280"/>
      <c r="NO559" s="280"/>
      <c r="NP559" s="280"/>
      <c r="NQ559" s="280"/>
      <c r="NR559" s="280"/>
      <c r="NS559" s="280"/>
      <c r="NT559" s="280"/>
      <c r="NU559" s="280"/>
      <c r="NV559" s="280"/>
      <c r="NW559" s="280"/>
      <c r="NX559" s="280"/>
      <c r="NY559" s="280"/>
      <c r="NZ559" s="280"/>
      <c r="OA559" s="280"/>
      <c r="OB559" s="280"/>
      <c r="OC559" s="280"/>
      <c r="OD559" s="280"/>
      <c r="OE559" s="280"/>
      <c r="OF559" s="280"/>
      <c r="OG559" s="280"/>
      <c r="OH559" s="280"/>
      <c r="OI559" s="280"/>
      <c r="OJ559" s="280"/>
      <c r="OK559" s="280"/>
      <c r="OL559" s="280"/>
      <c r="OM559" s="280"/>
      <c r="ON559" s="280"/>
      <c r="OO559" s="280"/>
      <c r="OP559" s="280"/>
      <c r="OQ559" s="280"/>
    </row>
    <row r="560" spans="269:407" ht="10.75" customHeight="1" x14ac:dyDescent="0.2">
      <c r="JI560" s="12"/>
      <c r="KH560" s="13"/>
      <c r="KI560" s="18"/>
      <c r="LI560" s="13"/>
      <c r="MG560" s="280"/>
      <c r="MH560" s="280"/>
      <c r="MI560" s="280"/>
      <c r="MJ560" s="280"/>
      <c r="MK560" s="280"/>
      <c r="ML560" s="280"/>
      <c r="MM560" s="280"/>
      <c r="MN560" s="280"/>
      <c r="MO560" s="280"/>
      <c r="MP560" s="280"/>
      <c r="MQ560" s="280"/>
      <c r="MR560" s="280"/>
      <c r="MS560" s="280"/>
      <c r="MT560" s="280"/>
      <c r="MU560" s="280"/>
      <c r="MV560" s="280"/>
      <c r="MW560" s="280"/>
      <c r="MX560" s="280"/>
      <c r="MY560" s="280"/>
      <c r="MZ560" s="280"/>
      <c r="NA560" s="280"/>
      <c r="NB560" s="280"/>
      <c r="NC560" s="280"/>
      <c r="ND560" s="280"/>
      <c r="NE560" s="280"/>
      <c r="NF560" s="280"/>
      <c r="NG560" s="280"/>
      <c r="NH560" s="280"/>
      <c r="NI560" s="280"/>
      <c r="NJ560" s="280"/>
      <c r="NK560" s="280"/>
      <c r="NL560" s="280"/>
      <c r="NM560" s="280"/>
      <c r="NN560" s="280"/>
      <c r="NO560" s="280"/>
      <c r="NP560" s="280"/>
      <c r="NQ560" s="280"/>
      <c r="NR560" s="280"/>
      <c r="NS560" s="280"/>
      <c r="NT560" s="280"/>
      <c r="NU560" s="280"/>
      <c r="NV560" s="280"/>
      <c r="NW560" s="280"/>
      <c r="NX560" s="280"/>
      <c r="NY560" s="280"/>
      <c r="NZ560" s="280"/>
      <c r="OA560" s="280"/>
      <c r="OB560" s="280"/>
      <c r="OC560" s="280"/>
      <c r="OD560" s="280"/>
      <c r="OE560" s="280"/>
      <c r="OF560" s="280"/>
      <c r="OG560" s="280"/>
      <c r="OH560" s="280"/>
      <c r="OI560" s="280"/>
      <c r="OJ560" s="280"/>
      <c r="OK560" s="280"/>
      <c r="OL560" s="280"/>
      <c r="OM560" s="280"/>
      <c r="ON560" s="280"/>
      <c r="OO560" s="280"/>
      <c r="OP560" s="280"/>
      <c r="OQ560" s="280"/>
    </row>
    <row r="561" spans="269:407" ht="10.75" customHeight="1" x14ac:dyDescent="0.2">
      <c r="JI561" s="12"/>
      <c r="KH561" s="13"/>
      <c r="KI561" s="18"/>
      <c r="LI561" s="13"/>
      <c r="MG561" s="280"/>
      <c r="MH561" s="280"/>
      <c r="MI561" s="280"/>
      <c r="MJ561" s="280"/>
      <c r="MK561" s="280"/>
      <c r="ML561" s="280"/>
      <c r="MM561" s="280"/>
      <c r="MN561" s="280"/>
      <c r="MO561" s="280"/>
      <c r="MP561" s="280"/>
      <c r="MQ561" s="280"/>
      <c r="MR561" s="280"/>
      <c r="MS561" s="280"/>
      <c r="MT561" s="280"/>
      <c r="MU561" s="280"/>
      <c r="MV561" s="280"/>
      <c r="MW561" s="280"/>
      <c r="MX561" s="280"/>
      <c r="MY561" s="280"/>
      <c r="MZ561" s="280"/>
      <c r="NA561" s="280"/>
      <c r="NB561" s="280"/>
      <c r="NC561" s="280"/>
      <c r="ND561" s="280"/>
      <c r="NE561" s="280"/>
      <c r="NF561" s="280"/>
      <c r="NG561" s="280"/>
      <c r="NH561" s="280"/>
      <c r="NI561" s="280"/>
      <c r="NJ561" s="280"/>
      <c r="NK561" s="280"/>
      <c r="NL561" s="280"/>
      <c r="NM561" s="280"/>
      <c r="NN561" s="280"/>
      <c r="NO561" s="280"/>
      <c r="NP561" s="280"/>
      <c r="NQ561" s="280"/>
      <c r="NR561" s="280"/>
      <c r="NS561" s="280"/>
      <c r="NT561" s="280"/>
      <c r="NU561" s="280"/>
      <c r="NV561" s="280"/>
      <c r="NW561" s="280"/>
      <c r="NX561" s="280"/>
      <c r="NY561" s="280"/>
      <c r="NZ561" s="280"/>
      <c r="OA561" s="280"/>
      <c r="OB561" s="280"/>
      <c r="OC561" s="280"/>
      <c r="OD561" s="280"/>
      <c r="OE561" s="280"/>
      <c r="OF561" s="280"/>
      <c r="OG561" s="280"/>
      <c r="OH561" s="280"/>
      <c r="OI561" s="280"/>
      <c r="OJ561" s="280"/>
      <c r="OK561" s="280"/>
      <c r="OL561" s="280"/>
      <c r="OM561" s="280"/>
      <c r="ON561" s="280"/>
      <c r="OO561" s="280"/>
      <c r="OP561" s="280"/>
      <c r="OQ561" s="280"/>
    </row>
    <row r="562" spans="269:407" ht="10.75" customHeight="1" x14ac:dyDescent="0.2">
      <c r="JI562" s="12"/>
      <c r="KH562" s="13"/>
      <c r="KI562" s="18"/>
      <c r="LI562" s="13"/>
      <c r="MG562" s="280"/>
      <c r="MH562" s="280"/>
      <c r="MI562" s="280"/>
      <c r="MJ562" s="280"/>
      <c r="MK562" s="280"/>
      <c r="ML562" s="280"/>
      <c r="MM562" s="280"/>
      <c r="MN562" s="280"/>
      <c r="MO562" s="280"/>
      <c r="MP562" s="280"/>
      <c r="MQ562" s="280"/>
      <c r="MR562" s="280"/>
      <c r="MS562" s="280"/>
      <c r="MT562" s="280"/>
      <c r="MU562" s="280"/>
      <c r="MV562" s="280"/>
      <c r="MW562" s="280"/>
      <c r="MX562" s="280"/>
      <c r="MY562" s="280"/>
      <c r="MZ562" s="280"/>
      <c r="NA562" s="280"/>
      <c r="NB562" s="280"/>
      <c r="NC562" s="280"/>
      <c r="ND562" s="280"/>
      <c r="NE562" s="280"/>
      <c r="NF562" s="280"/>
      <c r="NG562" s="280"/>
      <c r="NH562" s="280"/>
      <c r="NI562" s="280"/>
      <c r="NJ562" s="280"/>
      <c r="NK562" s="280"/>
      <c r="NL562" s="280"/>
      <c r="NM562" s="280"/>
      <c r="NN562" s="280"/>
      <c r="NO562" s="280"/>
      <c r="NP562" s="280"/>
      <c r="NQ562" s="280"/>
      <c r="NR562" s="280"/>
      <c r="NS562" s="280"/>
      <c r="NT562" s="280"/>
      <c r="NU562" s="280"/>
      <c r="NV562" s="280"/>
      <c r="NW562" s="280"/>
      <c r="NX562" s="280"/>
      <c r="NY562" s="280"/>
      <c r="NZ562" s="280"/>
      <c r="OA562" s="280"/>
      <c r="OB562" s="280"/>
      <c r="OC562" s="280"/>
      <c r="OD562" s="280"/>
      <c r="OE562" s="280"/>
      <c r="OF562" s="280"/>
      <c r="OG562" s="280"/>
      <c r="OH562" s="280"/>
      <c r="OI562" s="280"/>
      <c r="OJ562" s="280"/>
      <c r="OK562" s="280"/>
      <c r="OL562" s="280"/>
      <c r="OM562" s="280"/>
      <c r="ON562" s="280"/>
      <c r="OO562" s="280"/>
      <c r="OP562" s="280"/>
      <c r="OQ562" s="280"/>
    </row>
    <row r="563" spans="269:407" ht="10.75" customHeight="1" x14ac:dyDescent="0.2">
      <c r="JI563" s="20"/>
      <c r="JJ563" s="21"/>
      <c r="JK563" s="21"/>
      <c r="JL563" s="21"/>
      <c r="JM563" s="21"/>
      <c r="JN563" s="21"/>
      <c r="JO563" s="21"/>
      <c r="JP563" s="21"/>
      <c r="JQ563" s="21"/>
      <c r="JR563" s="21"/>
      <c r="JS563" s="21"/>
      <c r="JT563" s="21"/>
      <c r="JU563" s="21"/>
      <c r="JV563" s="21"/>
      <c r="JW563" s="21"/>
      <c r="JX563" s="21"/>
      <c r="JY563" s="21"/>
      <c r="JZ563" s="21"/>
      <c r="KA563" s="21"/>
      <c r="KB563" s="21"/>
      <c r="KC563" s="21"/>
      <c r="KD563" s="21"/>
      <c r="KE563" s="21"/>
      <c r="KF563" s="21"/>
      <c r="KG563" s="21"/>
      <c r="KH563" s="22"/>
      <c r="KI563" s="19"/>
      <c r="LI563" s="13"/>
      <c r="MG563" s="280"/>
      <c r="MH563" s="280"/>
      <c r="MI563" s="280"/>
      <c r="MJ563" s="280"/>
      <c r="MK563" s="280"/>
      <c r="ML563" s="280"/>
      <c r="MM563" s="280"/>
      <c r="MN563" s="280"/>
      <c r="MO563" s="280"/>
      <c r="MP563" s="280"/>
      <c r="MQ563" s="280"/>
      <c r="MR563" s="280"/>
      <c r="MS563" s="280"/>
      <c r="MT563" s="280"/>
      <c r="MU563" s="280"/>
      <c r="MV563" s="280"/>
      <c r="MW563" s="280"/>
      <c r="MX563" s="280"/>
      <c r="MY563" s="280"/>
      <c r="MZ563" s="280"/>
      <c r="NA563" s="280"/>
      <c r="NB563" s="280"/>
      <c r="NC563" s="280"/>
      <c r="ND563" s="280"/>
      <c r="NE563" s="280"/>
      <c r="NF563" s="280"/>
      <c r="NG563" s="280"/>
      <c r="NH563" s="280"/>
      <c r="NI563" s="280"/>
      <c r="NJ563" s="280"/>
      <c r="NK563" s="280"/>
      <c r="NL563" s="280"/>
      <c r="NM563" s="280"/>
      <c r="NN563" s="280"/>
      <c r="NO563" s="280"/>
      <c r="NP563" s="280"/>
      <c r="NQ563" s="280"/>
      <c r="NR563" s="280"/>
      <c r="NS563" s="280"/>
      <c r="NT563" s="280"/>
      <c r="NU563" s="280"/>
      <c r="NV563" s="280"/>
      <c r="NW563" s="280"/>
      <c r="NX563" s="280"/>
      <c r="NY563" s="280"/>
      <c r="NZ563" s="280"/>
      <c r="OA563" s="280"/>
      <c r="OB563" s="280"/>
      <c r="OC563" s="280"/>
      <c r="OD563" s="280"/>
      <c r="OE563" s="280"/>
      <c r="OF563" s="280"/>
      <c r="OG563" s="280"/>
      <c r="OH563" s="280"/>
      <c r="OI563" s="280"/>
      <c r="OJ563" s="280"/>
      <c r="OK563" s="280"/>
      <c r="OL563" s="280"/>
      <c r="OM563" s="280"/>
      <c r="ON563" s="280"/>
      <c r="OO563" s="280"/>
      <c r="OP563" s="280"/>
      <c r="OQ563" s="280"/>
    </row>
    <row r="564" spans="269:407" ht="10.75" customHeight="1" x14ac:dyDescent="0.2">
      <c r="JI564" s="12"/>
      <c r="JX564" s="13"/>
      <c r="LI564" s="13"/>
      <c r="MG564" s="280"/>
      <c r="MH564" s="280"/>
      <c r="MI564" s="280"/>
      <c r="MJ564" s="280"/>
      <c r="MK564" s="280"/>
      <c r="ML564" s="280"/>
      <c r="MM564" s="280"/>
      <c r="MN564" s="280"/>
      <c r="MO564" s="280"/>
      <c r="MP564" s="280"/>
      <c r="MQ564" s="280"/>
      <c r="MR564" s="280"/>
      <c r="MS564" s="280"/>
      <c r="MT564" s="280"/>
      <c r="MU564" s="280"/>
      <c r="MV564" s="280"/>
      <c r="MW564" s="280"/>
      <c r="MX564" s="280"/>
      <c r="MY564" s="280"/>
      <c r="MZ564" s="280"/>
      <c r="NA564" s="280"/>
      <c r="NB564" s="280"/>
      <c r="NC564" s="280"/>
      <c r="ND564" s="280"/>
      <c r="NE564" s="280"/>
      <c r="NF564" s="280"/>
      <c r="NG564" s="280"/>
      <c r="NH564" s="280"/>
      <c r="NI564" s="280"/>
      <c r="NJ564" s="280"/>
      <c r="NK564" s="280"/>
      <c r="NL564" s="280"/>
      <c r="NM564" s="280"/>
      <c r="NN564" s="280"/>
      <c r="NO564" s="280"/>
      <c r="NP564" s="280"/>
      <c r="NQ564" s="280"/>
      <c r="NR564" s="280"/>
      <c r="NS564" s="280"/>
      <c r="NT564" s="280"/>
      <c r="NU564" s="280"/>
      <c r="NV564" s="280"/>
      <c r="NW564" s="280"/>
      <c r="NX564" s="280"/>
      <c r="NY564" s="280"/>
      <c r="NZ564" s="280"/>
      <c r="OA564" s="280"/>
      <c r="OB564" s="280"/>
      <c r="OC564" s="280"/>
      <c r="OD564" s="280"/>
      <c r="OE564" s="280"/>
      <c r="OF564" s="280"/>
      <c r="OG564" s="280"/>
      <c r="OH564" s="280"/>
      <c r="OI564" s="280"/>
      <c r="OJ564" s="280"/>
      <c r="OK564" s="280"/>
      <c r="OL564" s="280"/>
      <c r="OM564" s="280"/>
      <c r="ON564" s="280"/>
      <c r="OO564" s="280"/>
      <c r="OP564" s="280"/>
      <c r="OQ564" s="280"/>
    </row>
    <row r="565" spans="269:407" ht="10.75" customHeight="1" x14ac:dyDescent="0.2">
      <c r="JI565" s="12"/>
      <c r="JX565" s="13"/>
      <c r="LI565" s="13"/>
      <c r="MG565" s="280"/>
      <c r="MH565" s="280"/>
      <c r="MI565" s="280"/>
      <c r="MJ565" s="280"/>
      <c r="MK565" s="280"/>
      <c r="ML565" s="280"/>
      <c r="MM565" s="280"/>
      <c r="MN565" s="280"/>
      <c r="MO565" s="280"/>
      <c r="MP565" s="280"/>
      <c r="MQ565" s="280"/>
      <c r="MR565" s="280"/>
      <c r="MS565" s="280"/>
      <c r="MT565" s="280"/>
      <c r="MU565" s="280"/>
      <c r="MV565" s="280"/>
      <c r="MW565" s="280"/>
      <c r="MX565" s="280"/>
      <c r="MY565" s="280"/>
      <c r="MZ565" s="280"/>
      <c r="NA565" s="280"/>
      <c r="NB565" s="280"/>
      <c r="NC565" s="280"/>
      <c r="ND565" s="280"/>
      <c r="NE565" s="280"/>
      <c r="NF565" s="280"/>
      <c r="NG565" s="280"/>
      <c r="NH565" s="280"/>
      <c r="NI565" s="280"/>
      <c r="NJ565" s="280"/>
      <c r="NK565" s="280"/>
      <c r="NL565" s="280"/>
      <c r="NM565" s="280"/>
      <c r="NN565" s="280"/>
      <c r="NO565" s="280"/>
      <c r="NP565" s="280"/>
      <c r="NQ565" s="280"/>
      <c r="NR565" s="280"/>
      <c r="NS565" s="280"/>
      <c r="NT565" s="280"/>
      <c r="NU565" s="280"/>
      <c r="NV565" s="280"/>
      <c r="NW565" s="280"/>
      <c r="NX565" s="280"/>
      <c r="NY565" s="280"/>
      <c r="NZ565" s="280"/>
      <c r="OA565" s="280"/>
      <c r="OB565" s="280"/>
      <c r="OC565" s="280"/>
      <c r="OD565" s="280"/>
      <c r="OE565" s="280"/>
      <c r="OF565" s="280"/>
      <c r="OG565" s="280"/>
      <c r="OH565" s="280"/>
      <c r="OI565" s="280"/>
      <c r="OJ565" s="280"/>
      <c r="OK565" s="280"/>
      <c r="OL565" s="280"/>
      <c r="OM565" s="280"/>
      <c r="ON565" s="280"/>
      <c r="OO565" s="280"/>
      <c r="OP565" s="280"/>
      <c r="OQ565" s="280"/>
    </row>
    <row r="566" spans="269:407" ht="10.75" customHeight="1" x14ac:dyDescent="0.2">
      <c r="JI566" s="12"/>
      <c r="JX566" s="13"/>
      <c r="LI566" s="13"/>
      <c r="MG566" s="280"/>
      <c r="MH566" s="280"/>
      <c r="MI566" s="280"/>
      <c r="MJ566" s="280"/>
      <c r="MK566" s="280"/>
      <c r="ML566" s="280"/>
      <c r="MM566" s="280"/>
      <c r="MN566" s="280"/>
      <c r="MO566" s="280"/>
      <c r="MP566" s="280"/>
      <c r="MQ566" s="280"/>
      <c r="MR566" s="280"/>
      <c r="MS566" s="280"/>
      <c r="MT566" s="280"/>
      <c r="MU566" s="280"/>
      <c r="MV566" s="280"/>
      <c r="MW566" s="280"/>
      <c r="MX566" s="280"/>
      <c r="MY566" s="280"/>
      <c r="MZ566" s="280"/>
      <c r="NA566" s="280"/>
      <c r="NB566" s="280"/>
      <c r="NC566" s="280"/>
      <c r="ND566" s="280"/>
      <c r="NE566" s="280"/>
      <c r="NF566" s="280"/>
      <c r="NG566" s="280"/>
      <c r="NH566" s="280"/>
      <c r="NI566" s="280"/>
      <c r="NJ566" s="280"/>
      <c r="NK566" s="280"/>
      <c r="NL566" s="280"/>
      <c r="NM566" s="280"/>
      <c r="NN566" s="280"/>
      <c r="NO566" s="280"/>
      <c r="NP566" s="280"/>
      <c r="NQ566" s="280"/>
      <c r="NR566" s="280"/>
      <c r="NS566" s="280"/>
      <c r="NT566" s="280"/>
      <c r="NU566" s="280"/>
      <c r="NV566" s="280"/>
      <c r="NW566" s="280"/>
      <c r="NX566" s="280"/>
      <c r="NY566" s="280"/>
      <c r="NZ566" s="280"/>
      <c r="OA566" s="280"/>
      <c r="OB566" s="280"/>
      <c r="OC566" s="280"/>
      <c r="OD566" s="280"/>
      <c r="OE566" s="280"/>
      <c r="OF566" s="280"/>
      <c r="OG566" s="280"/>
      <c r="OH566" s="280"/>
      <c r="OI566" s="280"/>
      <c r="OJ566" s="280"/>
      <c r="OK566" s="280"/>
      <c r="OL566" s="280"/>
      <c r="OM566" s="280"/>
      <c r="ON566" s="280"/>
      <c r="OO566" s="280"/>
      <c r="OP566" s="280"/>
      <c r="OQ566" s="280"/>
    </row>
    <row r="567" spans="269:407" ht="10.75" customHeight="1" x14ac:dyDescent="0.2">
      <c r="JI567" s="12"/>
      <c r="JX567" s="13"/>
      <c r="LI567" s="13"/>
      <c r="MG567" s="280"/>
      <c r="MH567" s="280"/>
      <c r="MI567" s="280"/>
      <c r="MJ567" s="280"/>
      <c r="MK567" s="280"/>
      <c r="ML567" s="280"/>
      <c r="MM567" s="280"/>
      <c r="MN567" s="280"/>
      <c r="MO567" s="280"/>
      <c r="MP567" s="280"/>
      <c r="MQ567" s="280"/>
      <c r="MR567" s="280"/>
      <c r="MS567" s="280"/>
      <c r="MT567" s="280"/>
      <c r="MU567" s="280"/>
      <c r="MV567" s="280"/>
      <c r="MW567" s="280"/>
      <c r="MX567" s="280"/>
      <c r="MY567" s="280"/>
      <c r="MZ567" s="280"/>
      <c r="NA567" s="280"/>
      <c r="NB567" s="280"/>
      <c r="NC567" s="280"/>
      <c r="ND567" s="280"/>
      <c r="NE567" s="280"/>
      <c r="NF567" s="280"/>
      <c r="NG567" s="280"/>
      <c r="NH567" s="280"/>
      <c r="NI567" s="280"/>
      <c r="NJ567" s="280"/>
      <c r="NK567" s="280"/>
      <c r="NL567" s="280"/>
      <c r="NM567" s="280"/>
      <c r="NN567" s="280"/>
      <c r="NO567" s="280"/>
      <c r="NP567" s="280"/>
      <c r="NQ567" s="280"/>
      <c r="NR567" s="280"/>
      <c r="NS567" s="280"/>
      <c r="NT567" s="280"/>
      <c r="NU567" s="280"/>
      <c r="NV567" s="280"/>
      <c r="NW567" s="280"/>
      <c r="NX567" s="280"/>
      <c r="NY567" s="280"/>
      <c r="NZ567" s="280"/>
      <c r="OA567" s="280"/>
      <c r="OB567" s="280"/>
      <c r="OC567" s="280"/>
      <c r="OD567" s="280"/>
      <c r="OE567" s="280"/>
      <c r="OF567" s="280"/>
      <c r="OG567" s="280"/>
      <c r="OH567" s="280"/>
      <c r="OI567" s="280"/>
      <c r="OJ567" s="280"/>
      <c r="OK567" s="280"/>
      <c r="OL567" s="280"/>
      <c r="OM567" s="280"/>
      <c r="ON567" s="280"/>
      <c r="OO567" s="280"/>
      <c r="OP567" s="280"/>
      <c r="OQ567" s="280"/>
    </row>
    <row r="568" spans="269:407" ht="10.75" customHeight="1" x14ac:dyDescent="0.2">
      <c r="JI568" s="12"/>
      <c r="JX568" s="13"/>
      <c r="LI568" s="13"/>
      <c r="MG568" s="280"/>
      <c r="MH568" s="280"/>
      <c r="MI568" s="280"/>
      <c r="MJ568" s="280"/>
      <c r="MK568" s="280"/>
      <c r="ML568" s="280"/>
      <c r="MM568" s="280"/>
      <c r="MN568" s="280"/>
      <c r="MO568" s="280"/>
      <c r="MP568" s="280"/>
      <c r="MQ568" s="280"/>
      <c r="MR568" s="280"/>
      <c r="MS568" s="280"/>
      <c r="MT568" s="280"/>
      <c r="MU568" s="280"/>
      <c r="MV568" s="280"/>
      <c r="MW568" s="280"/>
      <c r="MX568" s="280"/>
      <c r="MY568" s="280"/>
      <c r="MZ568" s="280"/>
      <c r="NA568" s="280"/>
      <c r="NB568" s="280"/>
      <c r="NC568" s="280"/>
      <c r="ND568" s="280"/>
      <c r="NE568" s="280"/>
      <c r="NF568" s="280"/>
      <c r="NG568" s="280"/>
      <c r="NH568" s="280"/>
      <c r="NI568" s="280"/>
      <c r="NJ568" s="280"/>
      <c r="NK568" s="280"/>
      <c r="NL568" s="280"/>
      <c r="NM568" s="280"/>
      <c r="NN568" s="280"/>
      <c r="NO568" s="280"/>
      <c r="NP568" s="280"/>
      <c r="NQ568" s="280"/>
      <c r="NR568" s="280"/>
      <c r="NS568" s="280"/>
      <c r="NT568" s="280"/>
      <c r="NU568" s="280"/>
      <c r="NV568" s="280"/>
      <c r="NW568" s="280"/>
      <c r="NX568" s="280"/>
      <c r="NY568" s="280"/>
      <c r="NZ568" s="280"/>
      <c r="OA568" s="280"/>
      <c r="OB568" s="280"/>
      <c r="OC568" s="280"/>
      <c r="OD568" s="280"/>
      <c r="OE568" s="280"/>
      <c r="OF568" s="280"/>
      <c r="OG568" s="280"/>
      <c r="OH568" s="280"/>
      <c r="OI568" s="280"/>
      <c r="OJ568" s="280"/>
      <c r="OK568" s="280"/>
      <c r="OL568" s="280"/>
      <c r="OM568" s="280"/>
      <c r="ON568" s="280"/>
      <c r="OO568" s="280"/>
      <c r="OP568" s="280"/>
      <c r="OQ568" s="280"/>
    </row>
    <row r="569" spans="269:407" ht="10.75" customHeight="1" x14ac:dyDescent="0.2">
      <c r="JI569" s="14"/>
      <c r="JJ569" s="15"/>
      <c r="JK569" s="15"/>
      <c r="JL569" s="15"/>
      <c r="JM569" s="15"/>
      <c r="JN569" s="15"/>
      <c r="JO569" s="15"/>
      <c r="JP569" s="15"/>
      <c r="JQ569" s="15"/>
      <c r="JR569" s="15"/>
      <c r="JS569" s="15"/>
      <c r="JT569" s="15"/>
      <c r="JU569" s="15"/>
      <c r="JV569" s="15"/>
      <c r="JW569" s="15"/>
      <c r="JX569" s="16"/>
      <c r="LI569" s="13"/>
      <c r="MG569" s="280"/>
      <c r="MH569" s="280"/>
      <c r="MI569" s="280"/>
      <c r="MJ569" s="280"/>
      <c r="MK569" s="280"/>
      <c r="ML569" s="280"/>
      <c r="MM569" s="280"/>
      <c r="MN569" s="280"/>
      <c r="MO569" s="280"/>
      <c r="MP569" s="280"/>
      <c r="MQ569" s="280"/>
      <c r="MR569" s="280"/>
      <c r="MS569" s="280"/>
      <c r="MT569" s="280"/>
      <c r="MU569" s="280"/>
      <c r="MV569" s="280"/>
      <c r="MW569" s="280"/>
      <c r="MX569" s="280"/>
      <c r="MY569" s="280"/>
      <c r="MZ569" s="280"/>
      <c r="NA569" s="280"/>
      <c r="NB569" s="280"/>
      <c r="NC569" s="280"/>
      <c r="ND569" s="280"/>
      <c r="NE569" s="280"/>
      <c r="NF569" s="280"/>
      <c r="NG569" s="280"/>
      <c r="NH569" s="280"/>
      <c r="NI569" s="280"/>
      <c r="NJ569" s="280"/>
      <c r="NK569" s="280"/>
      <c r="NL569" s="280"/>
      <c r="NM569" s="280"/>
      <c r="NN569" s="280"/>
      <c r="NO569" s="280"/>
      <c r="NP569" s="280"/>
      <c r="NQ569" s="280"/>
      <c r="NR569" s="280"/>
      <c r="NS569" s="280"/>
      <c r="NT569" s="280"/>
      <c r="NU569" s="280"/>
      <c r="NV569" s="280"/>
      <c r="NW569" s="280"/>
      <c r="NX569" s="280"/>
      <c r="NY569" s="280"/>
      <c r="NZ569" s="280"/>
      <c r="OA569" s="280"/>
      <c r="OB569" s="280"/>
      <c r="OC569" s="280"/>
      <c r="OD569" s="280"/>
      <c r="OE569" s="280"/>
      <c r="OF569" s="280"/>
      <c r="OG569" s="280"/>
      <c r="OH569" s="280"/>
      <c r="OI569" s="280"/>
      <c r="OJ569" s="280"/>
      <c r="OK569" s="280"/>
      <c r="OL569" s="280"/>
      <c r="OM569" s="280"/>
      <c r="ON569" s="280"/>
      <c r="OO569" s="280"/>
      <c r="OP569" s="280"/>
      <c r="OQ569" s="280"/>
    </row>
    <row r="570" spans="269:407" ht="10.75" customHeight="1" x14ac:dyDescent="0.2">
      <c r="LI570" s="13"/>
      <c r="MG570" s="280"/>
      <c r="MH570" s="280"/>
      <c r="MI570" s="280"/>
      <c r="MJ570" s="280"/>
      <c r="MK570" s="280"/>
      <c r="ML570" s="280"/>
      <c r="MM570" s="280"/>
      <c r="MN570" s="280"/>
      <c r="MO570" s="280"/>
      <c r="MP570" s="280"/>
      <c r="MQ570" s="280"/>
      <c r="MR570" s="280"/>
      <c r="MS570" s="280"/>
      <c r="MT570" s="280"/>
      <c r="MU570" s="280"/>
      <c r="MV570" s="280"/>
      <c r="MW570" s="280"/>
      <c r="MX570" s="280"/>
      <c r="MY570" s="280"/>
      <c r="MZ570" s="280"/>
      <c r="NA570" s="280"/>
      <c r="NB570" s="280"/>
      <c r="NC570" s="280"/>
      <c r="ND570" s="280"/>
      <c r="NE570" s="280"/>
      <c r="NF570" s="280"/>
      <c r="NG570" s="280"/>
      <c r="NH570" s="280"/>
      <c r="NI570" s="280"/>
      <c r="NJ570" s="280"/>
      <c r="NK570" s="280"/>
      <c r="NL570" s="280"/>
      <c r="NM570" s="280"/>
      <c r="NN570" s="280"/>
      <c r="NO570" s="280"/>
      <c r="NP570" s="280"/>
      <c r="NQ570" s="280"/>
      <c r="NR570" s="280"/>
      <c r="NS570" s="280"/>
      <c r="NT570" s="280"/>
      <c r="NU570" s="280"/>
      <c r="NV570" s="280"/>
      <c r="NW570" s="280"/>
      <c r="NX570" s="280"/>
      <c r="NY570" s="280"/>
      <c r="NZ570" s="280"/>
      <c r="OA570" s="280"/>
      <c r="OB570" s="280"/>
      <c r="OC570" s="280"/>
      <c r="OD570" s="280"/>
      <c r="OE570" s="280"/>
      <c r="OF570" s="280"/>
      <c r="OG570" s="280"/>
      <c r="OH570" s="280"/>
      <c r="OI570" s="280"/>
      <c r="OJ570" s="280"/>
      <c r="OK570" s="280"/>
      <c r="OL570" s="280"/>
      <c r="OM570" s="280"/>
      <c r="ON570" s="280"/>
      <c r="OO570" s="280"/>
      <c r="OP570" s="280"/>
      <c r="OQ570" s="280"/>
    </row>
    <row r="571" spans="269:407" ht="10.75" customHeight="1" x14ac:dyDescent="0.2">
      <c r="JI571" s="12"/>
      <c r="LI571" s="13"/>
      <c r="MG571" s="280"/>
      <c r="MH571" s="280"/>
      <c r="MI571" s="280"/>
      <c r="MJ571" s="280"/>
      <c r="MK571" s="280"/>
      <c r="ML571" s="280"/>
      <c r="MM571" s="280"/>
      <c r="MN571" s="280"/>
      <c r="MO571" s="280"/>
      <c r="MP571" s="280"/>
      <c r="MQ571" s="280"/>
      <c r="MR571" s="280"/>
      <c r="MS571" s="280"/>
      <c r="MT571" s="280"/>
      <c r="MU571" s="280"/>
      <c r="MV571" s="280"/>
      <c r="MW571" s="280"/>
      <c r="MX571" s="280"/>
      <c r="MY571" s="280"/>
      <c r="MZ571" s="280"/>
      <c r="NA571" s="280"/>
      <c r="NB571" s="280"/>
      <c r="NC571" s="280"/>
      <c r="ND571" s="280"/>
      <c r="NE571" s="280"/>
      <c r="NF571" s="280"/>
      <c r="NG571" s="280"/>
      <c r="NH571" s="280"/>
      <c r="NI571" s="280"/>
      <c r="NJ571" s="280"/>
      <c r="NK571" s="280"/>
      <c r="NL571" s="280"/>
      <c r="NM571" s="280"/>
      <c r="NN571" s="280"/>
      <c r="NO571" s="280"/>
      <c r="NP571" s="280"/>
      <c r="NQ571" s="280"/>
      <c r="NR571" s="280"/>
      <c r="NS571" s="280"/>
      <c r="NT571" s="280"/>
      <c r="NU571" s="280"/>
      <c r="NV571" s="280"/>
      <c r="NW571" s="280"/>
      <c r="NX571" s="280"/>
      <c r="NY571" s="280"/>
      <c r="NZ571" s="280"/>
      <c r="OA571" s="280"/>
      <c r="OB571" s="280"/>
      <c r="OC571" s="280"/>
      <c r="OD571" s="280"/>
      <c r="OE571" s="280"/>
      <c r="OF571" s="280"/>
      <c r="OG571" s="280"/>
      <c r="OH571" s="280"/>
      <c r="OI571" s="280"/>
      <c r="OJ571" s="280"/>
      <c r="OK571" s="280"/>
      <c r="OL571" s="280"/>
      <c r="OM571" s="280"/>
      <c r="ON571" s="280"/>
      <c r="OO571" s="280"/>
      <c r="OP571" s="280"/>
      <c r="OQ571" s="280"/>
    </row>
    <row r="572" spans="269:407" ht="10.75" customHeight="1" x14ac:dyDescent="0.2">
      <c r="JI572" s="12"/>
      <c r="LI572" s="13"/>
      <c r="MG572" s="280"/>
      <c r="MH572" s="280"/>
      <c r="MI572" s="280"/>
      <c r="MJ572" s="280"/>
      <c r="MK572" s="280"/>
      <c r="ML572" s="280"/>
      <c r="MM572" s="280"/>
      <c r="MN572" s="280"/>
      <c r="MO572" s="280"/>
      <c r="MP572" s="280"/>
      <c r="MQ572" s="280"/>
      <c r="MR572" s="280"/>
      <c r="MS572" s="280"/>
      <c r="MT572" s="280"/>
      <c r="MU572" s="280"/>
      <c r="MV572" s="280"/>
      <c r="MW572" s="280"/>
      <c r="MX572" s="280"/>
      <c r="MY572" s="280"/>
      <c r="MZ572" s="280"/>
      <c r="NA572" s="280"/>
      <c r="NB572" s="280"/>
      <c r="NC572" s="280"/>
      <c r="ND572" s="280"/>
      <c r="NE572" s="280"/>
      <c r="NF572" s="280"/>
      <c r="NG572" s="280"/>
      <c r="NH572" s="280"/>
      <c r="NI572" s="280"/>
      <c r="NJ572" s="280"/>
      <c r="NK572" s="280"/>
      <c r="NL572" s="280"/>
      <c r="NM572" s="280"/>
      <c r="NN572" s="280"/>
      <c r="NO572" s="280"/>
      <c r="NP572" s="280"/>
      <c r="NQ572" s="280"/>
      <c r="NR572" s="280"/>
      <c r="NS572" s="280"/>
      <c r="NT572" s="280"/>
      <c r="NU572" s="280"/>
      <c r="NV572" s="280"/>
      <c r="NW572" s="280"/>
      <c r="NX572" s="280"/>
      <c r="NY572" s="280"/>
      <c r="NZ572" s="280"/>
      <c r="OA572" s="280"/>
      <c r="OB572" s="280"/>
      <c r="OC572" s="280"/>
      <c r="OD572" s="280"/>
      <c r="OE572" s="280"/>
      <c r="OF572" s="280"/>
      <c r="OG572" s="280"/>
      <c r="OH572" s="280"/>
      <c r="OI572" s="280"/>
      <c r="OJ572" s="280"/>
      <c r="OK572" s="280"/>
      <c r="OL572" s="280"/>
      <c r="OM572" s="280"/>
      <c r="ON572" s="280"/>
      <c r="OO572" s="280"/>
      <c r="OP572" s="280"/>
      <c r="OQ572" s="280"/>
    </row>
    <row r="573" spans="269:407" ht="10.75" customHeight="1" x14ac:dyDescent="0.2">
      <c r="JI573" s="12"/>
      <c r="LI573" s="13"/>
      <c r="MG573" s="280"/>
      <c r="MH573" s="280"/>
      <c r="MI573" s="280"/>
      <c r="MJ573" s="280"/>
      <c r="MK573" s="280"/>
      <c r="ML573" s="280"/>
      <c r="MM573" s="280"/>
      <c r="MN573" s="280"/>
      <c r="MO573" s="280"/>
      <c r="MP573" s="280"/>
      <c r="MQ573" s="280"/>
      <c r="MR573" s="280"/>
      <c r="MS573" s="280"/>
      <c r="MT573" s="280"/>
      <c r="MU573" s="280"/>
      <c r="MV573" s="280"/>
      <c r="MW573" s="280"/>
      <c r="MX573" s="280"/>
      <c r="MY573" s="280"/>
      <c r="MZ573" s="280"/>
      <c r="NA573" s="280"/>
      <c r="NB573" s="280"/>
      <c r="NC573" s="280"/>
      <c r="ND573" s="280"/>
      <c r="NE573" s="280"/>
      <c r="NF573" s="280"/>
      <c r="NG573" s="280"/>
      <c r="NH573" s="280"/>
      <c r="NI573" s="280"/>
      <c r="NJ573" s="280"/>
      <c r="NK573" s="280"/>
      <c r="NL573" s="280"/>
      <c r="NM573" s="280"/>
      <c r="NN573" s="280"/>
      <c r="NO573" s="280"/>
      <c r="NP573" s="280"/>
      <c r="NQ573" s="280"/>
      <c r="NR573" s="280"/>
      <c r="NS573" s="280"/>
      <c r="NT573" s="280"/>
      <c r="NU573" s="280"/>
      <c r="NV573" s="280"/>
      <c r="NW573" s="280"/>
      <c r="NX573" s="280"/>
      <c r="NY573" s="280"/>
      <c r="NZ573" s="280"/>
      <c r="OA573" s="280"/>
      <c r="OB573" s="280"/>
      <c r="OC573" s="280"/>
      <c r="OD573" s="280"/>
      <c r="OE573" s="280"/>
      <c r="OF573" s="280"/>
      <c r="OG573" s="280"/>
      <c r="OH573" s="280"/>
      <c r="OI573" s="280"/>
      <c r="OJ573" s="280"/>
      <c r="OK573" s="280"/>
      <c r="OL573" s="280"/>
      <c r="OM573" s="280"/>
      <c r="ON573" s="280"/>
      <c r="OO573" s="280"/>
      <c r="OP573" s="280"/>
      <c r="OQ573" s="280"/>
    </row>
    <row r="574" spans="269:407" ht="10.75" customHeight="1" x14ac:dyDescent="0.2">
      <c r="JI574" s="12"/>
      <c r="LI574" s="13"/>
      <c r="MG574" s="280"/>
      <c r="MH574" s="280"/>
      <c r="MI574" s="280"/>
      <c r="MJ574" s="280"/>
      <c r="MK574" s="280"/>
      <c r="ML574" s="280"/>
      <c r="MM574" s="280"/>
      <c r="MN574" s="280"/>
      <c r="MO574" s="280"/>
      <c r="MP574" s="280"/>
      <c r="MQ574" s="280"/>
      <c r="MR574" s="280"/>
      <c r="MS574" s="280"/>
      <c r="MT574" s="280"/>
      <c r="MU574" s="280"/>
      <c r="MV574" s="280"/>
      <c r="MW574" s="280"/>
      <c r="MX574" s="280"/>
      <c r="MY574" s="280"/>
      <c r="MZ574" s="280"/>
      <c r="NA574" s="280"/>
      <c r="NB574" s="280"/>
      <c r="NC574" s="280"/>
      <c r="ND574" s="280"/>
      <c r="NE574" s="280"/>
      <c r="NF574" s="280"/>
      <c r="NG574" s="280"/>
      <c r="NH574" s="280"/>
      <c r="NI574" s="280"/>
      <c r="NJ574" s="280"/>
      <c r="NK574" s="280"/>
      <c r="NL574" s="280"/>
      <c r="NM574" s="280"/>
      <c r="NN574" s="280"/>
      <c r="NO574" s="280"/>
      <c r="NP574" s="280"/>
      <c r="NQ574" s="280"/>
      <c r="NR574" s="280"/>
      <c r="NS574" s="280"/>
      <c r="NT574" s="280"/>
      <c r="NU574" s="280"/>
      <c r="NV574" s="280"/>
      <c r="NW574" s="280"/>
      <c r="NX574" s="280"/>
      <c r="NY574" s="280"/>
      <c r="NZ574" s="280"/>
      <c r="OA574" s="280"/>
      <c r="OB574" s="280"/>
      <c r="OC574" s="280"/>
      <c r="OD574" s="280"/>
      <c r="OE574" s="280"/>
      <c r="OF574" s="280"/>
      <c r="OG574" s="280"/>
      <c r="OH574" s="280"/>
      <c r="OI574" s="280"/>
      <c r="OJ574" s="280"/>
      <c r="OK574" s="280"/>
      <c r="OL574" s="280"/>
      <c r="OM574" s="280"/>
      <c r="ON574" s="280"/>
      <c r="OO574" s="280"/>
      <c r="OP574" s="280"/>
      <c r="OQ574" s="280"/>
    </row>
    <row r="575" spans="269:407" ht="10.75" customHeight="1" x14ac:dyDescent="0.2">
      <c r="JI575" s="12"/>
      <c r="LI575" s="13"/>
      <c r="MG575" s="280"/>
      <c r="MH575" s="280"/>
      <c r="MI575" s="280"/>
      <c r="MJ575" s="280"/>
      <c r="MK575" s="280"/>
      <c r="ML575" s="280"/>
      <c r="MM575" s="280"/>
      <c r="MN575" s="280"/>
      <c r="MO575" s="280"/>
      <c r="MP575" s="280"/>
      <c r="MQ575" s="280"/>
      <c r="MR575" s="280"/>
      <c r="MS575" s="280"/>
      <c r="MT575" s="280"/>
      <c r="MU575" s="280"/>
      <c r="MV575" s="280"/>
      <c r="MW575" s="280"/>
      <c r="MX575" s="280"/>
      <c r="MY575" s="280"/>
      <c r="MZ575" s="280"/>
      <c r="NA575" s="280"/>
      <c r="NB575" s="280"/>
      <c r="NC575" s="280"/>
      <c r="ND575" s="280"/>
      <c r="NE575" s="280"/>
      <c r="NF575" s="280"/>
      <c r="NG575" s="280"/>
      <c r="NH575" s="280"/>
      <c r="NI575" s="280"/>
      <c r="NJ575" s="280"/>
      <c r="NK575" s="280"/>
      <c r="NL575" s="280"/>
      <c r="NM575" s="280"/>
      <c r="NN575" s="280"/>
      <c r="NO575" s="280"/>
      <c r="NP575" s="280"/>
      <c r="NQ575" s="280"/>
      <c r="NR575" s="280"/>
      <c r="NS575" s="280"/>
      <c r="NT575" s="280"/>
      <c r="NU575" s="280"/>
      <c r="NV575" s="280"/>
      <c r="NW575" s="280"/>
      <c r="NX575" s="280"/>
      <c r="NY575" s="280"/>
      <c r="NZ575" s="280"/>
      <c r="OA575" s="280"/>
      <c r="OB575" s="280"/>
      <c r="OC575" s="280"/>
      <c r="OD575" s="280"/>
      <c r="OE575" s="280"/>
      <c r="OF575" s="280"/>
      <c r="OG575" s="280"/>
      <c r="OH575" s="280"/>
      <c r="OI575" s="280"/>
      <c r="OJ575" s="280"/>
      <c r="OK575" s="280"/>
      <c r="OL575" s="280"/>
      <c r="OM575" s="280"/>
      <c r="ON575" s="280"/>
      <c r="OO575" s="280"/>
      <c r="OP575" s="280"/>
      <c r="OQ575" s="280"/>
    </row>
    <row r="576" spans="269:407" ht="10.75" customHeight="1" x14ac:dyDescent="0.2">
      <c r="JI576" s="9"/>
      <c r="JJ576" s="10"/>
      <c r="JK576" s="10"/>
      <c r="JL576" s="11"/>
      <c r="JM576" s="12"/>
      <c r="JV576" s="9"/>
      <c r="JW576" s="10"/>
      <c r="JX576" s="10"/>
      <c r="JY576" s="11"/>
      <c r="JZ576" s="131"/>
      <c r="KA576" s="21"/>
      <c r="KB576" s="21"/>
      <c r="KC576" s="21"/>
      <c r="KD576" s="21"/>
      <c r="KE576" s="21"/>
      <c r="KF576" s="21"/>
      <c r="KG576" s="21"/>
      <c r="KH576" s="21"/>
      <c r="KI576" s="21"/>
      <c r="KJ576" s="21"/>
      <c r="KK576" s="21"/>
      <c r="KL576" s="21"/>
      <c r="KM576" s="21"/>
      <c r="KN576" s="21"/>
      <c r="KO576" s="21"/>
      <c r="KP576" s="21"/>
      <c r="KQ576" s="21"/>
      <c r="KR576" s="21"/>
      <c r="KS576" s="21"/>
      <c r="KT576" s="21"/>
      <c r="KU576" s="21"/>
      <c r="KV576" s="21"/>
      <c r="KW576" s="21"/>
      <c r="KX576" s="21"/>
      <c r="KY576" s="21"/>
      <c r="KZ576" s="21"/>
      <c r="LA576" s="21"/>
      <c r="LB576" s="21"/>
      <c r="LC576" s="21"/>
      <c r="LD576" s="21"/>
      <c r="LE576" s="21"/>
      <c r="LF576" s="21"/>
      <c r="LG576" s="21"/>
      <c r="LH576" s="21"/>
      <c r="LI576" s="22"/>
      <c r="MG576" s="280"/>
      <c r="MH576" s="280"/>
      <c r="MI576" s="280"/>
      <c r="MJ576" s="280"/>
      <c r="MK576" s="280"/>
      <c r="ML576" s="280"/>
      <c r="MM576" s="280"/>
      <c r="MN576" s="280"/>
      <c r="MO576" s="280"/>
      <c r="MP576" s="280"/>
      <c r="MQ576" s="280"/>
      <c r="MR576" s="280"/>
      <c r="MS576" s="280"/>
      <c r="MT576" s="280"/>
      <c r="MU576" s="280"/>
      <c r="MV576" s="280"/>
      <c r="MW576" s="280"/>
      <c r="MX576" s="280"/>
      <c r="MY576" s="280"/>
      <c r="MZ576" s="280"/>
      <c r="NA576" s="280"/>
      <c r="NB576" s="280"/>
      <c r="NC576" s="280"/>
      <c r="ND576" s="280"/>
      <c r="NE576" s="280"/>
      <c r="NF576" s="280"/>
      <c r="NG576" s="280"/>
      <c r="NH576" s="280"/>
      <c r="NI576" s="280"/>
      <c r="NJ576" s="280"/>
      <c r="NK576" s="280"/>
      <c r="NL576" s="280"/>
      <c r="NM576" s="280"/>
      <c r="NN576" s="280"/>
      <c r="NO576" s="280"/>
      <c r="NP576" s="280"/>
      <c r="NQ576" s="280"/>
      <c r="NR576" s="280"/>
      <c r="NS576" s="280"/>
      <c r="NT576" s="280"/>
      <c r="NU576" s="280"/>
      <c r="NV576" s="280"/>
      <c r="NW576" s="280"/>
      <c r="NX576" s="280"/>
      <c r="NY576" s="280"/>
      <c r="NZ576" s="280"/>
      <c r="OA576" s="280"/>
      <c r="OB576" s="280"/>
      <c r="OC576" s="280"/>
      <c r="OD576" s="280"/>
      <c r="OE576" s="280"/>
      <c r="OF576" s="280"/>
      <c r="OG576" s="280"/>
      <c r="OH576" s="280"/>
      <c r="OI576" s="280"/>
      <c r="OJ576" s="280"/>
      <c r="OK576" s="280"/>
      <c r="OL576" s="280"/>
      <c r="OM576" s="280"/>
      <c r="ON576" s="280"/>
      <c r="OO576" s="280"/>
      <c r="OP576" s="280"/>
      <c r="OQ576" s="280"/>
    </row>
    <row r="577" spans="34:407" ht="10.75" customHeight="1" x14ac:dyDescent="0.2">
      <c r="JI577" s="12"/>
      <c r="JM577" s="12"/>
      <c r="JV577" s="12"/>
      <c r="JY577" s="13"/>
      <c r="JZ577" s="17"/>
      <c r="KA577" s="10"/>
      <c r="KB577" s="10"/>
      <c r="KC577" s="10"/>
      <c r="KD577" s="10"/>
      <c r="KE577" s="10"/>
      <c r="KF577" s="10"/>
      <c r="KG577" s="10"/>
      <c r="KH577" s="10"/>
      <c r="KI577" s="10"/>
      <c r="KJ577" s="10"/>
      <c r="KK577" s="10"/>
      <c r="KL577" s="10"/>
      <c r="KM577" s="10"/>
      <c r="KN577" s="10"/>
      <c r="KO577" s="10"/>
      <c r="KP577" s="10"/>
      <c r="KQ577" s="10"/>
      <c r="KR577" s="10"/>
      <c r="KS577" s="10"/>
      <c r="KT577" s="10"/>
      <c r="KU577" s="10"/>
      <c r="KV577" s="10"/>
      <c r="KW577" s="10"/>
      <c r="KX577" s="10"/>
      <c r="KY577" s="10"/>
      <c r="KZ577" s="10"/>
      <c r="LA577" s="10"/>
      <c r="LB577" s="10"/>
      <c r="LC577" s="10"/>
      <c r="LD577" s="10"/>
      <c r="LE577" s="10"/>
      <c r="LF577" s="10"/>
      <c r="LG577" s="10"/>
      <c r="LH577" s="10"/>
      <c r="LI577" s="11"/>
      <c r="MG577" s="280"/>
      <c r="MH577" s="280"/>
      <c r="MI577" s="280"/>
      <c r="MJ577" s="280"/>
      <c r="MK577" s="280"/>
      <c r="ML577" s="280"/>
      <c r="MM577" s="280"/>
      <c r="MN577" s="280"/>
      <c r="MO577" s="280"/>
      <c r="MP577" s="280"/>
      <c r="MQ577" s="280"/>
      <c r="MR577" s="280"/>
      <c r="MS577" s="280"/>
      <c r="MT577" s="280"/>
      <c r="MU577" s="280"/>
      <c r="MV577" s="280"/>
      <c r="MW577" s="280"/>
      <c r="MX577" s="280"/>
      <c r="MY577" s="280"/>
      <c r="MZ577" s="280"/>
      <c r="NA577" s="280"/>
      <c r="NB577" s="280"/>
      <c r="NC577" s="280"/>
      <c r="ND577" s="280"/>
      <c r="NE577" s="280"/>
      <c r="NF577" s="280"/>
      <c r="NG577" s="280"/>
      <c r="NH577" s="280"/>
      <c r="NI577" s="280"/>
      <c r="NJ577" s="280"/>
      <c r="NK577" s="280"/>
      <c r="NL577" s="280"/>
      <c r="NM577" s="280"/>
      <c r="NN577" s="280"/>
      <c r="NO577" s="280"/>
      <c r="NP577" s="280"/>
      <c r="NQ577" s="280"/>
      <c r="NR577" s="280"/>
      <c r="NS577" s="280"/>
      <c r="NT577" s="280"/>
      <c r="NU577" s="280"/>
      <c r="NV577" s="280"/>
      <c r="NW577" s="280"/>
      <c r="NX577" s="280"/>
      <c r="NY577" s="280"/>
      <c r="NZ577" s="280"/>
      <c r="OA577" s="280"/>
      <c r="OB577" s="280"/>
      <c r="OC577" s="280"/>
      <c r="OD577" s="280"/>
      <c r="OE577" s="280"/>
      <c r="OF577" s="280"/>
      <c r="OG577" s="280"/>
      <c r="OH577" s="280"/>
      <c r="OI577" s="280"/>
      <c r="OJ577" s="280"/>
      <c r="OK577" s="280"/>
      <c r="OL577" s="280"/>
      <c r="OM577" s="280"/>
      <c r="ON577" s="280"/>
      <c r="OO577" s="280"/>
      <c r="OP577" s="280"/>
      <c r="OQ577" s="280"/>
    </row>
    <row r="578" spans="34:407" ht="10.75" customHeight="1" x14ac:dyDescent="0.2">
      <c r="JI578" s="12"/>
      <c r="JM578" s="12"/>
      <c r="JV578" s="12"/>
      <c r="JY578" s="13"/>
      <c r="JZ578" s="18"/>
      <c r="LI578" s="13"/>
      <c r="MG578" s="280"/>
      <c r="MH578" s="280"/>
      <c r="MI578" s="280"/>
      <c r="MJ578" s="280"/>
      <c r="MK578" s="280"/>
      <c r="ML578" s="280"/>
      <c r="MM578" s="280"/>
      <c r="MN578" s="280"/>
      <c r="MO578" s="280"/>
      <c r="MP578" s="280"/>
      <c r="MQ578" s="280"/>
      <c r="MR578" s="280"/>
      <c r="MS578" s="280"/>
      <c r="MT578" s="280"/>
      <c r="MU578" s="280"/>
      <c r="MV578" s="280"/>
      <c r="MW578" s="280"/>
      <c r="MX578" s="280"/>
      <c r="MY578" s="280"/>
      <c r="MZ578" s="280"/>
      <c r="NA578" s="280"/>
      <c r="NB578" s="280"/>
      <c r="NC578" s="280"/>
      <c r="ND578" s="280"/>
      <c r="NE578" s="280"/>
      <c r="NF578" s="280"/>
      <c r="NG578" s="280"/>
      <c r="NH578" s="280"/>
      <c r="NI578" s="280"/>
      <c r="NJ578" s="280"/>
      <c r="NK578" s="280"/>
      <c r="NL578" s="280"/>
      <c r="NM578" s="280"/>
      <c r="NN578" s="280"/>
      <c r="NO578" s="280"/>
      <c r="NP578" s="280"/>
      <c r="NQ578" s="280"/>
      <c r="NR578" s="280"/>
      <c r="NS578" s="280"/>
      <c r="NT578" s="280"/>
      <c r="NU578" s="280"/>
      <c r="NV578" s="280"/>
      <c r="NW578" s="280"/>
      <c r="NX578" s="280"/>
      <c r="NY578" s="280"/>
      <c r="NZ578" s="280"/>
      <c r="OA578" s="280"/>
      <c r="OB578" s="280"/>
      <c r="OC578" s="280"/>
      <c r="OD578" s="280"/>
      <c r="OE578" s="280"/>
      <c r="OF578" s="280"/>
      <c r="OG578" s="280"/>
      <c r="OH578" s="280"/>
      <c r="OI578" s="280"/>
      <c r="OJ578" s="280"/>
      <c r="OK578" s="280"/>
      <c r="OL578" s="280"/>
      <c r="OM578" s="280"/>
      <c r="ON578" s="280"/>
      <c r="OO578" s="280"/>
      <c r="OP578" s="280"/>
      <c r="OQ578" s="280"/>
    </row>
    <row r="579" spans="34:407" ht="10.75" customHeight="1" x14ac:dyDescent="0.2">
      <c r="JI579" s="12"/>
      <c r="JM579" s="12"/>
      <c r="JV579" s="12"/>
      <c r="JY579" s="13"/>
      <c r="JZ579" s="18"/>
      <c r="LI579" s="13"/>
      <c r="MG579" s="280"/>
      <c r="MH579" s="280"/>
      <c r="MI579" s="280"/>
      <c r="MJ579" s="280"/>
      <c r="MK579" s="280"/>
      <c r="ML579" s="280"/>
      <c r="MM579" s="280"/>
      <c r="MN579" s="280"/>
      <c r="MO579" s="280"/>
      <c r="MP579" s="280"/>
      <c r="MQ579" s="280"/>
      <c r="MR579" s="280"/>
      <c r="MS579" s="280"/>
      <c r="MT579" s="280"/>
      <c r="MU579" s="280"/>
      <c r="MV579" s="280"/>
      <c r="MW579" s="280"/>
      <c r="MX579" s="280"/>
      <c r="MY579" s="280"/>
      <c r="MZ579" s="280"/>
      <c r="NA579" s="280"/>
      <c r="NB579" s="280"/>
      <c r="NC579" s="280"/>
      <c r="ND579" s="280"/>
      <c r="NE579" s="280"/>
      <c r="NF579" s="280"/>
      <c r="NG579" s="280"/>
      <c r="NH579" s="280"/>
      <c r="NI579" s="280"/>
      <c r="NJ579" s="280"/>
      <c r="NK579" s="280"/>
      <c r="NL579" s="280"/>
      <c r="NM579" s="280"/>
      <c r="NN579" s="280"/>
      <c r="NO579" s="280"/>
      <c r="NP579" s="280"/>
      <c r="NQ579" s="280"/>
      <c r="NR579" s="280"/>
      <c r="NS579" s="280"/>
      <c r="NT579" s="280"/>
      <c r="NU579" s="280"/>
      <c r="NV579" s="280"/>
      <c r="NW579" s="280"/>
      <c r="NX579" s="280"/>
      <c r="NY579" s="280"/>
      <c r="NZ579" s="280"/>
      <c r="OA579" s="280"/>
      <c r="OB579" s="280"/>
      <c r="OC579" s="280"/>
      <c r="OD579" s="280"/>
      <c r="OE579" s="280"/>
      <c r="OF579" s="280"/>
      <c r="OG579" s="280"/>
      <c r="OH579" s="280"/>
      <c r="OI579" s="280"/>
      <c r="OJ579" s="280"/>
      <c r="OK579" s="280"/>
      <c r="OL579" s="280"/>
      <c r="OM579" s="280"/>
      <c r="ON579" s="280"/>
      <c r="OO579" s="280"/>
      <c r="OP579" s="280"/>
      <c r="OQ579" s="280"/>
    </row>
    <row r="580" spans="34:407" ht="10.75" customHeight="1" x14ac:dyDescent="0.2">
      <c r="JI580" s="12"/>
      <c r="JM580" s="12"/>
      <c r="JV580" s="12"/>
      <c r="JY580" s="13"/>
      <c r="JZ580" s="18"/>
      <c r="LI580" s="13"/>
      <c r="MG580" s="280"/>
      <c r="MH580" s="280"/>
      <c r="MI580" s="280"/>
      <c r="MJ580" s="280"/>
      <c r="MK580" s="280"/>
      <c r="ML580" s="280"/>
      <c r="MM580" s="280"/>
      <c r="MN580" s="280"/>
      <c r="MO580" s="280"/>
      <c r="MP580" s="280"/>
      <c r="MQ580" s="280"/>
      <c r="MR580" s="280"/>
      <c r="MS580" s="280"/>
      <c r="MT580" s="280"/>
      <c r="MU580" s="280"/>
      <c r="MV580" s="280"/>
      <c r="MW580" s="280"/>
      <c r="MX580" s="280"/>
      <c r="MY580" s="280"/>
      <c r="MZ580" s="280"/>
      <c r="NA580" s="280"/>
      <c r="NB580" s="280"/>
      <c r="NC580" s="280"/>
      <c r="ND580" s="280"/>
      <c r="NE580" s="280"/>
      <c r="NF580" s="280"/>
      <c r="NG580" s="280"/>
      <c r="NH580" s="280"/>
      <c r="NI580" s="280"/>
      <c r="NJ580" s="280"/>
      <c r="NK580" s="280"/>
      <c r="NL580" s="280"/>
      <c r="NM580" s="280"/>
      <c r="NN580" s="280"/>
      <c r="NO580" s="280"/>
      <c r="NP580" s="280"/>
      <c r="NQ580" s="280"/>
      <c r="NR580" s="280"/>
      <c r="NS580" s="280"/>
      <c r="NT580" s="280"/>
      <c r="NU580" s="280"/>
      <c r="NV580" s="280"/>
      <c r="NW580" s="280"/>
      <c r="NX580" s="280"/>
      <c r="NY580" s="280"/>
      <c r="NZ580" s="280"/>
      <c r="OA580" s="280"/>
      <c r="OB580" s="280"/>
      <c r="OC580" s="280"/>
      <c r="OD580" s="280"/>
      <c r="OE580" s="280"/>
      <c r="OF580" s="280"/>
      <c r="OG580" s="280"/>
      <c r="OH580" s="280"/>
      <c r="OI580" s="280"/>
      <c r="OJ580" s="280"/>
      <c r="OK580" s="280"/>
      <c r="OL580" s="280"/>
      <c r="OM580" s="280"/>
      <c r="ON580" s="280"/>
      <c r="OO580" s="280"/>
      <c r="OP580" s="280"/>
      <c r="OQ580" s="280"/>
    </row>
    <row r="581" spans="34:407" ht="10.75" customHeight="1" x14ac:dyDescent="0.2">
      <c r="AR581" s="57"/>
      <c r="AS581" s="57"/>
      <c r="AT581" s="57"/>
      <c r="AU581" s="41"/>
      <c r="AV581" s="41"/>
      <c r="AW581" s="41"/>
      <c r="AX581" s="41"/>
      <c r="AY581" s="41"/>
      <c r="AZ581" s="41"/>
      <c r="BA581" s="41"/>
      <c r="BB581" s="41"/>
      <c r="BC581" s="41"/>
      <c r="BD581" s="41"/>
      <c r="BE581" s="41"/>
      <c r="BF581" s="41"/>
      <c r="BG581" s="41"/>
      <c r="BH581" s="41"/>
      <c r="BI581" s="41"/>
      <c r="BJ581" s="41"/>
      <c r="BK581" s="41"/>
      <c r="BL581" s="41"/>
      <c r="BM581" s="41"/>
      <c r="BN581" s="41"/>
      <c r="BO581" s="41"/>
      <c r="BP581" s="41"/>
      <c r="BQ581" s="41"/>
      <c r="BR581" s="41"/>
      <c r="BS581" s="41"/>
      <c r="BT581" s="41"/>
      <c r="BU581" s="41"/>
      <c r="BV581" s="41"/>
      <c r="BW581" s="41"/>
      <c r="BX581" s="41"/>
      <c r="BY581" s="41"/>
      <c r="BZ581" s="41"/>
      <c r="CA581" s="41"/>
      <c r="CB581" s="41"/>
      <c r="CC581" s="41"/>
      <c r="CD581" s="41"/>
      <c r="CE581" s="41"/>
      <c r="CF581" s="41"/>
      <c r="CG581" s="41"/>
      <c r="CH581" s="41"/>
      <c r="CI581" s="41"/>
      <c r="CJ581" s="41"/>
      <c r="CK581" s="41"/>
      <c r="CL581" s="41"/>
      <c r="CM581" s="41"/>
      <c r="CN581" s="41"/>
      <c r="CO581" s="41"/>
      <c r="CP581" s="41"/>
      <c r="CQ581" s="41"/>
      <c r="CR581" s="41"/>
      <c r="CS581" s="41"/>
      <c r="CT581" s="41"/>
      <c r="CU581" s="57"/>
      <c r="CV581" s="57"/>
      <c r="CW581" s="57"/>
      <c r="CX581" s="57"/>
      <c r="CY581" s="41"/>
      <c r="CZ581" s="41"/>
      <c r="DA581" s="41"/>
      <c r="DB581" s="41"/>
      <c r="DC581" s="41"/>
      <c r="DD581" s="41"/>
      <c r="DE581" s="41"/>
      <c r="DF581" s="41"/>
      <c r="DG581" s="41"/>
      <c r="DH581" s="41"/>
      <c r="DI581" s="41"/>
      <c r="DJ581" s="41"/>
      <c r="DK581" s="41"/>
      <c r="DL581" s="41"/>
      <c r="DM581" s="41"/>
      <c r="DN581" s="41"/>
      <c r="DO581" s="41"/>
      <c r="DP581" s="41"/>
      <c r="DQ581" s="41"/>
      <c r="DR581" s="41"/>
      <c r="DS581" s="41"/>
      <c r="DT581" s="41"/>
      <c r="DU581" s="41"/>
      <c r="DV581" s="41"/>
      <c r="DW581" s="41"/>
      <c r="DX581" s="41"/>
      <c r="DY581" s="41"/>
      <c r="DZ581" s="41"/>
      <c r="EA581" s="41"/>
      <c r="EB581" s="41"/>
      <c r="EC581" s="41"/>
      <c r="ED581" s="41"/>
      <c r="EE581" s="41"/>
      <c r="EF581" s="41"/>
      <c r="EG581" s="41"/>
      <c r="EH581" s="41"/>
      <c r="EI581" s="41"/>
      <c r="EJ581" s="41"/>
      <c r="EK581" s="41"/>
      <c r="EL581" s="41"/>
      <c r="EM581" s="41"/>
      <c r="EN581" s="41"/>
      <c r="EO581" s="41"/>
      <c r="EP581" s="41"/>
      <c r="EQ581" s="41"/>
      <c r="ER581" s="41"/>
      <c r="ES581" s="41"/>
      <c r="ET581" s="41"/>
      <c r="EU581" s="41"/>
      <c r="EV581" s="41"/>
      <c r="EW581" s="41"/>
      <c r="EX581" s="57"/>
      <c r="EY581" s="57"/>
      <c r="EZ581" s="57"/>
      <c r="FA581" s="58"/>
      <c r="JI581" s="12"/>
      <c r="JM581" s="12"/>
      <c r="JV581" s="12"/>
      <c r="JY581" s="13"/>
      <c r="JZ581" s="18"/>
      <c r="LI581" s="13"/>
      <c r="MG581" s="280"/>
      <c r="MH581" s="280"/>
      <c r="MI581" s="280"/>
      <c r="MJ581" s="280"/>
      <c r="MK581" s="280"/>
      <c r="ML581" s="280"/>
      <c r="MM581" s="280"/>
      <c r="MN581" s="280"/>
      <c r="MO581" s="280"/>
      <c r="MP581" s="280"/>
      <c r="MQ581" s="280"/>
      <c r="MR581" s="280"/>
      <c r="MS581" s="280"/>
      <c r="MT581" s="280"/>
      <c r="MU581" s="280"/>
      <c r="MV581" s="280"/>
      <c r="MW581" s="280"/>
      <c r="MX581" s="280"/>
      <c r="MY581" s="280"/>
      <c r="MZ581" s="280"/>
      <c r="NA581" s="280"/>
      <c r="NB581" s="280"/>
      <c r="NC581" s="280"/>
      <c r="ND581" s="280"/>
      <c r="NE581" s="280"/>
      <c r="NF581" s="280"/>
      <c r="NG581" s="280"/>
      <c r="NH581" s="280"/>
      <c r="NI581" s="280"/>
      <c r="NJ581" s="280"/>
      <c r="NK581" s="280"/>
      <c r="NL581" s="280"/>
      <c r="NM581" s="280"/>
      <c r="NN581" s="280"/>
      <c r="NO581" s="280"/>
      <c r="NP581" s="280"/>
      <c r="NQ581" s="280"/>
      <c r="NR581" s="280"/>
      <c r="NS581" s="280"/>
      <c r="NT581" s="280"/>
      <c r="NU581" s="280"/>
      <c r="NV581" s="280"/>
      <c r="NW581" s="280"/>
      <c r="NX581" s="280"/>
      <c r="NY581" s="280"/>
      <c r="NZ581" s="280"/>
      <c r="OA581" s="280"/>
      <c r="OB581" s="280"/>
      <c r="OC581" s="280"/>
      <c r="OD581" s="280"/>
      <c r="OE581" s="280"/>
      <c r="OF581" s="280"/>
      <c r="OG581" s="280"/>
      <c r="OH581" s="280"/>
      <c r="OI581" s="280"/>
      <c r="OJ581" s="280"/>
      <c r="OK581" s="280"/>
      <c r="OL581" s="280"/>
      <c r="OM581" s="280"/>
      <c r="ON581" s="280"/>
      <c r="OO581" s="280"/>
      <c r="OP581" s="280"/>
      <c r="OQ581" s="280"/>
    </row>
    <row r="582" spans="34:407" ht="10.75" customHeight="1" x14ac:dyDescent="0.2">
      <c r="AR582" s="282"/>
      <c r="AS582" s="282"/>
      <c r="AT582" s="282"/>
      <c r="AU582" s="283"/>
      <c r="AV582" s="283"/>
      <c r="AW582" s="283"/>
      <c r="AX582" s="283"/>
      <c r="AY582" s="283"/>
      <c r="AZ582" s="283"/>
      <c r="BA582" s="283"/>
      <c r="BB582" s="283"/>
      <c r="BC582" s="283"/>
      <c r="BD582" s="283"/>
      <c r="BE582" s="283"/>
      <c r="BF582" s="283"/>
      <c r="BG582" s="283"/>
      <c r="BH582" s="283"/>
      <c r="BI582" s="283"/>
      <c r="BJ582" s="283"/>
      <c r="BK582" s="283"/>
      <c r="BL582" s="283"/>
      <c r="BM582" s="283"/>
      <c r="BN582" s="283"/>
      <c r="BO582" s="283"/>
      <c r="BP582" s="283"/>
      <c r="BQ582" s="283"/>
      <c r="BR582" s="283"/>
      <c r="BS582" s="283"/>
      <c r="BT582" s="283"/>
      <c r="BU582" s="283"/>
      <c r="BV582" s="283"/>
      <c r="BW582" s="283"/>
      <c r="BX582" s="283"/>
      <c r="BY582" s="283"/>
      <c r="BZ582" s="283"/>
      <c r="CA582" s="283"/>
      <c r="CB582" s="283"/>
      <c r="CC582" s="283"/>
      <c r="CD582" s="283"/>
      <c r="CE582" s="283"/>
      <c r="CF582" s="283"/>
      <c r="CG582" s="283"/>
      <c r="CH582" s="283"/>
      <c r="CI582" s="283"/>
      <c r="CJ582" s="283"/>
      <c r="CK582" s="283"/>
      <c r="CL582" s="283"/>
      <c r="CM582" s="283"/>
      <c r="CN582" s="283"/>
      <c r="CO582" s="283"/>
      <c r="CP582" s="283"/>
      <c r="CQ582" s="283"/>
      <c r="CR582" s="283"/>
      <c r="CS582" s="283"/>
      <c r="CT582" s="283"/>
      <c r="CU582" s="282"/>
      <c r="CV582" s="282"/>
      <c r="CW582" s="282"/>
      <c r="CX582" s="282"/>
      <c r="CY582" s="283"/>
      <c r="CZ582" s="283"/>
      <c r="DA582" s="283"/>
      <c r="DB582" s="283"/>
      <c r="DC582" s="283"/>
      <c r="DD582" s="283"/>
      <c r="DE582" s="283"/>
      <c r="DF582" s="283"/>
      <c r="DG582" s="283"/>
      <c r="DH582" s="283"/>
      <c r="DI582" s="283"/>
      <c r="DJ582" s="283"/>
      <c r="DK582" s="283"/>
      <c r="DL582" s="283"/>
      <c r="DM582" s="283"/>
      <c r="DN582" s="283"/>
      <c r="DO582" s="283"/>
      <c r="DP582" s="283"/>
      <c r="DQ582" s="283"/>
      <c r="DR582" s="283"/>
      <c r="DS582" s="283"/>
      <c r="DT582" s="283"/>
      <c r="DU582" s="283"/>
      <c r="DV582" s="283"/>
      <c r="DW582" s="283"/>
      <c r="DX582" s="283"/>
      <c r="DY582" s="283"/>
      <c r="DZ582" s="283"/>
      <c r="EA582" s="283"/>
      <c r="EB582" s="283"/>
      <c r="EC582" s="283"/>
      <c r="ED582" s="283"/>
      <c r="EE582" s="283"/>
      <c r="EF582" s="283"/>
      <c r="EG582" s="283"/>
      <c r="EH582" s="283"/>
      <c r="EI582" s="283"/>
      <c r="EJ582" s="283"/>
      <c r="EK582" s="283"/>
      <c r="EL582" s="283"/>
      <c r="EM582" s="283"/>
      <c r="EN582" s="283"/>
      <c r="EO582" s="283"/>
      <c r="EP582" s="283"/>
      <c r="EQ582" s="283"/>
      <c r="ER582" s="283"/>
      <c r="ES582" s="283"/>
      <c r="ET582" s="283"/>
      <c r="EU582" s="283"/>
      <c r="EV582" s="283"/>
      <c r="EW582" s="283"/>
      <c r="EX582" s="282"/>
      <c r="EY582" s="282"/>
      <c r="EZ582" s="282"/>
      <c r="FA582" s="98"/>
      <c r="JI582" s="12"/>
      <c r="JM582" s="12"/>
      <c r="JV582" s="12"/>
      <c r="JY582" s="13"/>
      <c r="JZ582" s="18"/>
      <c r="LI582" s="13"/>
      <c r="MG582" s="280"/>
      <c r="MH582" s="280"/>
      <c r="MI582" s="280"/>
      <c r="MJ582" s="280"/>
      <c r="MK582" s="280"/>
      <c r="ML582" s="280"/>
      <c r="MM582" s="280"/>
      <c r="MN582" s="280"/>
      <c r="MO582" s="280"/>
      <c r="MP582" s="280"/>
      <c r="MQ582" s="280"/>
      <c r="MR582" s="280"/>
      <c r="MS582" s="280"/>
      <c r="MT582" s="280"/>
      <c r="MU582" s="280"/>
      <c r="MV582" s="280"/>
      <c r="MW582" s="280"/>
      <c r="MX582" s="280"/>
      <c r="MY582" s="280"/>
      <c r="MZ582" s="280"/>
      <c r="NA582" s="280"/>
      <c r="NB582" s="280"/>
      <c r="NC582" s="280"/>
      <c r="ND582" s="280"/>
      <c r="NE582" s="280"/>
      <c r="NF582" s="280"/>
      <c r="NG582" s="280"/>
      <c r="NH582" s="280"/>
      <c r="NI582" s="280"/>
      <c r="NJ582" s="280"/>
      <c r="NK582" s="280"/>
      <c r="NL582" s="280"/>
      <c r="NM582" s="280"/>
      <c r="NN582" s="280"/>
      <c r="NO582" s="280"/>
      <c r="NP582" s="280"/>
      <c r="NQ582" s="280"/>
      <c r="NR582" s="280"/>
      <c r="NS582" s="280"/>
      <c r="NT582" s="280"/>
      <c r="NU582" s="280"/>
      <c r="NV582" s="280"/>
      <c r="NW582" s="280"/>
      <c r="NX582" s="280"/>
      <c r="NY582" s="280"/>
      <c r="NZ582" s="280"/>
      <c r="OA582" s="280"/>
      <c r="OB582" s="280"/>
      <c r="OC582" s="280"/>
      <c r="OD582" s="280"/>
      <c r="OE582" s="280"/>
      <c r="OF582" s="280"/>
      <c r="OG582" s="280"/>
      <c r="OH582" s="280"/>
      <c r="OI582" s="280"/>
      <c r="OJ582" s="280"/>
      <c r="OK582" s="280"/>
      <c r="OL582" s="280"/>
      <c r="OM582" s="280"/>
      <c r="ON582" s="280"/>
      <c r="OO582" s="280"/>
      <c r="OP582" s="280"/>
      <c r="OQ582" s="280"/>
    </row>
    <row r="583" spans="34:407" ht="10.75" customHeight="1" x14ac:dyDescent="0.2">
      <c r="AR583" s="282"/>
      <c r="AS583" s="282"/>
      <c r="AT583" s="282"/>
      <c r="AU583" s="283"/>
      <c r="AV583" s="283"/>
      <c r="AW583" s="283"/>
      <c r="AX583" s="283"/>
      <c r="AY583" s="283"/>
      <c r="AZ583" s="283"/>
      <c r="BA583" s="283"/>
      <c r="BB583" s="283"/>
      <c r="BC583" s="283"/>
      <c r="BD583" s="283"/>
      <c r="BE583" s="283"/>
      <c r="BF583" s="283"/>
      <c r="BG583" s="283"/>
      <c r="BH583" s="283"/>
      <c r="BI583" s="283"/>
      <c r="BJ583" s="283"/>
      <c r="BK583" s="283"/>
      <c r="BL583" s="283"/>
      <c r="BM583" s="283"/>
      <c r="BN583" s="283"/>
      <c r="BO583" s="283"/>
      <c r="BP583" s="283"/>
      <c r="BQ583" s="283"/>
      <c r="BR583" s="283"/>
      <c r="BS583" s="283"/>
      <c r="BT583" s="283"/>
      <c r="BU583" s="283"/>
      <c r="BV583" s="283"/>
      <c r="BW583" s="283"/>
      <c r="BX583" s="283"/>
      <c r="BY583" s="283"/>
      <c r="BZ583" s="283"/>
      <c r="CA583" s="283"/>
      <c r="CB583" s="283"/>
      <c r="CC583" s="283"/>
      <c r="CD583" s="283"/>
      <c r="CE583" s="283"/>
      <c r="CF583" s="283"/>
      <c r="CG583" s="283"/>
      <c r="CH583" s="283"/>
      <c r="CI583" s="283"/>
      <c r="CJ583" s="283"/>
      <c r="CK583" s="283"/>
      <c r="CL583" s="283"/>
      <c r="CM583" s="283"/>
      <c r="CN583" s="283"/>
      <c r="CO583" s="283"/>
      <c r="CP583" s="283"/>
      <c r="CQ583" s="283"/>
      <c r="CR583" s="283"/>
      <c r="CS583" s="283"/>
      <c r="CT583" s="283"/>
      <c r="CU583" s="282"/>
      <c r="CV583" s="282"/>
      <c r="CW583" s="282"/>
      <c r="CX583" s="282"/>
      <c r="CY583" s="283"/>
      <c r="CZ583" s="283"/>
      <c r="DA583" s="283"/>
      <c r="DB583" s="283"/>
      <c r="DC583" s="283"/>
      <c r="DD583" s="283"/>
      <c r="DE583" s="283"/>
      <c r="DF583" s="283"/>
      <c r="DG583" s="283"/>
      <c r="DH583" s="283"/>
      <c r="DI583" s="283"/>
      <c r="DJ583" s="283"/>
      <c r="DK583" s="283"/>
      <c r="DL583" s="283"/>
      <c r="DM583" s="283"/>
      <c r="DN583" s="283"/>
      <c r="DO583" s="283"/>
      <c r="DP583" s="283"/>
      <c r="DQ583" s="283"/>
      <c r="DR583" s="283"/>
      <c r="DS583" s="283"/>
      <c r="DT583" s="283"/>
      <c r="DU583" s="283"/>
      <c r="DV583" s="283"/>
      <c r="DW583" s="283"/>
      <c r="DX583" s="283"/>
      <c r="DY583" s="283"/>
      <c r="DZ583" s="283"/>
      <c r="EA583" s="283"/>
      <c r="EB583" s="283"/>
      <c r="EC583" s="283"/>
      <c r="ED583" s="283"/>
      <c r="EE583" s="283"/>
      <c r="EF583" s="283"/>
      <c r="EG583" s="283"/>
      <c r="EH583" s="283"/>
      <c r="EI583" s="283"/>
      <c r="EJ583" s="283"/>
      <c r="EK583" s="283"/>
      <c r="EL583" s="283"/>
      <c r="EM583" s="283"/>
      <c r="EN583" s="283"/>
      <c r="EO583" s="283"/>
      <c r="EP583" s="283"/>
      <c r="EQ583" s="283"/>
      <c r="ER583" s="283"/>
      <c r="ES583" s="283"/>
      <c r="ET583" s="283"/>
      <c r="EU583" s="283"/>
      <c r="EV583" s="283"/>
      <c r="EW583" s="283"/>
      <c r="EX583" s="282"/>
      <c r="EY583" s="282"/>
      <c r="EZ583" s="282"/>
      <c r="FA583" s="98"/>
      <c r="JI583" s="12"/>
      <c r="JM583" s="12"/>
      <c r="JV583" s="12"/>
      <c r="JY583" s="13"/>
      <c r="JZ583" s="18"/>
      <c r="LI583" s="13"/>
      <c r="MG583" s="280"/>
      <c r="MH583" s="280"/>
      <c r="MI583" s="280"/>
      <c r="MJ583" s="280"/>
      <c r="MK583" s="280"/>
      <c r="ML583" s="280"/>
      <c r="MM583" s="280"/>
      <c r="MN583" s="280"/>
      <c r="MO583" s="280"/>
      <c r="MP583" s="280"/>
      <c r="MQ583" s="280"/>
      <c r="MR583" s="280"/>
      <c r="MS583" s="280"/>
      <c r="MT583" s="280"/>
      <c r="MU583" s="280"/>
      <c r="MV583" s="280"/>
      <c r="MW583" s="280"/>
      <c r="MX583" s="280"/>
      <c r="MY583" s="280"/>
      <c r="MZ583" s="280"/>
      <c r="NA583" s="280"/>
      <c r="NB583" s="280"/>
      <c r="NC583" s="280"/>
      <c r="ND583" s="280"/>
      <c r="NE583" s="280"/>
      <c r="NF583" s="280"/>
      <c r="NG583" s="280"/>
      <c r="NH583" s="280"/>
      <c r="NI583" s="280"/>
      <c r="NJ583" s="280"/>
      <c r="NK583" s="280"/>
      <c r="NL583" s="280"/>
      <c r="NM583" s="280"/>
      <c r="NN583" s="280"/>
      <c r="NO583" s="280"/>
      <c r="NP583" s="280"/>
      <c r="NQ583" s="280"/>
      <c r="NR583" s="280"/>
      <c r="NS583" s="280"/>
      <c r="NT583" s="280"/>
      <c r="NU583" s="280"/>
      <c r="NV583" s="280"/>
      <c r="NW583" s="280"/>
      <c r="NX583" s="280"/>
      <c r="NY583" s="280"/>
      <c r="NZ583" s="280"/>
      <c r="OA583" s="280"/>
      <c r="OB583" s="280"/>
      <c r="OC583" s="280"/>
      <c r="OD583" s="280"/>
      <c r="OE583" s="280"/>
      <c r="OF583" s="280"/>
      <c r="OG583" s="280"/>
      <c r="OH583" s="280"/>
      <c r="OI583" s="280"/>
      <c r="OJ583" s="280"/>
      <c r="OK583" s="280"/>
      <c r="OL583" s="280"/>
      <c r="OM583" s="280"/>
      <c r="ON583" s="280"/>
      <c r="OO583" s="280"/>
      <c r="OP583" s="280"/>
      <c r="OQ583" s="280"/>
    </row>
    <row r="584" spans="34:407" ht="10.75" customHeight="1" x14ac:dyDescent="0.2">
      <c r="AR584" s="282"/>
      <c r="AS584" s="282"/>
      <c r="AT584" s="282"/>
      <c r="AU584" s="9"/>
      <c r="AV584" s="10"/>
      <c r="AW584" s="10"/>
      <c r="AX584" s="10"/>
      <c r="AY584" s="10"/>
      <c r="AZ584" s="10"/>
      <c r="BA584" s="10"/>
      <c r="BB584" s="10"/>
      <c r="BC584" s="10"/>
      <c r="BD584" s="10"/>
      <c r="BE584" s="10"/>
      <c r="BF584" s="10"/>
      <c r="BG584" s="10"/>
      <c r="BH584" s="10"/>
      <c r="BI584" s="10"/>
      <c r="BJ584" s="10"/>
      <c r="BK584" s="10"/>
      <c r="BL584" s="10"/>
      <c r="BM584" s="10"/>
      <c r="BN584" s="10"/>
      <c r="BO584" s="10"/>
      <c r="BP584" s="10"/>
      <c r="BQ584" s="10"/>
      <c r="BR584" s="10"/>
      <c r="BS584" s="10"/>
      <c r="BT584" s="10"/>
      <c r="BU584" s="10"/>
      <c r="BV584" s="10"/>
      <c r="BW584" s="10"/>
      <c r="BX584" s="10"/>
      <c r="BY584" s="10"/>
      <c r="BZ584" s="11"/>
      <c r="CA584" s="10"/>
      <c r="CB584" s="11"/>
      <c r="CC584" s="10"/>
      <c r="CD584" s="10"/>
      <c r="CE584" s="10"/>
      <c r="CF584" s="10"/>
      <c r="CG584" s="10"/>
      <c r="CH584" s="10"/>
      <c r="CI584" s="10"/>
      <c r="CJ584" s="10"/>
      <c r="CK584" s="10"/>
      <c r="CL584" s="10"/>
      <c r="CM584" s="10"/>
      <c r="CN584" s="10"/>
      <c r="CO584" s="10"/>
      <c r="CP584" s="10"/>
      <c r="CQ584" s="10"/>
      <c r="CR584" s="10"/>
      <c r="CS584" s="10"/>
      <c r="CT584" s="10"/>
      <c r="CU584" s="10"/>
      <c r="CV584" s="11"/>
      <c r="CW584" s="10"/>
      <c r="CX584" s="11"/>
      <c r="CY584" s="10"/>
      <c r="CZ584" s="10"/>
      <c r="DA584" s="10"/>
      <c r="DB584" s="10"/>
      <c r="DC584" s="10"/>
      <c r="DD584" s="10"/>
      <c r="DE584" s="10"/>
      <c r="DF584" s="10"/>
      <c r="DG584" s="10"/>
      <c r="DH584" s="10"/>
      <c r="DI584" s="10"/>
      <c r="DJ584" s="10"/>
      <c r="DK584" s="10"/>
      <c r="DL584" s="10"/>
      <c r="DM584" s="10"/>
      <c r="DN584" s="10"/>
      <c r="DO584" s="10"/>
      <c r="DP584" s="10"/>
      <c r="DQ584" s="10"/>
      <c r="DR584" s="10"/>
      <c r="DS584" s="10"/>
      <c r="DT584" s="10"/>
      <c r="DU584" s="10"/>
      <c r="DV584" s="10"/>
      <c r="DW584" s="10"/>
      <c r="DX584" s="10"/>
      <c r="DY584" s="10"/>
      <c r="DZ584" s="10"/>
      <c r="EA584" s="10"/>
      <c r="EB584" s="10"/>
      <c r="EC584" s="10"/>
      <c r="ED584" s="10"/>
      <c r="EE584" s="10"/>
      <c r="EF584" s="10"/>
      <c r="EG584" s="10"/>
      <c r="EH584" s="10"/>
      <c r="EI584" s="10"/>
      <c r="EJ584" s="10"/>
      <c r="EK584" s="10"/>
      <c r="EL584" s="10"/>
      <c r="EM584" s="10"/>
      <c r="EN584" s="10"/>
      <c r="EO584" s="10"/>
      <c r="EP584" s="10"/>
      <c r="EQ584" s="10"/>
      <c r="ER584" s="10"/>
      <c r="ES584" s="10"/>
      <c r="ET584" s="10"/>
      <c r="EU584" s="10"/>
      <c r="EV584" s="10"/>
      <c r="EW584" s="10"/>
      <c r="EX584" s="11"/>
      <c r="EY584" s="283"/>
      <c r="EZ584" s="283"/>
      <c r="FA584" s="45"/>
      <c r="JI584" s="12"/>
      <c r="JM584" s="12"/>
      <c r="JV584" s="12"/>
      <c r="JY584" s="13"/>
      <c r="JZ584" s="18"/>
      <c r="LI584" s="13"/>
    </row>
    <row r="585" spans="34:407" ht="10.75" customHeight="1" x14ac:dyDescent="0.2">
      <c r="AR585" s="42"/>
      <c r="AS585" s="283"/>
      <c r="AT585" s="283"/>
      <c r="AU585" s="12"/>
      <c r="AV585" s="280"/>
      <c r="AW585" s="280"/>
      <c r="AX585" s="280"/>
      <c r="AY585" s="280"/>
      <c r="AZ585" s="280"/>
      <c r="BA585" s="280"/>
      <c r="BB585" s="280"/>
      <c r="BC585" s="280"/>
      <c r="BD585" s="280"/>
      <c r="BE585" s="280"/>
      <c r="BF585" s="280"/>
      <c r="BG585" s="280"/>
      <c r="BH585" s="280"/>
      <c r="BI585" s="280"/>
      <c r="BJ585" s="280"/>
      <c r="BK585" s="280"/>
      <c r="BL585" s="280"/>
      <c r="BM585" s="280"/>
      <c r="BN585" s="280"/>
      <c r="BO585" s="280"/>
      <c r="BP585" s="280"/>
      <c r="BQ585" s="280"/>
      <c r="BR585" s="280"/>
      <c r="BS585" s="280"/>
      <c r="BT585" s="280"/>
      <c r="BU585" s="280"/>
      <c r="BV585" s="280"/>
      <c r="BW585" s="280"/>
      <c r="BX585" s="280"/>
      <c r="BY585" s="280"/>
      <c r="BZ585" s="13"/>
      <c r="CA585" s="280"/>
      <c r="CB585" s="13"/>
      <c r="CC585" s="280"/>
      <c r="CD585" s="280"/>
      <c r="CE585" s="280"/>
      <c r="CF585" s="280"/>
      <c r="CG585" s="280"/>
      <c r="CH585" s="280"/>
      <c r="CI585" s="280"/>
      <c r="CJ585" s="280"/>
      <c r="CK585" s="280"/>
      <c r="CL585" s="280"/>
      <c r="CM585" s="280"/>
      <c r="CN585" s="280"/>
      <c r="CO585" s="280"/>
      <c r="CP585" s="280"/>
      <c r="CQ585" s="280"/>
      <c r="CR585" s="280"/>
      <c r="CS585" s="280"/>
      <c r="CT585" s="280"/>
      <c r="CU585" s="280"/>
      <c r="CV585" s="13"/>
      <c r="CW585" s="280"/>
      <c r="CX585" s="122"/>
      <c r="CY585" s="280"/>
      <c r="CZ585" s="280"/>
      <c r="DA585" s="280"/>
      <c r="DB585" s="280"/>
      <c r="DC585" s="280"/>
      <c r="DD585" s="280"/>
      <c r="DE585" s="280"/>
      <c r="DF585" s="280"/>
      <c r="DG585" s="280"/>
      <c r="DH585" s="280"/>
      <c r="DI585" s="280"/>
      <c r="DJ585" s="280"/>
      <c r="DK585" s="280"/>
      <c r="DL585" s="280"/>
      <c r="DM585" s="280"/>
      <c r="DN585" s="280"/>
      <c r="DO585" s="280"/>
      <c r="DP585" s="280"/>
      <c r="DQ585" s="280"/>
      <c r="DR585" s="280"/>
      <c r="DS585" s="280"/>
      <c r="DT585" s="280"/>
      <c r="DU585" s="280"/>
      <c r="DV585" s="280"/>
      <c r="DW585" s="280"/>
      <c r="DX585" s="280"/>
      <c r="DY585" s="280"/>
      <c r="DZ585" s="280"/>
      <c r="EA585" s="280"/>
      <c r="EB585" s="280"/>
      <c r="EC585" s="280"/>
      <c r="ED585" s="280"/>
      <c r="EE585" s="280"/>
      <c r="EF585" s="280"/>
      <c r="EG585" s="280"/>
      <c r="EH585" s="280"/>
      <c r="EI585" s="280"/>
      <c r="EJ585" s="280"/>
      <c r="EK585" s="280"/>
      <c r="EL585" s="280"/>
      <c r="EM585" s="280"/>
      <c r="EN585" s="280"/>
      <c r="EO585" s="280"/>
      <c r="EP585" s="280"/>
      <c r="EQ585" s="280"/>
      <c r="ER585" s="280"/>
      <c r="ES585" s="280"/>
      <c r="ET585" s="280"/>
      <c r="EU585" s="280"/>
      <c r="EV585" s="280"/>
      <c r="EW585" s="280"/>
      <c r="EX585" s="13"/>
      <c r="EY585" s="283"/>
      <c r="EZ585" s="283"/>
      <c r="FA585" s="45"/>
      <c r="JI585" s="12"/>
      <c r="JM585" s="12"/>
      <c r="JV585" s="12"/>
      <c r="JY585" s="13"/>
      <c r="JZ585" s="18"/>
      <c r="LI585" s="13"/>
    </row>
    <row r="586" spans="34:407" ht="10.75" customHeight="1" x14ac:dyDescent="0.2">
      <c r="AR586" s="42"/>
      <c r="AS586" s="283"/>
      <c r="AT586" s="283"/>
      <c r="AU586" s="12"/>
      <c r="AV586" s="280"/>
      <c r="AW586" s="280"/>
      <c r="AX586" s="280"/>
      <c r="AY586" s="280"/>
      <c r="AZ586" s="280"/>
      <c r="BA586" s="280"/>
      <c r="BB586" s="280"/>
      <c r="BC586" s="280"/>
      <c r="BD586" s="280"/>
      <c r="BE586" s="280"/>
      <c r="BF586" s="280"/>
      <c r="BG586" s="280"/>
      <c r="BH586" s="280"/>
      <c r="BI586" s="280"/>
      <c r="BJ586" s="280"/>
      <c r="BK586" s="280"/>
      <c r="BL586" s="280"/>
      <c r="BM586" s="280"/>
      <c r="BN586" s="280"/>
      <c r="BO586" s="280"/>
      <c r="BP586" s="280"/>
      <c r="BQ586" s="280"/>
      <c r="BR586" s="280"/>
      <c r="BS586" s="280"/>
      <c r="BT586" s="280"/>
      <c r="BU586" s="280"/>
      <c r="BV586" s="280"/>
      <c r="BW586" s="280"/>
      <c r="BX586" s="280"/>
      <c r="BY586" s="280"/>
      <c r="BZ586" s="13"/>
      <c r="CA586" s="280"/>
      <c r="CB586" s="13"/>
      <c r="CC586" s="280"/>
      <c r="CD586" s="280"/>
      <c r="CE586" s="280"/>
      <c r="CF586" s="280"/>
      <c r="CG586" s="280"/>
      <c r="CH586" s="280"/>
      <c r="CI586" s="280"/>
      <c r="CJ586" s="280"/>
      <c r="CK586" s="280"/>
      <c r="CL586" s="280"/>
      <c r="CM586" s="280"/>
      <c r="CN586" s="280"/>
      <c r="CO586" s="280"/>
      <c r="CP586" s="280"/>
      <c r="CQ586" s="280"/>
      <c r="CR586" s="280"/>
      <c r="CS586" s="280"/>
      <c r="CT586" s="280"/>
      <c r="CU586" s="280"/>
      <c r="CV586" s="13"/>
      <c r="CW586" s="280"/>
      <c r="CX586" s="122"/>
      <c r="CY586" s="280"/>
      <c r="CZ586" s="280"/>
      <c r="DA586" s="280"/>
      <c r="DB586" s="280"/>
      <c r="DC586" s="280"/>
      <c r="DD586" s="280"/>
      <c r="DE586" s="280"/>
      <c r="DF586" s="280"/>
      <c r="DG586" s="280"/>
      <c r="DH586" s="280"/>
      <c r="DI586" s="280"/>
      <c r="DJ586" s="280"/>
      <c r="DK586" s="280"/>
      <c r="DL586" s="280"/>
      <c r="DM586" s="280"/>
      <c r="DN586" s="280"/>
      <c r="DO586" s="280"/>
      <c r="DP586" s="280"/>
      <c r="DQ586" s="280"/>
      <c r="DR586" s="280"/>
      <c r="DS586" s="280"/>
      <c r="DT586" s="280"/>
      <c r="DU586" s="280"/>
      <c r="DV586" s="280"/>
      <c r="DW586" s="280"/>
      <c r="DX586" s="280"/>
      <c r="DY586" s="280"/>
      <c r="DZ586" s="280"/>
      <c r="EA586" s="280"/>
      <c r="EB586" s="280"/>
      <c r="EC586" s="280"/>
      <c r="ED586" s="280"/>
      <c r="EE586" s="280"/>
      <c r="EF586" s="280"/>
      <c r="EG586" s="280"/>
      <c r="EH586" s="280"/>
      <c r="EI586" s="280"/>
      <c r="EJ586" s="280"/>
      <c r="EK586" s="280"/>
      <c r="EL586" s="280"/>
      <c r="EM586" s="280"/>
      <c r="EN586" s="280"/>
      <c r="EO586" s="280"/>
      <c r="EP586" s="280"/>
      <c r="EQ586" s="280"/>
      <c r="ER586" s="280"/>
      <c r="ES586" s="280"/>
      <c r="ET586" s="280"/>
      <c r="EU586" s="280"/>
      <c r="EV586" s="280"/>
      <c r="EW586" s="280"/>
      <c r="EX586" s="13"/>
      <c r="EY586" s="283"/>
      <c r="EZ586" s="283"/>
      <c r="FA586" s="45"/>
      <c r="JI586" s="12"/>
      <c r="JM586" s="12"/>
      <c r="JV586" s="12"/>
      <c r="JY586" s="13"/>
      <c r="JZ586" s="18"/>
      <c r="LI586" s="13"/>
    </row>
    <row r="587" spans="34:407" ht="10.75" customHeight="1" x14ac:dyDescent="0.2">
      <c r="AR587" s="42"/>
      <c r="AS587" s="283"/>
      <c r="AT587" s="283"/>
      <c r="AU587" s="12"/>
      <c r="AV587" s="280"/>
      <c r="AW587" s="280"/>
      <c r="AX587" s="280"/>
      <c r="AY587" s="280"/>
      <c r="AZ587" s="280"/>
      <c r="BA587" s="280"/>
      <c r="BB587" s="280"/>
      <c r="BC587" s="280"/>
      <c r="BD587" s="280"/>
      <c r="BE587" s="280"/>
      <c r="BF587" s="280"/>
      <c r="BG587" s="280"/>
      <c r="BH587" s="280"/>
      <c r="BI587" s="280"/>
      <c r="BJ587" s="280"/>
      <c r="BK587" s="280"/>
      <c r="BL587" s="280"/>
      <c r="BM587" s="280"/>
      <c r="BN587" s="280"/>
      <c r="BO587" s="280"/>
      <c r="BP587" s="280"/>
      <c r="BQ587" s="280"/>
      <c r="BR587" s="280"/>
      <c r="BS587" s="280"/>
      <c r="BT587" s="280"/>
      <c r="BU587" s="280"/>
      <c r="BV587" s="280"/>
      <c r="BW587" s="280"/>
      <c r="BX587" s="280"/>
      <c r="BY587" s="280"/>
      <c r="BZ587" s="13"/>
      <c r="CA587" s="280"/>
      <c r="CB587" s="13"/>
      <c r="CC587" s="280"/>
      <c r="CD587" s="280"/>
      <c r="CE587" s="280"/>
      <c r="CF587" s="280"/>
      <c r="CG587" s="280"/>
      <c r="CH587" s="280"/>
      <c r="CI587" s="280"/>
      <c r="CJ587" s="280"/>
      <c r="CK587" s="280"/>
      <c r="CL587" s="280"/>
      <c r="CM587" s="280"/>
      <c r="CN587" s="280"/>
      <c r="CO587" s="280"/>
      <c r="CP587" s="280"/>
      <c r="CQ587" s="280"/>
      <c r="CR587" s="280"/>
      <c r="CS587" s="280"/>
      <c r="CT587" s="280"/>
      <c r="CU587" s="280"/>
      <c r="CV587" s="13"/>
      <c r="CW587" s="280"/>
      <c r="CX587" s="122"/>
      <c r="CY587" s="280"/>
      <c r="CZ587" s="280"/>
      <c r="DA587" s="280"/>
      <c r="DB587" s="280"/>
      <c r="DC587" s="280"/>
      <c r="DD587" s="280"/>
      <c r="DE587" s="280"/>
      <c r="DF587" s="280"/>
      <c r="DG587" s="280"/>
      <c r="DH587" s="280"/>
      <c r="DI587" s="280"/>
      <c r="DJ587" s="280"/>
      <c r="DK587" s="280"/>
      <c r="DL587" s="280"/>
      <c r="DM587" s="280"/>
      <c r="DN587" s="280"/>
      <c r="DO587" s="280"/>
      <c r="DP587" s="280"/>
      <c r="DQ587" s="280"/>
      <c r="DR587" s="280"/>
      <c r="DS587" s="280"/>
      <c r="DT587" s="280"/>
      <c r="DU587" s="280"/>
      <c r="DV587" s="280"/>
      <c r="DW587" s="280"/>
      <c r="DX587" s="280"/>
      <c r="DY587" s="280"/>
      <c r="DZ587" s="280"/>
      <c r="EA587" s="280"/>
      <c r="EB587" s="280"/>
      <c r="EC587" s="280"/>
      <c r="ED587" s="280"/>
      <c r="EE587" s="280"/>
      <c r="EF587" s="280"/>
      <c r="EG587" s="280"/>
      <c r="EH587" s="280"/>
      <c r="EI587" s="280"/>
      <c r="EJ587" s="280"/>
      <c r="EK587" s="280"/>
      <c r="EL587" s="280"/>
      <c r="EM587" s="280"/>
      <c r="EN587" s="280"/>
      <c r="EO587" s="280"/>
      <c r="EP587" s="280"/>
      <c r="EQ587" s="280"/>
      <c r="ER587" s="280"/>
      <c r="ES587" s="280"/>
      <c r="ET587" s="280"/>
      <c r="EU587" s="280"/>
      <c r="EV587" s="280"/>
      <c r="EW587" s="280"/>
      <c r="EX587" s="13"/>
      <c r="EY587" s="283"/>
      <c r="EZ587" s="283"/>
      <c r="FA587" s="45"/>
      <c r="JI587" s="12"/>
      <c r="JM587" s="12"/>
      <c r="JV587" s="12"/>
      <c r="JY587" s="13"/>
      <c r="JZ587" s="18"/>
      <c r="LI587" s="13"/>
    </row>
    <row r="588" spans="34:407" ht="10.75" customHeight="1" x14ac:dyDescent="0.2">
      <c r="AR588" s="42"/>
      <c r="AS588" s="283"/>
      <c r="AT588" s="283"/>
      <c r="AU588" s="12"/>
      <c r="AV588" s="280"/>
      <c r="AW588" s="280"/>
      <c r="AX588" s="280"/>
      <c r="AY588" s="280"/>
      <c r="AZ588" s="280"/>
      <c r="BA588" s="280"/>
      <c r="BB588" s="280"/>
      <c r="BC588" s="280"/>
      <c r="BD588" s="280"/>
      <c r="BE588" s="280"/>
      <c r="BF588" s="280"/>
      <c r="BG588" s="280"/>
      <c r="BH588" s="280"/>
      <c r="BI588" s="280"/>
      <c r="BJ588" s="280"/>
      <c r="BK588" s="280"/>
      <c r="BL588" s="280"/>
      <c r="BM588" s="280"/>
      <c r="BN588" s="280"/>
      <c r="BO588" s="280"/>
      <c r="BP588" s="280"/>
      <c r="BQ588" s="280"/>
      <c r="BR588" s="280"/>
      <c r="BS588" s="280"/>
      <c r="BT588" s="280"/>
      <c r="BU588" s="280"/>
      <c r="BV588" s="280"/>
      <c r="BW588" s="280"/>
      <c r="BX588" s="280"/>
      <c r="BY588" s="280"/>
      <c r="BZ588" s="13"/>
      <c r="CA588" s="280"/>
      <c r="CB588" s="13"/>
      <c r="CC588" s="280"/>
      <c r="CD588" s="280"/>
      <c r="CE588" s="280"/>
      <c r="CF588" s="280"/>
      <c r="CG588" s="280"/>
      <c r="CH588" s="280"/>
      <c r="CI588" s="280"/>
      <c r="CJ588" s="280"/>
      <c r="CK588" s="280"/>
      <c r="CL588" s="280"/>
      <c r="CM588" s="280"/>
      <c r="CN588" s="280"/>
      <c r="CO588" s="280"/>
      <c r="CP588" s="280"/>
      <c r="CQ588" s="280"/>
      <c r="CR588" s="280"/>
      <c r="CS588" s="280"/>
      <c r="CT588" s="280"/>
      <c r="CU588" s="280"/>
      <c r="CV588" s="13"/>
      <c r="CW588" s="280"/>
      <c r="CX588" s="122"/>
      <c r="CY588" s="280"/>
      <c r="CZ588" s="280"/>
      <c r="DA588" s="280"/>
      <c r="DB588" s="280"/>
      <c r="DC588" s="280"/>
      <c r="DD588" s="280"/>
      <c r="DE588" s="280"/>
      <c r="DF588" s="280"/>
      <c r="DG588" s="280"/>
      <c r="DH588" s="280"/>
      <c r="DI588" s="280"/>
      <c r="DJ588" s="280"/>
      <c r="DK588" s="280"/>
      <c r="DL588" s="280"/>
      <c r="DM588" s="280"/>
      <c r="DN588" s="280"/>
      <c r="DO588" s="280"/>
      <c r="DP588" s="280"/>
      <c r="DQ588" s="280"/>
      <c r="DR588" s="280"/>
      <c r="DS588" s="280"/>
      <c r="DT588" s="280"/>
      <c r="DU588" s="280"/>
      <c r="DV588" s="280"/>
      <c r="DW588" s="280"/>
      <c r="DX588" s="280"/>
      <c r="DY588" s="280"/>
      <c r="DZ588" s="280"/>
      <c r="EA588" s="280"/>
      <c r="EB588" s="280"/>
      <c r="EC588" s="280"/>
      <c r="ED588" s="280"/>
      <c r="EE588" s="280"/>
      <c r="EF588" s="280"/>
      <c r="EG588" s="280"/>
      <c r="EH588" s="280"/>
      <c r="EI588" s="280"/>
      <c r="EJ588" s="280"/>
      <c r="EK588" s="280"/>
      <c r="EL588" s="280"/>
      <c r="EM588" s="280"/>
      <c r="EN588" s="280"/>
      <c r="EO588" s="280"/>
      <c r="EP588" s="280"/>
      <c r="EQ588" s="280"/>
      <c r="ER588" s="280"/>
      <c r="ES588" s="280"/>
      <c r="ET588" s="280"/>
      <c r="EU588" s="280"/>
      <c r="EV588" s="280"/>
      <c r="EW588" s="280"/>
      <c r="EX588" s="13"/>
      <c r="EY588" s="283"/>
      <c r="EZ588" s="283"/>
      <c r="FA588" s="45"/>
      <c r="JI588" s="12"/>
      <c r="JM588" s="12"/>
      <c r="JV588" s="12"/>
      <c r="JY588" s="13"/>
      <c r="JZ588" s="18"/>
      <c r="LI588" s="13"/>
    </row>
    <row r="589" spans="34:407" ht="10.75" customHeight="1" x14ac:dyDescent="0.2">
      <c r="AR589" s="42"/>
      <c r="AS589" s="283"/>
      <c r="AT589" s="283"/>
      <c r="AU589" s="12"/>
      <c r="AV589" s="280"/>
      <c r="AW589" s="280"/>
      <c r="AX589" s="280"/>
      <c r="AY589" s="280"/>
      <c r="AZ589" s="280"/>
      <c r="BA589" s="280"/>
      <c r="BB589" s="280"/>
      <c r="BC589" s="280"/>
      <c r="BD589" s="280"/>
      <c r="BE589" s="280"/>
      <c r="BF589" s="280"/>
      <c r="BG589" s="280"/>
      <c r="BH589" s="280"/>
      <c r="BI589" s="280"/>
      <c r="BJ589" s="280"/>
      <c r="BK589" s="280"/>
      <c r="BL589" s="280"/>
      <c r="BM589" s="280"/>
      <c r="BN589" s="280"/>
      <c r="BO589" s="280"/>
      <c r="BP589" s="280"/>
      <c r="BQ589" s="280"/>
      <c r="BR589" s="280"/>
      <c r="BS589" s="280"/>
      <c r="BT589" s="280"/>
      <c r="BU589" s="280"/>
      <c r="BV589" s="280"/>
      <c r="BW589" s="280"/>
      <c r="BX589" s="280"/>
      <c r="BY589" s="280"/>
      <c r="BZ589" s="13"/>
      <c r="CA589" s="280"/>
      <c r="CB589" s="13"/>
      <c r="CC589" s="280"/>
      <c r="CD589" s="280"/>
      <c r="CE589" s="280"/>
      <c r="CF589" s="280"/>
      <c r="CG589" s="280"/>
      <c r="CH589" s="280"/>
      <c r="CI589" s="280"/>
      <c r="CJ589" s="280"/>
      <c r="CK589" s="280"/>
      <c r="CL589" s="280"/>
      <c r="CM589" s="280"/>
      <c r="CN589" s="280"/>
      <c r="CO589" s="280"/>
      <c r="CP589" s="280"/>
      <c r="CQ589" s="280"/>
      <c r="CR589" s="280"/>
      <c r="CS589" s="280"/>
      <c r="CT589" s="280"/>
      <c r="CU589" s="280"/>
      <c r="CV589" s="13"/>
      <c r="CW589" s="280"/>
      <c r="CX589" s="122"/>
      <c r="CY589" s="280"/>
      <c r="CZ589" s="280"/>
      <c r="DA589" s="280"/>
      <c r="DB589" s="280"/>
      <c r="DC589" s="280"/>
      <c r="DD589" s="280"/>
      <c r="DE589" s="280"/>
      <c r="DF589" s="280"/>
      <c r="DG589" s="280"/>
      <c r="DH589" s="280"/>
      <c r="DI589" s="280"/>
      <c r="DJ589" s="280"/>
      <c r="DK589" s="280"/>
      <c r="DL589" s="280"/>
      <c r="DM589" s="280"/>
      <c r="DN589" s="280"/>
      <c r="DO589" s="280"/>
      <c r="DP589" s="280"/>
      <c r="DQ589" s="280"/>
      <c r="DR589" s="280"/>
      <c r="DS589" s="280"/>
      <c r="DT589" s="280"/>
      <c r="DU589" s="280"/>
      <c r="DV589" s="280"/>
      <c r="DW589" s="280"/>
      <c r="DX589" s="280"/>
      <c r="DY589" s="280"/>
      <c r="DZ589" s="280"/>
      <c r="EA589" s="280"/>
      <c r="EB589" s="280"/>
      <c r="EC589" s="280"/>
      <c r="ED589" s="280"/>
      <c r="EE589" s="280"/>
      <c r="EF589" s="280"/>
      <c r="EG589" s="280"/>
      <c r="EH589" s="280"/>
      <c r="EI589" s="280"/>
      <c r="EJ589" s="280"/>
      <c r="EK589" s="280"/>
      <c r="EL589" s="280"/>
      <c r="EM589" s="280"/>
      <c r="EN589" s="280"/>
      <c r="EO589" s="280"/>
      <c r="EP589" s="280"/>
      <c r="EQ589" s="280"/>
      <c r="ER589" s="280"/>
      <c r="ES589" s="280"/>
      <c r="ET589" s="280"/>
      <c r="EU589" s="280"/>
      <c r="EV589" s="280"/>
      <c r="EW589" s="280"/>
      <c r="EX589" s="13"/>
      <c r="EY589" s="283"/>
      <c r="EZ589" s="283"/>
      <c r="FA589" s="45"/>
      <c r="JI589" s="12"/>
      <c r="JM589" s="12"/>
      <c r="JV589" s="12"/>
      <c r="JY589" s="13"/>
      <c r="JZ589" s="18"/>
      <c r="LI589" s="13"/>
    </row>
    <row r="590" spans="34:407" ht="10.75" customHeight="1" x14ac:dyDescent="0.2">
      <c r="AR590" s="42"/>
      <c r="AS590" s="283"/>
      <c r="AT590" s="283"/>
      <c r="AU590" s="12"/>
      <c r="AV590" s="280"/>
      <c r="AW590" s="280"/>
      <c r="AX590" s="280"/>
      <c r="AY590" s="280"/>
      <c r="AZ590" s="280"/>
      <c r="BA590" s="280"/>
      <c r="BB590" s="280"/>
      <c r="BC590" s="280"/>
      <c r="BD590" s="280"/>
      <c r="BE590" s="280"/>
      <c r="BF590" s="280"/>
      <c r="BG590" s="280"/>
      <c r="BH590" s="280"/>
      <c r="BI590" s="280"/>
      <c r="BJ590" s="280"/>
      <c r="BK590" s="280"/>
      <c r="BL590" s="280"/>
      <c r="BM590" s="280"/>
      <c r="BN590" s="280"/>
      <c r="BO590" s="280"/>
      <c r="BP590" s="280"/>
      <c r="BQ590" s="280"/>
      <c r="BR590" s="280"/>
      <c r="BS590" s="280"/>
      <c r="BT590" s="280"/>
      <c r="BU590" s="280"/>
      <c r="BV590" s="280"/>
      <c r="BW590" s="280"/>
      <c r="BX590" s="280"/>
      <c r="BY590" s="280"/>
      <c r="BZ590" s="13"/>
      <c r="CA590" s="280"/>
      <c r="CB590" s="13"/>
      <c r="CC590" s="280"/>
      <c r="CD590" s="280"/>
      <c r="CE590" s="280"/>
      <c r="CF590" s="280"/>
      <c r="CG590" s="280"/>
      <c r="CH590" s="280"/>
      <c r="CI590" s="280"/>
      <c r="CJ590" s="280"/>
      <c r="CK590" s="280"/>
      <c r="CL590" s="280"/>
      <c r="CM590" s="280"/>
      <c r="CN590" s="280"/>
      <c r="CO590" s="280"/>
      <c r="CP590" s="280"/>
      <c r="CQ590" s="280"/>
      <c r="CR590" s="280"/>
      <c r="CS590" s="280"/>
      <c r="CT590" s="280"/>
      <c r="CU590" s="280"/>
      <c r="CV590" s="13"/>
      <c r="CW590" s="280"/>
      <c r="CX590" s="122"/>
      <c r="CY590" s="280"/>
      <c r="CZ590" s="280"/>
      <c r="DA590" s="280"/>
      <c r="DB590" s="280"/>
      <c r="DC590" s="280"/>
      <c r="DD590" s="280"/>
      <c r="DE590" s="280"/>
      <c r="DF590" s="280"/>
      <c r="DG590" s="280"/>
      <c r="DH590" s="280"/>
      <c r="DI590" s="280"/>
      <c r="DJ590" s="280"/>
      <c r="DK590" s="280"/>
      <c r="DL590" s="280"/>
      <c r="DM590" s="280"/>
      <c r="DN590" s="280"/>
      <c r="DO590" s="280"/>
      <c r="DP590" s="280"/>
      <c r="DQ590" s="280"/>
      <c r="DR590" s="280"/>
      <c r="DS590" s="280"/>
      <c r="DT590" s="280"/>
      <c r="DU590" s="280"/>
      <c r="DV590" s="280"/>
      <c r="DW590" s="280"/>
      <c r="DX590" s="280"/>
      <c r="DY590" s="280"/>
      <c r="DZ590" s="280"/>
      <c r="EA590" s="280"/>
      <c r="EB590" s="280"/>
      <c r="EC590" s="280"/>
      <c r="ED590" s="280"/>
      <c r="EE590" s="280"/>
      <c r="EF590" s="280"/>
      <c r="EG590" s="280"/>
      <c r="EH590" s="280"/>
      <c r="EI590" s="280"/>
      <c r="EJ590" s="280"/>
      <c r="EK590" s="280"/>
      <c r="EL590" s="280"/>
      <c r="EM590" s="280"/>
      <c r="EN590" s="280"/>
      <c r="EO590" s="280"/>
      <c r="EP590" s="280"/>
      <c r="EQ590" s="280"/>
      <c r="ER590" s="280"/>
      <c r="ES590" s="280"/>
      <c r="ET590" s="280"/>
      <c r="EU590" s="280"/>
      <c r="EV590" s="280"/>
      <c r="EW590" s="280"/>
      <c r="EX590" s="13"/>
      <c r="EY590" s="283"/>
      <c r="EZ590" s="283"/>
      <c r="FA590" s="45"/>
      <c r="JI590" s="12"/>
      <c r="JM590" s="14"/>
      <c r="JN590" s="15"/>
      <c r="JO590" s="15"/>
      <c r="JP590" s="15"/>
      <c r="JQ590" s="15"/>
      <c r="JR590" s="15"/>
      <c r="JS590" s="15"/>
      <c r="JT590" s="15"/>
      <c r="JU590" s="15"/>
      <c r="JV590" s="12"/>
      <c r="JY590" s="13"/>
      <c r="JZ590" s="18"/>
      <c r="LI590" s="13"/>
    </row>
    <row r="591" spans="34:407" ht="10.75" customHeight="1" x14ac:dyDescent="0.2">
      <c r="AR591" s="42"/>
      <c r="AS591" s="283"/>
      <c r="AT591" s="283"/>
      <c r="AU591" s="12"/>
      <c r="AV591" s="280"/>
      <c r="AW591" s="280"/>
      <c r="AX591" s="280"/>
      <c r="AY591" s="280"/>
      <c r="AZ591" s="280"/>
      <c r="BA591" s="280"/>
      <c r="BB591" s="280"/>
      <c r="BC591" s="280"/>
      <c r="BD591" s="280"/>
      <c r="BE591" s="280"/>
      <c r="BF591" s="280"/>
      <c r="BG591" s="280"/>
      <c r="BH591" s="280"/>
      <c r="BI591" s="280"/>
      <c r="BJ591" s="280"/>
      <c r="BK591" s="280"/>
      <c r="BL591" s="280"/>
      <c r="BM591" s="280"/>
      <c r="BN591" s="280"/>
      <c r="BO591" s="280"/>
      <c r="BP591" s="280"/>
      <c r="BQ591" s="280"/>
      <c r="BR591" s="280"/>
      <c r="BS591" s="280"/>
      <c r="BT591" s="280"/>
      <c r="BU591" s="280"/>
      <c r="BV591" s="280"/>
      <c r="BW591" s="280"/>
      <c r="BX591" s="280"/>
      <c r="BY591" s="280"/>
      <c r="BZ591" s="13"/>
      <c r="CA591" s="280"/>
      <c r="CB591" s="13"/>
      <c r="CC591" s="280"/>
      <c r="CD591" s="280"/>
      <c r="CE591" s="280"/>
      <c r="CF591" s="280"/>
      <c r="CG591" s="280"/>
      <c r="CH591" s="280"/>
      <c r="CI591" s="280"/>
      <c r="CJ591" s="280"/>
      <c r="CK591" s="280"/>
      <c r="CL591" s="280"/>
      <c r="CM591" s="280"/>
      <c r="CN591" s="280"/>
      <c r="CO591" s="280"/>
      <c r="CP591" s="280"/>
      <c r="CQ591" s="280"/>
      <c r="CR591" s="280"/>
      <c r="CS591" s="280"/>
      <c r="CT591" s="280"/>
      <c r="CU591" s="280"/>
      <c r="CV591" s="13"/>
      <c r="CW591" s="280"/>
      <c r="CX591" s="122"/>
      <c r="CY591" s="280"/>
      <c r="CZ591" s="280"/>
      <c r="DA591" s="280"/>
      <c r="DB591" s="280"/>
      <c r="DC591" s="280"/>
      <c r="DD591" s="280"/>
      <c r="DE591" s="280"/>
      <c r="DF591" s="280"/>
      <c r="DG591" s="280"/>
      <c r="DH591" s="280"/>
      <c r="DI591" s="280"/>
      <c r="DJ591" s="280"/>
      <c r="DK591" s="280"/>
      <c r="DL591" s="280"/>
      <c r="DM591" s="280"/>
      <c r="DN591" s="280"/>
      <c r="DO591" s="280"/>
      <c r="DP591" s="280"/>
      <c r="DQ591" s="280"/>
      <c r="DR591" s="280"/>
      <c r="DS591" s="280"/>
      <c r="DT591" s="280"/>
      <c r="DU591" s="280"/>
      <c r="DV591" s="280"/>
      <c r="DW591" s="280"/>
      <c r="DX591" s="280"/>
      <c r="DY591" s="280"/>
      <c r="DZ591" s="280"/>
      <c r="EA591" s="280"/>
      <c r="EB591" s="280"/>
      <c r="EC591" s="280"/>
      <c r="ED591" s="280"/>
      <c r="EE591" s="280"/>
      <c r="EF591" s="280"/>
      <c r="EG591" s="280"/>
      <c r="EH591" s="280"/>
      <c r="EI591" s="280"/>
      <c r="EJ591" s="280"/>
      <c r="EK591" s="280"/>
      <c r="EL591" s="280"/>
      <c r="EM591" s="280"/>
      <c r="EN591" s="280"/>
      <c r="EO591" s="280"/>
      <c r="EP591" s="280"/>
      <c r="EQ591" s="280"/>
      <c r="ER591" s="280"/>
      <c r="ES591" s="280"/>
      <c r="ET591" s="280"/>
      <c r="EU591" s="280"/>
      <c r="EV591" s="280"/>
      <c r="EW591" s="280"/>
      <c r="EX591" s="13"/>
      <c r="EY591" s="283"/>
      <c r="EZ591" s="283"/>
      <c r="FA591" s="45"/>
      <c r="JI591" s="12"/>
      <c r="JY591" s="13"/>
      <c r="JZ591" s="13"/>
      <c r="LI591" s="13"/>
    </row>
    <row r="592" spans="34:407" ht="10.75" customHeight="1" x14ac:dyDescent="0.2">
      <c r="AH592" s="9"/>
      <c r="AI592" s="10"/>
      <c r="AJ592" s="10"/>
      <c r="AK592" s="10"/>
      <c r="AL592" s="10"/>
      <c r="AM592" s="10"/>
      <c r="AN592" s="10"/>
      <c r="AO592" s="10"/>
      <c r="AP592" s="10"/>
      <c r="AQ592" s="11"/>
      <c r="AR592" s="42"/>
      <c r="AS592" s="283"/>
      <c r="AT592" s="283"/>
      <c r="AU592" s="12"/>
      <c r="AV592" s="280"/>
      <c r="AW592" s="280"/>
      <c r="AX592" s="280"/>
      <c r="AY592" s="280"/>
      <c r="AZ592" s="280"/>
      <c r="BA592" s="280"/>
      <c r="BB592" s="280"/>
      <c r="BC592" s="280"/>
      <c r="BD592" s="280"/>
      <c r="BE592" s="280"/>
      <c r="BF592" s="280"/>
      <c r="BG592" s="280"/>
      <c r="BH592" s="280"/>
      <c r="BI592" s="280"/>
      <c r="BJ592" s="280"/>
      <c r="BK592" s="280"/>
      <c r="BL592" s="280"/>
      <c r="BM592" s="280"/>
      <c r="BN592" s="280"/>
      <c r="BO592" s="280"/>
      <c r="BP592" s="280"/>
      <c r="BQ592" s="280"/>
      <c r="BR592" s="280"/>
      <c r="BS592" s="280"/>
      <c r="BT592" s="280"/>
      <c r="BU592" s="280"/>
      <c r="BV592" s="280"/>
      <c r="BW592" s="280"/>
      <c r="BX592" s="280"/>
      <c r="BY592" s="280"/>
      <c r="BZ592" s="13"/>
      <c r="CA592" s="280"/>
      <c r="CB592" s="13"/>
      <c r="CC592" s="280"/>
      <c r="CD592" s="280"/>
      <c r="CE592" s="280"/>
      <c r="CF592" s="280"/>
      <c r="CG592" s="280"/>
      <c r="CH592" s="280"/>
      <c r="CI592" s="280"/>
      <c r="CJ592" s="280"/>
      <c r="CK592" s="280"/>
      <c r="CL592" s="280"/>
      <c r="CM592" s="280"/>
      <c r="CN592" s="280"/>
      <c r="CO592" s="280"/>
      <c r="CP592" s="280"/>
      <c r="CQ592" s="280"/>
      <c r="CR592" s="280"/>
      <c r="CS592" s="280"/>
      <c r="CT592" s="280"/>
      <c r="CU592" s="280"/>
      <c r="CV592" s="13"/>
      <c r="CW592" s="280"/>
      <c r="CX592" s="122"/>
      <c r="CY592" s="280"/>
      <c r="CZ592" s="280"/>
      <c r="DA592" s="280"/>
      <c r="DB592" s="280"/>
      <c r="DC592" s="280"/>
      <c r="DD592" s="280"/>
      <c r="DE592" s="280"/>
      <c r="DF592" s="280"/>
      <c r="DG592" s="280"/>
      <c r="DH592" s="280"/>
      <c r="DI592" s="280"/>
      <c r="DJ592" s="280"/>
      <c r="DK592" s="280"/>
      <c r="DL592" s="280"/>
      <c r="DM592" s="280"/>
      <c r="DN592" s="280"/>
      <c r="DO592" s="280"/>
      <c r="DP592" s="280"/>
      <c r="DQ592" s="280"/>
      <c r="DR592" s="280"/>
      <c r="DS592" s="280"/>
      <c r="DT592" s="280"/>
      <c r="DU592" s="280"/>
      <c r="DV592" s="280"/>
      <c r="DW592" s="280"/>
      <c r="DX592" s="280"/>
      <c r="DY592" s="280"/>
      <c r="DZ592" s="280"/>
      <c r="EA592" s="280"/>
      <c r="EB592" s="280"/>
      <c r="EC592" s="280"/>
      <c r="ED592" s="280"/>
      <c r="EE592" s="280"/>
      <c r="EF592" s="280"/>
      <c r="EG592" s="280"/>
      <c r="EH592" s="280"/>
      <c r="EI592" s="280"/>
      <c r="EJ592" s="280"/>
      <c r="EK592" s="280"/>
      <c r="EL592" s="280"/>
      <c r="EM592" s="280"/>
      <c r="EN592" s="280"/>
      <c r="EO592" s="280"/>
      <c r="EP592" s="280"/>
      <c r="EQ592" s="280"/>
      <c r="ER592" s="280"/>
      <c r="ES592" s="280"/>
      <c r="ET592" s="280"/>
      <c r="EU592" s="280"/>
      <c r="EV592" s="280"/>
      <c r="EW592" s="280"/>
      <c r="EX592" s="13"/>
      <c r="EY592" s="283"/>
      <c r="EZ592" s="283"/>
      <c r="FA592" s="45"/>
      <c r="JI592" s="12"/>
      <c r="JY592" s="13"/>
      <c r="JZ592" s="13"/>
      <c r="LI592" s="13"/>
    </row>
    <row r="593" spans="34:321" ht="10.75" customHeight="1" x14ac:dyDescent="0.2">
      <c r="AH593" s="12"/>
      <c r="AI593" s="9"/>
      <c r="AJ593" s="10"/>
      <c r="AK593" s="10"/>
      <c r="AL593" s="10"/>
      <c r="AM593" s="10"/>
      <c r="AN593" s="10"/>
      <c r="AO593" s="10"/>
      <c r="AP593" s="10"/>
      <c r="AQ593" s="11"/>
      <c r="AR593" s="42"/>
      <c r="AS593" s="283"/>
      <c r="AT593" s="283"/>
      <c r="AU593" s="12"/>
      <c r="AV593" s="280"/>
      <c r="AW593" s="280"/>
      <c r="AX593" s="280"/>
      <c r="AY593" s="280"/>
      <c r="AZ593" s="280"/>
      <c r="BA593" s="280"/>
      <c r="BB593" s="280"/>
      <c r="BC593" s="280"/>
      <c r="BD593" s="280"/>
      <c r="BE593" s="280"/>
      <c r="BF593" s="280"/>
      <c r="BG593" s="280"/>
      <c r="BH593" s="280"/>
      <c r="BI593" s="280"/>
      <c r="BJ593" s="280"/>
      <c r="BK593" s="280"/>
      <c r="BL593" s="280"/>
      <c r="BM593" s="280"/>
      <c r="BN593" s="280"/>
      <c r="BO593" s="280"/>
      <c r="BP593" s="280"/>
      <c r="BQ593" s="280"/>
      <c r="BR593" s="280"/>
      <c r="BS593" s="280"/>
      <c r="BT593" s="280"/>
      <c r="BU593" s="280"/>
      <c r="BV593" s="280"/>
      <c r="BW593" s="280"/>
      <c r="BX593" s="280"/>
      <c r="BY593" s="280"/>
      <c r="BZ593" s="13"/>
      <c r="CA593" s="280"/>
      <c r="CB593" s="13"/>
      <c r="CC593" s="280"/>
      <c r="CD593" s="280"/>
      <c r="CE593" s="280"/>
      <c r="CF593" s="280"/>
      <c r="CG593" s="280"/>
      <c r="CH593" s="280"/>
      <c r="CI593" s="280"/>
      <c r="CJ593" s="280"/>
      <c r="CK593" s="280"/>
      <c r="CL593" s="280"/>
      <c r="CM593" s="280"/>
      <c r="CN593" s="280"/>
      <c r="CO593" s="280"/>
      <c r="CP593" s="280"/>
      <c r="CQ593" s="280"/>
      <c r="CR593" s="280"/>
      <c r="CS593" s="280"/>
      <c r="CT593" s="280"/>
      <c r="CU593" s="280"/>
      <c r="CV593" s="13"/>
      <c r="CW593" s="280"/>
      <c r="CX593" s="13"/>
      <c r="CY593" s="280"/>
      <c r="CZ593" s="280"/>
      <c r="DA593" s="280"/>
      <c r="DB593" s="280"/>
      <c r="DC593" s="280"/>
      <c r="DD593" s="280"/>
      <c r="DE593" s="280"/>
      <c r="DF593" s="280"/>
      <c r="DG593" s="280"/>
      <c r="DH593" s="280"/>
      <c r="DI593" s="280"/>
      <c r="DJ593" s="280"/>
      <c r="DK593" s="280"/>
      <c r="DL593" s="280"/>
      <c r="DM593" s="280"/>
      <c r="DN593" s="280"/>
      <c r="DO593" s="280"/>
      <c r="DP593" s="280"/>
      <c r="DQ593" s="280"/>
      <c r="DR593" s="280"/>
      <c r="DS593" s="280"/>
      <c r="DT593" s="280"/>
      <c r="DU593" s="280"/>
      <c r="DV593" s="280"/>
      <c r="DW593" s="280"/>
      <c r="DX593" s="280"/>
      <c r="DY593" s="280"/>
      <c r="DZ593" s="280"/>
      <c r="EA593" s="280"/>
      <c r="EB593" s="280"/>
      <c r="EC593" s="280"/>
      <c r="ED593" s="280"/>
      <c r="EE593" s="280"/>
      <c r="EF593" s="280"/>
      <c r="EG593" s="280"/>
      <c r="EH593" s="280"/>
      <c r="EI593" s="280"/>
      <c r="EJ593" s="280"/>
      <c r="EK593" s="280"/>
      <c r="EL593" s="280"/>
      <c r="EM593" s="280"/>
      <c r="EN593" s="280"/>
      <c r="EO593" s="280"/>
      <c r="EP593" s="280"/>
      <c r="EQ593" s="280"/>
      <c r="ER593" s="280"/>
      <c r="ES593" s="280"/>
      <c r="ET593" s="280"/>
      <c r="EU593" s="280"/>
      <c r="EV593" s="280"/>
      <c r="EW593" s="280"/>
      <c r="EX593" s="13"/>
      <c r="EY593" s="283"/>
      <c r="EZ593" s="283"/>
      <c r="FA593" s="45"/>
      <c r="JI593" s="12"/>
      <c r="JY593" s="13"/>
      <c r="JZ593" s="13"/>
      <c r="LI593" s="13"/>
    </row>
    <row r="594" spans="34:321" ht="10.75" customHeight="1" x14ac:dyDescent="0.2">
      <c r="AH594" s="12"/>
      <c r="AI594" s="12"/>
      <c r="AJ594" s="280"/>
      <c r="AK594" s="280"/>
      <c r="AL594" s="280"/>
      <c r="AM594" s="280"/>
      <c r="AN594" s="280"/>
      <c r="AO594" s="280"/>
      <c r="AP594" s="280"/>
      <c r="AQ594" s="13"/>
      <c r="AR594" s="42"/>
      <c r="AS594" s="283"/>
      <c r="AT594" s="283"/>
      <c r="AU594" s="12"/>
      <c r="AV594" s="280"/>
      <c r="AW594" s="280"/>
      <c r="AX594" s="280"/>
      <c r="AY594" s="280"/>
      <c r="AZ594" s="280"/>
      <c r="BA594" s="280"/>
      <c r="BB594" s="280"/>
      <c r="BC594" s="280"/>
      <c r="BD594" s="280"/>
      <c r="BE594" s="280"/>
      <c r="BF594" s="280"/>
      <c r="BG594" s="280"/>
      <c r="BH594" s="280"/>
      <c r="BI594" s="280"/>
      <c r="BJ594" s="280"/>
      <c r="BK594" s="280"/>
      <c r="BL594" s="280"/>
      <c r="BM594" s="280"/>
      <c r="BN594" s="280"/>
      <c r="BO594" s="280"/>
      <c r="BP594" s="280"/>
      <c r="BQ594" s="280"/>
      <c r="BR594" s="280"/>
      <c r="BS594" s="280"/>
      <c r="BT594" s="280"/>
      <c r="BU594" s="280"/>
      <c r="BV594" s="280"/>
      <c r="BW594" s="280"/>
      <c r="BX594" s="280"/>
      <c r="BY594" s="280"/>
      <c r="BZ594" s="13"/>
      <c r="CA594" s="280"/>
      <c r="CB594" s="13"/>
      <c r="CC594" s="280"/>
      <c r="CD594" s="280"/>
      <c r="CE594" s="280"/>
      <c r="CF594" s="280"/>
      <c r="CG594" s="280"/>
      <c r="CH594" s="280"/>
      <c r="CI594" s="280"/>
      <c r="CJ594" s="280"/>
      <c r="CK594" s="280"/>
      <c r="CL594" s="280"/>
      <c r="CM594" s="280"/>
      <c r="CN594" s="280"/>
      <c r="CO594" s="280"/>
      <c r="CP594" s="280"/>
      <c r="CQ594" s="280"/>
      <c r="CR594" s="280"/>
      <c r="CS594" s="280"/>
      <c r="CT594" s="280"/>
      <c r="CU594" s="280"/>
      <c r="CV594" s="13"/>
      <c r="CW594" s="280"/>
      <c r="CX594" s="13"/>
      <c r="CY594" s="280"/>
      <c r="CZ594" s="280"/>
      <c r="DA594" s="280"/>
      <c r="DB594" s="280"/>
      <c r="DC594" s="280"/>
      <c r="DD594" s="280"/>
      <c r="DE594" s="280"/>
      <c r="DF594" s="280"/>
      <c r="DG594" s="280"/>
      <c r="DH594" s="280"/>
      <c r="DI594" s="280"/>
      <c r="DJ594" s="280"/>
      <c r="DK594" s="280"/>
      <c r="DL594" s="280"/>
      <c r="DM594" s="280"/>
      <c r="DN594" s="280"/>
      <c r="DO594" s="280"/>
      <c r="DP594" s="280"/>
      <c r="DQ594" s="280"/>
      <c r="DR594" s="280"/>
      <c r="DS594" s="280"/>
      <c r="DT594" s="280"/>
      <c r="DU594" s="280"/>
      <c r="DV594" s="280"/>
      <c r="DW594" s="280"/>
      <c r="DX594" s="280"/>
      <c r="DY594" s="280"/>
      <c r="DZ594" s="280"/>
      <c r="EA594" s="280"/>
      <c r="EB594" s="280"/>
      <c r="EC594" s="280"/>
      <c r="ED594" s="280"/>
      <c r="EE594" s="280"/>
      <c r="EF594" s="280"/>
      <c r="EG594" s="280"/>
      <c r="EH594" s="280"/>
      <c r="EI594" s="280"/>
      <c r="EJ594" s="280"/>
      <c r="EK594" s="280"/>
      <c r="EL594" s="280"/>
      <c r="EM594" s="280"/>
      <c r="EN594" s="280"/>
      <c r="EO594" s="280"/>
      <c r="EP594" s="280"/>
      <c r="EQ594" s="280"/>
      <c r="ER594" s="280"/>
      <c r="ES594" s="280"/>
      <c r="ET594" s="280"/>
      <c r="EU594" s="280"/>
      <c r="EV594" s="280"/>
      <c r="EW594" s="280"/>
      <c r="EX594" s="13"/>
      <c r="EY594" s="283"/>
      <c r="EZ594" s="283"/>
      <c r="FA594" s="45"/>
      <c r="JI594" s="14"/>
      <c r="JJ594" s="15"/>
      <c r="JK594" s="15"/>
      <c r="JL594" s="15"/>
      <c r="JM594" s="15"/>
      <c r="JN594" s="15"/>
      <c r="JO594" s="15"/>
      <c r="JP594" s="15"/>
      <c r="JQ594" s="15"/>
      <c r="JR594" s="15"/>
      <c r="JS594" s="15"/>
      <c r="JT594" s="15"/>
      <c r="JU594" s="15"/>
      <c r="JV594" s="15"/>
      <c r="JW594" s="15"/>
      <c r="JX594" s="15"/>
      <c r="JY594" s="16"/>
      <c r="JZ594" s="16"/>
      <c r="KA594" s="15"/>
      <c r="KB594" s="15"/>
      <c r="KC594" s="15"/>
      <c r="KD594" s="15"/>
      <c r="KE594" s="15"/>
      <c r="KF594" s="15"/>
      <c r="KG594" s="15"/>
      <c r="KH594" s="15"/>
      <c r="KI594" s="15"/>
      <c r="KJ594" s="15"/>
      <c r="KK594" s="15"/>
      <c r="KL594" s="15"/>
      <c r="KM594" s="15"/>
      <c r="KN594" s="15"/>
      <c r="KO594" s="15"/>
      <c r="KP594" s="15"/>
      <c r="KQ594" s="15"/>
      <c r="KR594" s="15"/>
      <c r="KS594" s="15"/>
      <c r="KT594" s="15"/>
      <c r="KU594" s="15"/>
      <c r="KV594" s="15"/>
      <c r="KW594" s="15"/>
      <c r="KX594" s="15"/>
      <c r="KY594" s="15"/>
      <c r="KZ594" s="15"/>
      <c r="LA594" s="15"/>
      <c r="LB594" s="15"/>
      <c r="LC594" s="15"/>
      <c r="LD594" s="15"/>
      <c r="LE594" s="15"/>
      <c r="LF594" s="15"/>
      <c r="LG594" s="15"/>
      <c r="LH594" s="15"/>
      <c r="LI594" s="16"/>
    </row>
    <row r="595" spans="34:321" ht="10.75" customHeight="1" x14ac:dyDescent="0.2">
      <c r="AH595" s="12"/>
      <c r="AI595" s="12"/>
      <c r="AJ595" s="280"/>
      <c r="AK595" s="280"/>
      <c r="AL595" s="280"/>
      <c r="AM595" s="280"/>
      <c r="AN595" s="280"/>
      <c r="AO595" s="280"/>
      <c r="AP595" s="280"/>
      <c r="AQ595" s="13"/>
      <c r="AR595" s="42"/>
      <c r="AS595" s="283"/>
      <c r="AT595" s="283"/>
      <c r="AU595" s="12"/>
      <c r="AV595" s="280"/>
      <c r="AW595" s="280"/>
      <c r="AX595" s="280"/>
      <c r="AY595" s="280"/>
      <c r="AZ595" s="280"/>
      <c r="BA595" s="280"/>
      <c r="BB595" s="280"/>
      <c r="BC595" s="280"/>
      <c r="BD595" s="280"/>
      <c r="BE595" s="280"/>
      <c r="BF595" s="280"/>
      <c r="BG595" s="280"/>
      <c r="BH595" s="280"/>
      <c r="BI595" s="280"/>
      <c r="BJ595" s="280"/>
      <c r="BK595" s="280"/>
      <c r="BL595" s="280"/>
      <c r="BM595" s="280"/>
      <c r="BN595" s="280"/>
      <c r="BO595" s="280"/>
      <c r="BP595" s="280"/>
      <c r="BQ595" s="280"/>
      <c r="BR595" s="280"/>
      <c r="BS595" s="280"/>
      <c r="BT595" s="280"/>
      <c r="BU595" s="280"/>
      <c r="BV595" s="280"/>
      <c r="BW595" s="280"/>
      <c r="BX595" s="280"/>
      <c r="BY595" s="280"/>
      <c r="BZ595" s="13"/>
      <c r="CA595" s="280"/>
      <c r="CB595" s="13"/>
      <c r="CC595" s="280"/>
      <c r="CD595" s="280"/>
      <c r="CE595" s="280"/>
      <c r="CF595" s="280"/>
      <c r="CG595" s="280"/>
      <c r="CH595" s="280"/>
      <c r="CI595" s="280"/>
      <c r="CJ595" s="280"/>
      <c r="CK595" s="280"/>
      <c r="CL595" s="280"/>
      <c r="CM595" s="280"/>
      <c r="CN595" s="280"/>
      <c r="CO595" s="280"/>
      <c r="CP595" s="280"/>
      <c r="CQ595" s="280"/>
      <c r="CR595" s="280"/>
      <c r="CS595" s="280"/>
      <c r="CT595" s="280"/>
      <c r="CU595" s="280"/>
      <c r="CV595" s="13"/>
      <c r="CW595" s="280"/>
      <c r="CX595" s="13"/>
      <c r="CY595" s="280"/>
      <c r="CZ595" s="280"/>
      <c r="DA595" s="280"/>
      <c r="DB595" s="280"/>
      <c r="DC595" s="280"/>
      <c r="DD595" s="280"/>
      <c r="DE595" s="280"/>
      <c r="DF595" s="280"/>
      <c r="DG595" s="280"/>
      <c r="DH595" s="280"/>
      <c r="DI595" s="280"/>
      <c r="DJ595" s="280"/>
      <c r="DK595" s="280"/>
      <c r="DL595" s="280"/>
      <c r="DM595" s="280"/>
      <c r="DN595" s="280"/>
      <c r="DO595" s="280"/>
      <c r="DP595" s="280"/>
      <c r="DQ595" s="280"/>
      <c r="DR595" s="280"/>
      <c r="DS595" s="280"/>
      <c r="DT595" s="280"/>
      <c r="DU595" s="280"/>
      <c r="DV595" s="280"/>
      <c r="DW595" s="280"/>
      <c r="DX595" s="280"/>
      <c r="DY595" s="280"/>
      <c r="DZ595" s="280"/>
      <c r="EA595" s="280"/>
      <c r="EB595" s="280"/>
      <c r="EC595" s="280"/>
      <c r="ED595" s="280"/>
      <c r="EE595" s="280"/>
      <c r="EF595" s="280"/>
      <c r="EG595" s="280"/>
      <c r="EH595" s="280"/>
      <c r="EI595" s="280"/>
      <c r="EJ595" s="280"/>
      <c r="EK595" s="280"/>
      <c r="EL595" s="280"/>
      <c r="EM595" s="280"/>
      <c r="EN595" s="280"/>
      <c r="EO595" s="280"/>
      <c r="EP595" s="280"/>
      <c r="EQ595" s="280"/>
      <c r="ER595" s="280"/>
      <c r="ES595" s="280"/>
      <c r="ET595" s="280"/>
      <c r="EU595" s="280"/>
      <c r="EV595" s="280"/>
      <c r="EW595" s="280"/>
      <c r="EX595" s="13"/>
      <c r="EY595" s="283"/>
      <c r="EZ595" s="283"/>
      <c r="FA595" s="45"/>
    </row>
    <row r="596" spans="34:321" ht="10.75" customHeight="1" x14ac:dyDescent="0.2">
      <c r="AH596" s="12"/>
      <c r="AI596" s="12"/>
      <c r="AJ596" s="280"/>
      <c r="AK596" s="280"/>
      <c r="AL596" s="280"/>
      <c r="AM596" s="280"/>
      <c r="AN596" s="280"/>
      <c r="AO596" s="280"/>
      <c r="AP596" s="280"/>
      <c r="AQ596" s="13"/>
      <c r="AR596" s="42"/>
      <c r="AS596" s="283"/>
      <c r="AT596" s="283"/>
      <c r="AU596" s="12"/>
      <c r="AV596" s="280"/>
      <c r="AW596" s="280"/>
      <c r="AX596" s="280"/>
      <c r="AY596" s="280"/>
      <c r="AZ596" s="280"/>
      <c r="BA596" s="280"/>
      <c r="BB596" s="280"/>
      <c r="BC596" s="280"/>
      <c r="BD596" s="280"/>
      <c r="BE596" s="280"/>
      <c r="BF596" s="280"/>
      <c r="BG596" s="280"/>
      <c r="BH596" s="280"/>
      <c r="BI596" s="280"/>
      <c r="BJ596" s="280"/>
      <c r="BK596" s="280"/>
      <c r="BL596" s="280"/>
      <c r="BM596" s="280"/>
      <c r="BN596" s="280"/>
      <c r="BO596" s="280"/>
      <c r="BP596" s="280"/>
      <c r="BQ596" s="280"/>
      <c r="BR596" s="280"/>
      <c r="BS596" s="280"/>
      <c r="BT596" s="280"/>
      <c r="BU596" s="280"/>
      <c r="BV596" s="280"/>
      <c r="BW596" s="280"/>
      <c r="BX596" s="280"/>
      <c r="BY596" s="280"/>
      <c r="BZ596" s="13"/>
      <c r="CA596" s="280"/>
      <c r="CB596" s="13"/>
      <c r="CC596" s="280"/>
      <c r="CD596" s="280"/>
      <c r="CE596" s="280"/>
      <c r="CF596" s="280"/>
      <c r="CG596" s="280"/>
      <c r="CH596" s="280"/>
      <c r="CI596" s="280"/>
      <c r="CJ596" s="280"/>
      <c r="CK596" s="280"/>
      <c r="CL596" s="280"/>
      <c r="CM596" s="280"/>
      <c r="CN596" s="280"/>
      <c r="CO596" s="280"/>
      <c r="CP596" s="280"/>
      <c r="CQ596" s="280"/>
      <c r="CR596" s="280"/>
      <c r="CS596" s="280"/>
      <c r="CT596" s="280"/>
      <c r="CU596" s="280"/>
      <c r="CV596" s="13"/>
      <c r="CW596" s="280"/>
      <c r="CX596" s="13"/>
      <c r="CY596" s="280"/>
      <c r="CZ596" s="280"/>
      <c r="DA596" s="280"/>
      <c r="DB596" s="280"/>
      <c r="DC596" s="280"/>
      <c r="DD596" s="280"/>
      <c r="DE596" s="280"/>
      <c r="DF596" s="280"/>
      <c r="DG596" s="280"/>
      <c r="DH596" s="280"/>
      <c r="DI596" s="280"/>
      <c r="DJ596" s="280"/>
      <c r="DK596" s="280"/>
      <c r="DL596" s="280"/>
      <c r="DM596" s="280"/>
      <c r="DN596" s="280"/>
      <c r="DO596" s="280"/>
      <c r="DP596" s="280"/>
      <c r="DQ596" s="280"/>
      <c r="DR596" s="280"/>
      <c r="DS596" s="280"/>
      <c r="DT596" s="280"/>
      <c r="DU596" s="280"/>
      <c r="DV596" s="280"/>
      <c r="DW596" s="280"/>
      <c r="DX596" s="280"/>
      <c r="DY596" s="280"/>
      <c r="DZ596" s="280"/>
      <c r="EA596" s="280"/>
      <c r="EB596" s="280"/>
      <c r="EC596" s="280"/>
      <c r="ED596" s="280"/>
      <c r="EE596" s="280"/>
      <c r="EF596" s="280"/>
      <c r="EG596" s="280"/>
      <c r="EH596" s="280"/>
      <c r="EI596" s="280"/>
      <c r="EJ596" s="280"/>
      <c r="EK596" s="280"/>
      <c r="EL596" s="280"/>
      <c r="EM596" s="280"/>
      <c r="EN596" s="280"/>
      <c r="EO596" s="280"/>
      <c r="EP596" s="280"/>
      <c r="EQ596" s="280"/>
      <c r="ER596" s="280"/>
      <c r="ES596" s="280"/>
      <c r="ET596" s="280"/>
      <c r="EU596" s="280"/>
      <c r="EV596" s="280"/>
      <c r="EW596" s="280"/>
      <c r="EX596" s="13"/>
      <c r="EY596" s="283"/>
      <c r="EZ596" s="283"/>
      <c r="FA596" s="45"/>
    </row>
    <row r="597" spans="34:321" ht="10.75" customHeight="1" x14ac:dyDescent="0.2">
      <c r="AH597" s="12"/>
      <c r="AI597" s="12"/>
      <c r="AJ597" s="280"/>
      <c r="AK597" s="280"/>
      <c r="AL597" s="280"/>
      <c r="AM597" s="280"/>
      <c r="AN597" s="280"/>
      <c r="AO597" s="280"/>
      <c r="AP597" s="280"/>
      <c r="AQ597" s="13"/>
      <c r="AR597" s="42"/>
      <c r="AS597" s="283"/>
      <c r="AT597" s="283"/>
      <c r="AU597" s="12"/>
      <c r="AV597" s="280"/>
      <c r="AW597" s="280"/>
      <c r="AX597" s="280"/>
      <c r="AY597" s="280"/>
      <c r="AZ597" s="280"/>
      <c r="BA597" s="280"/>
      <c r="BB597" s="280"/>
      <c r="BC597" s="280"/>
      <c r="BD597" s="280"/>
      <c r="BE597" s="280"/>
      <c r="BF597" s="280"/>
      <c r="BG597" s="280"/>
      <c r="BH597" s="280"/>
      <c r="BI597" s="280"/>
      <c r="BJ597" s="280"/>
      <c r="BK597" s="280"/>
      <c r="BL597" s="280"/>
      <c r="BM597" s="280"/>
      <c r="BN597" s="280"/>
      <c r="BO597" s="280"/>
      <c r="BP597" s="280"/>
      <c r="BQ597" s="280"/>
      <c r="BR597" s="280"/>
      <c r="BS597" s="280"/>
      <c r="BT597" s="280"/>
      <c r="BU597" s="280"/>
      <c r="BV597" s="280"/>
      <c r="BW597" s="280"/>
      <c r="BX597" s="280"/>
      <c r="BY597" s="280"/>
      <c r="BZ597" s="13"/>
      <c r="CA597" s="280"/>
      <c r="CB597" s="13"/>
      <c r="CC597" s="280"/>
      <c r="CD597" s="280"/>
      <c r="CE597" s="280"/>
      <c r="CF597" s="280"/>
      <c r="CG597" s="280"/>
      <c r="CH597" s="280"/>
      <c r="CI597" s="280"/>
      <c r="CJ597" s="280"/>
      <c r="CK597" s="280"/>
      <c r="CL597" s="280"/>
      <c r="CM597" s="280"/>
      <c r="CN597" s="280"/>
      <c r="CO597" s="280"/>
      <c r="CP597" s="280"/>
      <c r="CQ597" s="280"/>
      <c r="CR597" s="280"/>
      <c r="CS597" s="280"/>
      <c r="CT597" s="280"/>
      <c r="CU597" s="280"/>
      <c r="CV597" s="13"/>
      <c r="CW597" s="280"/>
      <c r="CX597" s="13"/>
      <c r="CY597" s="280"/>
      <c r="CZ597" s="280"/>
      <c r="DA597" s="280"/>
      <c r="DB597" s="280"/>
      <c r="DC597" s="280"/>
      <c r="DD597" s="280"/>
      <c r="DE597" s="280"/>
      <c r="DF597" s="280"/>
      <c r="DG597" s="280"/>
      <c r="DH597" s="280"/>
      <c r="DI597" s="280"/>
      <c r="DJ597" s="280"/>
      <c r="DK597" s="280"/>
      <c r="DL597" s="280"/>
      <c r="DM597" s="280"/>
      <c r="DN597" s="280"/>
      <c r="DO597" s="280"/>
      <c r="DP597" s="280"/>
      <c r="DQ597" s="280"/>
      <c r="DR597" s="280"/>
      <c r="DS597" s="280"/>
      <c r="DT597" s="280"/>
      <c r="DU597" s="280"/>
      <c r="DV597" s="280"/>
      <c r="DW597" s="280"/>
      <c r="DX597" s="280"/>
      <c r="DY597" s="280"/>
      <c r="DZ597" s="280"/>
      <c r="EA597" s="280"/>
      <c r="EB597" s="280"/>
      <c r="EC597" s="280"/>
      <c r="ED597" s="280"/>
      <c r="EE597" s="280"/>
      <c r="EF597" s="280"/>
      <c r="EG597" s="280"/>
      <c r="EH597" s="280"/>
      <c r="EI597" s="280"/>
      <c r="EJ597" s="280"/>
      <c r="EK597" s="280"/>
      <c r="EL597" s="280"/>
      <c r="EM597" s="280"/>
      <c r="EN597" s="280"/>
      <c r="EO597" s="280"/>
      <c r="EP597" s="280"/>
      <c r="EQ597" s="280"/>
      <c r="ER597" s="280"/>
      <c r="ES597" s="280"/>
      <c r="ET597" s="280"/>
      <c r="EU597" s="280"/>
      <c r="EV597" s="280"/>
      <c r="EW597" s="280"/>
      <c r="EX597" s="13"/>
      <c r="EY597" s="283"/>
      <c r="EZ597" s="283"/>
      <c r="FA597" s="45"/>
    </row>
    <row r="598" spans="34:321" ht="10.75" customHeight="1" x14ac:dyDescent="0.2">
      <c r="AH598" s="12"/>
      <c r="AI598" s="12"/>
      <c r="AJ598" s="280"/>
      <c r="AK598" s="280"/>
      <c r="AL598" s="280"/>
      <c r="AM598" s="280"/>
      <c r="AN598" s="280"/>
      <c r="AO598" s="280"/>
      <c r="AP598" s="280"/>
      <c r="AQ598" s="13"/>
      <c r="AR598" s="42"/>
      <c r="AS598" s="283"/>
      <c r="AT598" s="283"/>
      <c r="AU598" s="12"/>
      <c r="AV598" s="280"/>
      <c r="AW598" s="280"/>
      <c r="AX598" s="280"/>
      <c r="AY598" s="280"/>
      <c r="AZ598" s="280"/>
      <c r="BA598" s="280"/>
      <c r="BB598" s="280"/>
      <c r="BC598" s="280"/>
      <c r="BD598" s="280"/>
      <c r="BE598" s="280"/>
      <c r="BF598" s="280"/>
      <c r="BG598" s="280"/>
      <c r="BH598" s="280"/>
      <c r="BI598" s="280"/>
      <c r="BJ598" s="280"/>
      <c r="BK598" s="280"/>
      <c r="BL598" s="280"/>
      <c r="BM598" s="280"/>
      <c r="BN598" s="280"/>
      <c r="BO598" s="280"/>
      <c r="BP598" s="280"/>
      <c r="BQ598" s="280"/>
      <c r="BR598" s="280"/>
      <c r="BS598" s="280"/>
      <c r="BT598" s="280"/>
      <c r="BU598" s="280"/>
      <c r="BV598" s="280"/>
      <c r="BW598" s="280"/>
      <c r="BX598" s="280"/>
      <c r="BY598" s="280"/>
      <c r="BZ598" s="13"/>
      <c r="CA598" s="280"/>
      <c r="CB598" s="13"/>
      <c r="CC598" s="280"/>
      <c r="CD598" s="280"/>
      <c r="CE598" s="280"/>
      <c r="CF598" s="280"/>
      <c r="CG598" s="280"/>
      <c r="CH598" s="280"/>
      <c r="CI598" s="280"/>
      <c r="CJ598" s="280"/>
      <c r="CK598" s="280"/>
      <c r="CL598" s="280"/>
      <c r="CM598" s="280"/>
      <c r="CN598" s="280"/>
      <c r="CO598" s="280"/>
      <c r="CP598" s="280"/>
      <c r="CQ598" s="280"/>
      <c r="CR598" s="280"/>
      <c r="CS598" s="280"/>
      <c r="CT598" s="280"/>
      <c r="CU598" s="280"/>
      <c r="CV598" s="13"/>
      <c r="CW598" s="280"/>
      <c r="CX598" s="13"/>
      <c r="CY598" s="280"/>
      <c r="CZ598" s="280"/>
      <c r="DA598" s="280"/>
      <c r="DB598" s="280"/>
      <c r="DC598" s="280"/>
      <c r="DD598" s="280"/>
      <c r="DE598" s="280"/>
      <c r="DF598" s="280"/>
      <c r="DG598" s="280"/>
      <c r="DH598" s="280"/>
      <c r="DI598" s="280"/>
      <c r="DJ598" s="280"/>
      <c r="DK598" s="280"/>
      <c r="DL598" s="280"/>
      <c r="DM598" s="280"/>
      <c r="DN598" s="280"/>
      <c r="DO598" s="280"/>
      <c r="DP598" s="280"/>
      <c r="DQ598" s="280"/>
      <c r="DR598" s="280"/>
      <c r="DS598" s="280"/>
      <c r="DT598" s="280"/>
      <c r="DU598" s="280"/>
      <c r="DV598" s="280"/>
      <c r="DW598" s="280"/>
      <c r="DX598" s="280"/>
      <c r="DY598" s="280"/>
      <c r="DZ598" s="280"/>
      <c r="EA598" s="280"/>
      <c r="EB598" s="280"/>
      <c r="EC598" s="280"/>
      <c r="ED598" s="280"/>
      <c r="EE598" s="280"/>
      <c r="EF598" s="280"/>
      <c r="EG598" s="280"/>
      <c r="EH598" s="280"/>
      <c r="EI598" s="280"/>
      <c r="EJ598" s="280"/>
      <c r="EK598" s="280"/>
      <c r="EL598" s="280"/>
      <c r="EM598" s="280"/>
      <c r="EN598" s="280"/>
      <c r="EO598" s="280"/>
      <c r="EP598" s="280"/>
      <c r="EQ598" s="280"/>
      <c r="ER598" s="280"/>
      <c r="ES598" s="280"/>
      <c r="ET598" s="280"/>
      <c r="EU598" s="280"/>
      <c r="EV598" s="280"/>
      <c r="EW598" s="280"/>
      <c r="EX598" s="13"/>
      <c r="EY598" s="283"/>
      <c r="EZ598" s="283"/>
      <c r="FA598" s="45"/>
    </row>
    <row r="599" spans="34:321" ht="10.75" customHeight="1" x14ac:dyDescent="0.2">
      <c r="AH599" s="12"/>
      <c r="AI599" s="12"/>
      <c r="AJ599" s="280"/>
      <c r="AK599" s="280"/>
      <c r="AL599" s="280"/>
      <c r="AM599" s="280"/>
      <c r="AN599" s="280"/>
      <c r="AO599" s="280"/>
      <c r="AP599" s="280"/>
      <c r="AQ599" s="13"/>
      <c r="AR599" s="42"/>
      <c r="AS599" s="283"/>
      <c r="AT599" s="283"/>
      <c r="AU599" s="12"/>
      <c r="AV599" s="280"/>
      <c r="AW599" s="280"/>
      <c r="AX599" s="280"/>
      <c r="AY599" s="280"/>
      <c r="AZ599" s="280"/>
      <c r="BA599" s="280"/>
      <c r="BB599" s="280"/>
      <c r="BC599" s="280"/>
      <c r="BD599" s="280"/>
      <c r="BE599" s="280"/>
      <c r="BF599" s="280"/>
      <c r="BG599" s="280"/>
      <c r="BH599" s="280"/>
      <c r="BI599" s="280"/>
      <c r="BJ599" s="280"/>
      <c r="BK599" s="280"/>
      <c r="BL599" s="280"/>
      <c r="BM599" s="280"/>
      <c r="BN599" s="280"/>
      <c r="BO599" s="280"/>
      <c r="BP599" s="280"/>
      <c r="BQ599" s="280"/>
      <c r="BR599" s="280"/>
      <c r="BS599" s="280"/>
      <c r="BT599" s="280"/>
      <c r="BU599" s="280"/>
      <c r="BV599" s="280"/>
      <c r="BW599" s="280"/>
      <c r="BX599" s="280"/>
      <c r="BY599" s="280"/>
      <c r="BZ599" s="13"/>
      <c r="CA599" s="280"/>
      <c r="CB599" s="13"/>
      <c r="CC599" s="280"/>
      <c r="CD599" s="280"/>
      <c r="CE599" s="280"/>
      <c r="CF599" s="280"/>
      <c r="CG599" s="280"/>
      <c r="CH599" s="280"/>
      <c r="CI599" s="280"/>
      <c r="CJ599" s="280"/>
      <c r="CK599" s="280"/>
      <c r="CL599" s="280"/>
      <c r="CM599" s="280"/>
      <c r="CN599" s="280"/>
      <c r="CO599" s="280"/>
      <c r="CP599" s="280"/>
      <c r="CQ599" s="280"/>
      <c r="CR599" s="280"/>
      <c r="CS599" s="280"/>
      <c r="CT599" s="280"/>
      <c r="CU599" s="280"/>
      <c r="CV599" s="13"/>
      <c r="CW599" s="280"/>
      <c r="CX599" s="13"/>
      <c r="CY599" s="280"/>
      <c r="CZ599" s="280"/>
      <c r="DA599" s="280"/>
      <c r="DB599" s="280"/>
      <c r="DC599" s="280"/>
      <c r="DD599" s="280"/>
      <c r="DE599" s="280"/>
      <c r="DF599" s="280"/>
      <c r="DG599" s="280"/>
      <c r="DH599" s="280"/>
      <c r="DI599" s="280"/>
      <c r="DJ599" s="280"/>
      <c r="DK599" s="280"/>
      <c r="DL599" s="280"/>
      <c r="DM599" s="280"/>
      <c r="DN599" s="280"/>
      <c r="DO599" s="280"/>
      <c r="DP599" s="280"/>
      <c r="DQ599" s="280"/>
      <c r="DR599" s="280"/>
      <c r="DS599" s="280"/>
      <c r="DT599" s="280"/>
      <c r="DU599" s="280"/>
      <c r="DV599" s="280"/>
      <c r="DW599" s="280"/>
      <c r="DX599" s="280"/>
      <c r="DY599" s="280"/>
      <c r="DZ599" s="280"/>
      <c r="EA599" s="280"/>
      <c r="EB599" s="280"/>
      <c r="EC599" s="280"/>
      <c r="ED599" s="280"/>
      <c r="EE599" s="280"/>
      <c r="EF599" s="280"/>
      <c r="EG599" s="280"/>
      <c r="EH599" s="280"/>
      <c r="EI599" s="280"/>
      <c r="EJ599" s="280"/>
      <c r="EK599" s="280"/>
      <c r="EL599" s="280"/>
      <c r="EM599" s="280"/>
      <c r="EN599" s="280"/>
      <c r="EO599" s="280"/>
      <c r="EP599" s="280"/>
      <c r="EQ599" s="280"/>
      <c r="ER599" s="280"/>
      <c r="ES599" s="280"/>
      <c r="ET599" s="280"/>
      <c r="EU599" s="280"/>
      <c r="EV599" s="280"/>
      <c r="EW599" s="280"/>
      <c r="EX599" s="13"/>
      <c r="EY599" s="283"/>
      <c r="EZ599" s="283"/>
      <c r="FA599" s="45"/>
    </row>
    <row r="600" spans="34:321" ht="10.75" customHeight="1" x14ac:dyDescent="0.2">
      <c r="AH600" s="12"/>
      <c r="AI600" s="12"/>
      <c r="AJ600" s="280"/>
      <c r="AK600" s="280"/>
      <c r="AL600" s="280"/>
      <c r="AM600" s="280"/>
      <c r="AN600" s="280"/>
      <c r="AO600" s="280"/>
      <c r="AP600" s="280"/>
      <c r="AQ600" s="13"/>
      <c r="AR600" s="42"/>
      <c r="AS600" s="283"/>
      <c r="AT600" s="283"/>
      <c r="AU600" s="12"/>
      <c r="AV600" s="280"/>
      <c r="AW600" s="280"/>
      <c r="AX600" s="280"/>
      <c r="AY600" s="280"/>
      <c r="AZ600" s="280"/>
      <c r="BA600" s="280"/>
      <c r="BB600" s="280"/>
      <c r="BC600" s="280"/>
      <c r="BD600" s="280"/>
      <c r="BE600" s="280"/>
      <c r="BF600" s="280"/>
      <c r="BG600" s="280"/>
      <c r="BH600" s="280"/>
      <c r="BI600" s="280"/>
      <c r="BJ600" s="280"/>
      <c r="BK600" s="280"/>
      <c r="BL600" s="280"/>
      <c r="BM600" s="280"/>
      <c r="BN600" s="280"/>
      <c r="BO600" s="280"/>
      <c r="BP600" s="280"/>
      <c r="BQ600" s="280"/>
      <c r="BR600" s="280"/>
      <c r="BS600" s="280"/>
      <c r="BT600" s="280"/>
      <c r="BU600" s="280"/>
      <c r="BV600" s="280"/>
      <c r="BW600" s="280"/>
      <c r="BX600" s="280"/>
      <c r="BY600" s="280"/>
      <c r="BZ600" s="13"/>
      <c r="CA600" s="280"/>
      <c r="CB600" s="13"/>
      <c r="CC600" s="280"/>
      <c r="CD600" s="280"/>
      <c r="CE600" s="280"/>
      <c r="CF600" s="280"/>
      <c r="CG600" s="280"/>
      <c r="CH600" s="280"/>
      <c r="CI600" s="280"/>
      <c r="CJ600" s="280"/>
      <c r="CK600" s="280"/>
      <c r="CL600" s="280"/>
      <c r="CM600" s="280"/>
      <c r="CN600" s="280"/>
      <c r="CO600" s="280"/>
      <c r="CP600" s="280"/>
      <c r="CQ600" s="280"/>
      <c r="CR600" s="280"/>
      <c r="CS600" s="280"/>
      <c r="CT600" s="280"/>
      <c r="CU600" s="280"/>
      <c r="CV600" s="13"/>
      <c r="CW600" s="280"/>
      <c r="CX600" s="13"/>
      <c r="CY600" s="280"/>
      <c r="CZ600" s="280"/>
      <c r="DA600" s="280"/>
      <c r="DB600" s="280"/>
      <c r="DC600" s="280"/>
      <c r="DD600" s="280"/>
      <c r="DE600" s="280"/>
      <c r="DF600" s="280"/>
      <c r="DG600" s="280"/>
      <c r="DH600" s="280"/>
      <c r="DI600" s="280"/>
      <c r="DJ600" s="280"/>
      <c r="DK600" s="280"/>
      <c r="DL600" s="280"/>
      <c r="DM600" s="280"/>
      <c r="DN600" s="280"/>
      <c r="DO600" s="280"/>
      <c r="DP600" s="280"/>
      <c r="DQ600" s="280"/>
      <c r="DR600" s="280"/>
      <c r="DS600" s="280"/>
      <c r="DT600" s="280"/>
      <c r="DU600" s="280"/>
      <c r="DV600" s="280"/>
      <c r="DW600" s="280"/>
      <c r="DX600" s="280"/>
      <c r="DY600" s="280"/>
      <c r="DZ600" s="280"/>
      <c r="EA600" s="280"/>
      <c r="EB600" s="280"/>
      <c r="EC600" s="280"/>
      <c r="ED600" s="280"/>
      <c r="EE600" s="280"/>
      <c r="EF600" s="280"/>
      <c r="EG600" s="280"/>
      <c r="EH600" s="280"/>
      <c r="EI600" s="280"/>
      <c r="EJ600" s="280"/>
      <c r="EK600" s="280"/>
      <c r="EL600" s="280"/>
      <c r="EM600" s="280"/>
      <c r="EN600" s="280"/>
      <c r="EO600" s="280"/>
      <c r="EP600" s="280"/>
      <c r="EQ600" s="280"/>
      <c r="ER600" s="280"/>
      <c r="ES600" s="280"/>
      <c r="ET600" s="280"/>
      <c r="EU600" s="280"/>
      <c r="EV600" s="280"/>
      <c r="EW600" s="280"/>
      <c r="EX600" s="13"/>
      <c r="EY600" s="283"/>
      <c r="EZ600" s="283"/>
      <c r="FA600" s="45"/>
    </row>
    <row r="601" spans="34:321" ht="10.75" customHeight="1" x14ac:dyDescent="0.2">
      <c r="AH601" s="12"/>
      <c r="AI601" s="12"/>
      <c r="AJ601" s="280"/>
      <c r="AK601" s="280"/>
      <c r="AL601" s="280"/>
      <c r="AM601" s="280"/>
      <c r="AN601" s="280"/>
      <c r="AO601" s="280"/>
      <c r="AP601" s="280"/>
      <c r="AQ601" s="13"/>
      <c r="AR601" s="42"/>
      <c r="AS601" s="283"/>
      <c r="AT601" s="283"/>
      <c r="AU601" s="12"/>
      <c r="AV601" s="280"/>
      <c r="AW601" s="280"/>
      <c r="AX601" s="280"/>
      <c r="AY601" s="280"/>
      <c r="AZ601" s="280"/>
      <c r="BA601" s="280"/>
      <c r="BB601" s="280"/>
      <c r="BC601" s="280"/>
      <c r="BD601" s="280"/>
      <c r="BE601" s="280"/>
      <c r="BF601" s="280"/>
      <c r="BG601" s="280"/>
      <c r="BH601" s="280"/>
      <c r="BI601" s="280"/>
      <c r="BJ601" s="280"/>
      <c r="BK601" s="280"/>
      <c r="BL601" s="280"/>
      <c r="BM601" s="280"/>
      <c r="BN601" s="280"/>
      <c r="BO601" s="280"/>
      <c r="BP601" s="280"/>
      <c r="BQ601" s="280"/>
      <c r="BR601" s="280"/>
      <c r="BS601" s="280"/>
      <c r="BT601" s="280"/>
      <c r="BU601" s="280"/>
      <c r="BV601" s="280"/>
      <c r="BW601" s="280"/>
      <c r="BX601" s="280"/>
      <c r="BY601" s="280"/>
      <c r="BZ601" s="13"/>
      <c r="CA601" s="280"/>
      <c r="CB601" s="13"/>
      <c r="CC601" s="280"/>
      <c r="CD601" s="280"/>
      <c r="CE601" s="280"/>
      <c r="CF601" s="280"/>
      <c r="CG601" s="280"/>
      <c r="CH601" s="280"/>
      <c r="CI601" s="280"/>
      <c r="CJ601" s="280"/>
      <c r="CK601" s="280"/>
      <c r="CL601" s="280"/>
      <c r="CM601" s="280"/>
      <c r="CN601" s="280"/>
      <c r="CO601" s="280"/>
      <c r="CP601" s="280"/>
      <c r="CQ601" s="280"/>
      <c r="CR601" s="280"/>
      <c r="CS601" s="280"/>
      <c r="CT601" s="280"/>
      <c r="CU601" s="280"/>
      <c r="CV601" s="13"/>
      <c r="CW601" s="280"/>
      <c r="CX601" s="13"/>
      <c r="CY601" s="280"/>
      <c r="CZ601" s="280"/>
      <c r="DA601" s="280"/>
      <c r="DB601" s="280"/>
      <c r="DC601" s="280"/>
      <c r="DD601" s="280"/>
      <c r="DE601" s="280"/>
      <c r="DF601" s="280"/>
      <c r="DG601" s="280"/>
      <c r="DH601" s="280"/>
      <c r="DI601" s="280"/>
      <c r="DJ601" s="280"/>
      <c r="DK601" s="280"/>
      <c r="DL601" s="280"/>
      <c r="DM601" s="280"/>
      <c r="DN601" s="280"/>
      <c r="DO601" s="280"/>
      <c r="DP601" s="280"/>
      <c r="DQ601" s="280"/>
      <c r="DR601" s="280"/>
      <c r="DS601" s="280"/>
      <c r="DT601" s="280"/>
      <c r="DU601" s="280"/>
      <c r="DV601" s="280"/>
      <c r="DW601" s="280"/>
      <c r="DX601" s="280"/>
      <c r="DY601" s="280"/>
      <c r="DZ601" s="280"/>
      <c r="EA601" s="280"/>
      <c r="EB601" s="280"/>
      <c r="EC601" s="280"/>
      <c r="ED601" s="280"/>
      <c r="EE601" s="280"/>
      <c r="EF601" s="280"/>
      <c r="EG601" s="280"/>
      <c r="EH601" s="280"/>
      <c r="EI601" s="280"/>
      <c r="EJ601" s="280"/>
      <c r="EK601" s="280"/>
      <c r="EL601" s="280"/>
      <c r="EM601" s="280"/>
      <c r="EN601" s="280"/>
      <c r="EO601" s="280"/>
      <c r="EP601" s="280"/>
      <c r="EQ601" s="280"/>
      <c r="ER601" s="280"/>
      <c r="ES601" s="280"/>
      <c r="ET601" s="280"/>
      <c r="EU601" s="280"/>
      <c r="EV601" s="280"/>
      <c r="EW601" s="280"/>
      <c r="EX601" s="13"/>
      <c r="EY601" s="283"/>
      <c r="EZ601" s="283"/>
      <c r="FA601" s="45"/>
    </row>
    <row r="602" spans="34:321" ht="10.75" customHeight="1" x14ac:dyDescent="0.2">
      <c r="AH602" s="12"/>
      <c r="AI602" s="12"/>
      <c r="AJ602" s="280"/>
      <c r="AK602" s="280"/>
      <c r="AL602" s="280"/>
      <c r="AM602" s="280"/>
      <c r="AN602" s="280"/>
      <c r="AO602" s="280"/>
      <c r="AP602" s="280"/>
      <c r="AQ602" s="13"/>
      <c r="AR602" s="42"/>
      <c r="AS602" s="283"/>
      <c r="AT602" s="283"/>
      <c r="AU602" s="12"/>
      <c r="AV602" s="280"/>
      <c r="AW602" s="280"/>
      <c r="AX602" s="280"/>
      <c r="AY602" s="280"/>
      <c r="AZ602" s="280"/>
      <c r="BA602" s="280"/>
      <c r="BB602" s="280"/>
      <c r="BC602" s="280"/>
      <c r="BD602" s="280"/>
      <c r="BE602" s="280"/>
      <c r="BF602" s="280"/>
      <c r="BG602" s="280"/>
      <c r="BH602" s="280"/>
      <c r="BI602" s="280"/>
      <c r="BJ602" s="280"/>
      <c r="BK602" s="280"/>
      <c r="BL602" s="280"/>
      <c r="BM602" s="280"/>
      <c r="BN602" s="280"/>
      <c r="BO602" s="280"/>
      <c r="BP602" s="280"/>
      <c r="BQ602" s="280"/>
      <c r="BR602" s="280"/>
      <c r="BS602" s="280"/>
      <c r="BT602" s="280"/>
      <c r="BU602" s="280"/>
      <c r="BV602" s="280"/>
      <c r="BW602" s="280"/>
      <c r="BX602" s="280"/>
      <c r="BY602" s="280"/>
      <c r="BZ602" s="13"/>
      <c r="CA602" s="280"/>
      <c r="CB602" s="13"/>
      <c r="CC602" s="280"/>
      <c r="CD602" s="280"/>
      <c r="CE602" s="280"/>
      <c r="CF602" s="280"/>
      <c r="CG602" s="280"/>
      <c r="CH602" s="280"/>
      <c r="CI602" s="280"/>
      <c r="CJ602" s="280"/>
      <c r="CK602" s="280"/>
      <c r="CL602" s="280"/>
      <c r="CM602" s="280"/>
      <c r="CN602" s="280"/>
      <c r="CO602" s="280"/>
      <c r="CP602" s="280"/>
      <c r="CQ602" s="280"/>
      <c r="CR602" s="280"/>
      <c r="CS602" s="280"/>
      <c r="CT602" s="280"/>
      <c r="CU602" s="280"/>
      <c r="CV602" s="13"/>
      <c r="CW602" s="280"/>
      <c r="CX602" s="13"/>
      <c r="CY602" s="280"/>
      <c r="CZ602" s="280"/>
      <c r="DA602" s="280"/>
      <c r="DB602" s="280"/>
      <c r="DC602" s="280"/>
      <c r="DD602" s="280"/>
      <c r="DE602" s="280"/>
      <c r="DF602" s="280"/>
      <c r="DG602" s="280"/>
      <c r="DH602" s="280"/>
      <c r="DI602" s="280"/>
      <c r="DJ602" s="280"/>
      <c r="DK602" s="280"/>
      <c r="DL602" s="280"/>
      <c r="DM602" s="280"/>
      <c r="DN602" s="280"/>
      <c r="DO602" s="280"/>
      <c r="DP602" s="280"/>
      <c r="DQ602" s="280"/>
      <c r="DR602" s="280"/>
      <c r="DS602" s="280"/>
      <c r="DT602" s="280"/>
      <c r="DU602" s="280"/>
      <c r="DV602" s="280"/>
      <c r="DW602" s="280"/>
      <c r="DX602" s="280"/>
      <c r="DY602" s="280"/>
      <c r="DZ602" s="280"/>
      <c r="EA602" s="280"/>
      <c r="EB602" s="280"/>
      <c r="EC602" s="280"/>
      <c r="ED602" s="280"/>
      <c r="EE602" s="280"/>
      <c r="EF602" s="280"/>
      <c r="EG602" s="280"/>
      <c r="EH602" s="280"/>
      <c r="EI602" s="280"/>
      <c r="EJ602" s="280"/>
      <c r="EK602" s="280"/>
      <c r="EL602" s="280"/>
      <c r="EM602" s="280"/>
      <c r="EN602" s="280"/>
      <c r="EO602" s="280"/>
      <c r="EP602" s="280"/>
      <c r="EQ602" s="280"/>
      <c r="ER602" s="280"/>
      <c r="ES602" s="280"/>
      <c r="ET602" s="280"/>
      <c r="EU602" s="280"/>
      <c r="EV602" s="280"/>
      <c r="EW602" s="280"/>
      <c r="EX602" s="13"/>
      <c r="EY602" s="283"/>
      <c r="EZ602" s="283"/>
      <c r="FA602" s="45"/>
    </row>
    <row r="603" spans="34:321" ht="10.75" customHeight="1" x14ac:dyDescent="0.2">
      <c r="AH603" s="14"/>
      <c r="AI603" s="14"/>
      <c r="AJ603" s="15"/>
      <c r="AK603" s="15"/>
      <c r="AL603" s="15"/>
      <c r="AM603" s="15"/>
      <c r="AN603" s="15"/>
      <c r="AO603" s="15"/>
      <c r="AP603" s="15"/>
      <c r="AQ603" s="16"/>
      <c r="AR603" s="42"/>
      <c r="AS603" s="283"/>
      <c r="AT603" s="283"/>
      <c r="AU603" s="14"/>
      <c r="AV603" s="15"/>
      <c r="AW603" s="15"/>
      <c r="AX603" s="15"/>
      <c r="AY603" s="15"/>
      <c r="AZ603" s="15"/>
      <c r="BA603" s="15"/>
      <c r="BB603" s="15"/>
      <c r="BC603" s="15"/>
      <c r="BD603" s="15"/>
      <c r="BE603" s="15"/>
      <c r="BF603" s="15"/>
      <c r="BG603" s="15"/>
      <c r="BH603" s="15"/>
      <c r="BI603" s="15"/>
      <c r="BJ603" s="15"/>
      <c r="BK603" s="15"/>
      <c r="BL603" s="15"/>
      <c r="BM603" s="15"/>
      <c r="BN603" s="15"/>
      <c r="BO603" s="15"/>
      <c r="BP603" s="15"/>
      <c r="BQ603" s="15"/>
      <c r="BR603" s="15"/>
      <c r="BS603" s="15"/>
      <c r="BT603" s="15"/>
      <c r="BU603" s="15"/>
      <c r="BV603" s="15"/>
      <c r="BW603" s="15"/>
      <c r="BX603" s="15"/>
      <c r="BY603" s="15"/>
      <c r="BZ603" s="16"/>
      <c r="CA603" s="15"/>
      <c r="CB603" s="16"/>
      <c r="CC603" s="15"/>
      <c r="CD603" s="15"/>
      <c r="CE603" s="15"/>
      <c r="CF603" s="15"/>
      <c r="CG603" s="15"/>
      <c r="CH603" s="15"/>
      <c r="CI603" s="15"/>
      <c r="CJ603" s="15"/>
      <c r="CK603" s="15"/>
      <c r="CL603" s="15"/>
      <c r="CM603" s="15"/>
      <c r="CN603" s="15"/>
      <c r="CO603" s="15"/>
      <c r="CP603" s="15"/>
      <c r="CQ603" s="15"/>
      <c r="CR603" s="15"/>
      <c r="CS603" s="15"/>
      <c r="CT603" s="15"/>
      <c r="CU603" s="15"/>
      <c r="CV603" s="16"/>
      <c r="CW603" s="280"/>
      <c r="CX603" s="13"/>
      <c r="CY603" s="280"/>
      <c r="CZ603" s="280"/>
      <c r="DA603" s="280"/>
      <c r="DB603" s="280"/>
      <c r="DC603" s="280"/>
      <c r="DD603" s="280"/>
      <c r="DE603" s="280"/>
      <c r="DF603" s="280"/>
      <c r="DG603" s="280"/>
      <c r="DH603" s="280"/>
      <c r="DI603" s="280"/>
      <c r="DJ603" s="280"/>
      <c r="DK603" s="280"/>
      <c r="DL603" s="280"/>
      <c r="DM603" s="280"/>
      <c r="DN603" s="280"/>
      <c r="DO603" s="280"/>
      <c r="DP603" s="280"/>
      <c r="DQ603" s="280"/>
      <c r="DR603" s="280"/>
      <c r="DS603" s="280"/>
      <c r="DT603" s="280"/>
      <c r="DU603" s="280"/>
      <c r="DV603" s="280"/>
      <c r="DW603" s="280"/>
      <c r="DX603" s="280"/>
      <c r="DY603" s="280"/>
      <c r="DZ603" s="280"/>
      <c r="EA603" s="280"/>
      <c r="EB603" s="280"/>
      <c r="EC603" s="280"/>
      <c r="ED603" s="280"/>
      <c r="EE603" s="280"/>
      <c r="EF603" s="280"/>
      <c r="EG603" s="280"/>
      <c r="EH603" s="280"/>
      <c r="EI603" s="280"/>
      <c r="EJ603" s="280"/>
      <c r="EK603" s="280"/>
      <c r="EL603" s="280"/>
      <c r="EM603" s="280"/>
      <c r="EN603" s="280"/>
      <c r="EO603" s="280"/>
      <c r="EP603" s="280"/>
      <c r="EQ603" s="280"/>
      <c r="ER603" s="280"/>
      <c r="ES603" s="280"/>
      <c r="ET603" s="280"/>
      <c r="EU603" s="280"/>
      <c r="EV603" s="280"/>
      <c r="EW603" s="280"/>
      <c r="EX603" s="13"/>
      <c r="EY603" s="283"/>
      <c r="EZ603" s="283"/>
      <c r="FA603" s="45"/>
    </row>
    <row r="604" spans="34:321" ht="10.75" customHeight="1" x14ac:dyDescent="0.2">
      <c r="AH604" s="9"/>
      <c r="AI604" s="9"/>
      <c r="AJ604" s="10"/>
      <c r="AK604" s="10"/>
      <c r="AL604" s="10"/>
      <c r="AM604" s="10"/>
      <c r="AN604" s="10"/>
      <c r="AO604" s="10"/>
      <c r="AP604" s="10"/>
      <c r="AQ604" s="11"/>
      <c r="AR604" s="42"/>
      <c r="AS604" s="283"/>
      <c r="AT604" s="283"/>
      <c r="AU604" s="12"/>
      <c r="AV604" s="280"/>
      <c r="AW604" s="280"/>
      <c r="AX604" s="280"/>
      <c r="AY604" s="280"/>
      <c r="AZ604" s="280"/>
      <c r="BA604" s="280"/>
      <c r="BB604" s="280"/>
      <c r="BC604" s="280"/>
      <c r="BD604" s="280"/>
      <c r="BE604" s="280"/>
      <c r="BF604" s="280"/>
      <c r="BG604" s="280"/>
      <c r="BH604" s="280"/>
      <c r="BI604" s="280"/>
      <c r="BJ604" s="280"/>
      <c r="BK604" s="280"/>
      <c r="BL604" s="280"/>
      <c r="BM604" s="280"/>
      <c r="BN604" s="280"/>
      <c r="BO604" s="280"/>
      <c r="BP604" s="280"/>
      <c r="BQ604" s="280"/>
      <c r="BR604" s="280"/>
      <c r="BS604" s="280"/>
      <c r="BT604" s="280"/>
      <c r="BU604" s="280"/>
      <c r="BV604" s="280"/>
      <c r="BW604" s="280"/>
      <c r="BX604" s="280"/>
      <c r="BY604" s="280"/>
      <c r="BZ604" s="280"/>
      <c r="CA604" s="280"/>
      <c r="CB604" s="280"/>
      <c r="CC604" s="280"/>
      <c r="CD604" s="280"/>
      <c r="CE604" s="280"/>
      <c r="CF604" s="280"/>
      <c r="CG604" s="280"/>
      <c r="CH604" s="280"/>
      <c r="CI604" s="280"/>
      <c r="CJ604" s="280"/>
      <c r="CK604" s="280"/>
      <c r="CL604" s="280"/>
      <c r="CM604" s="280"/>
      <c r="CN604" s="280"/>
      <c r="CO604" s="280"/>
      <c r="CP604" s="280"/>
      <c r="CQ604" s="280"/>
      <c r="CR604" s="280"/>
      <c r="CS604" s="280"/>
      <c r="CT604" s="280"/>
      <c r="CU604" s="280"/>
      <c r="CV604" s="13"/>
      <c r="CW604" s="280"/>
      <c r="CX604" s="13"/>
      <c r="CY604" s="280"/>
      <c r="CZ604" s="280"/>
      <c r="DA604" s="280"/>
      <c r="DB604" s="280"/>
      <c r="DC604" s="280"/>
      <c r="DD604" s="280"/>
      <c r="DE604" s="280"/>
      <c r="DF604" s="280"/>
      <c r="DG604" s="280"/>
      <c r="DH604" s="280"/>
      <c r="DI604" s="280"/>
      <c r="DJ604" s="280"/>
      <c r="DK604" s="280"/>
      <c r="DL604" s="280"/>
      <c r="DM604" s="280"/>
      <c r="DN604" s="280"/>
      <c r="DO604" s="280"/>
      <c r="DP604" s="280"/>
      <c r="DQ604" s="280"/>
      <c r="DR604" s="280"/>
      <c r="DS604" s="280"/>
      <c r="DT604" s="280"/>
      <c r="DU604" s="280"/>
      <c r="DV604" s="280"/>
      <c r="DW604" s="280"/>
      <c r="DX604" s="280"/>
      <c r="DY604" s="280"/>
      <c r="DZ604" s="280"/>
      <c r="EA604" s="280"/>
      <c r="EB604" s="280"/>
      <c r="EC604" s="280"/>
      <c r="ED604" s="280"/>
      <c r="EE604" s="280"/>
      <c r="EF604" s="280"/>
      <c r="EG604" s="280"/>
      <c r="EH604" s="280"/>
      <c r="EI604" s="280"/>
      <c r="EJ604" s="280"/>
      <c r="EK604" s="280"/>
      <c r="EL604" s="280"/>
      <c r="EM604" s="280"/>
      <c r="EN604" s="280"/>
      <c r="EO604" s="280"/>
      <c r="EP604" s="280"/>
      <c r="EQ604" s="280"/>
      <c r="ER604" s="280"/>
      <c r="ES604" s="280"/>
      <c r="ET604" s="280"/>
      <c r="EU604" s="280"/>
      <c r="EV604" s="280"/>
      <c r="EW604" s="280"/>
      <c r="EX604" s="13"/>
      <c r="EY604" s="283"/>
      <c r="EZ604" s="283"/>
      <c r="FA604" s="45"/>
    </row>
    <row r="605" spans="34:321" ht="10.75" customHeight="1" x14ac:dyDescent="0.2">
      <c r="AH605" s="12"/>
      <c r="AI605" s="12"/>
      <c r="AJ605" s="280"/>
      <c r="AK605" s="280"/>
      <c r="AL605" s="280"/>
      <c r="AM605" s="280"/>
      <c r="AN605" s="280"/>
      <c r="AO605" s="280"/>
      <c r="AP605" s="280"/>
      <c r="AQ605" s="13"/>
      <c r="AR605" s="42"/>
      <c r="AS605" s="283"/>
      <c r="AT605" s="283"/>
      <c r="AU605" s="12"/>
      <c r="AV605" s="284"/>
      <c r="AW605" s="284"/>
      <c r="AX605" s="284"/>
      <c r="AY605" s="284"/>
      <c r="AZ605" s="284"/>
      <c r="BA605" s="284"/>
      <c r="BB605" s="284"/>
      <c r="BC605" s="284"/>
      <c r="BD605" s="280"/>
      <c r="BE605" s="280"/>
      <c r="BF605" s="280"/>
      <c r="BG605" s="280"/>
      <c r="BH605" s="280"/>
      <c r="BI605" s="280"/>
      <c r="BJ605" s="280"/>
      <c r="BK605" s="280"/>
      <c r="BL605" s="280"/>
      <c r="BM605" s="280"/>
      <c r="BN605" s="280"/>
      <c r="BO605" s="280"/>
      <c r="BP605" s="280"/>
      <c r="BQ605" s="280"/>
      <c r="BR605" s="280"/>
      <c r="BS605" s="280"/>
      <c r="BT605" s="280"/>
      <c r="BU605" s="280"/>
      <c r="BV605" s="280"/>
      <c r="BW605" s="280"/>
      <c r="BX605" s="280"/>
      <c r="BY605" s="280"/>
      <c r="BZ605" s="280"/>
      <c r="CA605" s="280"/>
      <c r="CB605" s="280"/>
      <c r="CC605" s="280"/>
      <c r="CD605" s="280"/>
      <c r="CE605" s="280"/>
      <c r="CF605" s="280"/>
      <c r="CG605" s="280"/>
      <c r="CH605" s="280"/>
      <c r="CI605" s="280"/>
      <c r="CJ605" s="280"/>
      <c r="CK605" s="280"/>
      <c r="CL605" s="280"/>
      <c r="CM605" s="280"/>
      <c r="CN605" s="280"/>
      <c r="CO605" s="280"/>
      <c r="CP605" s="280"/>
      <c r="CQ605" s="280"/>
      <c r="CR605" s="280"/>
      <c r="CS605" s="280"/>
      <c r="CT605" s="280"/>
      <c r="CU605" s="280"/>
      <c r="CV605" s="13"/>
      <c r="CW605" s="280"/>
      <c r="CX605" s="13"/>
      <c r="CY605" s="280"/>
      <c r="CZ605" s="280"/>
      <c r="DA605" s="280"/>
      <c r="DB605" s="280"/>
      <c r="DC605" s="280"/>
      <c r="DD605" s="280"/>
      <c r="DE605" s="280"/>
      <c r="DF605" s="280"/>
      <c r="DG605" s="280"/>
      <c r="DH605" s="280"/>
      <c r="DI605" s="280"/>
      <c r="DJ605" s="280"/>
      <c r="DK605" s="280"/>
      <c r="DL605" s="280"/>
      <c r="DM605" s="280"/>
      <c r="DN605" s="280"/>
      <c r="DO605" s="280"/>
      <c r="DP605" s="280"/>
      <c r="DQ605" s="280"/>
      <c r="DR605" s="280"/>
      <c r="DS605" s="280"/>
      <c r="DT605" s="280"/>
      <c r="DU605" s="280"/>
      <c r="DV605" s="280"/>
      <c r="DW605" s="280"/>
      <c r="DX605" s="280"/>
      <c r="DY605" s="280"/>
      <c r="DZ605" s="280"/>
      <c r="EA605" s="280"/>
      <c r="EB605" s="280"/>
      <c r="EC605" s="280"/>
      <c r="ED605" s="280"/>
      <c r="EE605" s="280"/>
      <c r="EF605" s="280"/>
      <c r="EG605" s="280"/>
      <c r="EH605" s="280"/>
      <c r="EI605" s="280"/>
      <c r="EJ605" s="280"/>
      <c r="EK605" s="280"/>
      <c r="EL605" s="280"/>
      <c r="EM605" s="280"/>
      <c r="EN605" s="280"/>
      <c r="EO605" s="280"/>
      <c r="EP605" s="280"/>
      <c r="EQ605" s="280"/>
      <c r="ER605" s="280"/>
      <c r="ES605" s="280"/>
      <c r="ET605" s="280"/>
      <c r="EU605" s="280"/>
      <c r="EV605" s="280"/>
      <c r="EW605" s="280"/>
      <c r="EX605" s="13"/>
      <c r="EY605" s="283"/>
      <c r="EZ605" s="283"/>
      <c r="FA605" s="45"/>
    </row>
    <row r="606" spans="34:321" ht="10.75" customHeight="1" x14ac:dyDescent="0.2">
      <c r="AH606" s="12"/>
      <c r="AI606" s="12"/>
      <c r="AJ606" s="280"/>
      <c r="AK606" s="280"/>
      <c r="AL606" s="280"/>
      <c r="AM606" s="280"/>
      <c r="AN606" s="280"/>
      <c r="AO606" s="280"/>
      <c r="AP606" s="280"/>
      <c r="AQ606" s="13"/>
      <c r="AR606" s="42"/>
      <c r="AS606" s="283"/>
      <c r="AT606" s="283"/>
      <c r="AU606" s="9"/>
      <c r="AV606" s="10"/>
      <c r="AW606" s="10"/>
      <c r="AX606" s="10"/>
      <c r="AY606" s="10"/>
      <c r="AZ606" s="10"/>
      <c r="BA606" s="10"/>
      <c r="BB606" s="10"/>
      <c r="BC606" s="10"/>
      <c r="BD606" s="10"/>
      <c r="BE606" s="10"/>
      <c r="BF606" s="10"/>
      <c r="BG606" s="10"/>
      <c r="BH606" s="10"/>
      <c r="BI606" s="10"/>
      <c r="BJ606" s="10"/>
      <c r="BK606" s="10"/>
      <c r="BL606" s="10"/>
      <c r="BM606" s="10"/>
      <c r="BN606" s="10"/>
      <c r="BO606" s="10"/>
      <c r="BP606" s="10"/>
      <c r="BQ606" s="10"/>
      <c r="BR606" s="10"/>
      <c r="BS606" s="10"/>
      <c r="BT606" s="10"/>
      <c r="BU606" s="10"/>
      <c r="BV606" s="10"/>
      <c r="BW606" s="10"/>
      <c r="BX606" s="10"/>
      <c r="BY606" s="10"/>
      <c r="BZ606" s="10"/>
      <c r="CA606" s="10"/>
      <c r="CB606" s="10"/>
      <c r="CC606" s="10"/>
      <c r="CD606" s="10"/>
      <c r="CE606" s="10"/>
      <c r="CF606" s="10"/>
      <c r="CG606" s="10"/>
      <c r="CH606" s="10"/>
      <c r="CI606" s="10"/>
      <c r="CJ606" s="10"/>
      <c r="CK606" s="10"/>
      <c r="CL606" s="10"/>
      <c r="CM606" s="10"/>
      <c r="CN606" s="10"/>
      <c r="CO606" s="10"/>
      <c r="CP606" s="10"/>
      <c r="CQ606" s="10"/>
      <c r="CR606" s="10"/>
      <c r="CS606" s="10"/>
      <c r="CT606" s="10"/>
      <c r="CU606" s="10"/>
      <c r="CV606" s="11"/>
      <c r="CW606" s="280"/>
      <c r="CX606" s="13"/>
      <c r="CY606" s="280"/>
      <c r="CZ606" s="280"/>
      <c r="DA606" s="280"/>
      <c r="DB606" s="280"/>
      <c r="DC606" s="280"/>
      <c r="DD606" s="280"/>
      <c r="DE606" s="280"/>
      <c r="DF606" s="280"/>
      <c r="DG606" s="280"/>
      <c r="DH606" s="280"/>
      <c r="DI606" s="280"/>
      <c r="DJ606" s="280"/>
      <c r="DK606" s="280"/>
      <c r="DL606" s="280"/>
      <c r="DM606" s="280"/>
      <c r="DN606" s="280"/>
      <c r="DO606" s="280"/>
      <c r="DP606" s="280"/>
      <c r="DQ606" s="280"/>
      <c r="DR606" s="280"/>
      <c r="DS606" s="280"/>
      <c r="DT606" s="280"/>
      <c r="DU606" s="280"/>
      <c r="DV606" s="280"/>
      <c r="DW606" s="280"/>
      <c r="DX606" s="280"/>
      <c r="DY606" s="280"/>
      <c r="DZ606" s="280"/>
      <c r="EA606" s="280"/>
      <c r="EB606" s="280"/>
      <c r="EC606" s="280"/>
      <c r="ED606" s="280"/>
      <c r="EE606" s="280"/>
      <c r="EF606" s="280"/>
      <c r="EG606" s="280"/>
      <c r="EH606" s="280"/>
      <c r="EI606" s="280"/>
      <c r="EJ606" s="280"/>
      <c r="EK606" s="280"/>
      <c r="EL606" s="280"/>
      <c r="EM606" s="280"/>
      <c r="EN606" s="280"/>
      <c r="EO606" s="280"/>
      <c r="EP606" s="280"/>
      <c r="EQ606" s="280"/>
      <c r="ER606" s="280"/>
      <c r="ES606" s="280"/>
      <c r="ET606" s="280"/>
      <c r="EU606" s="280"/>
      <c r="EV606" s="280"/>
      <c r="EW606" s="280"/>
      <c r="EX606" s="13"/>
      <c r="EY606" s="283"/>
      <c r="EZ606" s="283"/>
      <c r="FA606" s="45"/>
    </row>
    <row r="607" spans="34:321" ht="10.75" customHeight="1" x14ac:dyDescent="0.2">
      <c r="AH607" s="12"/>
      <c r="AI607" s="12"/>
      <c r="AJ607" s="280"/>
      <c r="AK607" s="280"/>
      <c r="AL607" s="280"/>
      <c r="AM607" s="280"/>
      <c r="AN607" s="280"/>
      <c r="AO607" s="280"/>
      <c r="AP607" s="280"/>
      <c r="AQ607" s="13"/>
      <c r="AR607" s="42"/>
      <c r="AS607" s="283"/>
      <c r="AT607" s="283"/>
      <c r="AU607" s="12"/>
      <c r="AV607" s="280"/>
      <c r="AW607" s="280"/>
      <c r="AX607" s="280"/>
      <c r="AY607" s="280"/>
      <c r="AZ607" s="280"/>
      <c r="BA607" s="280"/>
      <c r="BB607" s="280"/>
      <c r="BC607" s="280"/>
      <c r="BD607" s="280"/>
      <c r="BE607" s="280"/>
      <c r="BF607" s="280"/>
      <c r="BG607" s="280"/>
      <c r="BH607" s="280"/>
      <c r="BI607" s="280"/>
      <c r="BJ607" s="280"/>
      <c r="BK607" s="280"/>
      <c r="BL607" s="280"/>
      <c r="BM607" s="280"/>
      <c r="BN607" s="280"/>
      <c r="BO607" s="280"/>
      <c r="BP607" s="280"/>
      <c r="BQ607" s="280"/>
      <c r="BR607" s="280"/>
      <c r="BS607" s="280"/>
      <c r="BT607" s="280"/>
      <c r="BU607" s="280"/>
      <c r="BV607" s="280"/>
      <c r="BW607" s="280"/>
      <c r="BX607" s="280"/>
      <c r="BY607" s="280"/>
      <c r="BZ607" s="280"/>
      <c r="CA607" s="280"/>
      <c r="CB607" s="280"/>
      <c r="CC607" s="280"/>
      <c r="CD607" s="280"/>
      <c r="CE607" s="280"/>
      <c r="CF607" s="280"/>
      <c r="CG607" s="280"/>
      <c r="CH607" s="280"/>
      <c r="CI607" s="280"/>
      <c r="CJ607" s="280"/>
      <c r="CK607" s="280"/>
      <c r="CL607" s="280"/>
      <c r="CM607" s="280"/>
      <c r="CN607" s="280"/>
      <c r="CO607" s="280"/>
      <c r="CP607" s="280"/>
      <c r="CQ607" s="280"/>
      <c r="CR607" s="280"/>
      <c r="CS607" s="280"/>
      <c r="CT607" s="280"/>
      <c r="CU607" s="280"/>
      <c r="CV607" s="13"/>
      <c r="CW607" s="280"/>
      <c r="CX607" s="13"/>
      <c r="CY607" s="280"/>
      <c r="CZ607" s="280"/>
      <c r="DA607" s="280"/>
      <c r="DB607" s="280"/>
      <c r="DC607" s="280"/>
      <c r="DD607" s="280"/>
      <c r="DE607" s="280"/>
      <c r="DF607" s="280"/>
      <c r="DG607" s="280"/>
      <c r="DH607" s="280"/>
      <c r="DI607" s="280"/>
      <c r="DJ607" s="280"/>
      <c r="DK607" s="280"/>
      <c r="DL607" s="280"/>
      <c r="DM607" s="280"/>
      <c r="DN607" s="280"/>
      <c r="DO607" s="280"/>
      <c r="DP607" s="280"/>
      <c r="DQ607" s="280"/>
      <c r="DR607" s="280"/>
      <c r="DS607" s="280"/>
      <c r="DT607" s="280"/>
      <c r="DU607" s="280"/>
      <c r="DV607" s="280"/>
      <c r="DW607" s="280"/>
      <c r="DX607" s="280"/>
      <c r="DY607" s="280"/>
      <c r="DZ607" s="280"/>
      <c r="EA607" s="280"/>
      <c r="EB607" s="280"/>
      <c r="EC607" s="280"/>
      <c r="ED607" s="280"/>
      <c r="EE607" s="280"/>
      <c r="EF607" s="280"/>
      <c r="EG607" s="280"/>
      <c r="EH607" s="280"/>
      <c r="EI607" s="280"/>
      <c r="EJ607" s="280"/>
      <c r="EK607" s="280"/>
      <c r="EL607" s="280"/>
      <c r="EM607" s="280"/>
      <c r="EN607" s="280"/>
      <c r="EO607" s="280"/>
      <c r="EP607" s="280"/>
      <c r="EQ607" s="280"/>
      <c r="ER607" s="280"/>
      <c r="ES607" s="280"/>
      <c r="ET607" s="280"/>
      <c r="EU607" s="280"/>
      <c r="EV607" s="280"/>
      <c r="EW607" s="280"/>
      <c r="EX607" s="13"/>
      <c r="EY607" s="283"/>
      <c r="EZ607" s="283"/>
      <c r="FA607" s="45"/>
    </row>
    <row r="608" spans="34:321" ht="10.75" customHeight="1" x14ac:dyDescent="0.2">
      <c r="AH608" s="12"/>
      <c r="AI608" s="12"/>
      <c r="AJ608" s="280"/>
      <c r="AK608" s="280"/>
      <c r="AL608" s="280"/>
      <c r="AM608" s="280"/>
      <c r="AN608" s="280"/>
      <c r="AO608" s="280"/>
      <c r="AP608" s="280"/>
      <c r="AQ608" s="13"/>
      <c r="AR608" s="42"/>
      <c r="AS608" s="283"/>
      <c r="AT608" s="283"/>
      <c r="AU608" s="12"/>
      <c r="AV608" s="280"/>
      <c r="AW608" s="280"/>
      <c r="AX608" s="280"/>
      <c r="AY608" s="280"/>
      <c r="AZ608" s="280"/>
      <c r="BA608" s="280"/>
      <c r="BB608" s="280"/>
      <c r="BC608" s="280"/>
      <c r="BD608" s="280"/>
      <c r="BE608" s="280"/>
      <c r="BF608" s="280"/>
      <c r="BG608" s="280"/>
      <c r="BH608" s="280"/>
      <c r="BI608" s="280"/>
      <c r="BJ608" s="280"/>
      <c r="BK608" s="280"/>
      <c r="BL608" s="280"/>
      <c r="BM608" s="280"/>
      <c r="BN608" s="280"/>
      <c r="BO608" s="280"/>
      <c r="BP608" s="280"/>
      <c r="BQ608" s="280"/>
      <c r="BR608" s="280"/>
      <c r="BS608" s="280"/>
      <c r="BT608" s="280"/>
      <c r="BU608" s="280"/>
      <c r="BV608" s="280"/>
      <c r="BW608" s="280"/>
      <c r="BX608" s="280"/>
      <c r="BY608" s="280"/>
      <c r="BZ608" s="280"/>
      <c r="CA608" s="280"/>
      <c r="CB608" s="280"/>
      <c r="CC608" s="280"/>
      <c r="CD608" s="280"/>
      <c r="CE608" s="280"/>
      <c r="CF608" s="280"/>
      <c r="CG608" s="280"/>
      <c r="CH608" s="280"/>
      <c r="CI608" s="280"/>
      <c r="CJ608" s="280"/>
      <c r="CK608" s="280"/>
      <c r="CL608" s="280"/>
      <c r="CM608" s="280"/>
      <c r="CN608" s="280"/>
      <c r="CO608" s="280"/>
      <c r="CP608" s="280"/>
      <c r="CQ608" s="280"/>
      <c r="CR608" s="280"/>
      <c r="CS608" s="280"/>
      <c r="CT608" s="280"/>
      <c r="CU608" s="280"/>
      <c r="CV608" s="13"/>
      <c r="CW608" s="280"/>
      <c r="CX608" s="13"/>
      <c r="CY608" s="280"/>
      <c r="CZ608" s="280"/>
      <c r="DA608" s="280"/>
      <c r="DB608" s="280"/>
      <c r="DC608" s="280"/>
      <c r="DD608" s="280"/>
      <c r="DE608" s="280"/>
      <c r="DF608" s="280"/>
      <c r="DG608" s="280"/>
      <c r="DH608" s="280"/>
      <c r="DI608" s="280"/>
      <c r="DJ608" s="280"/>
      <c r="DK608" s="280"/>
      <c r="DL608" s="280"/>
      <c r="DM608" s="280"/>
      <c r="DN608" s="280"/>
      <c r="DO608" s="280"/>
      <c r="DP608" s="280"/>
      <c r="DQ608" s="280"/>
      <c r="DR608" s="280"/>
      <c r="DS608" s="280"/>
      <c r="DT608" s="280"/>
      <c r="DU608" s="280"/>
      <c r="DV608" s="280"/>
      <c r="DW608" s="280"/>
      <c r="DX608" s="280"/>
      <c r="DY608" s="280"/>
      <c r="DZ608" s="280"/>
      <c r="EA608" s="280"/>
      <c r="EB608" s="280"/>
      <c r="EC608" s="280"/>
      <c r="ED608" s="280"/>
      <c r="EE608" s="280"/>
      <c r="EF608" s="280"/>
      <c r="EG608" s="280"/>
      <c r="EH608" s="280"/>
      <c r="EI608" s="280"/>
      <c r="EJ608" s="280"/>
      <c r="EK608" s="280"/>
      <c r="EL608" s="280"/>
      <c r="EM608" s="280"/>
      <c r="EN608" s="280"/>
      <c r="EO608" s="280"/>
      <c r="EP608" s="280"/>
      <c r="EQ608" s="280"/>
      <c r="ER608" s="280"/>
      <c r="ES608" s="280"/>
      <c r="ET608" s="280"/>
      <c r="EU608" s="280"/>
      <c r="EV608" s="280"/>
      <c r="EW608" s="280"/>
      <c r="EX608" s="13"/>
      <c r="EY608" s="283"/>
      <c r="EZ608" s="283"/>
      <c r="FA608" s="45"/>
    </row>
    <row r="609" spans="34:157" ht="10.75" customHeight="1" x14ac:dyDescent="0.2">
      <c r="AH609" s="12"/>
      <c r="AI609" s="12"/>
      <c r="AJ609" s="280"/>
      <c r="AK609" s="280"/>
      <c r="AL609" s="280"/>
      <c r="AM609" s="280"/>
      <c r="AN609" s="280"/>
      <c r="AO609" s="280"/>
      <c r="AP609" s="280"/>
      <c r="AQ609" s="13"/>
      <c r="AR609" s="42"/>
      <c r="AS609" s="283"/>
      <c r="AT609" s="283"/>
      <c r="AU609" s="12"/>
      <c r="AV609" s="280"/>
      <c r="AW609" s="280"/>
      <c r="AX609" s="280"/>
      <c r="AY609" s="280"/>
      <c r="AZ609" s="280"/>
      <c r="BA609" s="280"/>
      <c r="BB609" s="280"/>
      <c r="BC609" s="280"/>
      <c r="BD609" s="280"/>
      <c r="BE609" s="280"/>
      <c r="BF609" s="280"/>
      <c r="BG609" s="280"/>
      <c r="BH609" s="280"/>
      <c r="BI609" s="280"/>
      <c r="BJ609" s="280"/>
      <c r="BK609" s="280"/>
      <c r="BL609" s="280"/>
      <c r="BM609" s="280"/>
      <c r="BN609" s="280"/>
      <c r="BO609" s="280"/>
      <c r="BP609" s="280"/>
      <c r="BQ609" s="280"/>
      <c r="BR609" s="280"/>
      <c r="BS609" s="280"/>
      <c r="BT609" s="280"/>
      <c r="BU609" s="280"/>
      <c r="BV609" s="280"/>
      <c r="BW609" s="280"/>
      <c r="BX609" s="280"/>
      <c r="BY609" s="280"/>
      <c r="BZ609" s="280"/>
      <c r="CA609" s="280"/>
      <c r="CB609" s="280"/>
      <c r="CC609" s="280"/>
      <c r="CD609" s="280"/>
      <c r="CE609" s="280"/>
      <c r="CF609" s="280"/>
      <c r="CG609" s="280"/>
      <c r="CH609" s="280"/>
      <c r="CI609" s="280"/>
      <c r="CJ609" s="280"/>
      <c r="CK609" s="280"/>
      <c r="CL609" s="280"/>
      <c r="CM609" s="280"/>
      <c r="CN609" s="280"/>
      <c r="CO609" s="280"/>
      <c r="CP609" s="280"/>
      <c r="CQ609" s="280"/>
      <c r="CR609" s="280"/>
      <c r="CS609" s="280"/>
      <c r="CT609" s="280"/>
      <c r="CU609" s="280"/>
      <c r="CV609" s="13"/>
      <c r="CW609" s="280"/>
      <c r="CX609" s="13"/>
      <c r="CY609" s="280"/>
      <c r="CZ609" s="280"/>
      <c r="DA609" s="280"/>
      <c r="DB609" s="280"/>
      <c r="DC609" s="280"/>
      <c r="DD609" s="280"/>
      <c r="DE609" s="280"/>
      <c r="DF609" s="280"/>
      <c r="DG609" s="280"/>
      <c r="DH609" s="280"/>
      <c r="DI609" s="280"/>
      <c r="DJ609" s="280"/>
      <c r="DK609" s="280"/>
      <c r="DL609" s="280"/>
      <c r="DM609" s="280"/>
      <c r="DN609" s="280"/>
      <c r="DO609" s="280"/>
      <c r="DP609" s="280"/>
      <c r="DQ609" s="280"/>
      <c r="DR609" s="280"/>
      <c r="DS609" s="280"/>
      <c r="DT609" s="280"/>
      <c r="DU609" s="280"/>
      <c r="DV609" s="280"/>
      <c r="DW609" s="280"/>
      <c r="DX609" s="280"/>
      <c r="DY609" s="280"/>
      <c r="DZ609" s="280"/>
      <c r="EA609" s="280"/>
      <c r="EB609" s="280"/>
      <c r="EC609" s="280"/>
      <c r="ED609" s="280"/>
      <c r="EE609" s="280"/>
      <c r="EF609" s="280"/>
      <c r="EG609" s="280"/>
      <c r="EH609" s="280"/>
      <c r="EI609" s="280"/>
      <c r="EJ609" s="280"/>
      <c r="EK609" s="280"/>
      <c r="EL609" s="280"/>
      <c r="EM609" s="280"/>
      <c r="EN609" s="280"/>
      <c r="EO609" s="280"/>
      <c r="EP609" s="280"/>
      <c r="EQ609" s="280"/>
      <c r="ER609" s="280"/>
      <c r="ES609" s="280"/>
      <c r="ET609" s="280"/>
      <c r="EU609" s="280"/>
      <c r="EV609" s="280"/>
      <c r="EW609" s="280"/>
      <c r="EX609" s="13"/>
      <c r="EY609" s="283"/>
      <c r="EZ609" s="283"/>
      <c r="FA609" s="45"/>
    </row>
    <row r="610" spans="34:157" ht="10.75" customHeight="1" x14ac:dyDescent="0.2">
      <c r="AH610" s="12"/>
      <c r="AI610" s="12"/>
      <c r="AJ610" s="280"/>
      <c r="AK610" s="280"/>
      <c r="AL610" s="280"/>
      <c r="AM610" s="280"/>
      <c r="AN610" s="280"/>
      <c r="AO610" s="280"/>
      <c r="AP610" s="280"/>
      <c r="AQ610" s="13"/>
      <c r="AR610" s="42"/>
      <c r="AS610" s="283"/>
      <c r="AT610" s="283"/>
      <c r="AU610" s="12"/>
      <c r="AV610" s="280"/>
      <c r="AW610" s="280"/>
      <c r="AX610" s="280"/>
      <c r="AY610" s="280"/>
      <c r="AZ610" s="280"/>
      <c r="BA610" s="280"/>
      <c r="BB610" s="280"/>
      <c r="BC610" s="280"/>
      <c r="BD610" s="280"/>
      <c r="BE610" s="280"/>
      <c r="BF610" s="280"/>
      <c r="BG610" s="280"/>
      <c r="BH610" s="280"/>
      <c r="BI610" s="280"/>
      <c r="BJ610" s="280"/>
      <c r="BK610" s="280"/>
      <c r="BL610" s="280"/>
      <c r="BM610" s="280"/>
      <c r="BN610" s="280"/>
      <c r="BO610" s="280"/>
      <c r="BP610" s="280"/>
      <c r="BQ610" s="280"/>
      <c r="BR610" s="280"/>
      <c r="BS610" s="280"/>
      <c r="BT610" s="280"/>
      <c r="BU610" s="280"/>
      <c r="BV610" s="280"/>
      <c r="BW610" s="280"/>
      <c r="BX610" s="280"/>
      <c r="BY610" s="280"/>
      <c r="BZ610" s="280"/>
      <c r="CA610" s="280"/>
      <c r="CB610" s="280"/>
      <c r="CC610" s="280"/>
      <c r="CD610" s="280"/>
      <c r="CE610" s="280"/>
      <c r="CF610" s="280"/>
      <c r="CG610" s="280"/>
      <c r="CH610" s="280"/>
      <c r="CI610" s="280"/>
      <c r="CJ610" s="280"/>
      <c r="CK610" s="280"/>
      <c r="CL610" s="280"/>
      <c r="CM610" s="280"/>
      <c r="CN610" s="280"/>
      <c r="CO610" s="280"/>
      <c r="CP610" s="280"/>
      <c r="CQ610" s="280"/>
      <c r="CR610" s="280"/>
      <c r="CS610" s="280"/>
      <c r="CT610" s="280"/>
      <c r="CU610" s="280"/>
      <c r="CV610" s="13"/>
      <c r="CW610" s="280"/>
      <c r="CX610" s="13"/>
      <c r="CY610" s="280"/>
      <c r="CZ610" s="280"/>
      <c r="DA610" s="280"/>
      <c r="DB610" s="280"/>
      <c r="DC610" s="280"/>
      <c r="DD610" s="280"/>
      <c r="DE610" s="280"/>
      <c r="DF610" s="280"/>
      <c r="DG610" s="280"/>
      <c r="DH610" s="280"/>
      <c r="DI610" s="280"/>
      <c r="DJ610" s="280"/>
      <c r="DK610" s="280"/>
      <c r="DL610" s="280"/>
      <c r="DM610" s="280"/>
      <c r="DN610" s="280"/>
      <c r="DO610" s="280"/>
      <c r="DP610" s="280"/>
      <c r="DQ610" s="280"/>
      <c r="DR610" s="280"/>
      <c r="DS610" s="280"/>
      <c r="DT610" s="280"/>
      <c r="DU610" s="280"/>
      <c r="DV610" s="280"/>
      <c r="DW610" s="280"/>
      <c r="DX610" s="280"/>
      <c r="DY610" s="280"/>
      <c r="DZ610" s="280"/>
      <c r="EA610" s="280"/>
      <c r="EB610" s="280"/>
      <c r="EC610" s="280"/>
      <c r="ED610" s="280"/>
      <c r="EE610" s="280"/>
      <c r="EF610" s="280"/>
      <c r="EG610" s="280"/>
      <c r="EH610" s="280"/>
      <c r="EI610" s="280"/>
      <c r="EJ610" s="280"/>
      <c r="EK610" s="280"/>
      <c r="EL610" s="280"/>
      <c r="EM610" s="280"/>
      <c r="EN610" s="280"/>
      <c r="EO610" s="280"/>
      <c r="EP610" s="280"/>
      <c r="EQ610" s="280"/>
      <c r="ER610" s="280"/>
      <c r="ES610" s="280"/>
      <c r="ET610" s="280"/>
      <c r="EU610" s="280"/>
      <c r="EV610" s="280"/>
      <c r="EW610" s="280"/>
      <c r="EX610" s="13"/>
      <c r="EY610" s="283"/>
      <c r="EZ610" s="283"/>
      <c r="FA610" s="45"/>
    </row>
    <row r="611" spans="34:157" ht="10.75" customHeight="1" x14ac:dyDescent="0.2">
      <c r="AH611" s="12"/>
      <c r="AI611" s="12"/>
      <c r="AJ611" s="280"/>
      <c r="AK611" s="280"/>
      <c r="AL611" s="280"/>
      <c r="AM611" s="280"/>
      <c r="AN611" s="280"/>
      <c r="AO611" s="280"/>
      <c r="AP611" s="280"/>
      <c r="AQ611" s="13"/>
      <c r="AR611" s="42"/>
      <c r="AS611" s="283"/>
      <c r="AT611" s="283"/>
      <c r="AU611" s="12"/>
      <c r="AV611" s="280"/>
      <c r="AW611" s="280"/>
      <c r="AX611" s="280"/>
      <c r="AY611" s="280"/>
      <c r="AZ611" s="280"/>
      <c r="BA611" s="280"/>
      <c r="BB611" s="280"/>
      <c r="BC611" s="280"/>
      <c r="BD611" s="280"/>
      <c r="BE611" s="280"/>
      <c r="BF611" s="280"/>
      <c r="BG611" s="280"/>
      <c r="BH611" s="280"/>
      <c r="BI611" s="280"/>
      <c r="BJ611" s="280"/>
      <c r="BK611" s="280"/>
      <c r="BL611" s="280"/>
      <c r="BM611" s="280"/>
      <c r="BN611" s="280"/>
      <c r="BO611" s="280"/>
      <c r="BP611" s="280"/>
      <c r="BQ611" s="280"/>
      <c r="BR611" s="280"/>
      <c r="BS611" s="280"/>
      <c r="BT611" s="280"/>
      <c r="BU611" s="280"/>
      <c r="BV611" s="280"/>
      <c r="BW611" s="280"/>
      <c r="BX611" s="280"/>
      <c r="BY611" s="280"/>
      <c r="BZ611" s="280"/>
      <c r="CA611" s="280"/>
      <c r="CB611" s="280"/>
      <c r="CC611" s="280"/>
      <c r="CD611" s="280"/>
      <c r="CE611" s="280"/>
      <c r="CF611" s="280"/>
      <c r="CG611" s="280"/>
      <c r="CH611" s="280"/>
      <c r="CI611" s="280"/>
      <c r="CJ611" s="280"/>
      <c r="CK611" s="280"/>
      <c r="CL611" s="280"/>
      <c r="CM611" s="280"/>
      <c r="CN611" s="280"/>
      <c r="CO611" s="280"/>
      <c r="CP611" s="280"/>
      <c r="CQ611" s="280"/>
      <c r="CR611" s="280"/>
      <c r="CS611" s="280"/>
      <c r="CT611" s="280"/>
      <c r="CU611" s="280"/>
      <c r="CV611" s="13"/>
      <c r="CW611" s="280"/>
      <c r="CX611" s="13"/>
      <c r="CY611" s="280"/>
      <c r="CZ611" s="280"/>
      <c r="DA611" s="280"/>
      <c r="DB611" s="280"/>
      <c r="DC611" s="280"/>
      <c r="DD611" s="280"/>
      <c r="DE611" s="280"/>
      <c r="DF611" s="280"/>
      <c r="DG611" s="280"/>
      <c r="DH611" s="280"/>
      <c r="DI611" s="280"/>
      <c r="DJ611" s="280"/>
      <c r="DK611" s="280"/>
      <c r="DL611" s="280"/>
      <c r="DM611" s="280"/>
      <c r="DN611" s="280"/>
      <c r="DO611" s="280"/>
      <c r="DP611" s="280"/>
      <c r="DQ611" s="280"/>
      <c r="DR611" s="280"/>
      <c r="DS611" s="280"/>
      <c r="DT611" s="280"/>
      <c r="DU611" s="280"/>
      <c r="DV611" s="280"/>
      <c r="DW611" s="280"/>
      <c r="DX611" s="280"/>
      <c r="DY611" s="280"/>
      <c r="DZ611" s="280"/>
      <c r="EA611" s="280"/>
      <c r="EB611" s="280"/>
      <c r="EC611" s="280"/>
      <c r="ED611" s="280"/>
      <c r="EE611" s="280"/>
      <c r="EF611" s="280"/>
      <c r="EG611" s="280"/>
      <c r="EH611" s="280"/>
      <c r="EI611" s="280"/>
      <c r="EJ611" s="280"/>
      <c r="EK611" s="280"/>
      <c r="EL611" s="280"/>
      <c r="EM611" s="280"/>
      <c r="EN611" s="280"/>
      <c r="EO611" s="280"/>
      <c r="EP611" s="280"/>
      <c r="EQ611" s="280"/>
      <c r="ER611" s="280"/>
      <c r="ES611" s="280"/>
      <c r="ET611" s="280"/>
      <c r="EU611" s="280"/>
      <c r="EV611" s="280"/>
      <c r="EW611" s="280"/>
      <c r="EX611" s="13"/>
      <c r="EY611" s="283"/>
      <c r="EZ611" s="283"/>
      <c r="FA611" s="45"/>
    </row>
    <row r="612" spans="34:157" ht="10.75" customHeight="1" x14ac:dyDescent="0.2">
      <c r="AH612" s="12"/>
      <c r="AI612" s="12"/>
      <c r="AJ612" s="280"/>
      <c r="AK612" s="280"/>
      <c r="AL612" s="280"/>
      <c r="AM612" s="280"/>
      <c r="AN612" s="280"/>
      <c r="AO612" s="280"/>
      <c r="AP612" s="280"/>
      <c r="AQ612" s="13"/>
      <c r="AR612" s="42"/>
      <c r="AS612" s="283"/>
      <c r="AT612" s="283"/>
      <c r="AU612" s="12"/>
      <c r="AV612" s="280"/>
      <c r="AW612" s="280"/>
      <c r="AX612" s="280"/>
      <c r="AY612" s="280"/>
      <c r="AZ612" s="280"/>
      <c r="BA612" s="280"/>
      <c r="BB612" s="280"/>
      <c r="BC612" s="280"/>
      <c r="BD612" s="280"/>
      <c r="BE612" s="280"/>
      <c r="BF612" s="280"/>
      <c r="BG612" s="280"/>
      <c r="BH612" s="280"/>
      <c r="BI612" s="280"/>
      <c r="BJ612" s="280"/>
      <c r="BK612" s="280"/>
      <c r="BL612" s="280"/>
      <c r="BM612" s="280"/>
      <c r="BN612" s="280"/>
      <c r="BO612" s="280"/>
      <c r="BP612" s="280"/>
      <c r="BQ612" s="280"/>
      <c r="BR612" s="280"/>
      <c r="BS612" s="280"/>
      <c r="BT612" s="280"/>
      <c r="BU612" s="280"/>
      <c r="BV612" s="280"/>
      <c r="BW612" s="280"/>
      <c r="BX612" s="280"/>
      <c r="BY612" s="280"/>
      <c r="BZ612" s="280"/>
      <c r="CA612" s="280"/>
      <c r="CB612" s="280"/>
      <c r="CC612" s="280"/>
      <c r="CD612" s="280"/>
      <c r="CE612" s="280"/>
      <c r="CF612" s="280"/>
      <c r="CG612" s="280"/>
      <c r="CH612" s="280"/>
      <c r="CI612" s="280"/>
      <c r="CJ612" s="280"/>
      <c r="CK612" s="280"/>
      <c r="CL612" s="280"/>
      <c r="CM612" s="280"/>
      <c r="CN612" s="280"/>
      <c r="CO612" s="280"/>
      <c r="CP612" s="280"/>
      <c r="CQ612" s="280"/>
      <c r="CR612" s="280"/>
      <c r="CS612" s="280"/>
      <c r="CT612" s="280"/>
      <c r="CU612" s="280"/>
      <c r="CV612" s="13"/>
      <c r="CW612" s="280"/>
      <c r="CX612" s="13"/>
      <c r="CY612" s="280"/>
      <c r="CZ612" s="280"/>
      <c r="DA612" s="280"/>
      <c r="DB612" s="280"/>
      <c r="DC612" s="280"/>
      <c r="DD612" s="280"/>
      <c r="DE612" s="280"/>
      <c r="DF612" s="280"/>
      <c r="DG612" s="280"/>
      <c r="DH612" s="280"/>
      <c r="DI612" s="280"/>
      <c r="DJ612" s="280"/>
      <c r="DK612" s="280"/>
      <c r="DL612" s="280"/>
      <c r="DM612" s="280"/>
      <c r="DN612" s="280"/>
      <c r="DO612" s="280"/>
      <c r="DP612" s="280"/>
      <c r="DQ612" s="280"/>
      <c r="DR612" s="280"/>
      <c r="DS612" s="280"/>
      <c r="DT612" s="280"/>
      <c r="DU612" s="280"/>
      <c r="DV612" s="280"/>
      <c r="DW612" s="280"/>
      <c r="DX612" s="280"/>
      <c r="DY612" s="280"/>
      <c r="DZ612" s="280"/>
      <c r="EA612" s="280"/>
      <c r="EB612" s="280"/>
      <c r="EC612" s="280"/>
      <c r="ED612" s="280"/>
      <c r="EE612" s="280"/>
      <c r="EF612" s="280"/>
      <c r="EG612" s="280"/>
      <c r="EH612" s="280"/>
      <c r="EI612" s="280"/>
      <c r="EJ612" s="280"/>
      <c r="EK612" s="280"/>
      <c r="EL612" s="280"/>
      <c r="EM612" s="280"/>
      <c r="EN612" s="280"/>
      <c r="EO612" s="280"/>
      <c r="EP612" s="280"/>
      <c r="EQ612" s="280"/>
      <c r="ER612" s="280"/>
      <c r="ES612" s="280"/>
      <c r="ET612" s="280"/>
      <c r="EU612" s="280"/>
      <c r="EV612" s="280"/>
      <c r="EW612" s="280"/>
      <c r="EX612" s="13"/>
      <c r="EY612" s="283"/>
      <c r="EZ612" s="283"/>
      <c r="FA612" s="45"/>
    </row>
    <row r="613" spans="34:157" ht="10.75" customHeight="1" x14ac:dyDescent="0.2">
      <c r="AH613" s="12"/>
      <c r="AI613" s="12"/>
      <c r="AJ613" s="280"/>
      <c r="AK613" s="280"/>
      <c r="AL613" s="280"/>
      <c r="AM613" s="280"/>
      <c r="AN613" s="280"/>
      <c r="AO613" s="280"/>
      <c r="AP613" s="280"/>
      <c r="AQ613" s="13"/>
      <c r="AR613" s="42"/>
      <c r="AS613" s="283"/>
      <c r="AT613" s="283"/>
      <c r="AU613" s="12"/>
      <c r="AV613" s="280"/>
      <c r="AW613" s="280"/>
      <c r="AX613" s="280"/>
      <c r="AY613" s="280"/>
      <c r="AZ613" s="280"/>
      <c r="BA613" s="280"/>
      <c r="BB613" s="280"/>
      <c r="BC613" s="280"/>
      <c r="BD613" s="280"/>
      <c r="BE613" s="280"/>
      <c r="BF613" s="280"/>
      <c r="BG613" s="280"/>
      <c r="BH613" s="280"/>
      <c r="BI613" s="280"/>
      <c r="BJ613" s="280"/>
      <c r="BK613" s="280"/>
      <c r="BL613" s="280"/>
      <c r="BM613" s="280"/>
      <c r="BN613" s="280"/>
      <c r="BO613" s="280"/>
      <c r="BP613" s="280"/>
      <c r="BQ613" s="280"/>
      <c r="BR613" s="280"/>
      <c r="BS613" s="280"/>
      <c r="BT613" s="280"/>
      <c r="BU613" s="280"/>
      <c r="BV613" s="280"/>
      <c r="BW613" s="280"/>
      <c r="BX613" s="280"/>
      <c r="BY613" s="280"/>
      <c r="BZ613" s="280"/>
      <c r="CA613" s="280"/>
      <c r="CB613" s="280"/>
      <c r="CC613" s="280"/>
      <c r="CD613" s="280"/>
      <c r="CE613" s="280"/>
      <c r="CF613" s="280"/>
      <c r="CG613" s="280"/>
      <c r="CH613" s="280"/>
      <c r="CI613" s="280"/>
      <c r="CJ613" s="280"/>
      <c r="CK613" s="280"/>
      <c r="CL613" s="280"/>
      <c r="CM613" s="280"/>
      <c r="CN613" s="280"/>
      <c r="CO613" s="280"/>
      <c r="CP613" s="280"/>
      <c r="CQ613" s="280"/>
      <c r="CR613" s="280"/>
      <c r="CS613" s="280"/>
      <c r="CT613" s="280"/>
      <c r="CU613" s="280"/>
      <c r="CV613" s="13"/>
      <c r="CW613" s="280"/>
      <c r="CX613" s="13"/>
      <c r="CY613" s="280"/>
      <c r="CZ613" s="280"/>
      <c r="DA613" s="280"/>
      <c r="DB613" s="280"/>
      <c r="DC613" s="280"/>
      <c r="DD613" s="280"/>
      <c r="DE613" s="280"/>
      <c r="DF613" s="280"/>
      <c r="DG613" s="280"/>
      <c r="DH613" s="280"/>
      <c r="DI613" s="280"/>
      <c r="DJ613" s="280"/>
      <c r="DK613" s="280"/>
      <c r="DL613" s="280"/>
      <c r="DM613" s="280"/>
      <c r="DN613" s="280"/>
      <c r="DO613" s="280"/>
      <c r="DP613" s="280"/>
      <c r="DQ613" s="280"/>
      <c r="DR613" s="280"/>
      <c r="DS613" s="280"/>
      <c r="DT613" s="280"/>
      <c r="DU613" s="280"/>
      <c r="DV613" s="280"/>
      <c r="DW613" s="280"/>
      <c r="DX613" s="280"/>
      <c r="DY613" s="280"/>
      <c r="DZ613" s="280"/>
      <c r="EA613" s="280"/>
      <c r="EB613" s="280"/>
      <c r="EC613" s="280"/>
      <c r="ED613" s="280"/>
      <c r="EE613" s="280"/>
      <c r="EF613" s="280"/>
      <c r="EG613" s="280"/>
      <c r="EH613" s="280"/>
      <c r="EI613" s="280"/>
      <c r="EJ613" s="280"/>
      <c r="EK613" s="280"/>
      <c r="EL613" s="280"/>
      <c r="EM613" s="280"/>
      <c r="EN613" s="280"/>
      <c r="EO613" s="280"/>
      <c r="EP613" s="280"/>
      <c r="EQ613" s="280"/>
      <c r="ER613" s="280"/>
      <c r="ES613" s="280"/>
      <c r="ET613" s="280"/>
      <c r="EU613" s="280"/>
      <c r="EV613" s="280"/>
      <c r="EW613" s="280"/>
      <c r="EX613" s="13"/>
      <c r="EY613" s="283"/>
      <c r="EZ613" s="283"/>
      <c r="FA613" s="45"/>
    </row>
    <row r="614" spans="34:157" ht="10.75" customHeight="1" x14ac:dyDescent="0.2">
      <c r="AH614" s="12"/>
      <c r="AI614" s="12"/>
      <c r="AJ614" s="280"/>
      <c r="AK614" s="280"/>
      <c r="AL614" s="280"/>
      <c r="AM614" s="280"/>
      <c r="AN614" s="280"/>
      <c r="AO614" s="280"/>
      <c r="AP614" s="280"/>
      <c r="AQ614" s="13"/>
      <c r="AR614" s="42"/>
      <c r="AS614" s="283"/>
      <c r="AT614" s="283"/>
      <c r="AU614" s="12"/>
      <c r="AV614" s="280"/>
      <c r="AW614" s="280"/>
      <c r="AX614" s="280"/>
      <c r="AY614" s="280"/>
      <c r="AZ614" s="280"/>
      <c r="BA614" s="280"/>
      <c r="BB614" s="280"/>
      <c r="BC614" s="280"/>
      <c r="BD614" s="280"/>
      <c r="BE614" s="280"/>
      <c r="BF614" s="280"/>
      <c r="BG614" s="280"/>
      <c r="BH614" s="280"/>
      <c r="BI614" s="280"/>
      <c r="BJ614" s="280"/>
      <c r="BK614" s="280"/>
      <c r="BL614" s="280"/>
      <c r="BM614" s="280"/>
      <c r="BN614" s="280"/>
      <c r="BO614" s="280"/>
      <c r="BP614" s="280"/>
      <c r="BQ614" s="280"/>
      <c r="BR614" s="280"/>
      <c r="BS614" s="280"/>
      <c r="BT614" s="280"/>
      <c r="BU614" s="280"/>
      <c r="BV614" s="280"/>
      <c r="BW614" s="280"/>
      <c r="BX614" s="280"/>
      <c r="BY614" s="280"/>
      <c r="BZ614" s="280"/>
      <c r="CA614" s="280"/>
      <c r="CB614" s="280"/>
      <c r="CC614" s="280"/>
      <c r="CD614" s="280"/>
      <c r="CE614" s="280"/>
      <c r="CF614" s="280"/>
      <c r="CG614" s="280"/>
      <c r="CH614" s="280"/>
      <c r="CI614" s="280"/>
      <c r="CJ614" s="280"/>
      <c r="CK614" s="280"/>
      <c r="CL614" s="280"/>
      <c r="CM614" s="280"/>
      <c r="CN614" s="280"/>
      <c r="CO614" s="280"/>
      <c r="CP614" s="280"/>
      <c r="CQ614" s="280"/>
      <c r="CR614" s="280"/>
      <c r="CS614" s="280"/>
      <c r="CT614" s="280"/>
      <c r="CU614" s="280"/>
      <c r="CV614" s="13"/>
      <c r="CW614" s="280"/>
      <c r="CX614" s="13"/>
      <c r="CY614" s="280"/>
      <c r="CZ614" s="280"/>
      <c r="DA614" s="280"/>
      <c r="DB614" s="280"/>
      <c r="DC614" s="280"/>
      <c r="DD614" s="280"/>
      <c r="DE614" s="280"/>
      <c r="DF614" s="280"/>
      <c r="DG614" s="280"/>
      <c r="DH614" s="280"/>
      <c r="DI614" s="280"/>
      <c r="DJ614" s="280"/>
      <c r="DK614" s="280"/>
      <c r="DL614" s="280"/>
      <c r="DM614" s="280"/>
      <c r="DN614" s="280"/>
      <c r="DO614" s="280"/>
      <c r="DP614" s="280"/>
      <c r="DQ614" s="280"/>
      <c r="DR614" s="280"/>
      <c r="DS614" s="280"/>
      <c r="DT614" s="280"/>
      <c r="DU614" s="280"/>
      <c r="DV614" s="280"/>
      <c r="DW614" s="280"/>
      <c r="DX614" s="280"/>
      <c r="DY614" s="280"/>
      <c r="DZ614" s="280"/>
      <c r="EA614" s="280"/>
      <c r="EB614" s="280"/>
      <c r="EC614" s="280"/>
      <c r="ED614" s="280"/>
      <c r="EE614" s="280"/>
      <c r="EF614" s="280"/>
      <c r="EG614" s="280"/>
      <c r="EH614" s="280"/>
      <c r="EI614" s="280"/>
      <c r="EJ614" s="280"/>
      <c r="EK614" s="280"/>
      <c r="EL614" s="280"/>
      <c r="EM614" s="280"/>
      <c r="EN614" s="280"/>
      <c r="EO614" s="280"/>
      <c r="EP614" s="280"/>
      <c r="EQ614" s="280"/>
      <c r="ER614" s="280"/>
      <c r="ES614" s="280"/>
      <c r="ET614" s="280"/>
      <c r="EU614" s="280"/>
      <c r="EV614" s="280"/>
      <c r="EW614" s="280"/>
      <c r="EX614" s="13"/>
      <c r="EY614" s="283"/>
      <c r="EZ614" s="283"/>
      <c r="FA614" s="45"/>
    </row>
    <row r="615" spans="34:157" ht="10.75" customHeight="1" x14ac:dyDescent="0.2">
      <c r="AH615" s="12"/>
      <c r="AI615" s="12"/>
      <c r="AJ615" s="280"/>
      <c r="AK615" s="280"/>
      <c r="AL615" s="280"/>
      <c r="AM615" s="280"/>
      <c r="AN615" s="280"/>
      <c r="AO615" s="280"/>
      <c r="AP615" s="280"/>
      <c r="AQ615" s="13"/>
      <c r="AR615" s="42"/>
      <c r="AS615" s="283"/>
      <c r="AT615" s="283"/>
      <c r="AU615" s="12"/>
      <c r="AV615" s="280"/>
      <c r="AW615" s="280"/>
      <c r="AX615" s="280"/>
      <c r="AY615" s="280"/>
      <c r="AZ615" s="280"/>
      <c r="BA615" s="280"/>
      <c r="BB615" s="280"/>
      <c r="BC615" s="280"/>
      <c r="BD615" s="280"/>
      <c r="BE615" s="280"/>
      <c r="BF615" s="280"/>
      <c r="BG615" s="280"/>
      <c r="BH615" s="280"/>
      <c r="BI615" s="280"/>
      <c r="BJ615" s="280"/>
      <c r="BK615" s="280"/>
      <c r="BL615" s="280"/>
      <c r="BM615" s="280"/>
      <c r="BN615" s="280"/>
      <c r="BO615" s="280"/>
      <c r="BP615" s="280"/>
      <c r="BQ615" s="280"/>
      <c r="BR615" s="280"/>
      <c r="BS615" s="280"/>
      <c r="BT615" s="280"/>
      <c r="BU615" s="280"/>
      <c r="BV615" s="280"/>
      <c r="BW615" s="280"/>
      <c r="BX615" s="280"/>
      <c r="BY615" s="280"/>
      <c r="BZ615" s="280"/>
      <c r="CA615" s="280"/>
      <c r="CB615" s="280"/>
      <c r="CC615" s="280"/>
      <c r="CD615" s="280"/>
      <c r="CE615" s="280"/>
      <c r="CF615" s="280"/>
      <c r="CG615" s="280"/>
      <c r="CH615" s="280"/>
      <c r="CI615" s="280"/>
      <c r="CJ615" s="280"/>
      <c r="CK615" s="280"/>
      <c r="CL615" s="280"/>
      <c r="CM615" s="280"/>
      <c r="CN615" s="280"/>
      <c r="CO615" s="280"/>
      <c r="CP615" s="280"/>
      <c r="CQ615" s="280"/>
      <c r="CR615" s="280"/>
      <c r="CS615" s="280"/>
      <c r="CT615" s="280"/>
      <c r="CU615" s="280"/>
      <c r="CV615" s="13"/>
      <c r="CW615" s="280"/>
      <c r="CX615" s="13"/>
      <c r="CY615" s="280"/>
      <c r="CZ615" s="280"/>
      <c r="DA615" s="280"/>
      <c r="DB615" s="280"/>
      <c r="DC615" s="280"/>
      <c r="DD615" s="280"/>
      <c r="DE615" s="280"/>
      <c r="DF615" s="280"/>
      <c r="DG615" s="280"/>
      <c r="DH615" s="280"/>
      <c r="DI615" s="280"/>
      <c r="DJ615" s="280"/>
      <c r="DK615" s="280"/>
      <c r="DL615" s="280"/>
      <c r="DM615" s="280"/>
      <c r="DN615" s="280"/>
      <c r="DO615" s="280"/>
      <c r="DP615" s="280"/>
      <c r="DQ615" s="280"/>
      <c r="DR615" s="280"/>
      <c r="DS615" s="280"/>
      <c r="DT615" s="280"/>
      <c r="DU615" s="280"/>
      <c r="DV615" s="280"/>
      <c r="DW615" s="280"/>
      <c r="DX615" s="280"/>
      <c r="DY615" s="280"/>
      <c r="DZ615" s="280"/>
      <c r="EA615" s="280"/>
      <c r="EB615" s="280"/>
      <c r="EC615" s="280"/>
      <c r="ED615" s="280"/>
      <c r="EE615" s="280"/>
      <c r="EF615" s="280"/>
      <c r="EG615" s="280"/>
      <c r="EH615" s="280"/>
      <c r="EI615" s="280"/>
      <c r="EJ615" s="280"/>
      <c r="EK615" s="280"/>
      <c r="EL615" s="280"/>
      <c r="EM615" s="280"/>
      <c r="EN615" s="280"/>
      <c r="EO615" s="280"/>
      <c r="EP615" s="280"/>
      <c r="EQ615" s="280"/>
      <c r="ER615" s="280"/>
      <c r="ES615" s="280"/>
      <c r="ET615" s="280"/>
      <c r="EU615" s="280"/>
      <c r="EV615" s="280"/>
      <c r="EW615" s="280"/>
      <c r="EX615" s="13"/>
      <c r="EY615" s="283"/>
      <c r="EZ615" s="283"/>
      <c r="FA615" s="45"/>
    </row>
    <row r="616" spans="34:157" ht="10.75" customHeight="1" x14ac:dyDescent="0.2">
      <c r="AH616" s="12"/>
      <c r="AI616" s="12"/>
      <c r="AJ616" s="280"/>
      <c r="AK616" s="280"/>
      <c r="AL616" s="280"/>
      <c r="AM616" s="280"/>
      <c r="AN616" s="280"/>
      <c r="AO616" s="280"/>
      <c r="AP616" s="280"/>
      <c r="AQ616" s="13"/>
      <c r="AR616" s="42"/>
      <c r="AS616" s="283"/>
      <c r="AT616" s="283"/>
      <c r="AU616" s="12"/>
      <c r="AV616" s="280"/>
      <c r="AW616" s="280"/>
      <c r="AX616" s="280"/>
      <c r="AY616" s="280"/>
      <c r="AZ616" s="280"/>
      <c r="BA616" s="280"/>
      <c r="BB616" s="280"/>
      <c r="BC616" s="280"/>
      <c r="BD616" s="280"/>
      <c r="BE616" s="280"/>
      <c r="BF616" s="280"/>
      <c r="BG616" s="280"/>
      <c r="BH616" s="280"/>
      <c r="BI616" s="280"/>
      <c r="BJ616" s="280"/>
      <c r="BK616" s="280"/>
      <c r="BL616" s="280"/>
      <c r="BM616" s="280"/>
      <c r="BN616" s="280"/>
      <c r="BO616" s="280"/>
      <c r="BP616" s="280"/>
      <c r="BQ616" s="280"/>
      <c r="BR616" s="280"/>
      <c r="BS616" s="280"/>
      <c r="BT616" s="280"/>
      <c r="BU616" s="280"/>
      <c r="BV616" s="280"/>
      <c r="BW616" s="280"/>
      <c r="BX616" s="280"/>
      <c r="BY616" s="280"/>
      <c r="BZ616" s="280"/>
      <c r="CA616" s="280"/>
      <c r="CB616" s="280"/>
      <c r="CC616" s="280"/>
      <c r="CD616" s="280"/>
      <c r="CE616" s="280"/>
      <c r="CF616" s="280"/>
      <c r="CG616" s="280"/>
      <c r="CH616" s="280"/>
      <c r="CI616" s="280"/>
      <c r="CJ616" s="280"/>
      <c r="CK616" s="280"/>
      <c r="CL616" s="280"/>
      <c r="CM616" s="280"/>
      <c r="CN616" s="280"/>
      <c r="CO616" s="280"/>
      <c r="CP616" s="280"/>
      <c r="CQ616" s="280"/>
      <c r="CR616" s="280"/>
      <c r="CS616" s="280"/>
      <c r="CT616" s="280"/>
      <c r="CU616" s="280"/>
      <c r="CV616" s="13"/>
      <c r="CW616" s="280"/>
      <c r="CX616" s="13"/>
      <c r="CY616" s="280"/>
      <c r="CZ616" s="280"/>
      <c r="DA616" s="280"/>
      <c r="DB616" s="280"/>
      <c r="DC616" s="280"/>
      <c r="DD616" s="280"/>
      <c r="DE616" s="280"/>
      <c r="DF616" s="280"/>
      <c r="DG616" s="280"/>
      <c r="DH616" s="280"/>
      <c r="DI616" s="280"/>
      <c r="DJ616" s="280"/>
      <c r="DK616" s="280"/>
      <c r="DL616" s="280"/>
      <c r="DM616" s="280"/>
      <c r="DN616" s="280"/>
      <c r="DO616" s="280"/>
      <c r="DP616" s="280"/>
      <c r="DQ616" s="280"/>
      <c r="DR616" s="280"/>
      <c r="DS616" s="280"/>
      <c r="DT616" s="280"/>
      <c r="DU616" s="280"/>
      <c r="DV616" s="280"/>
      <c r="DW616" s="280"/>
      <c r="DX616" s="280"/>
      <c r="DY616" s="280"/>
      <c r="DZ616" s="280"/>
      <c r="EA616" s="280"/>
      <c r="EB616" s="280"/>
      <c r="EC616" s="280"/>
      <c r="ED616" s="280"/>
      <c r="EE616" s="280"/>
      <c r="EF616" s="280"/>
      <c r="EG616" s="280"/>
      <c r="EH616" s="280"/>
      <c r="EI616" s="280"/>
      <c r="EJ616" s="280"/>
      <c r="EK616" s="280"/>
      <c r="EL616" s="280"/>
      <c r="EM616" s="280"/>
      <c r="EN616" s="280"/>
      <c r="EO616" s="280"/>
      <c r="EP616" s="280"/>
      <c r="EQ616" s="280"/>
      <c r="ER616" s="280"/>
      <c r="ES616" s="280"/>
      <c r="ET616" s="280"/>
      <c r="EU616" s="280"/>
      <c r="EV616" s="280"/>
      <c r="EW616" s="280"/>
      <c r="EX616" s="13"/>
      <c r="EY616" s="283"/>
      <c r="EZ616" s="283"/>
      <c r="FA616" s="45"/>
    </row>
    <row r="617" spans="34:157" ht="10.75" customHeight="1" x14ac:dyDescent="0.2">
      <c r="AH617" s="12"/>
      <c r="AI617" s="12"/>
      <c r="AJ617" s="280"/>
      <c r="AK617" s="280"/>
      <c r="AL617" s="280"/>
      <c r="AM617" s="280"/>
      <c r="AN617" s="280"/>
      <c r="AO617" s="280"/>
      <c r="AP617" s="280"/>
      <c r="AQ617" s="13"/>
      <c r="AR617" s="42"/>
      <c r="AS617" s="283"/>
      <c r="AT617" s="283"/>
      <c r="AU617" s="12"/>
      <c r="AV617" s="280"/>
      <c r="AW617" s="280"/>
      <c r="AX617" s="280"/>
      <c r="AY617" s="280"/>
      <c r="AZ617" s="280"/>
      <c r="BA617" s="280"/>
      <c r="BB617" s="280"/>
      <c r="BC617" s="280"/>
      <c r="BD617" s="280"/>
      <c r="BE617" s="280"/>
      <c r="BF617" s="280"/>
      <c r="BG617" s="280"/>
      <c r="BH617" s="280"/>
      <c r="BI617" s="280"/>
      <c r="BJ617" s="280"/>
      <c r="BK617" s="280"/>
      <c r="BL617" s="280"/>
      <c r="BM617" s="280"/>
      <c r="BN617" s="280"/>
      <c r="BO617" s="280"/>
      <c r="BP617" s="280"/>
      <c r="BQ617" s="280"/>
      <c r="BR617" s="280"/>
      <c r="BS617" s="280"/>
      <c r="BT617" s="280"/>
      <c r="BU617" s="280"/>
      <c r="BV617" s="280"/>
      <c r="BW617" s="280"/>
      <c r="BX617" s="280"/>
      <c r="BY617" s="280"/>
      <c r="BZ617" s="280"/>
      <c r="CA617" s="280"/>
      <c r="CB617" s="280"/>
      <c r="CC617" s="280"/>
      <c r="CD617" s="280"/>
      <c r="CE617" s="280"/>
      <c r="CF617" s="280"/>
      <c r="CG617" s="280"/>
      <c r="CH617" s="280"/>
      <c r="CI617" s="280"/>
      <c r="CJ617" s="280"/>
      <c r="CK617" s="280"/>
      <c r="CL617" s="280"/>
      <c r="CM617" s="280"/>
      <c r="CN617" s="280"/>
      <c r="CO617" s="280"/>
      <c r="CP617" s="280"/>
      <c r="CQ617" s="280"/>
      <c r="CR617" s="280"/>
      <c r="CS617" s="280"/>
      <c r="CT617" s="280"/>
      <c r="CU617" s="280"/>
      <c r="CV617" s="13"/>
      <c r="CW617" s="280"/>
      <c r="CX617" s="13"/>
      <c r="CY617" s="280"/>
      <c r="CZ617" s="280"/>
      <c r="DA617" s="280"/>
      <c r="DB617" s="280"/>
      <c r="DC617" s="280"/>
      <c r="DD617" s="280"/>
      <c r="DE617" s="280"/>
      <c r="DF617" s="280"/>
      <c r="DG617" s="280"/>
      <c r="DH617" s="280"/>
      <c r="DI617" s="280"/>
      <c r="DJ617" s="280"/>
      <c r="DK617" s="280"/>
      <c r="DL617" s="280"/>
      <c r="DM617" s="280"/>
      <c r="DN617" s="280"/>
      <c r="DO617" s="280"/>
      <c r="DP617" s="280"/>
      <c r="DQ617" s="280"/>
      <c r="DR617" s="280"/>
      <c r="DS617" s="280"/>
      <c r="DT617" s="280"/>
      <c r="DU617" s="280"/>
      <c r="DV617" s="280"/>
      <c r="DW617" s="280"/>
      <c r="DX617" s="280"/>
      <c r="DY617" s="280"/>
      <c r="DZ617" s="280"/>
      <c r="EA617" s="280"/>
      <c r="EB617" s="280"/>
      <c r="EC617" s="280"/>
      <c r="ED617" s="280"/>
      <c r="EE617" s="280"/>
      <c r="EF617" s="280"/>
      <c r="EG617" s="280"/>
      <c r="EH617" s="280"/>
      <c r="EI617" s="280"/>
      <c r="EJ617" s="280"/>
      <c r="EK617" s="280"/>
      <c r="EL617" s="280"/>
      <c r="EM617" s="280"/>
      <c r="EN617" s="280"/>
      <c r="EO617" s="280"/>
      <c r="EP617" s="280"/>
      <c r="EQ617" s="280"/>
      <c r="ER617" s="280"/>
      <c r="ES617" s="280"/>
      <c r="ET617" s="280"/>
      <c r="EU617" s="280"/>
      <c r="EV617" s="280"/>
      <c r="EW617" s="280"/>
      <c r="EX617" s="13"/>
      <c r="EY617" s="283"/>
      <c r="EZ617" s="283"/>
      <c r="FA617" s="45"/>
    </row>
    <row r="618" spans="34:157" ht="10.75" customHeight="1" x14ac:dyDescent="0.2">
      <c r="AH618" s="12"/>
      <c r="AI618" s="12"/>
      <c r="AJ618" s="280"/>
      <c r="AK618" s="280"/>
      <c r="AL618" s="280"/>
      <c r="AM618" s="280"/>
      <c r="AN618" s="280"/>
      <c r="AO618" s="280"/>
      <c r="AP618" s="280"/>
      <c r="AQ618" s="13"/>
      <c r="AR618" s="42"/>
      <c r="AS618" s="283"/>
      <c r="AT618" s="283"/>
      <c r="AU618" s="12"/>
      <c r="AV618" s="280"/>
      <c r="AW618" s="280"/>
      <c r="AX618" s="280"/>
      <c r="AY618" s="280"/>
      <c r="AZ618" s="280"/>
      <c r="BA618" s="280"/>
      <c r="BB618" s="280"/>
      <c r="BC618" s="280"/>
      <c r="BD618" s="280"/>
      <c r="BE618" s="280"/>
      <c r="BF618" s="280"/>
      <c r="BG618" s="280"/>
      <c r="BH618" s="280"/>
      <c r="BI618" s="280"/>
      <c r="BJ618" s="280"/>
      <c r="BK618" s="280"/>
      <c r="BL618" s="280"/>
      <c r="BM618" s="280"/>
      <c r="BN618" s="280"/>
      <c r="BO618" s="280"/>
      <c r="BP618" s="280"/>
      <c r="BQ618" s="280"/>
      <c r="BR618" s="280"/>
      <c r="BS618" s="280"/>
      <c r="BT618" s="280"/>
      <c r="BU618" s="280"/>
      <c r="BV618" s="280"/>
      <c r="BW618" s="280"/>
      <c r="BX618" s="280"/>
      <c r="BY618" s="280"/>
      <c r="BZ618" s="280"/>
      <c r="CA618" s="280"/>
      <c r="CB618" s="280"/>
      <c r="CC618" s="280"/>
      <c r="CD618" s="280"/>
      <c r="CE618" s="280"/>
      <c r="CF618" s="280"/>
      <c r="CG618" s="280"/>
      <c r="CH618" s="280"/>
      <c r="CI618" s="280"/>
      <c r="CJ618" s="280"/>
      <c r="CK618" s="280"/>
      <c r="CL618" s="280"/>
      <c r="CM618" s="280"/>
      <c r="CN618" s="280"/>
      <c r="CO618" s="280"/>
      <c r="CP618" s="280"/>
      <c r="CQ618" s="280"/>
      <c r="CR618" s="280"/>
      <c r="CS618" s="280"/>
      <c r="CT618" s="280"/>
      <c r="CU618" s="280"/>
      <c r="CV618" s="13"/>
      <c r="CW618" s="280"/>
      <c r="CX618" s="13"/>
      <c r="CY618" s="280"/>
      <c r="CZ618" s="280"/>
      <c r="DA618" s="280"/>
      <c r="DB618" s="280"/>
      <c r="DC618" s="280"/>
      <c r="DD618" s="280"/>
      <c r="DE618" s="280"/>
      <c r="DF618" s="280"/>
      <c r="DG618" s="280"/>
      <c r="DH618" s="280"/>
      <c r="DI618" s="280"/>
      <c r="DJ618" s="280"/>
      <c r="DK618" s="280"/>
      <c r="DL618" s="280"/>
      <c r="DM618" s="280"/>
      <c r="DN618" s="280"/>
      <c r="DO618" s="280"/>
      <c r="DP618" s="280"/>
      <c r="DQ618" s="280"/>
      <c r="DR618" s="280"/>
      <c r="DS618" s="280"/>
      <c r="DT618" s="280"/>
      <c r="DU618" s="280"/>
      <c r="DV618" s="280"/>
      <c r="DW618" s="280"/>
      <c r="DX618" s="280"/>
      <c r="DY618" s="280"/>
      <c r="DZ618" s="280"/>
      <c r="EA618" s="280"/>
      <c r="EB618" s="280"/>
      <c r="EC618" s="280"/>
      <c r="ED618" s="280"/>
      <c r="EE618" s="280"/>
      <c r="EF618" s="280"/>
      <c r="EG618" s="280"/>
      <c r="EH618" s="280"/>
      <c r="EI618" s="280"/>
      <c r="EJ618" s="280"/>
      <c r="EK618" s="280"/>
      <c r="EL618" s="280"/>
      <c r="EM618" s="280"/>
      <c r="EN618" s="280"/>
      <c r="EO618" s="280"/>
      <c r="EP618" s="280"/>
      <c r="EQ618" s="280"/>
      <c r="ER618" s="280"/>
      <c r="ES618" s="280"/>
      <c r="ET618" s="280"/>
      <c r="EU618" s="280"/>
      <c r="EV618" s="280"/>
      <c r="EW618" s="280"/>
      <c r="EX618" s="13"/>
      <c r="EY618" s="283"/>
      <c r="EZ618" s="283"/>
      <c r="FA618" s="45"/>
    </row>
    <row r="619" spans="34:157" ht="10.75" customHeight="1" x14ac:dyDescent="0.2">
      <c r="AH619" s="12"/>
      <c r="AI619" s="12"/>
      <c r="AJ619" s="280"/>
      <c r="AK619" s="280"/>
      <c r="AL619" s="280"/>
      <c r="AM619" s="280"/>
      <c r="AN619" s="280"/>
      <c r="AO619" s="280"/>
      <c r="AP619" s="280"/>
      <c r="AQ619" s="13"/>
      <c r="AR619" s="42"/>
      <c r="AS619" s="283"/>
      <c r="AT619" s="283"/>
      <c r="AU619" s="12"/>
      <c r="AV619" s="280"/>
      <c r="AW619" s="280"/>
      <c r="AX619" s="280"/>
      <c r="AY619" s="280"/>
      <c r="AZ619" s="280"/>
      <c r="BA619" s="280"/>
      <c r="BB619" s="280"/>
      <c r="BC619" s="280"/>
      <c r="BD619" s="280"/>
      <c r="BE619" s="280"/>
      <c r="BF619" s="280"/>
      <c r="BG619" s="280"/>
      <c r="BH619" s="280"/>
      <c r="BI619" s="280"/>
      <c r="BJ619" s="280"/>
      <c r="BK619" s="280"/>
      <c r="BL619" s="280"/>
      <c r="BM619" s="280"/>
      <c r="BN619" s="280"/>
      <c r="BO619" s="280"/>
      <c r="BP619" s="280"/>
      <c r="BQ619" s="280"/>
      <c r="BR619" s="280"/>
      <c r="BS619" s="280"/>
      <c r="BT619" s="280"/>
      <c r="BU619" s="280"/>
      <c r="BV619" s="280"/>
      <c r="BW619" s="280"/>
      <c r="BX619" s="280"/>
      <c r="BY619" s="280"/>
      <c r="BZ619" s="280"/>
      <c r="CA619" s="280"/>
      <c r="CB619" s="280"/>
      <c r="CC619" s="280"/>
      <c r="CD619" s="280"/>
      <c r="CE619" s="280"/>
      <c r="CF619" s="280"/>
      <c r="CG619" s="280"/>
      <c r="CH619" s="280"/>
      <c r="CI619" s="280"/>
      <c r="CJ619" s="280"/>
      <c r="CK619" s="280"/>
      <c r="CL619" s="280"/>
      <c r="CM619" s="280"/>
      <c r="CN619" s="280"/>
      <c r="CO619" s="280"/>
      <c r="CP619" s="280"/>
      <c r="CQ619" s="280"/>
      <c r="CR619" s="280"/>
      <c r="CS619" s="280"/>
      <c r="CT619" s="280"/>
      <c r="CU619" s="280"/>
      <c r="CV619" s="13"/>
      <c r="CW619" s="280"/>
      <c r="CX619" s="13"/>
      <c r="CY619" s="280"/>
      <c r="CZ619" s="280"/>
      <c r="DA619" s="280"/>
      <c r="DB619" s="280"/>
      <c r="DC619" s="280"/>
      <c r="DD619" s="280"/>
      <c r="DE619" s="280"/>
      <c r="DF619" s="280"/>
      <c r="DG619" s="280"/>
      <c r="DH619" s="280"/>
      <c r="DI619" s="280"/>
      <c r="DJ619" s="280"/>
      <c r="DK619" s="280"/>
      <c r="DL619" s="280"/>
      <c r="DM619" s="280"/>
      <c r="DN619" s="280"/>
      <c r="DO619" s="280"/>
      <c r="DP619" s="280"/>
      <c r="DQ619" s="280"/>
      <c r="DR619" s="280"/>
      <c r="DS619" s="280"/>
      <c r="DT619" s="280"/>
      <c r="DU619" s="280"/>
      <c r="DV619" s="280"/>
      <c r="DW619" s="280"/>
      <c r="DX619" s="280"/>
      <c r="DY619" s="280"/>
      <c r="DZ619" s="280"/>
      <c r="EA619" s="280"/>
      <c r="EB619" s="280"/>
      <c r="EC619" s="280"/>
      <c r="ED619" s="280"/>
      <c r="EE619" s="280"/>
      <c r="EF619" s="280"/>
      <c r="EG619" s="280"/>
      <c r="EH619" s="280"/>
      <c r="EI619" s="280"/>
      <c r="EJ619" s="280"/>
      <c r="EK619" s="280"/>
      <c r="EL619" s="280"/>
      <c r="EM619" s="280"/>
      <c r="EN619" s="280"/>
      <c r="EO619" s="280"/>
      <c r="EP619" s="280"/>
      <c r="EQ619" s="280"/>
      <c r="ER619" s="280"/>
      <c r="ES619" s="280"/>
      <c r="ET619" s="280"/>
      <c r="EU619" s="280"/>
      <c r="EV619" s="280"/>
      <c r="EW619" s="280"/>
      <c r="EX619" s="13"/>
      <c r="EY619" s="283"/>
      <c r="EZ619" s="283"/>
      <c r="FA619" s="45"/>
    </row>
    <row r="620" spans="34:157" ht="10.75" customHeight="1" x14ac:dyDescent="0.2">
      <c r="AH620" s="12"/>
      <c r="AI620" s="12"/>
      <c r="AJ620" s="280"/>
      <c r="AK620" s="280"/>
      <c r="AL620" s="280"/>
      <c r="AM620" s="280"/>
      <c r="AN620" s="280"/>
      <c r="AO620" s="280"/>
      <c r="AP620" s="280"/>
      <c r="AQ620" s="13"/>
      <c r="AR620" s="42"/>
      <c r="AS620" s="283"/>
      <c r="AT620" s="283"/>
      <c r="AU620" s="12"/>
      <c r="AV620" s="280"/>
      <c r="AW620" s="280"/>
      <c r="AX620" s="280"/>
      <c r="AY620" s="280"/>
      <c r="AZ620" s="280"/>
      <c r="BA620" s="280"/>
      <c r="BB620" s="280"/>
      <c r="BC620" s="280"/>
      <c r="BD620" s="280"/>
      <c r="BE620" s="280"/>
      <c r="BF620" s="280"/>
      <c r="BG620" s="280"/>
      <c r="BH620" s="280"/>
      <c r="BI620" s="280"/>
      <c r="BJ620" s="280"/>
      <c r="BK620" s="280"/>
      <c r="BL620" s="280"/>
      <c r="BM620" s="280"/>
      <c r="BN620" s="280"/>
      <c r="BO620" s="280"/>
      <c r="BP620" s="280"/>
      <c r="BQ620" s="280"/>
      <c r="BR620" s="280"/>
      <c r="BS620" s="280"/>
      <c r="BT620" s="280"/>
      <c r="BU620" s="280"/>
      <c r="BV620" s="280"/>
      <c r="BW620" s="280"/>
      <c r="BX620" s="280"/>
      <c r="BY620" s="280"/>
      <c r="BZ620" s="280"/>
      <c r="CA620" s="280"/>
      <c r="CB620" s="280"/>
      <c r="CC620" s="280"/>
      <c r="CD620" s="280"/>
      <c r="CE620" s="280"/>
      <c r="CF620" s="280"/>
      <c r="CG620" s="280"/>
      <c r="CH620" s="280"/>
      <c r="CI620" s="280"/>
      <c r="CJ620" s="280"/>
      <c r="CK620" s="280"/>
      <c r="CL620" s="280"/>
      <c r="CM620" s="280"/>
      <c r="CN620" s="280"/>
      <c r="CO620" s="280"/>
      <c r="CP620" s="280"/>
      <c r="CQ620" s="280"/>
      <c r="CR620" s="280"/>
      <c r="CS620" s="280"/>
      <c r="CT620" s="280"/>
      <c r="CU620" s="280"/>
      <c r="CV620" s="13"/>
      <c r="CW620" s="280"/>
      <c r="CX620" s="13"/>
      <c r="CY620" s="280"/>
      <c r="CZ620" s="280"/>
      <c r="DA620" s="280"/>
      <c r="DB620" s="280"/>
      <c r="DC620" s="280"/>
      <c r="DD620" s="280"/>
      <c r="DE620" s="280"/>
      <c r="DF620" s="280"/>
      <c r="DG620" s="280"/>
      <c r="DH620" s="280"/>
      <c r="DI620" s="280"/>
      <c r="DJ620" s="280"/>
      <c r="DK620" s="280"/>
      <c r="DL620" s="280"/>
      <c r="DM620" s="280"/>
      <c r="DN620" s="280"/>
      <c r="DO620" s="280"/>
      <c r="DP620" s="280"/>
      <c r="DQ620" s="280"/>
      <c r="DR620" s="280"/>
      <c r="DS620" s="280"/>
      <c r="DT620" s="280"/>
      <c r="DU620" s="280"/>
      <c r="DV620" s="280"/>
      <c r="DW620" s="280"/>
      <c r="DX620" s="280"/>
      <c r="DY620" s="280"/>
      <c r="DZ620" s="280"/>
      <c r="EA620" s="280"/>
      <c r="EB620" s="280"/>
      <c r="EC620" s="280"/>
      <c r="ED620" s="280"/>
      <c r="EE620" s="280"/>
      <c r="EF620" s="280"/>
      <c r="EG620" s="280"/>
      <c r="EH620" s="280"/>
      <c r="EI620" s="280"/>
      <c r="EJ620" s="280"/>
      <c r="EK620" s="280"/>
      <c r="EL620" s="280"/>
      <c r="EM620" s="280"/>
      <c r="EN620" s="280"/>
      <c r="EO620" s="280"/>
      <c r="EP620" s="280"/>
      <c r="EQ620" s="280"/>
      <c r="ER620" s="280"/>
      <c r="ES620" s="280"/>
      <c r="ET620" s="280"/>
      <c r="EU620" s="280"/>
      <c r="EV620" s="280"/>
      <c r="EW620" s="280"/>
      <c r="EX620" s="13"/>
      <c r="EY620" s="283"/>
      <c r="EZ620" s="283"/>
      <c r="FA620" s="45"/>
    </row>
    <row r="621" spans="34:157" ht="10.75" customHeight="1" x14ac:dyDescent="0.2">
      <c r="AH621" s="12"/>
      <c r="AI621" s="12"/>
      <c r="AJ621" s="280"/>
      <c r="AK621" s="280"/>
      <c r="AL621" s="280"/>
      <c r="AM621" s="280"/>
      <c r="AN621" s="280"/>
      <c r="AO621" s="280"/>
      <c r="AP621" s="280"/>
      <c r="AQ621" s="13"/>
      <c r="AR621" s="42"/>
      <c r="AS621" s="283"/>
      <c r="AT621" s="283"/>
      <c r="AU621" s="12"/>
      <c r="AV621" s="280"/>
      <c r="AW621" s="280"/>
      <c r="AX621" s="280"/>
      <c r="AY621" s="280"/>
      <c r="AZ621" s="280"/>
      <c r="BA621" s="280"/>
      <c r="BB621" s="280"/>
      <c r="BC621" s="280"/>
      <c r="BD621" s="280"/>
      <c r="BE621" s="280"/>
      <c r="BF621" s="280"/>
      <c r="BG621" s="280"/>
      <c r="BH621" s="280"/>
      <c r="BI621" s="280"/>
      <c r="BJ621" s="280"/>
      <c r="BK621" s="280"/>
      <c r="BL621" s="280"/>
      <c r="BM621" s="280"/>
      <c r="BN621" s="280"/>
      <c r="BO621" s="280"/>
      <c r="BP621" s="280"/>
      <c r="BQ621" s="280"/>
      <c r="BR621" s="280"/>
      <c r="BS621" s="280"/>
      <c r="BT621" s="280"/>
      <c r="BU621" s="280"/>
      <c r="BV621" s="280"/>
      <c r="BW621" s="280"/>
      <c r="BX621" s="280"/>
      <c r="BY621" s="280"/>
      <c r="BZ621" s="280"/>
      <c r="CA621" s="280"/>
      <c r="CB621" s="280"/>
      <c r="CC621" s="280"/>
      <c r="CD621" s="280"/>
      <c r="CE621" s="280"/>
      <c r="CF621" s="280"/>
      <c r="CG621" s="280"/>
      <c r="CH621" s="280"/>
      <c r="CI621" s="280"/>
      <c r="CJ621" s="280"/>
      <c r="CK621" s="280"/>
      <c r="CL621" s="280"/>
      <c r="CM621" s="280"/>
      <c r="CN621" s="280"/>
      <c r="CO621" s="280"/>
      <c r="CP621" s="280"/>
      <c r="CQ621" s="280"/>
      <c r="CR621" s="280"/>
      <c r="CS621" s="280"/>
      <c r="CT621" s="280"/>
      <c r="CU621" s="280"/>
      <c r="CV621" s="13"/>
      <c r="CW621" s="280"/>
      <c r="CX621" s="13"/>
      <c r="CY621" s="280"/>
      <c r="CZ621" s="280"/>
      <c r="DA621" s="280"/>
      <c r="DB621" s="280"/>
      <c r="DC621" s="280"/>
      <c r="DD621" s="280"/>
      <c r="DE621" s="280"/>
      <c r="DF621" s="280"/>
      <c r="DG621" s="280"/>
      <c r="DH621" s="280"/>
      <c r="DI621" s="280"/>
      <c r="DJ621" s="280"/>
      <c r="DK621" s="280"/>
      <c r="DL621" s="280"/>
      <c r="DM621" s="280"/>
      <c r="DN621" s="280"/>
      <c r="DO621" s="280"/>
      <c r="DP621" s="280"/>
      <c r="DQ621" s="280"/>
      <c r="DR621" s="280"/>
      <c r="DS621" s="280"/>
      <c r="DT621" s="280"/>
      <c r="DU621" s="280"/>
      <c r="DV621" s="280"/>
      <c r="DW621" s="280"/>
      <c r="DX621" s="280"/>
      <c r="DY621" s="280"/>
      <c r="DZ621" s="280"/>
      <c r="EA621" s="280"/>
      <c r="EB621" s="280"/>
      <c r="EC621" s="280"/>
      <c r="ED621" s="280"/>
      <c r="EE621" s="280"/>
      <c r="EF621" s="280"/>
      <c r="EG621" s="280"/>
      <c r="EH621" s="280"/>
      <c r="EI621" s="280"/>
      <c r="EJ621" s="280"/>
      <c r="EK621" s="280"/>
      <c r="EL621" s="280"/>
      <c r="EM621" s="280"/>
      <c r="EN621" s="280"/>
      <c r="EO621" s="280"/>
      <c r="EP621" s="280"/>
      <c r="EQ621" s="280"/>
      <c r="ER621" s="280"/>
      <c r="ES621" s="280"/>
      <c r="ET621" s="280"/>
      <c r="EU621" s="280"/>
      <c r="EV621" s="280"/>
      <c r="EW621" s="280"/>
      <c r="EX621" s="13"/>
      <c r="EY621" s="283"/>
      <c r="EZ621" s="283"/>
      <c r="FA621" s="45"/>
    </row>
    <row r="622" spans="34:157" ht="10.75" customHeight="1" x14ac:dyDescent="0.2">
      <c r="AH622" s="12"/>
      <c r="AI622" s="12"/>
      <c r="AJ622" s="280"/>
      <c r="AK622" s="280"/>
      <c r="AL622" s="280"/>
      <c r="AM622" s="280"/>
      <c r="AN622" s="280"/>
      <c r="AO622" s="280"/>
      <c r="AP622" s="280"/>
      <c r="AQ622" s="13"/>
      <c r="AR622" s="42"/>
      <c r="AS622" s="283"/>
      <c r="AT622" s="283"/>
      <c r="AU622" s="12"/>
      <c r="AV622" s="280"/>
      <c r="AW622" s="280"/>
      <c r="AX622" s="280"/>
      <c r="AY622" s="280"/>
      <c r="AZ622" s="280"/>
      <c r="BA622" s="280"/>
      <c r="BB622" s="280"/>
      <c r="BC622" s="280"/>
      <c r="BD622" s="280"/>
      <c r="BE622" s="280"/>
      <c r="BF622" s="280"/>
      <c r="BG622" s="280"/>
      <c r="BH622" s="280"/>
      <c r="BI622" s="280"/>
      <c r="BJ622" s="280"/>
      <c r="BK622" s="280"/>
      <c r="BL622" s="280"/>
      <c r="BM622" s="280"/>
      <c r="BN622" s="280"/>
      <c r="BO622" s="280"/>
      <c r="BP622" s="280"/>
      <c r="BQ622" s="280"/>
      <c r="BR622" s="280"/>
      <c r="BS622" s="280"/>
      <c r="BT622" s="280"/>
      <c r="BU622" s="280"/>
      <c r="BV622" s="280"/>
      <c r="BW622" s="280"/>
      <c r="BX622" s="280"/>
      <c r="BY622" s="280"/>
      <c r="BZ622" s="280"/>
      <c r="CA622" s="280"/>
      <c r="CB622" s="280"/>
      <c r="CC622" s="280"/>
      <c r="CD622" s="280"/>
      <c r="CE622" s="280"/>
      <c r="CF622" s="280"/>
      <c r="CG622" s="280"/>
      <c r="CH622" s="280"/>
      <c r="CI622" s="280"/>
      <c r="CJ622" s="280"/>
      <c r="CK622" s="280"/>
      <c r="CL622" s="280"/>
      <c r="CM622" s="280"/>
      <c r="CN622" s="280"/>
      <c r="CO622" s="280"/>
      <c r="CP622" s="280"/>
      <c r="CQ622" s="280"/>
      <c r="CR622" s="280"/>
      <c r="CS622" s="280"/>
      <c r="CT622" s="280"/>
      <c r="CU622" s="280"/>
      <c r="CV622" s="13"/>
      <c r="CW622" s="280"/>
      <c r="CX622" s="13"/>
      <c r="CY622" s="280"/>
      <c r="CZ622" s="280"/>
      <c r="DA622" s="280"/>
      <c r="DB622" s="280"/>
      <c r="DC622" s="280"/>
      <c r="DD622" s="280"/>
      <c r="DE622" s="280"/>
      <c r="DF622" s="280"/>
      <c r="DG622" s="280"/>
      <c r="DH622" s="280"/>
      <c r="DI622" s="280"/>
      <c r="DJ622" s="280"/>
      <c r="DK622" s="280"/>
      <c r="DL622" s="280"/>
      <c r="DM622" s="280"/>
      <c r="DN622" s="280"/>
      <c r="DO622" s="280"/>
      <c r="DP622" s="280"/>
      <c r="DQ622" s="280"/>
      <c r="DR622" s="280"/>
      <c r="DS622" s="280"/>
      <c r="DT622" s="280"/>
      <c r="DU622" s="280"/>
      <c r="DV622" s="280"/>
      <c r="DW622" s="280"/>
      <c r="DX622" s="280"/>
      <c r="DY622" s="280"/>
      <c r="DZ622" s="280"/>
      <c r="EA622" s="280"/>
      <c r="EB622" s="280"/>
      <c r="EC622" s="280"/>
      <c r="ED622" s="280"/>
      <c r="EE622" s="280"/>
      <c r="EF622" s="280"/>
      <c r="EG622" s="280"/>
      <c r="EH622" s="280"/>
      <c r="EI622" s="280"/>
      <c r="EJ622" s="280"/>
      <c r="EK622" s="280"/>
      <c r="EL622" s="280"/>
      <c r="EM622" s="280"/>
      <c r="EN622" s="280"/>
      <c r="EO622" s="280"/>
      <c r="EP622" s="280"/>
      <c r="EQ622" s="280"/>
      <c r="ER622" s="280"/>
      <c r="ES622" s="280"/>
      <c r="ET622" s="280"/>
      <c r="EU622" s="280"/>
      <c r="EV622" s="280"/>
      <c r="EW622" s="280"/>
      <c r="EX622" s="13"/>
      <c r="EY622" s="283"/>
      <c r="EZ622" s="283"/>
      <c r="FA622" s="45"/>
    </row>
    <row r="623" spans="34:157" ht="10.75" customHeight="1" x14ac:dyDescent="0.2">
      <c r="AH623" s="12"/>
      <c r="AI623" s="12"/>
      <c r="AJ623" s="280"/>
      <c r="AK623" s="280"/>
      <c r="AL623" s="280"/>
      <c r="AM623" s="280"/>
      <c r="AN623" s="280"/>
      <c r="AO623" s="280"/>
      <c r="AP623" s="280"/>
      <c r="AQ623" s="13"/>
      <c r="AR623" s="42"/>
      <c r="AS623" s="283"/>
      <c r="AT623" s="283"/>
      <c r="AU623" s="12"/>
      <c r="AV623" s="280"/>
      <c r="AW623" s="280"/>
      <c r="AX623" s="280"/>
      <c r="AY623" s="280"/>
      <c r="AZ623" s="280"/>
      <c r="BA623" s="280"/>
      <c r="BB623" s="280"/>
      <c r="BC623" s="280"/>
      <c r="BD623" s="280"/>
      <c r="BE623" s="280"/>
      <c r="BF623" s="280"/>
      <c r="BG623" s="280"/>
      <c r="BH623" s="280"/>
      <c r="BI623" s="280"/>
      <c r="BJ623" s="280"/>
      <c r="BK623" s="280"/>
      <c r="BL623" s="280"/>
      <c r="BM623" s="280"/>
      <c r="BN623" s="280"/>
      <c r="BO623" s="280"/>
      <c r="BP623" s="280"/>
      <c r="BQ623" s="280"/>
      <c r="BR623" s="280"/>
      <c r="BS623" s="280"/>
      <c r="BT623" s="280"/>
      <c r="BU623" s="280"/>
      <c r="BV623" s="280"/>
      <c r="BW623" s="280"/>
      <c r="BX623" s="280"/>
      <c r="BY623" s="280"/>
      <c r="BZ623" s="280"/>
      <c r="CA623" s="280"/>
      <c r="CB623" s="280"/>
      <c r="CC623" s="280"/>
      <c r="CD623" s="280"/>
      <c r="CE623" s="280"/>
      <c r="CF623" s="280"/>
      <c r="CG623" s="280"/>
      <c r="CH623" s="280"/>
      <c r="CI623" s="280"/>
      <c r="CJ623" s="280"/>
      <c r="CK623" s="280"/>
      <c r="CL623" s="280"/>
      <c r="CM623" s="280"/>
      <c r="CN623" s="280"/>
      <c r="CO623" s="280"/>
      <c r="CP623" s="280"/>
      <c r="CQ623" s="280"/>
      <c r="CR623" s="280"/>
      <c r="CS623" s="280"/>
      <c r="CT623" s="280"/>
      <c r="CU623" s="280"/>
      <c r="CV623" s="13"/>
      <c r="CW623" s="280"/>
      <c r="CX623" s="13"/>
      <c r="CY623" s="280"/>
      <c r="CZ623" s="280"/>
      <c r="DA623" s="280"/>
      <c r="DB623" s="280"/>
      <c r="DC623" s="280"/>
      <c r="DD623" s="280"/>
      <c r="DE623" s="280"/>
      <c r="DF623" s="280"/>
      <c r="DG623" s="280"/>
      <c r="DH623" s="280"/>
      <c r="DI623" s="280"/>
      <c r="DJ623" s="280"/>
      <c r="DK623" s="280"/>
      <c r="DL623" s="280"/>
      <c r="DM623" s="280"/>
      <c r="DN623" s="280"/>
      <c r="DO623" s="280"/>
      <c r="DP623" s="280"/>
      <c r="DQ623" s="280"/>
      <c r="DR623" s="280"/>
      <c r="DS623" s="280"/>
      <c r="DT623" s="280"/>
      <c r="DU623" s="280"/>
      <c r="DV623" s="280"/>
      <c r="DW623" s="280"/>
      <c r="DX623" s="280"/>
      <c r="DY623" s="280"/>
      <c r="DZ623" s="280"/>
      <c r="EA623" s="280"/>
      <c r="EB623" s="280"/>
      <c r="EC623" s="280"/>
      <c r="ED623" s="280"/>
      <c r="EE623" s="280"/>
      <c r="EF623" s="280"/>
      <c r="EG623" s="280"/>
      <c r="EH623" s="280"/>
      <c r="EI623" s="280"/>
      <c r="EJ623" s="280"/>
      <c r="EK623" s="280"/>
      <c r="EL623" s="280"/>
      <c r="EM623" s="280"/>
      <c r="EN623" s="280"/>
      <c r="EO623" s="280"/>
      <c r="EP623" s="280"/>
      <c r="EQ623" s="280"/>
      <c r="ER623" s="280"/>
      <c r="ES623" s="280"/>
      <c r="ET623" s="280"/>
      <c r="EU623" s="280"/>
      <c r="EV623" s="280"/>
      <c r="EW623" s="280"/>
      <c r="EX623" s="13"/>
      <c r="EY623" s="283"/>
      <c r="EZ623" s="283"/>
      <c r="FA623" s="45"/>
    </row>
    <row r="624" spans="34:157" ht="10.75" customHeight="1" x14ac:dyDescent="0.2">
      <c r="AH624" s="12"/>
      <c r="AI624" s="12"/>
      <c r="AJ624" s="280"/>
      <c r="AK624" s="280"/>
      <c r="AL624" s="280"/>
      <c r="AM624" s="280"/>
      <c r="AN624" s="280"/>
      <c r="AO624" s="280"/>
      <c r="AP624" s="280"/>
      <c r="AQ624" s="13"/>
      <c r="AR624" s="42"/>
      <c r="AS624" s="283"/>
      <c r="AT624" s="283"/>
      <c r="AU624" s="12"/>
      <c r="AV624" s="280"/>
      <c r="AW624" s="280"/>
      <c r="AX624" s="280"/>
      <c r="AY624" s="280"/>
      <c r="AZ624" s="280"/>
      <c r="BA624" s="280"/>
      <c r="BB624" s="280"/>
      <c r="BC624" s="280"/>
      <c r="BD624" s="280"/>
      <c r="BE624" s="280"/>
      <c r="BF624" s="280"/>
      <c r="BG624" s="280"/>
      <c r="BH624" s="280"/>
      <c r="BI624" s="280"/>
      <c r="BJ624" s="280"/>
      <c r="BK624" s="280"/>
      <c r="BL624" s="280"/>
      <c r="BM624" s="280"/>
      <c r="BN624" s="280"/>
      <c r="BO624" s="280"/>
      <c r="BP624" s="280"/>
      <c r="BQ624" s="280"/>
      <c r="BR624" s="280"/>
      <c r="BS624" s="280"/>
      <c r="BT624" s="280"/>
      <c r="BU624" s="280"/>
      <c r="BV624" s="280"/>
      <c r="BW624" s="280"/>
      <c r="BX624" s="280"/>
      <c r="BY624" s="280"/>
      <c r="BZ624" s="280"/>
      <c r="CA624" s="280"/>
      <c r="CB624" s="280"/>
      <c r="CC624" s="280"/>
      <c r="CD624" s="280"/>
      <c r="CE624" s="280"/>
      <c r="CF624" s="280"/>
      <c r="CG624" s="280"/>
      <c r="CH624" s="280"/>
      <c r="CI624" s="280"/>
      <c r="CJ624" s="280"/>
      <c r="CK624" s="280"/>
      <c r="CL624" s="280"/>
      <c r="CM624" s="280"/>
      <c r="CN624" s="280"/>
      <c r="CO624" s="280"/>
      <c r="CP624" s="280"/>
      <c r="CQ624" s="280"/>
      <c r="CR624" s="280"/>
      <c r="CS624" s="280"/>
      <c r="CT624" s="280"/>
      <c r="CU624" s="280"/>
      <c r="CV624" s="13"/>
      <c r="CW624" s="280"/>
      <c r="CX624" s="13"/>
      <c r="CY624" s="280"/>
      <c r="CZ624" s="280"/>
      <c r="DA624" s="280"/>
      <c r="DB624" s="280"/>
      <c r="DC624" s="280"/>
      <c r="DD624" s="280"/>
      <c r="DE624" s="280"/>
      <c r="DF624" s="280"/>
      <c r="DG624" s="280"/>
      <c r="DH624" s="280"/>
      <c r="DI624" s="280"/>
      <c r="DJ624" s="280"/>
      <c r="DK624" s="280"/>
      <c r="DL624" s="280"/>
      <c r="DM624" s="280"/>
      <c r="DN624" s="280"/>
      <c r="DO624" s="280"/>
      <c r="DP624" s="280"/>
      <c r="DQ624" s="280"/>
      <c r="DR624" s="280"/>
      <c r="DS624" s="280"/>
      <c r="DT624" s="280"/>
      <c r="DU624" s="280"/>
      <c r="DV624" s="280"/>
      <c r="DW624" s="280"/>
      <c r="DX624" s="280"/>
      <c r="DY624" s="280"/>
      <c r="DZ624" s="280"/>
      <c r="EA624" s="280"/>
      <c r="EB624" s="280"/>
      <c r="EC624" s="280"/>
      <c r="ED624" s="280"/>
      <c r="EE624" s="280"/>
      <c r="EF624" s="280"/>
      <c r="EG624" s="280"/>
      <c r="EH624" s="280"/>
      <c r="EI624" s="280"/>
      <c r="EJ624" s="280"/>
      <c r="EK624" s="280"/>
      <c r="EL624" s="280"/>
      <c r="EM624" s="280"/>
      <c r="EN624" s="280"/>
      <c r="EO624" s="280"/>
      <c r="EP624" s="280"/>
      <c r="EQ624" s="280"/>
      <c r="ER624" s="280"/>
      <c r="ES624" s="280"/>
      <c r="ET624" s="280"/>
      <c r="EU624" s="280"/>
      <c r="EV624" s="280"/>
      <c r="EW624" s="280"/>
      <c r="EX624" s="13"/>
      <c r="EY624" s="283"/>
      <c r="EZ624" s="283"/>
      <c r="FA624" s="45"/>
    </row>
    <row r="625" spans="34:157" ht="10.75" customHeight="1" x14ac:dyDescent="0.2">
      <c r="AH625" s="12"/>
      <c r="AI625" s="12"/>
      <c r="AJ625" s="280"/>
      <c r="AK625" s="280"/>
      <c r="AL625" s="280"/>
      <c r="AM625" s="280"/>
      <c r="AN625" s="280"/>
      <c r="AO625" s="280"/>
      <c r="AP625" s="280"/>
      <c r="AQ625" s="13"/>
      <c r="AR625" s="42"/>
      <c r="AS625" s="283"/>
      <c r="AT625" s="283"/>
      <c r="AU625" s="12"/>
      <c r="AV625" s="280"/>
      <c r="AW625" s="280"/>
      <c r="AX625" s="280"/>
      <c r="AY625" s="280"/>
      <c r="AZ625" s="280"/>
      <c r="BA625" s="280"/>
      <c r="BB625" s="280"/>
      <c r="BC625" s="280"/>
      <c r="BD625" s="280"/>
      <c r="BE625" s="280"/>
      <c r="BF625" s="280"/>
      <c r="BG625" s="280"/>
      <c r="BH625" s="280"/>
      <c r="BI625" s="280"/>
      <c r="BJ625" s="280"/>
      <c r="BK625" s="280"/>
      <c r="BL625" s="280"/>
      <c r="BM625" s="280"/>
      <c r="BN625" s="280"/>
      <c r="BO625" s="280"/>
      <c r="BP625" s="280"/>
      <c r="BQ625" s="280"/>
      <c r="BR625" s="280"/>
      <c r="BS625" s="280"/>
      <c r="BT625" s="280"/>
      <c r="BU625" s="280"/>
      <c r="BV625" s="280"/>
      <c r="BW625" s="280"/>
      <c r="BX625" s="280"/>
      <c r="BY625" s="280"/>
      <c r="BZ625" s="280"/>
      <c r="CA625" s="280"/>
      <c r="CB625" s="280"/>
      <c r="CC625" s="280"/>
      <c r="CD625" s="280"/>
      <c r="CE625" s="280"/>
      <c r="CF625" s="280"/>
      <c r="CG625" s="280"/>
      <c r="CH625" s="280"/>
      <c r="CI625" s="280"/>
      <c r="CJ625" s="280"/>
      <c r="CK625" s="280"/>
      <c r="CL625" s="280"/>
      <c r="CM625" s="280"/>
      <c r="CN625" s="280"/>
      <c r="CO625" s="280"/>
      <c r="CP625" s="280"/>
      <c r="CQ625" s="280"/>
      <c r="CR625" s="280"/>
      <c r="CS625" s="280"/>
      <c r="CT625" s="280"/>
      <c r="CU625" s="280"/>
      <c r="CV625" s="13"/>
      <c r="CW625" s="280"/>
      <c r="CX625" s="13"/>
      <c r="CY625" s="280"/>
      <c r="CZ625" s="280"/>
      <c r="DA625" s="280"/>
      <c r="DB625" s="280"/>
      <c r="DC625" s="280"/>
      <c r="DD625" s="280"/>
      <c r="DE625" s="280"/>
      <c r="DF625" s="280"/>
      <c r="DG625" s="280"/>
      <c r="DH625" s="280"/>
      <c r="DI625" s="280"/>
      <c r="DJ625" s="280"/>
      <c r="DK625" s="280"/>
      <c r="DL625" s="280"/>
      <c r="DM625" s="280"/>
      <c r="DN625" s="280"/>
      <c r="DO625" s="280"/>
      <c r="DP625" s="280"/>
      <c r="DQ625" s="280"/>
      <c r="DR625" s="280"/>
      <c r="DS625" s="280"/>
      <c r="DT625" s="280"/>
      <c r="DU625" s="280"/>
      <c r="DV625" s="280"/>
      <c r="DW625" s="280"/>
      <c r="DX625" s="280"/>
      <c r="DY625" s="280"/>
      <c r="DZ625" s="280"/>
      <c r="EA625" s="280"/>
      <c r="EB625" s="280"/>
      <c r="EC625" s="280"/>
      <c r="ED625" s="280"/>
      <c r="EE625" s="280"/>
      <c r="EF625" s="280"/>
      <c r="EG625" s="280"/>
      <c r="EH625" s="280"/>
      <c r="EI625" s="280"/>
      <c r="EJ625" s="280"/>
      <c r="EK625" s="280"/>
      <c r="EL625" s="280"/>
      <c r="EM625" s="280"/>
      <c r="EN625" s="280"/>
      <c r="EO625" s="280"/>
      <c r="EP625" s="280"/>
      <c r="EQ625" s="280"/>
      <c r="ER625" s="280"/>
      <c r="ES625" s="280"/>
      <c r="ET625" s="280"/>
      <c r="EU625" s="280"/>
      <c r="EV625" s="280"/>
      <c r="EW625" s="280"/>
      <c r="EX625" s="13"/>
      <c r="EY625" s="283"/>
      <c r="EZ625" s="283"/>
      <c r="FA625" s="45"/>
    </row>
    <row r="626" spans="34:157" ht="10.75" customHeight="1" x14ac:dyDescent="0.2">
      <c r="AH626" s="12"/>
      <c r="AI626" s="12"/>
      <c r="AJ626" s="280"/>
      <c r="AK626" s="280"/>
      <c r="AL626" s="280"/>
      <c r="AM626" s="280"/>
      <c r="AN626" s="280"/>
      <c r="AO626" s="280"/>
      <c r="AP626" s="280"/>
      <c r="AQ626" s="13"/>
      <c r="AR626" s="42"/>
      <c r="AS626" s="283"/>
      <c r="AT626" s="283"/>
      <c r="AU626" s="12"/>
      <c r="AV626" s="280"/>
      <c r="AW626" s="280"/>
      <c r="AX626" s="280"/>
      <c r="AY626" s="280"/>
      <c r="AZ626" s="280"/>
      <c r="BA626" s="280"/>
      <c r="BB626" s="280"/>
      <c r="BC626" s="280"/>
      <c r="BD626" s="280"/>
      <c r="BE626" s="280"/>
      <c r="BF626" s="280"/>
      <c r="BG626" s="280"/>
      <c r="BH626" s="280"/>
      <c r="BI626" s="280"/>
      <c r="BJ626" s="280"/>
      <c r="BK626" s="280"/>
      <c r="BL626" s="280"/>
      <c r="BM626" s="280"/>
      <c r="BN626" s="280"/>
      <c r="BO626" s="280"/>
      <c r="BP626" s="280"/>
      <c r="BQ626" s="280"/>
      <c r="BR626" s="280"/>
      <c r="BS626" s="280"/>
      <c r="BT626" s="280"/>
      <c r="BU626" s="280"/>
      <c r="BV626" s="280"/>
      <c r="BW626" s="280"/>
      <c r="BX626" s="280"/>
      <c r="BY626" s="280"/>
      <c r="BZ626" s="280"/>
      <c r="CA626" s="280"/>
      <c r="CB626" s="280"/>
      <c r="CC626" s="280"/>
      <c r="CD626" s="280"/>
      <c r="CE626" s="280"/>
      <c r="CF626" s="280"/>
      <c r="CG626" s="280"/>
      <c r="CH626" s="280"/>
      <c r="CI626" s="280"/>
      <c r="CJ626" s="280"/>
      <c r="CK626" s="280"/>
      <c r="CL626" s="280"/>
      <c r="CM626" s="280"/>
      <c r="CN626" s="280"/>
      <c r="CO626" s="280"/>
      <c r="CP626" s="280"/>
      <c r="CQ626" s="280"/>
      <c r="CR626" s="280"/>
      <c r="CS626" s="280"/>
      <c r="CT626" s="280"/>
      <c r="CU626" s="280"/>
      <c r="CV626" s="13"/>
      <c r="CW626" s="280"/>
      <c r="CX626" s="13"/>
      <c r="CY626" s="280"/>
      <c r="CZ626" s="280"/>
      <c r="DA626" s="280"/>
      <c r="DB626" s="280"/>
      <c r="DC626" s="280"/>
      <c r="DD626" s="280"/>
      <c r="DE626" s="280"/>
      <c r="DF626" s="280"/>
      <c r="DG626" s="280"/>
      <c r="DH626" s="280"/>
      <c r="DI626" s="280"/>
      <c r="DJ626" s="280"/>
      <c r="DK626" s="280"/>
      <c r="DL626" s="280"/>
      <c r="DM626" s="280"/>
      <c r="DN626" s="280"/>
      <c r="DO626" s="280"/>
      <c r="DP626" s="280"/>
      <c r="DQ626" s="280"/>
      <c r="DR626" s="280"/>
      <c r="DS626" s="280"/>
      <c r="DT626" s="280"/>
      <c r="DU626" s="280"/>
      <c r="DV626" s="280"/>
      <c r="DW626" s="280"/>
      <c r="DX626" s="280"/>
      <c r="DY626" s="280"/>
      <c r="DZ626" s="280"/>
      <c r="EA626" s="280"/>
      <c r="EB626" s="280"/>
      <c r="EC626" s="280"/>
      <c r="ED626" s="280"/>
      <c r="EE626" s="280"/>
      <c r="EF626" s="280"/>
      <c r="EG626" s="280"/>
      <c r="EH626" s="280"/>
      <c r="EI626" s="280"/>
      <c r="EJ626" s="280"/>
      <c r="EK626" s="280"/>
      <c r="EL626" s="280"/>
      <c r="EM626" s="280"/>
      <c r="EN626" s="280"/>
      <c r="EO626" s="280"/>
      <c r="EP626" s="280"/>
      <c r="EQ626" s="280"/>
      <c r="ER626" s="280"/>
      <c r="ES626" s="280"/>
      <c r="ET626" s="280"/>
      <c r="EU626" s="280"/>
      <c r="EV626" s="280"/>
      <c r="EW626" s="280"/>
      <c r="EX626" s="13"/>
      <c r="EY626" s="283"/>
      <c r="EZ626" s="283"/>
      <c r="FA626" s="45"/>
    </row>
    <row r="627" spans="34:157" ht="10.75" customHeight="1" x14ac:dyDescent="0.2">
      <c r="AH627" s="12"/>
      <c r="AI627" s="12"/>
      <c r="AJ627" s="280"/>
      <c r="AK627" s="280"/>
      <c r="AL627" s="280"/>
      <c r="AM627" s="280"/>
      <c r="AN627" s="280"/>
      <c r="AO627" s="280"/>
      <c r="AP627" s="280"/>
      <c r="AQ627" s="13"/>
      <c r="AR627" s="42"/>
      <c r="AS627" s="283"/>
      <c r="AT627" s="283"/>
      <c r="AU627" s="12"/>
      <c r="AV627" s="280"/>
      <c r="AW627" s="280"/>
      <c r="AX627" s="280"/>
      <c r="AY627" s="280"/>
      <c r="AZ627" s="280"/>
      <c r="BA627" s="280"/>
      <c r="BB627" s="280"/>
      <c r="BC627" s="280"/>
      <c r="BD627" s="280"/>
      <c r="BE627" s="280"/>
      <c r="BF627" s="280"/>
      <c r="BG627" s="280"/>
      <c r="BH627" s="280"/>
      <c r="BI627" s="280"/>
      <c r="BJ627" s="280"/>
      <c r="BK627" s="280"/>
      <c r="BL627" s="280"/>
      <c r="BM627" s="280"/>
      <c r="BN627" s="280"/>
      <c r="BO627" s="280"/>
      <c r="BP627" s="280"/>
      <c r="BQ627" s="280"/>
      <c r="BR627" s="280"/>
      <c r="BS627" s="280"/>
      <c r="BT627" s="280"/>
      <c r="BU627" s="280"/>
      <c r="BV627" s="280"/>
      <c r="BW627" s="280"/>
      <c r="BX627" s="280"/>
      <c r="BY627" s="280"/>
      <c r="BZ627" s="280"/>
      <c r="CA627" s="280"/>
      <c r="CB627" s="280"/>
      <c r="CC627" s="280"/>
      <c r="CD627" s="280"/>
      <c r="CE627" s="280"/>
      <c r="CF627" s="280"/>
      <c r="CG627" s="280"/>
      <c r="CH627" s="280"/>
      <c r="CI627" s="280"/>
      <c r="CJ627" s="280"/>
      <c r="CK627" s="280"/>
      <c r="CL627" s="280"/>
      <c r="CM627" s="280"/>
      <c r="CN627" s="280"/>
      <c r="CO627" s="280"/>
      <c r="CP627" s="280"/>
      <c r="CQ627" s="280"/>
      <c r="CR627" s="280"/>
      <c r="CS627" s="280"/>
      <c r="CT627" s="280"/>
      <c r="CU627" s="280"/>
      <c r="CV627" s="13"/>
      <c r="CW627" s="280"/>
      <c r="CX627" s="13"/>
      <c r="CY627" s="280"/>
      <c r="CZ627" s="280"/>
      <c r="DA627" s="280"/>
      <c r="DB627" s="280"/>
      <c r="DC627" s="280"/>
      <c r="DD627" s="280"/>
      <c r="DE627" s="280"/>
      <c r="DF627" s="280"/>
      <c r="DG627" s="280"/>
      <c r="DH627" s="280"/>
      <c r="DI627" s="280"/>
      <c r="DJ627" s="280"/>
      <c r="DK627" s="280"/>
      <c r="DL627" s="280"/>
      <c r="DM627" s="280"/>
      <c r="DN627" s="280"/>
      <c r="DO627" s="280"/>
      <c r="DP627" s="280"/>
      <c r="DQ627" s="280"/>
      <c r="DR627" s="280"/>
      <c r="DS627" s="280"/>
      <c r="DT627" s="280"/>
      <c r="DU627" s="280"/>
      <c r="DV627" s="280"/>
      <c r="DW627" s="280"/>
      <c r="DX627" s="280"/>
      <c r="DY627" s="280"/>
      <c r="DZ627" s="280"/>
      <c r="EA627" s="280"/>
      <c r="EB627" s="280"/>
      <c r="EC627" s="280"/>
      <c r="ED627" s="280"/>
      <c r="EE627" s="280"/>
      <c r="EF627" s="280"/>
      <c r="EG627" s="280"/>
      <c r="EH627" s="280"/>
      <c r="EI627" s="280"/>
      <c r="EJ627" s="280"/>
      <c r="EK627" s="280"/>
      <c r="EL627" s="280"/>
      <c r="EM627" s="280"/>
      <c r="EN627" s="280"/>
      <c r="EO627" s="280"/>
      <c r="EP627" s="280"/>
      <c r="EQ627" s="280"/>
      <c r="ER627" s="280"/>
      <c r="ES627" s="280"/>
      <c r="ET627" s="280"/>
      <c r="EU627" s="280"/>
      <c r="EV627" s="280"/>
      <c r="EW627" s="280"/>
      <c r="EX627" s="13"/>
      <c r="EY627" s="283"/>
      <c r="EZ627" s="283"/>
      <c r="FA627" s="45"/>
    </row>
    <row r="628" spans="34:157" ht="10.75" customHeight="1" x14ac:dyDescent="0.2">
      <c r="AH628" s="12"/>
      <c r="AI628" s="12"/>
      <c r="AJ628" s="280"/>
      <c r="AK628" s="280"/>
      <c r="AL628" s="280"/>
      <c r="AM628" s="280"/>
      <c r="AN628" s="280"/>
      <c r="AO628" s="280"/>
      <c r="AP628" s="280"/>
      <c r="AQ628" s="13"/>
      <c r="AR628" s="42"/>
      <c r="AS628" s="283"/>
      <c r="AT628" s="283"/>
      <c r="AU628" s="12"/>
      <c r="AV628" s="280"/>
      <c r="AW628" s="280"/>
      <c r="AX628" s="280"/>
      <c r="AY628" s="280"/>
      <c r="AZ628" s="280"/>
      <c r="BA628" s="280"/>
      <c r="BB628" s="280"/>
      <c r="BC628" s="280"/>
      <c r="BD628" s="280"/>
      <c r="BE628" s="280"/>
      <c r="BF628" s="280"/>
      <c r="BG628" s="280"/>
      <c r="BH628" s="280"/>
      <c r="BI628" s="280"/>
      <c r="BJ628" s="280"/>
      <c r="BK628" s="280"/>
      <c r="BL628" s="280"/>
      <c r="BM628" s="280"/>
      <c r="BN628" s="280"/>
      <c r="BO628" s="280"/>
      <c r="BP628" s="280"/>
      <c r="BQ628" s="280"/>
      <c r="BR628" s="280"/>
      <c r="BS628" s="280"/>
      <c r="BT628" s="280"/>
      <c r="BU628" s="280"/>
      <c r="BV628" s="280"/>
      <c r="BW628" s="280"/>
      <c r="BX628" s="280"/>
      <c r="BY628" s="280"/>
      <c r="BZ628" s="280"/>
      <c r="CA628" s="280"/>
      <c r="CB628" s="280"/>
      <c r="CC628" s="280"/>
      <c r="CD628" s="280"/>
      <c r="CE628" s="280"/>
      <c r="CF628" s="280"/>
      <c r="CG628" s="280"/>
      <c r="CH628" s="280"/>
      <c r="CI628" s="280"/>
      <c r="CJ628" s="280"/>
      <c r="CK628" s="280"/>
      <c r="CL628" s="280"/>
      <c r="CM628" s="280"/>
      <c r="CN628" s="280"/>
      <c r="CO628" s="280"/>
      <c r="CP628" s="280"/>
      <c r="CQ628" s="280"/>
      <c r="CR628" s="280"/>
      <c r="CS628" s="280"/>
      <c r="CT628" s="280"/>
      <c r="CU628" s="280"/>
      <c r="CV628" s="13"/>
      <c r="CW628" s="280"/>
      <c r="CX628" s="13"/>
      <c r="CY628" s="280"/>
      <c r="CZ628" s="280"/>
      <c r="DA628" s="280"/>
      <c r="DB628" s="280"/>
      <c r="DC628" s="280"/>
      <c r="DD628" s="280"/>
      <c r="DE628" s="280"/>
      <c r="DF628" s="280"/>
      <c r="DG628" s="280"/>
      <c r="DH628" s="280"/>
      <c r="DI628" s="280"/>
      <c r="DJ628" s="280"/>
      <c r="DK628" s="280"/>
      <c r="DL628" s="280"/>
      <c r="DM628" s="280"/>
      <c r="DN628" s="280"/>
      <c r="DO628" s="280"/>
      <c r="DP628" s="280"/>
      <c r="DQ628" s="280"/>
      <c r="DR628" s="280"/>
      <c r="DS628" s="280"/>
      <c r="DT628" s="280"/>
      <c r="DU628" s="280"/>
      <c r="DV628" s="280"/>
      <c r="DW628" s="280"/>
      <c r="DX628" s="280"/>
      <c r="DY628" s="280"/>
      <c r="DZ628" s="280"/>
      <c r="EA628" s="280"/>
      <c r="EB628" s="280"/>
      <c r="EC628" s="280"/>
      <c r="ED628" s="280"/>
      <c r="EE628" s="280"/>
      <c r="EF628" s="280"/>
      <c r="EG628" s="280"/>
      <c r="EH628" s="280"/>
      <c r="EI628" s="280"/>
      <c r="EJ628" s="280"/>
      <c r="EK628" s="280"/>
      <c r="EL628" s="280"/>
      <c r="EM628" s="280"/>
      <c r="EN628" s="280"/>
      <c r="EO628" s="280"/>
      <c r="EP628" s="280"/>
      <c r="EQ628" s="280"/>
      <c r="ER628" s="280"/>
      <c r="ES628" s="280"/>
      <c r="ET628" s="280"/>
      <c r="EU628" s="280"/>
      <c r="EV628" s="280"/>
      <c r="EW628" s="280"/>
      <c r="EX628" s="13"/>
      <c r="EY628" s="283"/>
      <c r="EZ628" s="283"/>
      <c r="FA628" s="45"/>
    </row>
    <row r="629" spans="34:157" ht="10.75" customHeight="1" x14ac:dyDescent="0.2">
      <c r="AH629" s="12"/>
      <c r="AI629" s="12"/>
      <c r="AJ629" s="280"/>
      <c r="AK629" s="280"/>
      <c r="AL629" s="280"/>
      <c r="AM629" s="280"/>
      <c r="AN629" s="280"/>
      <c r="AO629" s="280"/>
      <c r="AP629" s="280"/>
      <c r="AQ629" s="13"/>
      <c r="AR629" s="42"/>
      <c r="AS629" s="283"/>
      <c r="AT629" s="283"/>
      <c r="AU629" s="12"/>
      <c r="AV629" s="280"/>
      <c r="AW629" s="280"/>
      <c r="AX629" s="280"/>
      <c r="AY629" s="280"/>
      <c r="AZ629" s="280"/>
      <c r="BA629" s="280"/>
      <c r="BB629" s="280"/>
      <c r="BC629" s="280"/>
      <c r="BD629" s="280"/>
      <c r="BE629" s="280"/>
      <c r="BF629" s="280"/>
      <c r="BG629" s="280"/>
      <c r="BH629" s="280"/>
      <c r="BI629" s="280"/>
      <c r="BJ629" s="280"/>
      <c r="BK629" s="280"/>
      <c r="BL629" s="280"/>
      <c r="BM629" s="280"/>
      <c r="BN629" s="280"/>
      <c r="BO629" s="280"/>
      <c r="BP629" s="280"/>
      <c r="BQ629" s="280"/>
      <c r="BR629" s="280"/>
      <c r="BS629" s="280"/>
      <c r="BT629" s="280"/>
      <c r="BU629" s="280"/>
      <c r="BV629" s="280"/>
      <c r="BW629" s="280"/>
      <c r="BX629" s="280"/>
      <c r="BY629" s="280"/>
      <c r="BZ629" s="280"/>
      <c r="CA629" s="280"/>
      <c r="CB629" s="280"/>
      <c r="CC629" s="280"/>
      <c r="CD629" s="280"/>
      <c r="CE629" s="280"/>
      <c r="CF629" s="280"/>
      <c r="CG629" s="280"/>
      <c r="CH629" s="280"/>
      <c r="CI629" s="280"/>
      <c r="CJ629" s="280"/>
      <c r="CK629" s="280"/>
      <c r="CL629" s="280"/>
      <c r="CM629" s="280"/>
      <c r="CN629" s="280"/>
      <c r="CO629" s="280"/>
      <c r="CP629" s="280"/>
      <c r="CQ629" s="280"/>
      <c r="CR629" s="280"/>
      <c r="CS629" s="280"/>
      <c r="CT629" s="280"/>
      <c r="CU629" s="280"/>
      <c r="CV629" s="13"/>
      <c r="CW629" s="280"/>
      <c r="CX629" s="13"/>
      <c r="CY629" s="280"/>
      <c r="CZ629" s="280"/>
      <c r="DA629" s="280"/>
      <c r="DB629" s="280"/>
      <c r="DC629" s="280"/>
      <c r="DD629" s="280"/>
      <c r="DE629" s="280"/>
      <c r="DF629" s="280"/>
      <c r="DG629" s="280"/>
      <c r="DH629" s="280"/>
      <c r="DI629" s="280"/>
      <c r="DJ629" s="280"/>
      <c r="DK629" s="280"/>
      <c r="DL629" s="280"/>
      <c r="DM629" s="280"/>
      <c r="DN629" s="280"/>
      <c r="DO629" s="280"/>
      <c r="DP629" s="280"/>
      <c r="DQ629" s="280"/>
      <c r="DR629" s="280"/>
      <c r="DS629" s="280"/>
      <c r="DT629" s="280"/>
      <c r="DU629" s="280"/>
      <c r="DV629" s="280"/>
      <c r="DW629" s="280"/>
      <c r="DX629" s="280"/>
      <c r="DY629" s="280"/>
      <c r="DZ629" s="280"/>
      <c r="EA629" s="280"/>
      <c r="EB629" s="280"/>
      <c r="EC629" s="280"/>
      <c r="ED629" s="280"/>
      <c r="EE629" s="280"/>
      <c r="EF629" s="280"/>
      <c r="EG629" s="280"/>
      <c r="EH629" s="280"/>
      <c r="EI629" s="280"/>
      <c r="EJ629" s="280"/>
      <c r="EK629" s="280"/>
      <c r="EL629" s="280"/>
      <c r="EM629" s="280"/>
      <c r="EN629" s="280"/>
      <c r="EO629" s="280"/>
      <c r="EP629" s="280"/>
      <c r="EQ629" s="280"/>
      <c r="ER629" s="280"/>
      <c r="ES629" s="280"/>
      <c r="ET629" s="280"/>
      <c r="EU629" s="280"/>
      <c r="EV629" s="280"/>
      <c r="EW629" s="280"/>
      <c r="EX629" s="13"/>
      <c r="EY629" s="283"/>
      <c r="EZ629" s="283"/>
      <c r="FA629" s="45"/>
    </row>
    <row r="630" spans="34:157" ht="10.75" customHeight="1" x14ac:dyDescent="0.2">
      <c r="AH630" s="12"/>
      <c r="AI630" s="12"/>
      <c r="AJ630" s="280"/>
      <c r="AK630" s="280"/>
      <c r="AL630" s="280"/>
      <c r="AM630" s="280"/>
      <c r="AN630" s="280"/>
      <c r="AO630" s="280"/>
      <c r="AP630" s="280"/>
      <c r="AQ630" s="13"/>
      <c r="AR630" s="42"/>
      <c r="AS630" s="283"/>
      <c r="AT630" s="283"/>
      <c r="AU630" s="12"/>
      <c r="AV630" s="280"/>
      <c r="AW630" s="280"/>
      <c r="AX630" s="280"/>
      <c r="AY630" s="280"/>
      <c r="AZ630" s="280"/>
      <c r="BA630" s="280"/>
      <c r="BB630" s="280"/>
      <c r="BC630" s="280"/>
      <c r="BD630" s="280"/>
      <c r="BE630" s="280"/>
      <c r="BF630" s="280"/>
      <c r="BG630" s="280"/>
      <c r="BH630" s="280"/>
      <c r="BI630" s="280"/>
      <c r="BJ630" s="280"/>
      <c r="BK630" s="280"/>
      <c r="BL630" s="280"/>
      <c r="BM630" s="280"/>
      <c r="BN630" s="280"/>
      <c r="BO630" s="280"/>
      <c r="BP630" s="280"/>
      <c r="BQ630" s="280"/>
      <c r="BR630" s="280"/>
      <c r="BS630" s="280"/>
      <c r="BT630" s="280"/>
      <c r="BU630" s="280"/>
      <c r="BV630" s="280"/>
      <c r="BW630" s="280"/>
      <c r="BX630" s="280"/>
      <c r="BY630" s="280"/>
      <c r="BZ630" s="280"/>
      <c r="CA630" s="280"/>
      <c r="CB630" s="280"/>
      <c r="CC630" s="280"/>
      <c r="CD630" s="280"/>
      <c r="CE630" s="280"/>
      <c r="CF630" s="280"/>
      <c r="CG630" s="280"/>
      <c r="CH630" s="280"/>
      <c r="CI630" s="280"/>
      <c r="CJ630" s="280"/>
      <c r="CK630" s="280"/>
      <c r="CL630" s="280"/>
      <c r="CM630" s="280"/>
      <c r="CN630" s="280"/>
      <c r="CO630" s="280"/>
      <c r="CP630" s="280"/>
      <c r="CQ630" s="280"/>
      <c r="CR630" s="280"/>
      <c r="CS630" s="280"/>
      <c r="CT630" s="280"/>
      <c r="CU630" s="280"/>
      <c r="CV630" s="13"/>
      <c r="CW630" s="280"/>
      <c r="CX630" s="13"/>
      <c r="CY630" s="280"/>
      <c r="CZ630" s="280"/>
      <c r="DA630" s="280"/>
      <c r="DB630" s="280"/>
      <c r="DC630" s="280"/>
      <c r="DD630" s="280"/>
      <c r="DE630" s="280"/>
      <c r="DF630" s="280"/>
      <c r="DG630" s="280"/>
      <c r="DH630" s="280"/>
      <c r="DI630" s="280"/>
      <c r="DJ630" s="280"/>
      <c r="DK630" s="280"/>
      <c r="DL630" s="280"/>
      <c r="DM630" s="280"/>
      <c r="DN630" s="280"/>
      <c r="DO630" s="280"/>
      <c r="DP630" s="280"/>
      <c r="DQ630" s="280"/>
      <c r="DR630" s="280"/>
      <c r="DS630" s="280"/>
      <c r="DT630" s="280"/>
      <c r="DU630" s="280"/>
      <c r="DV630" s="280"/>
      <c r="DW630" s="280"/>
      <c r="DX630" s="280"/>
      <c r="DY630" s="280"/>
      <c r="DZ630" s="280"/>
      <c r="EA630" s="280"/>
      <c r="EB630" s="280"/>
      <c r="EC630" s="280"/>
      <c r="ED630" s="280"/>
      <c r="EE630" s="280"/>
      <c r="EF630" s="280"/>
      <c r="EG630" s="280"/>
      <c r="EH630" s="280"/>
      <c r="EI630" s="280"/>
      <c r="EJ630" s="280"/>
      <c r="EK630" s="280"/>
      <c r="EL630" s="280"/>
      <c r="EM630" s="280"/>
      <c r="EN630" s="280"/>
      <c r="EO630" s="280"/>
      <c r="EP630" s="280"/>
      <c r="EQ630" s="280"/>
      <c r="ER630" s="280"/>
      <c r="ES630" s="280"/>
      <c r="ET630" s="280"/>
      <c r="EU630" s="280"/>
      <c r="EV630" s="280"/>
      <c r="EW630" s="280"/>
      <c r="EX630" s="13"/>
      <c r="EY630" s="283"/>
      <c r="EZ630" s="283"/>
      <c r="FA630" s="45"/>
    </row>
    <row r="631" spans="34:157" ht="10.75" customHeight="1" x14ac:dyDescent="0.2">
      <c r="AH631" s="12"/>
      <c r="AI631" s="12"/>
      <c r="AJ631" s="280"/>
      <c r="AK631" s="280"/>
      <c r="AL631" s="280"/>
      <c r="AM631" s="280"/>
      <c r="AN631" s="280"/>
      <c r="AO631" s="280"/>
      <c r="AP631" s="280"/>
      <c r="AQ631" s="13"/>
      <c r="AR631" s="42"/>
      <c r="AS631" s="283"/>
      <c r="AT631" s="283"/>
      <c r="AU631" s="12"/>
      <c r="AV631" s="280"/>
      <c r="AW631" s="280"/>
      <c r="AX631" s="280"/>
      <c r="AY631" s="280"/>
      <c r="AZ631" s="280"/>
      <c r="BA631" s="280"/>
      <c r="BB631" s="280"/>
      <c r="BC631" s="280"/>
      <c r="BD631" s="280"/>
      <c r="BE631" s="280"/>
      <c r="BF631" s="280"/>
      <c r="BG631" s="280"/>
      <c r="BH631" s="280"/>
      <c r="BI631" s="280"/>
      <c r="BJ631" s="280"/>
      <c r="BK631" s="280"/>
      <c r="BL631" s="280"/>
      <c r="BM631" s="280"/>
      <c r="BN631" s="280"/>
      <c r="BO631" s="280"/>
      <c r="BP631" s="280"/>
      <c r="BQ631" s="280"/>
      <c r="BR631" s="280"/>
      <c r="BS631" s="280"/>
      <c r="BT631" s="280"/>
      <c r="BU631" s="280"/>
      <c r="BV631" s="280"/>
      <c r="BW631" s="280"/>
      <c r="BX631" s="280"/>
      <c r="BY631" s="280"/>
      <c r="BZ631" s="280"/>
      <c r="CA631" s="280"/>
      <c r="CB631" s="280"/>
      <c r="CC631" s="280"/>
      <c r="CD631" s="280"/>
      <c r="CE631" s="280"/>
      <c r="CF631" s="280"/>
      <c r="CG631" s="280"/>
      <c r="CH631" s="280"/>
      <c r="CI631" s="280"/>
      <c r="CJ631" s="280"/>
      <c r="CK631" s="280"/>
      <c r="CL631" s="280"/>
      <c r="CM631" s="280"/>
      <c r="CN631" s="280"/>
      <c r="CO631" s="280"/>
      <c r="CP631" s="280"/>
      <c r="CQ631" s="280"/>
      <c r="CR631" s="280"/>
      <c r="CS631" s="280"/>
      <c r="CT631" s="280"/>
      <c r="CU631" s="280"/>
      <c r="CV631" s="13"/>
      <c r="CW631" s="280"/>
      <c r="CX631" s="13"/>
      <c r="CY631" s="280"/>
      <c r="CZ631" s="280"/>
      <c r="DA631" s="280"/>
      <c r="DB631" s="280"/>
      <c r="DC631" s="280"/>
      <c r="DD631" s="280"/>
      <c r="DE631" s="280"/>
      <c r="DF631" s="280"/>
      <c r="DG631" s="280"/>
      <c r="DH631" s="280"/>
      <c r="DI631" s="280"/>
      <c r="DJ631" s="280"/>
      <c r="DK631" s="280"/>
      <c r="DL631" s="280"/>
      <c r="DM631" s="280"/>
      <c r="DN631" s="280"/>
      <c r="DO631" s="280"/>
      <c r="DP631" s="280"/>
      <c r="DQ631" s="280"/>
      <c r="DR631" s="280"/>
      <c r="DS631" s="280"/>
      <c r="DT631" s="280"/>
      <c r="DU631" s="280"/>
      <c r="DV631" s="280"/>
      <c r="DW631" s="280"/>
      <c r="DX631" s="280"/>
      <c r="DY631" s="280"/>
      <c r="DZ631" s="280"/>
      <c r="EA631" s="280"/>
      <c r="EB631" s="280"/>
      <c r="EC631" s="280"/>
      <c r="ED631" s="280"/>
      <c r="EE631" s="280"/>
      <c r="EF631" s="280"/>
      <c r="EG631" s="280"/>
      <c r="EH631" s="280"/>
      <c r="EI631" s="280"/>
      <c r="EJ631" s="280"/>
      <c r="EK631" s="280"/>
      <c r="EL631" s="280"/>
      <c r="EM631" s="280"/>
      <c r="EN631" s="280"/>
      <c r="EO631" s="280"/>
      <c r="EP631" s="280"/>
      <c r="EQ631" s="280"/>
      <c r="ER631" s="280"/>
      <c r="ES631" s="280"/>
      <c r="ET631" s="280"/>
      <c r="EU631" s="280"/>
      <c r="EV631" s="280"/>
      <c r="EW631" s="280"/>
      <c r="EX631" s="13"/>
      <c r="EY631" s="283"/>
      <c r="EZ631" s="283"/>
      <c r="FA631" s="45"/>
    </row>
    <row r="632" spans="34:157" ht="10.75" customHeight="1" x14ac:dyDescent="0.2">
      <c r="AH632" s="12"/>
      <c r="AI632" s="12"/>
      <c r="AJ632" s="280"/>
      <c r="AK632" s="280"/>
      <c r="AL632" s="280"/>
      <c r="AM632" s="280"/>
      <c r="AN632" s="280"/>
      <c r="AO632" s="280"/>
      <c r="AP632" s="280"/>
      <c r="AQ632" s="13"/>
      <c r="AR632" s="42"/>
      <c r="AS632" s="283"/>
      <c r="AT632" s="283"/>
      <c r="AU632" s="12"/>
      <c r="AV632" s="280"/>
      <c r="AW632" s="280"/>
      <c r="AX632" s="280"/>
      <c r="AY632" s="280"/>
      <c r="AZ632" s="280"/>
      <c r="BA632" s="280"/>
      <c r="BB632" s="280"/>
      <c r="BC632" s="280"/>
      <c r="BD632" s="280"/>
      <c r="BE632" s="280"/>
      <c r="BF632" s="280"/>
      <c r="BG632" s="280"/>
      <c r="BH632" s="280"/>
      <c r="BI632" s="280"/>
      <c r="BJ632" s="280"/>
      <c r="BK632" s="280"/>
      <c r="BL632" s="280"/>
      <c r="BM632" s="280"/>
      <c r="BN632" s="280"/>
      <c r="BO632" s="280"/>
      <c r="BP632" s="280"/>
      <c r="BQ632" s="280"/>
      <c r="BR632" s="280"/>
      <c r="BS632" s="280"/>
      <c r="BT632" s="280"/>
      <c r="BU632" s="280"/>
      <c r="BV632" s="280"/>
      <c r="BW632" s="280"/>
      <c r="BX632" s="280"/>
      <c r="BY632" s="280"/>
      <c r="BZ632" s="280"/>
      <c r="CA632" s="280"/>
      <c r="CB632" s="280"/>
      <c r="CC632" s="280"/>
      <c r="CD632" s="280"/>
      <c r="CE632" s="280"/>
      <c r="CF632" s="280"/>
      <c r="CG632" s="280"/>
      <c r="CH632" s="280"/>
      <c r="CI632" s="280"/>
      <c r="CJ632" s="280"/>
      <c r="CK632" s="280"/>
      <c r="CL632" s="280"/>
      <c r="CM632" s="280"/>
      <c r="CN632" s="280"/>
      <c r="CO632" s="280"/>
      <c r="CP632" s="280"/>
      <c r="CQ632" s="280"/>
      <c r="CR632" s="280"/>
      <c r="CS632" s="280"/>
      <c r="CT632" s="280"/>
      <c r="CU632" s="280"/>
      <c r="CV632" s="13"/>
      <c r="CW632" s="280"/>
      <c r="CX632" s="13"/>
      <c r="CY632" s="280"/>
      <c r="CZ632" s="280"/>
      <c r="DA632" s="280"/>
      <c r="DB632" s="280"/>
      <c r="DC632" s="280"/>
      <c r="DD632" s="280"/>
      <c r="DE632" s="280"/>
      <c r="DF632" s="280"/>
      <c r="DG632" s="280"/>
      <c r="DH632" s="280"/>
      <c r="DI632" s="280"/>
      <c r="DJ632" s="280"/>
      <c r="DK632" s="280"/>
      <c r="DL632" s="280"/>
      <c r="DM632" s="280"/>
      <c r="DN632" s="280"/>
      <c r="DO632" s="280"/>
      <c r="DP632" s="280"/>
      <c r="DQ632" s="280"/>
      <c r="DR632" s="280"/>
      <c r="DS632" s="280"/>
      <c r="DT632" s="280"/>
      <c r="DU632" s="280"/>
      <c r="DV632" s="280"/>
      <c r="DW632" s="280"/>
      <c r="DX632" s="280"/>
      <c r="DY632" s="280"/>
      <c r="DZ632" s="280"/>
      <c r="EA632" s="280"/>
      <c r="EB632" s="280"/>
      <c r="EC632" s="280"/>
      <c r="ED632" s="280"/>
      <c r="EE632" s="280"/>
      <c r="EF632" s="280"/>
      <c r="EG632" s="280"/>
      <c r="EH632" s="280"/>
      <c r="EI632" s="280"/>
      <c r="EJ632" s="280"/>
      <c r="EK632" s="280"/>
      <c r="EL632" s="280"/>
      <c r="EM632" s="280"/>
      <c r="EN632" s="280"/>
      <c r="EO632" s="280"/>
      <c r="EP632" s="280"/>
      <c r="EQ632" s="280"/>
      <c r="ER632" s="280"/>
      <c r="ES632" s="280"/>
      <c r="ET632" s="280"/>
      <c r="EU632" s="280"/>
      <c r="EV632" s="280"/>
      <c r="EW632" s="280"/>
      <c r="EX632" s="13"/>
      <c r="EY632" s="283"/>
      <c r="EZ632" s="283"/>
      <c r="FA632" s="45"/>
    </row>
    <row r="633" spans="34:157" ht="10.75" customHeight="1" x14ac:dyDescent="0.2">
      <c r="AH633" s="12"/>
      <c r="AI633" s="12"/>
      <c r="AJ633" s="280"/>
      <c r="AK633" s="280"/>
      <c r="AL633" s="280"/>
      <c r="AM633" s="280"/>
      <c r="AN633" s="280"/>
      <c r="AO633" s="280"/>
      <c r="AP633" s="280"/>
      <c r="AQ633" s="13"/>
      <c r="AR633" s="42"/>
      <c r="AS633" s="283"/>
      <c r="AT633" s="283"/>
      <c r="AU633" s="12"/>
      <c r="AV633" s="280"/>
      <c r="AW633" s="280"/>
      <c r="AX633" s="280"/>
      <c r="AY633" s="280"/>
      <c r="AZ633" s="280"/>
      <c r="BA633" s="280"/>
      <c r="BB633" s="280"/>
      <c r="BC633" s="280"/>
      <c r="BD633" s="280"/>
      <c r="BE633" s="280"/>
      <c r="BF633" s="280"/>
      <c r="BG633" s="280"/>
      <c r="BH633" s="280"/>
      <c r="BI633" s="280"/>
      <c r="BJ633" s="280"/>
      <c r="BK633" s="280"/>
      <c r="BL633" s="280"/>
      <c r="BM633" s="280"/>
      <c r="BN633" s="280"/>
      <c r="BO633" s="280"/>
      <c r="BP633" s="280"/>
      <c r="BQ633" s="280"/>
      <c r="BR633" s="280"/>
      <c r="BS633" s="280"/>
      <c r="BT633" s="280"/>
      <c r="BU633" s="280"/>
      <c r="BV633" s="280"/>
      <c r="BW633" s="280"/>
      <c r="BX633" s="280"/>
      <c r="BY633" s="280"/>
      <c r="BZ633" s="280"/>
      <c r="CA633" s="280"/>
      <c r="CB633" s="280"/>
      <c r="CC633" s="280"/>
      <c r="CD633" s="280"/>
      <c r="CE633" s="280"/>
      <c r="CF633" s="280"/>
      <c r="CG633" s="280"/>
      <c r="CH633" s="280"/>
      <c r="CI633" s="280"/>
      <c r="CJ633" s="280"/>
      <c r="CK633" s="280"/>
      <c r="CL633" s="280"/>
      <c r="CM633" s="280"/>
      <c r="CN633" s="280"/>
      <c r="CO633" s="280"/>
      <c r="CP633" s="280"/>
      <c r="CQ633" s="280"/>
      <c r="CR633" s="280"/>
      <c r="CS633" s="280"/>
      <c r="CT633" s="280"/>
      <c r="CU633" s="280"/>
      <c r="CV633" s="13"/>
      <c r="CW633" s="280"/>
      <c r="CX633" s="13"/>
      <c r="CY633" s="280"/>
      <c r="CZ633" s="280"/>
      <c r="DA633" s="280"/>
      <c r="DB633" s="280"/>
      <c r="DC633" s="280"/>
      <c r="DD633" s="280"/>
      <c r="DE633" s="280"/>
      <c r="DF633" s="280"/>
      <c r="DG633" s="280"/>
      <c r="DH633" s="280"/>
      <c r="DI633" s="280"/>
      <c r="DJ633" s="280"/>
      <c r="DK633" s="280"/>
      <c r="DL633" s="280"/>
      <c r="DM633" s="280"/>
      <c r="DN633" s="280"/>
      <c r="DO633" s="280"/>
      <c r="DP633" s="280"/>
      <c r="DQ633" s="280"/>
      <c r="DR633" s="280"/>
      <c r="DS633" s="280"/>
      <c r="DT633" s="280"/>
      <c r="DU633" s="280"/>
      <c r="DV633" s="280"/>
      <c r="DW633" s="280"/>
      <c r="DX633" s="280"/>
      <c r="DY633" s="280"/>
      <c r="DZ633" s="280"/>
      <c r="EA633" s="280"/>
      <c r="EB633" s="280"/>
      <c r="EC633" s="280"/>
      <c r="ED633" s="280"/>
      <c r="EE633" s="280"/>
      <c r="EF633" s="280"/>
      <c r="EG633" s="280"/>
      <c r="EH633" s="280"/>
      <c r="EI633" s="280"/>
      <c r="EJ633" s="280"/>
      <c r="EK633" s="280"/>
      <c r="EL633" s="280"/>
      <c r="EM633" s="280"/>
      <c r="EN633" s="280"/>
      <c r="EO633" s="280"/>
      <c r="EP633" s="280"/>
      <c r="EQ633" s="280"/>
      <c r="ER633" s="280"/>
      <c r="ES633" s="280"/>
      <c r="ET633" s="280"/>
      <c r="EU633" s="280"/>
      <c r="EV633" s="280"/>
      <c r="EW633" s="280"/>
      <c r="EX633" s="13"/>
      <c r="EY633" s="283"/>
      <c r="EZ633" s="283"/>
      <c r="FA633" s="45"/>
    </row>
    <row r="634" spans="34:157" ht="10.75" customHeight="1" x14ac:dyDescent="0.2">
      <c r="AH634" s="12"/>
      <c r="AI634" s="12"/>
      <c r="AJ634" s="280"/>
      <c r="AK634" s="280"/>
      <c r="AL634" s="280"/>
      <c r="AM634" s="280"/>
      <c r="AN634" s="280"/>
      <c r="AO634" s="280"/>
      <c r="AP634" s="280"/>
      <c r="AQ634" s="13"/>
      <c r="AR634" s="42"/>
      <c r="AS634" s="283"/>
      <c r="AT634" s="283"/>
      <c r="AU634" s="12"/>
      <c r="AV634" s="280"/>
      <c r="AW634" s="280"/>
      <c r="AX634" s="280"/>
      <c r="AY634" s="280"/>
      <c r="AZ634" s="280"/>
      <c r="BA634" s="280"/>
      <c r="BB634" s="280"/>
      <c r="BC634" s="280"/>
      <c r="BD634" s="280"/>
      <c r="BE634" s="280"/>
      <c r="BF634" s="280"/>
      <c r="BG634" s="280"/>
      <c r="BH634" s="280"/>
      <c r="BI634" s="280"/>
      <c r="BJ634" s="280"/>
      <c r="BK634" s="280"/>
      <c r="BL634" s="280"/>
      <c r="BM634" s="280"/>
      <c r="BN634" s="280"/>
      <c r="BO634" s="280"/>
      <c r="BP634" s="280"/>
      <c r="BQ634" s="280"/>
      <c r="BR634" s="280"/>
      <c r="BS634" s="280"/>
      <c r="BT634" s="280"/>
      <c r="BU634" s="280"/>
      <c r="BV634" s="280"/>
      <c r="BW634" s="280"/>
      <c r="BX634" s="280"/>
      <c r="BY634" s="280"/>
      <c r="BZ634" s="280"/>
      <c r="CA634" s="280"/>
      <c r="CB634" s="280"/>
      <c r="CC634" s="280"/>
      <c r="CD634" s="280"/>
      <c r="CE634" s="280"/>
      <c r="CF634" s="280"/>
      <c r="CG634" s="280"/>
      <c r="CH634" s="280"/>
      <c r="CI634" s="280"/>
      <c r="CJ634" s="280"/>
      <c r="CK634" s="280"/>
      <c r="CL634" s="280"/>
      <c r="CM634" s="280"/>
      <c r="CN634" s="280"/>
      <c r="CO634" s="280"/>
      <c r="CP634" s="280"/>
      <c r="CQ634" s="280"/>
      <c r="CR634" s="280"/>
      <c r="CS634" s="280"/>
      <c r="CT634" s="280"/>
      <c r="CU634" s="280"/>
      <c r="CV634" s="13"/>
      <c r="CW634" s="280"/>
      <c r="CX634" s="13"/>
      <c r="CY634" s="280"/>
      <c r="CZ634" s="280"/>
      <c r="DA634" s="280"/>
      <c r="DB634" s="280"/>
      <c r="DC634" s="280"/>
      <c r="DD634" s="280"/>
      <c r="DE634" s="280"/>
      <c r="DF634" s="280"/>
      <c r="DG634" s="280"/>
      <c r="DH634" s="280"/>
      <c r="DI634" s="280"/>
      <c r="DJ634" s="280"/>
      <c r="DK634" s="280"/>
      <c r="DL634" s="280"/>
      <c r="DM634" s="280"/>
      <c r="DN634" s="280"/>
      <c r="DO634" s="280"/>
      <c r="DP634" s="280"/>
      <c r="DQ634" s="280"/>
      <c r="DR634" s="280"/>
      <c r="DS634" s="280"/>
      <c r="DT634" s="280"/>
      <c r="DU634" s="280"/>
      <c r="DV634" s="280"/>
      <c r="DW634" s="280"/>
      <c r="DX634" s="280"/>
      <c r="DY634" s="280"/>
      <c r="DZ634" s="280"/>
      <c r="EA634" s="280"/>
      <c r="EB634" s="280"/>
      <c r="EC634" s="280"/>
      <c r="ED634" s="280"/>
      <c r="EE634" s="280"/>
      <c r="EF634" s="280"/>
      <c r="EG634" s="280"/>
      <c r="EH634" s="280"/>
      <c r="EI634" s="280"/>
      <c r="EJ634" s="280"/>
      <c r="EK634" s="280"/>
      <c r="EL634" s="280"/>
      <c r="EM634" s="280"/>
      <c r="EN634" s="280"/>
      <c r="EO634" s="280"/>
      <c r="EP634" s="280"/>
      <c r="EQ634" s="280"/>
      <c r="ER634" s="280"/>
      <c r="ES634" s="280"/>
      <c r="ET634" s="280"/>
      <c r="EU634" s="280"/>
      <c r="EV634" s="280"/>
      <c r="EW634" s="280"/>
      <c r="EX634" s="13"/>
      <c r="EY634" s="283"/>
      <c r="EZ634" s="283"/>
      <c r="FA634" s="45"/>
    </row>
    <row r="635" spans="34:157" ht="10.75" customHeight="1" x14ac:dyDescent="0.2">
      <c r="AH635" s="12"/>
      <c r="AI635" s="12"/>
      <c r="AJ635" s="280"/>
      <c r="AK635" s="280"/>
      <c r="AL635" s="280"/>
      <c r="AM635" s="280"/>
      <c r="AN635" s="280"/>
      <c r="AO635" s="280"/>
      <c r="AP635" s="280"/>
      <c r="AQ635" s="13"/>
      <c r="AR635" s="42"/>
      <c r="AS635" s="283"/>
      <c r="AT635" s="283"/>
      <c r="AU635" s="12"/>
      <c r="AV635" s="280"/>
      <c r="AW635" s="280"/>
      <c r="AX635" s="280"/>
      <c r="AY635" s="280"/>
      <c r="AZ635" s="280"/>
      <c r="BA635" s="280"/>
      <c r="BB635" s="280"/>
      <c r="BC635" s="280"/>
      <c r="BD635" s="280"/>
      <c r="BE635" s="280"/>
      <c r="BF635" s="280"/>
      <c r="BG635" s="280"/>
      <c r="BH635" s="280"/>
      <c r="BI635" s="280"/>
      <c r="BJ635" s="280"/>
      <c r="BK635" s="280"/>
      <c r="BL635" s="280"/>
      <c r="BM635" s="280"/>
      <c r="BN635" s="280"/>
      <c r="BO635" s="280"/>
      <c r="BP635" s="280"/>
      <c r="BQ635" s="280"/>
      <c r="BR635" s="280"/>
      <c r="BS635" s="280"/>
      <c r="BT635" s="280"/>
      <c r="BU635" s="280"/>
      <c r="BV635" s="280"/>
      <c r="BW635" s="280"/>
      <c r="BX635" s="280"/>
      <c r="BY635" s="280"/>
      <c r="BZ635" s="280"/>
      <c r="CA635" s="280"/>
      <c r="CB635" s="280"/>
      <c r="CC635" s="280"/>
      <c r="CD635" s="280"/>
      <c r="CE635" s="280"/>
      <c r="CF635" s="280"/>
      <c r="CG635" s="280"/>
      <c r="CH635" s="280"/>
      <c r="CI635" s="280"/>
      <c r="CJ635" s="280"/>
      <c r="CK635" s="280"/>
      <c r="CL635" s="280"/>
      <c r="CM635" s="280"/>
      <c r="CN635" s="280"/>
      <c r="CO635" s="280"/>
      <c r="CP635" s="280"/>
      <c r="CQ635" s="280"/>
      <c r="CR635" s="280"/>
      <c r="CS635" s="280"/>
      <c r="CT635" s="280"/>
      <c r="CU635" s="280"/>
      <c r="CV635" s="13"/>
      <c r="CW635" s="280"/>
      <c r="CX635" s="13"/>
      <c r="CY635" s="280"/>
      <c r="CZ635" s="280"/>
      <c r="DA635" s="280"/>
      <c r="DB635" s="280"/>
      <c r="DC635" s="280"/>
      <c r="DD635" s="280"/>
      <c r="DE635" s="280"/>
      <c r="DF635" s="280"/>
      <c r="DG635" s="280"/>
      <c r="DH635" s="280"/>
      <c r="DI635" s="280"/>
      <c r="DJ635" s="280"/>
      <c r="DK635" s="280"/>
      <c r="DL635" s="280"/>
      <c r="DM635" s="280"/>
      <c r="DN635" s="280"/>
      <c r="DO635" s="280"/>
      <c r="DP635" s="280"/>
      <c r="DQ635" s="280"/>
      <c r="DR635" s="280"/>
      <c r="DS635" s="280"/>
      <c r="DT635" s="280"/>
      <c r="DU635" s="280"/>
      <c r="DV635" s="280"/>
      <c r="DW635" s="280"/>
      <c r="DX635" s="280"/>
      <c r="DY635" s="280"/>
      <c r="DZ635" s="280"/>
      <c r="EA635" s="280"/>
      <c r="EB635" s="280"/>
      <c r="EC635" s="280"/>
      <c r="ED635" s="280"/>
      <c r="EE635" s="280"/>
      <c r="EF635" s="280"/>
      <c r="EG635" s="280"/>
      <c r="EH635" s="280"/>
      <c r="EI635" s="280"/>
      <c r="EJ635" s="280"/>
      <c r="EK635" s="280"/>
      <c r="EL635" s="280"/>
      <c r="EM635" s="280"/>
      <c r="EN635" s="280"/>
      <c r="EO635" s="280"/>
      <c r="EP635" s="280"/>
      <c r="EQ635" s="280"/>
      <c r="ER635" s="280"/>
      <c r="ES635" s="280"/>
      <c r="ET635" s="280"/>
      <c r="EU635" s="280"/>
      <c r="EV635" s="280"/>
      <c r="EW635" s="280"/>
      <c r="EX635" s="13"/>
      <c r="EY635" s="283"/>
      <c r="EZ635" s="283"/>
      <c r="FA635" s="45"/>
    </row>
    <row r="636" spans="34:157" ht="10.75" customHeight="1" x14ac:dyDescent="0.2">
      <c r="AH636" s="12"/>
      <c r="AI636" s="12"/>
      <c r="AJ636" s="280"/>
      <c r="AK636" s="280"/>
      <c r="AL636" s="280"/>
      <c r="AM636" s="280"/>
      <c r="AN636" s="280"/>
      <c r="AO636" s="280"/>
      <c r="AP636" s="280"/>
      <c r="AQ636" s="13"/>
      <c r="AR636" s="42"/>
      <c r="AS636" s="283"/>
      <c r="AT636" s="283"/>
      <c r="AU636" s="12"/>
      <c r="AV636" s="280"/>
      <c r="AW636" s="280"/>
      <c r="AX636" s="280"/>
      <c r="AY636" s="280"/>
      <c r="AZ636" s="280"/>
      <c r="BA636" s="280"/>
      <c r="BB636" s="280"/>
      <c r="BC636" s="280"/>
      <c r="BD636" s="280"/>
      <c r="BE636" s="280"/>
      <c r="BF636" s="280"/>
      <c r="BG636" s="280"/>
      <c r="BH636" s="280"/>
      <c r="BI636" s="280"/>
      <c r="BJ636" s="280"/>
      <c r="BK636" s="280"/>
      <c r="BL636" s="280"/>
      <c r="BM636" s="280"/>
      <c r="BN636" s="280"/>
      <c r="BO636" s="280"/>
      <c r="BP636" s="280"/>
      <c r="BQ636" s="280"/>
      <c r="BR636" s="280"/>
      <c r="BS636" s="280"/>
      <c r="BT636" s="280"/>
      <c r="BU636" s="280"/>
      <c r="BV636" s="280"/>
      <c r="BW636" s="280"/>
      <c r="BX636" s="280"/>
      <c r="BY636" s="280"/>
      <c r="BZ636" s="280"/>
      <c r="CA636" s="280"/>
      <c r="CB636" s="280"/>
      <c r="CC636" s="280"/>
      <c r="CD636" s="280"/>
      <c r="CE636" s="280"/>
      <c r="CF636" s="280"/>
      <c r="CG636" s="280"/>
      <c r="CH636" s="280"/>
      <c r="CI636" s="280"/>
      <c r="CJ636" s="280"/>
      <c r="CK636" s="280"/>
      <c r="CL636" s="280"/>
      <c r="CM636" s="280"/>
      <c r="CN636" s="280"/>
      <c r="CO636" s="280"/>
      <c r="CP636" s="280"/>
      <c r="CQ636" s="280"/>
      <c r="CR636" s="280"/>
      <c r="CS636" s="280"/>
      <c r="CT636" s="280"/>
      <c r="CU636" s="280"/>
      <c r="CV636" s="13"/>
      <c r="CW636" s="280"/>
      <c r="CX636" s="13"/>
      <c r="CY636" s="280"/>
      <c r="CZ636" s="280"/>
      <c r="DA636" s="280"/>
      <c r="DB636" s="280"/>
      <c r="DC636" s="280"/>
      <c r="DD636" s="280"/>
      <c r="DE636" s="280"/>
      <c r="DF636" s="280"/>
      <c r="DG636" s="280"/>
      <c r="DH636" s="280"/>
      <c r="DI636" s="280"/>
      <c r="DJ636" s="280"/>
      <c r="DK636" s="280"/>
      <c r="DL636" s="280"/>
      <c r="DM636" s="280"/>
      <c r="DN636" s="280"/>
      <c r="DO636" s="280"/>
      <c r="DP636" s="280"/>
      <c r="DQ636" s="280"/>
      <c r="DR636" s="280"/>
      <c r="DS636" s="280"/>
      <c r="DT636" s="280"/>
      <c r="DU636" s="280"/>
      <c r="DV636" s="280"/>
      <c r="DW636" s="280"/>
      <c r="DX636" s="280"/>
      <c r="DY636" s="280"/>
      <c r="DZ636" s="280"/>
      <c r="EA636" s="280"/>
      <c r="EB636" s="280"/>
      <c r="EC636" s="280"/>
      <c r="ED636" s="280"/>
      <c r="EE636" s="280"/>
      <c r="EF636" s="280"/>
      <c r="EG636" s="280"/>
      <c r="EH636" s="280"/>
      <c r="EI636" s="280"/>
      <c r="EJ636" s="280"/>
      <c r="EK636" s="280"/>
      <c r="EL636" s="280"/>
      <c r="EM636" s="280"/>
      <c r="EN636" s="280"/>
      <c r="EO636" s="280"/>
      <c r="EP636" s="280"/>
      <c r="EQ636" s="280"/>
      <c r="ER636" s="280"/>
      <c r="ES636" s="280"/>
      <c r="ET636" s="280"/>
      <c r="EU636" s="280"/>
      <c r="EV636" s="280"/>
      <c r="EW636" s="280"/>
      <c r="EX636" s="13"/>
      <c r="EY636" s="283"/>
      <c r="EZ636" s="283"/>
      <c r="FA636" s="45"/>
    </row>
    <row r="637" spans="34:157" ht="10.75" customHeight="1" x14ac:dyDescent="0.2">
      <c r="AH637" s="12"/>
      <c r="AI637" s="12"/>
      <c r="AJ637" s="280"/>
      <c r="AK637" s="280"/>
      <c r="AL637" s="280"/>
      <c r="AM637" s="280"/>
      <c r="AN637" s="280"/>
      <c r="AO637" s="280"/>
      <c r="AP637" s="280"/>
      <c r="AQ637" s="13"/>
      <c r="AR637" s="42"/>
      <c r="AS637" s="283"/>
      <c r="AT637" s="283"/>
      <c r="AU637" s="12"/>
      <c r="AV637" s="280"/>
      <c r="AW637" s="280"/>
      <c r="AX637" s="280"/>
      <c r="AY637" s="280"/>
      <c r="AZ637" s="280"/>
      <c r="BA637" s="280"/>
      <c r="BB637" s="280"/>
      <c r="BC637" s="280"/>
      <c r="BD637" s="280"/>
      <c r="BE637" s="280"/>
      <c r="BF637" s="280"/>
      <c r="BG637" s="280"/>
      <c r="BH637" s="280"/>
      <c r="BI637" s="280"/>
      <c r="BJ637" s="280"/>
      <c r="BK637" s="280"/>
      <c r="BL637" s="280"/>
      <c r="BM637" s="280"/>
      <c r="BN637" s="280"/>
      <c r="BO637" s="280"/>
      <c r="BP637" s="280"/>
      <c r="BQ637" s="280"/>
      <c r="BR637" s="280"/>
      <c r="BS637" s="280"/>
      <c r="BT637" s="280"/>
      <c r="BU637" s="280"/>
      <c r="BV637" s="280"/>
      <c r="BW637" s="280"/>
      <c r="BX637" s="280"/>
      <c r="BY637" s="280"/>
      <c r="BZ637" s="280"/>
      <c r="CA637" s="280"/>
      <c r="CB637" s="280"/>
      <c r="CC637" s="280"/>
      <c r="CD637" s="280"/>
      <c r="CE637" s="280"/>
      <c r="CF637" s="280"/>
      <c r="CG637" s="280"/>
      <c r="CH637" s="280"/>
      <c r="CI637" s="280"/>
      <c r="CJ637" s="280"/>
      <c r="CK637" s="280"/>
      <c r="CL637" s="280"/>
      <c r="CM637" s="280"/>
      <c r="CN637" s="280"/>
      <c r="CO637" s="280"/>
      <c r="CP637" s="280"/>
      <c r="CQ637" s="280"/>
      <c r="CR637" s="280"/>
      <c r="CS637" s="280"/>
      <c r="CT637" s="280"/>
      <c r="CU637" s="280"/>
      <c r="CV637" s="13"/>
      <c r="CW637" s="280"/>
      <c r="CX637" s="13"/>
      <c r="CY637" s="280"/>
      <c r="CZ637" s="280"/>
      <c r="DA637" s="280"/>
      <c r="DB637" s="280"/>
      <c r="DC637" s="280"/>
      <c r="DD637" s="280"/>
      <c r="DE637" s="280"/>
      <c r="DF637" s="280"/>
      <c r="DG637" s="280"/>
      <c r="DH637" s="280"/>
      <c r="DI637" s="280"/>
      <c r="DJ637" s="280"/>
      <c r="DK637" s="280"/>
      <c r="DL637" s="280"/>
      <c r="DM637" s="280"/>
      <c r="DN637" s="280"/>
      <c r="DO637" s="280"/>
      <c r="DP637" s="280"/>
      <c r="DQ637" s="280"/>
      <c r="DR637" s="280"/>
      <c r="DS637" s="280"/>
      <c r="DT637" s="280"/>
      <c r="DU637" s="280"/>
      <c r="DV637" s="280"/>
      <c r="DW637" s="280"/>
      <c r="DX637" s="280"/>
      <c r="DY637" s="280"/>
      <c r="DZ637" s="280"/>
      <c r="EA637" s="280"/>
      <c r="EB637" s="280"/>
      <c r="EC637" s="280"/>
      <c r="ED637" s="280"/>
      <c r="EE637" s="280"/>
      <c r="EF637" s="280"/>
      <c r="EG637" s="280"/>
      <c r="EH637" s="280"/>
      <c r="EI637" s="280"/>
      <c r="EJ637" s="280"/>
      <c r="EK637" s="280"/>
      <c r="EL637" s="280"/>
      <c r="EM637" s="280"/>
      <c r="EN637" s="280"/>
      <c r="EO637" s="280"/>
      <c r="EP637" s="280"/>
      <c r="EQ637" s="280"/>
      <c r="ER637" s="280"/>
      <c r="ES637" s="280"/>
      <c r="ET637" s="280"/>
      <c r="EU637" s="280"/>
      <c r="EV637" s="280"/>
      <c r="EW637" s="280"/>
      <c r="EX637" s="13"/>
      <c r="EY637" s="283"/>
      <c r="EZ637" s="283"/>
      <c r="FA637" s="45"/>
    </row>
    <row r="638" spans="34:157" ht="10.75" customHeight="1" x14ac:dyDescent="0.2">
      <c r="AH638" s="12"/>
      <c r="AI638" s="12"/>
      <c r="AJ638" s="280"/>
      <c r="AK638" s="280"/>
      <c r="AL638" s="280"/>
      <c r="AM638" s="280"/>
      <c r="AN638" s="280"/>
      <c r="AO638" s="280"/>
      <c r="AP638" s="280"/>
      <c r="AQ638" s="13"/>
      <c r="AR638" s="96"/>
      <c r="AS638" s="282"/>
      <c r="AT638" s="282"/>
      <c r="AU638" s="12"/>
      <c r="AV638" s="280"/>
      <c r="AW638" s="280"/>
      <c r="AX638" s="280"/>
      <c r="AY638" s="280"/>
      <c r="AZ638" s="280"/>
      <c r="BA638" s="280"/>
      <c r="BB638" s="280"/>
      <c r="BC638" s="280"/>
      <c r="BD638" s="280"/>
      <c r="BE638" s="280"/>
      <c r="BF638" s="280"/>
      <c r="BG638" s="280"/>
      <c r="BH638" s="280"/>
      <c r="BI638" s="280"/>
      <c r="BJ638" s="280"/>
      <c r="BK638" s="280"/>
      <c r="BL638" s="280"/>
      <c r="BM638" s="280"/>
      <c r="BN638" s="280"/>
      <c r="BO638" s="280"/>
      <c r="BP638" s="280"/>
      <c r="BQ638" s="280"/>
      <c r="BR638" s="280"/>
      <c r="BS638" s="280"/>
      <c r="BT638" s="280"/>
      <c r="BU638" s="280"/>
      <c r="BV638" s="280"/>
      <c r="BW638" s="280"/>
      <c r="BX638" s="280"/>
      <c r="BY638" s="280"/>
      <c r="BZ638" s="280"/>
      <c r="CA638" s="280"/>
      <c r="CB638" s="280"/>
      <c r="CC638" s="280"/>
      <c r="CD638" s="280"/>
      <c r="CE638" s="280"/>
      <c r="CF638" s="280"/>
      <c r="CG638" s="280"/>
      <c r="CH638" s="280"/>
      <c r="CI638" s="280"/>
      <c r="CJ638" s="280"/>
      <c r="CK638" s="280"/>
      <c r="CL638" s="280"/>
      <c r="CM638" s="280"/>
      <c r="CN638" s="280"/>
      <c r="CO638" s="280"/>
      <c r="CP638" s="280"/>
      <c r="CQ638" s="280"/>
      <c r="CR638" s="280"/>
      <c r="CS638" s="280"/>
      <c r="CT638" s="280"/>
      <c r="CU638" s="280"/>
      <c r="CV638" s="98"/>
      <c r="CW638" s="282"/>
      <c r="CX638" s="98"/>
      <c r="CY638" s="280"/>
      <c r="CZ638" s="280"/>
      <c r="DA638" s="280"/>
      <c r="DB638" s="280"/>
      <c r="DC638" s="280"/>
      <c r="DD638" s="280"/>
      <c r="DE638" s="280"/>
      <c r="DF638" s="280"/>
      <c r="DG638" s="280"/>
      <c r="DH638" s="280"/>
      <c r="DI638" s="280"/>
      <c r="DJ638" s="280"/>
      <c r="DK638" s="280"/>
      <c r="DL638" s="280"/>
      <c r="DM638" s="280"/>
      <c r="DN638" s="280"/>
      <c r="DO638" s="280"/>
      <c r="DP638" s="280"/>
      <c r="DQ638" s="280"/>
      <c r="DR638" s="280"/>
      <c r="DS638" s="280"/>
      <c r="DT638" s="280"/>
      <c r="DU638" s="280"/>
      <c r="DV638" s="280"/>
      <c r="DW638" s="280"/>
      <c r="DX638" s="280"/>
      <c r="DY638" s="280"/>
      <c r="DZ638" s="280"/>
      <c r="EA638" s="280"/>
      <c r="EB638" s="280"/>
      <c r="EC638" s="280"/>
      <c r="ED638" s="280"/>
      <c r="EE638" s="280"/>
      <c r="EF638" s="280"/>
      <c r="EG638" s="280"/>
      <c r="EH638" s="280"/>
      <c r="EI638" s="280"/>
      <c r="EJ638" s="280"/>
      <c r="EK638" s="280"/>
      <c r="EL638" s="280"/>
      <c r="EM638" s="280"/>
      <c r="EN638" s="280"/>
      <c r="EO638" s="280"/>
      <c r="EP638" s="280"/>
      <c r="EQ638" s="280"/>
      <c r="ER638" s="280"/>
      <c r="ES638" s="280"/>
      <c r="ET638" s="280"/>
      <c r="EU638" s="280"/>
      <c r="EV638" s="280"/>
      <c r="EW638" s="280"/>
      <c r="EX638" s="13"/>
      <c r="EY638" s="282"/>
      <c r="EZ638" s="282"/>
      <c r="FA638" s="98"/>
    </row>
    <row r="639" spans="34:157" ht="10.75" customHeight="1" x14ac:dyDescent="0.2">
      <c r="AH639" s="12"/>
      <c r="AI639" s="12"/>
      <c r="AJ639" s="280"/>
      <c r="AK639" s="280"/>
      <c r="AL639" s="280"/>
      <c r="AM639" s="280"/>
      <c r="AN639" s="280"/>
      <c r="AO639" s="280"/>
      <c r="AP639" s="280"/>
      <c r="AQ639" s="13"/>
      <c r="AR639" s="96"/>
      <c r="AS639" s="282"/>
      <c r="AT639" s="282"/>
      <c r="AU639" s="12"/>
      <c r="AV639" s="280"/>
      <c r="AW639" s="280"/>
      <c r="AX639" s="280"/>
      <c r="AY639" s="280"/>
      <c r="AZ639" s="280"/>
      <c r="BA639" s="280"/>
      <c r="BB639" s="280"/>
      <c r="BC639" s="280"/>
      <c r="BD639" s="280"/>
      <c r="BE639" s="280"/>
      <c r="BF639" s="280"/>
      <c r="BG639" s="280"/>
      <c r="BH639" s="280"/>
      <c r="BI639" s="280"/>
      <c r="BJ639" s="280"/>
      <c r="BK639" s="280"/>
      <c r="BL639" s="280"/>
      <c r="BM639" s="280"/>
      <c r="BN639" s="280"/>
      <c r="BO639" s="280"/>
      <c r="BP639" s="280"/>
      <c r="BQ639" s="280"/>
      <c r="BR639" s="280"/>
      <c r="BS639" s="280"/>
      <c r="BT639" s="280"/>
      <c r="BU639" s="280"/>
      <c r="BV639" s="280"/>
      <c r="BW639" s="280"/>
      <c r="BX639" s="280"/>
      <c r="BY639" s="280"/>
      <c r="BZ639" s="280"/>
      <c r="CA639" s="280"/>
      <c r="CB639" s="280"/>
      <c r="CC639" s="280"/>
      <c r="CD639" s="280"/>
      <c r="CE639" s="280"/>
      <c r="CF639" s="280"/>
      <c r="CG639" s="280"/>
      <c r="CH639" s="280"/>
      <c r="CI639" s="280"/>
      <c r="CJ639" s="280"/>
      <c r="CK639" s="280"/>
      <c r="CL639" s="280"/>
      <c r="CM639" s="280"/>
      <c r="CN639" s="280"/>
      <c r="CO639" s="280"/>
      <c r="CP639" s="280"/>
      <c r="CQ639" s="280"/>
      <c r="CR639" s="280"/>
      <c r="CS639" s="280"/>
      <c r="CT639" s="280"/>
      <c r="CU639" s="280"/>
      <c r="CV639" s="98"/>
      <c r="CW639" s="282"/>
      <c r="CX639" s="98"/>
      <c r="CY639" s="280"/>
      <c r="CZ639" s="280"/>
      <c r="DA639" s="280"/>
      <c r="DB639" s="280"/>
      <c r="DC639" s="280"/>
      <c r="DD639" s="280"/>
      <c r="DE639" s="280"/>
      <c r="DF639" s="280"/>
      <c r="DG639" s="280"/>
      <c r="DH639" s="280"/>
      <c r="DI639" s="280"/>
      <c r="DJ639" s="280"/>
      <c r="DK639" s="280"/>
      <c r="DL639" s="280"/>
      <c r="DM639" s="280"/>
      <c r="DN639" s="280"/>
      <c r="DO639" s="280"/>
      <c r="DP639" s="280"/>
      <c r="DQ639" s="280"/>
      <c r="DR639" s="280"/>
      <c r="DS639" s="280"/>
      <c r="DT639" s="280"/>
      <c r="DU639" s="280"/>
      <c r="DV639" s="280"/>
      <c r="DW639" s="280"/>
      <c r="DX639" s="280"/>
      <c r="DY639" s="280"/>
      <c r="DZ639" s="280"/>
      <c r="EA639" s="280"/>
      <c r="EB639" s="280"/>
      <c r="EC639" s="280"/>
      <c r="ED639" s="280"/>
      <c r="EE639" s="280"/>
      <c r="EF639" s="280"/>
      <c r="EG639" s="280"/>
      <c r="EH639" s="280"/>
      <c r="EI639" s="280"/>
      <c r="EJ639" s="280"/>
      <c r="EK639" s="280"/>
      <c r="EL639" s="280"/>
      <c r="EM639" s="280"/>
      <c r="EN639" s="280"/>
      <c r="EO639" s="280"/>
      <c r="EP639" s="280"/>
      <c r="EQ639" s="280"/>
      <c r="ER639" s="280"/>
      <c r="ES639" s="280"/>
      <c r="ET639" s="280"/>
      <c r="EU639" s="280"/>
      <c r="EV639" s="280"/>
      <c r="EW639" s="280"/>
      <c r="EX639" s="13"/>
      <c r="EY639" s="282"/>
      <c r="EZ639" s="282"/>
      <c r="FA639" s="98"/>
    </row>
    <row r="640" spans="34:157" ht="10.75" customHeight="1" x14ac:dyDescent="0.2">
      <c r="AH640" s="12"/>
      <c r="AI640" s="12"/>
      <c r="AJ640" s="280"/>
      <c r="AK640" s="280"/>
      <c r="AL640" s="280"/>
      <c r="AM640" s="280"/>
      <c r="AN640" s="280"/>
      <c r="AO640" s="280"/>
      <c r="AP640" s="280"/>
      <c r="AQ640" s="13"/>
      <c r="AR640" s="96"/>
      <c r="AS640" s="282"/>
      <c r="AT640" s="282"/>
      <c r="AU640" s="12"/>
      <c r="AV640" s="280"/>
      <c r="AW640" s="280"/>
      <c r="AX640" s="280"/>
      <c r="AY640" s="280"/>
      <c r="AZ640" s="280"/>
      <c r="BA640" s="280"/>
      <c r="BB640" s="280"/>
      <c r="BC640" s="280"/>
      <c r="BD640" s="280"/>
      <c r="BE640" s="280"/>
      <c r="BF640" s="280"/>
      <c r="BG640" s="280"/>
      <c r="BH640" s="280"/>
      <c r="BI640" s="280"/>
      <c r="BJ640" s="280"/>
      <c r="BK640" s="280"/>
      <c r="BL640" s="280"/>
      <c r="BM640" s="280"/>
      <c r="BN640" s="280"/>
      <c r="BO640" s="280"/>
      <c r="BP640" s="280"/>
      <c r="BQ640" s="280"/>
      <c r="BR640" s="280"/>
      <c r="BS640" s="280"/>
      <c r="BT640" s="280"/>
      <c r="BU640" s="280"/>
      <c r="BV640" s="280"/>
      <c r="BW640" s="280"/>
      <c r="BX640" s="280"/>
      <c r="BY640" s="280"/>
      <c r="BZ640" s="280"/>
      <c r="CA640" s="280"/>
      <c r="CB640" s="280"/>
      <c r="CC640" s="280"/>
      <c r="CD640" s="280"/>
      <c r="CE640" s="280"/>
      <c r="CF640" s="280"/>
      <c r="CG640" s="280"/>
      <c r="CH640" s="280"/>
      <c r="CI640" s="280"/>
      <c r="CJ640" s="280"/>
      <c r="CK640" s="280"/>
      <c r="CL640" s="280"/>
      <c r="CM640" s="280"/>
      <c r="CN640" s="280"/>
      <c r="CO640" s="280"/>
      <c r="CP640" s="280"/>
      <c r="CQ640" s="280"/>
      <c r="CR640" s="280"/>
      <c r="CS640" s="280"/>
      <c r="CT640" s="280"/>
      <c r="CU640" s="280"/>
      <c r="CV640" s="98"/>
      <c r="CW640" s="282"/>
      <c r="CX640" s="98"/>
      <c r="CY640" s="280"/>
      <c r="CZ640" s="280"/>
      <c r="DA640" s="280"/>
      <c r="DB640" s="280"/>
      <c r="DC640" s="280"/>
      <c r="DD640" s="280"/>
      <c r="DE640" s="280"/>
      <c r="DF640" s="280"/>
      <c r="DG640" s="280"/>
      <c r="DH640" s="280"/>
      <c r="DI640" s="280"/>
      <c r="DJ640" s="280"/>
      <c r="DK640" s="280"/>
      <c r="DL640" s="280"/>
      <c r="DM640" s="280"/>
      <c r="DN640" s="280"/>
      <c r="DO640" s="280"/>
      <c r="DP640" s="280"/>
      <c r="DQ640" s="280"/>
      <c r="DR640" s="280"/>
      <c r="DS640" s="280"/>
      <c r="DT640" s="280"/>
      <c r="DU640" s="280"/>
      <c r="DV640" s="280"/>
      <c r="DW640" s="280"/>
      <c r="DX640" s="280"/>
      <c r="DY640" s="280"/>
      <c r="DZ640" s="280"/>
      <c r="EA640" s="280"/>
      <c r="EB640" s="280"/>
      <c r="EC640" s="280"/>
      <c r="ED640" s="280"/>
      <c r="EE640" s="280"/>
      <c r="EF640" s="280"/>
      <c r="EG640" s="280"/>
      <c r="EH640" s="280"/>
      <c r="EI640" s="280"/>
      <c r="EJ640" s="280"/>
      <c r="EK640" s="280"/>
      <c r="EL640" s="280"/>
      <c r="EM640" s="280"/>
      <c r="EN640" s="280"/>
      <c r="EO640" s="280"/>
      <c r="EP640" s="280"/>
      <c r="EQ640" s="280"/>
      <c r="ER640" s="280"/>
      <c r="ES640" s="280"/>
      <c r="ET640" s="280"/>
      <c r="EU640" s="280"/>
      <c r="EV640" s="280"/>
      <c r="EW640" s="280"/>
      <c r="EX640" s="13"/>
      <c r="EY640" s="282"/>
      <c r="EZ640" s="282"/>
      <c r="FA640" s="98"/>
    </row>
    <row r="641" spans="34:157" ht="10.75" customHeight="1" x14ac:dyDescent="0.2">
      <c r="AH641" s="12"/>
      <c r="AI641" s="12"/>
      <c r="AJ641" s="280"/>
      <c r="AK641" s="280"/>
      <c r="AL641" s="280"/>
      <c r="AM641" s="280"/>
      <c r="AN641" s="280"/>
      <c r="AO641" s="280"/>
      <c r="AP641" s="280"/>
      <c r="AQ641" s="13"/>
      <c r="AR641" s="59"/>
      <c r="AS641" s="60"/>
      <c r="AT641" s="60"/>
      <c r="AU641" s="12"/>
      <c r="AV641" s="280"/>
      <c r="AW641" s="280"/>
      <c r="AX641" s="280"/>
      <c r="AY641" s="280"/>
      <c r="AZ641" s="280"/>
      <c r="BA641" s="280"/>
      <c r="BB641" s="280"/>
      <c r="BC641" s="280"/>
      <c r="BD641" s="280"/>
      <c r="BE641" s="280"/>
      <c r="BF641" s="280"/>
      <c r="BG641" s="280"/>
      <c r="BH641" s="280"/>
      <c r="BI641" s="280"/>
      <c r="BJ641" s="280"/>
      <c r="BK641" s="280"/>
      <c r="BL641" s="280"/>
      <c r="BM641" s="280"/>
      <c r="BN641" s="280"/>
      <c r="BO641" s="280"/>
      <c r="BP641" s="280"/>
      <c r="BQ641" s="280"/>
      <c r="BR641" s="280"/>
      <c r="BS641" s="280"/>
      <c r="BT641" s="280"/>
      <c r="BU641" s="280"/>
      <c r="BV641" s="280"/>
      <c r="BW641" s="280"/>
      <c r="BX641" s="280"/>
      <c r="BY641" s="280"/>
      <c r="BZ641" s="280"/>
      <c r="CA641" s="280"/>
      <c r="CB641" s="280"/>
      <c r="CC641" s="280"/>
      <c r="CD641" s="280"/>
      <c r="CE641" s="280"/>
      <c r="CF641" s="280"/>
      <c r="CG641" s="280"/>
      <c r="CH641" s="280"/>
      <c r="CI641" s="280"/>
      <c r="CJ641" s="280"/>
      <c r="CK641" s="280"/>
      <c r="CL641" s="280"/>
      <c r="CM641" s="280"/>
      <c r="CN641" s="280"/>
      <c r="CO641" s="280"/>
      <c r="CP641" s="280"/>
      <c r="CQ641" s="280"/>
      <c r="CR641" s="280"/>
      <c r="CS641" s="280"/>
      <c r="CT641" s="280"/>
      <c r="CU641" s="280"/>
      <c r="CV641" s="98"/>
      <c r="CW641" s="282"/>
      <c r="CX641" s="98"/>
      <c r="CY641" s="280"/>
      <c r="CZ641" s="280"/>
      <c r="DA641" s="280"/>
      <c r="DB641" s="280"/>
      <c r="DC641" s="280"/>
      <c r="DD641" s="280"/>
      <c r="DE641" s="280"/>
      <c r="DF641" s="280"/>
      <c r="DG641" s="280"/>
      <c r="DH641" s="280"/>
      <c r="DI641" s="280"/>
      <c r="DJ641" s="280"/>
      <c r="DK641" s="280"/>
      <c r="DL641" s="280"/>
      <c r="DM641" s="280"/>
      <c r="DN641" s="280"/>
      <c r="DO641" s="280"/>
      <c r="DP641" s="280"/>
      <c r="DQ641" s="280"/>
      <c r="DR641" s="280"/>
      <c r="DS641" s="280"/>
      <c r="DT641" s="280"/>
      <c r="DU641" s="280"/>
      <c r="DV641" s="280"/>
      <c r="DW641" s="280"/>
      <c r="DX641" s="280"/>
      <c r="DY641" s="280"/>
      <c r="DZ641" s="280"/>
      <c r="EA641" s="280"/>
      <c r="EB641" s="280"/>
      <c r="EC641" s="280"/>
      <c r="ED641" s="280"/>
      <c r="EE641" s="280"/>
      <c r="EF641" s="280"/>
      <c r="EG641" s="280"/>
      <c r="EH641" s="280"/>
      <c r="EI641" s="280"/>
      <c r="EJ641" s="280"/>
      <c r="EK641" s="280"/>
      <c r="EL641" s="280"/>
      <c r="EM641" s="280"/>
      <c r="EN641" s="280"/>
      <c r="EO641" s="280"/>
      <c r="EP641" s="280"/>
      <c r="EQ641" s="280"/>
      <c r="ER641" s="280"/>
      <c r="ES641" s="280"/>
      <c r="ET641" s="280"/>
      <c r="EU641" s="280"/>
      <c r="EV641" s="280"/>
      <c r="EW641" s="280"/>
      <c r="EX641" s="13"/>
      <c r="EY641" s="282"/>
      <c r="EZ641" s="282"/>
      <c r="FA641" s="98"/>
    </row>
    <row r="642" spans="34:157" ht="10.75" customHeight="1" x14ac:dyDescent="0.2">
      <c r="AH642" s="12"/>
      <c r="AI642" s="12"/>
      <c r="AJ642" s="280"/>
      <c r="AK642" s="280"/>
      <c r="AL642" s="280"/>
      <c r="AM642" s="280"/>
      <c r="AN642" s="280"/>
      <c r="AO642" s="280"/>
      <c r="AP642" s="280"/>
      <c r="AQ642" s="13"/>
      <c r="AR642" s="42"/>
      <c r="AS642" s="283"/>
      <c r="AT642" s="283"/>
      <c r="AU642" s="12"/>
      <c r="AV642" s="280"/>
      <c r="AW642" s="280"/>
      <c r="AX642" s="280"/>
      <c r="AY642" s="280"/>
      <c r="AZ642" s="280"/>
      <c r="BA642" s="280"/>
      <c r="BB642" s="280"/>
      <c r="BC642" s="280"/>
      <c r="BD642" s="280"/>
      <c r="BE642" s="280"/>
      <c r="BF642" s="280"/>
      <c r="BG642" s="280"/>
      <c r="BH642" s="280"/>
      <c r="BI642" s="280"/>
      <c r="BJ642" s="280"/>
      <c r="BK642" s="280"/>
      <c r="BL642" s="280"/>
      <c r="BM642" s="280"/>
      <c r="BN642" s="280"/>
      <c r="BO642" s="280"/>
      <c r="BP642" s="280"/>
      <c r="BQ642" s="280"/>
      <c r="BR642" s="280"/>
      <c r="BS642" s="280"/>
      <c r="BT642" s="280"/>
      <c r="BU642" s="280"/>
      <c r="BV642" s="280"/>
      <c r="BW642" s="280"/>
      <c r="BX642" s="280"/>
      <c r="BY642" s="280"/>
      <c r="BZ642" s="280"/>
      <c r="CA642" s="280"/>
      <c r="CB642" s="280"/>
      <c r="CC642" s="280"/>
      <c r="CD642" s="280"/>
      <c r="CE642" s="280"/>
      <c r="CF642" s="280"/>
      <c r="CG642" s="280"/>
      <c r="CH642" s="280"/>
      <c r="CI642" s="280"/>
      <c r="CJ642" s="280"/>
      <c r="CK642" s="280"/>
      <c r="CL642" s="280"/>
      <c r="CM642" s="280"/>
      <c r="CN642" s="280"/>
      <c r="CO642" s="280"/>
      <c r="CP642" s="280"/>
      <c r="CQ642" s="280"/>
      <c r="CR642" s="280"/>
      <c r="CS642" s="280"/>
      <c r="CT642" s="280"/>
      <c r="CU642" s="280"/>
      <c r="CV642" s="13"/>
      <c r="CW642" s="280"/>
      <c r="CX642" s="13"/>
      <c r="CY642" s="280"/>
      <c r="CZ642" s="280"/>
      <c r="DA642" s="280"/>
      <c r="DB642" s="280"/>
      <c r="DC642" s="280"/>
      <c r="DD642" s="280"/>
      <c r="DE642" s="280"/>
      <c r="DF642" s="280"/>
      <c r="DG642" s="280"/>
      <c r="DH642" s="280"/>
      <c r="DI642" s="280"/>
      <c r="DJ642" s="280"/>
      <c r="DK642" s="280"/>
      <c r="DL642" s="280"/>
      <c r="DM642" s="280"/>
      <c r="DN642" s="280"/>
      <c r="DO642" s="280"/>
      <c r="DP642" s="280"/>
      <c r="DQ642" s="280"/>
      <c r="DR642" s="280"/>
      <c r="DS642" s="280"/>
      <c r="DT642" s="280"/>
      <c r="DU642" s="280"/>
      <c r="DV642" s="280"/>
      <c r="DW642" s="280"/>
      <c r="DX642" s="280"/>
      <c r="DY642" s="280"/>
      <c r="DZ642" s="280"/>
      <c r="EA642" s="280"/>
      <c r="EB642" s="280"/>
      <c r="EC642" s="280"/>
      <c r="ED642" s="280"/>
      <c r="EE642" s="280"/>
      <c r="EF642" s="280"/>
      <c r="EG642" s="280"/>
      <c r="EH642" s="280"/>
      <c r="EI642" s="280"/>
      <c r="EJ642" s="280"/>
      <c r="EK642" s="280"/>
      <c r="EL642" s="280"/>
      <c r="EM642" s="280"/>
      <c r="EN642" s="280"/>
      <c r="EO642" s="280"/>
      <c r="EP642" s="280"/>
      <c r="EQ642" s="280"/>
      <c r="ER642" s="280"/>
      <c r="ES642" s="280"/>
      <c r="ET642" s="280"/>
      <c r="EU642" s="280"/>
      <c r="EV642" s="280"/>
      <c r="EW642" s="280"/>
      <c r="EX642" s="13"/>
      <c r="EY642" s="283"/>
      <c r="EZ642" s="283"/>
      <c r="FA642" s="45"/>
    </row>
    <row r="643" spans="34:157" ht="10.75" customHeight="1" x14ac:dyDescent="0.2">
      <c r="AH643" s="14"/>
      <c r="AI643" s="14"/>
      <c r="AJ643" s="15"/>
      <c r="AK643" s="15"/>
      <c r="AL643" s="15"/>
      <c r="AM643" s="15"/>
      <c r="AN643" s="15"/>
      <c r="AO643" s="15"/>
      <c r="AP643" s="15"/>
      <c r="AQ643" s="16"/>
      <c r="AR643" s="42"/>
      <c r="AS643" s="283"/>
      <c r="AT643" s="283"/>
      <c r="AU643" s="12"/>
      <c r="AV643" s="280"/>
      <c r="AW643" s="280"/>
      <c r="AX643" s="280"/>
      <c r="AY643" s="280"/>
      <c r="AZ643" s="280"/>
      <c r="BA643" s="280"/>
      <c r="BB643" s="280"/>
      <c r="BC643" s="280"/>
      <c r="BD643" s="280"/>
      <c r="BE643" s="280"/>
      <c r="BF643" s="280"/>
      <c r="BG643" s="280"/>
      <c r="BH643" s="280"/>
      <c r="BI643" s="280"/>
      <c r="BJ643" s="280"/>
      <c r="BK643" s="280"/>
      <c r="BL643" s="280"/>
      <c r="BM643" s="280"/>
      <c r="BN643" s="280"/>
      <c r="BO643" s="280"/>
      <c r="BP643" s="280"/>
      <c r="BQ643" s="280"/>
      <c r="BR643" s="280"/>
      <c r="BS643" s="280"/>
      <c r="BT643" s="280"/>
      <c r="BU643" s="280"/>
      <c r="BV643" s="280"/>
      <c r="BW643" s="280"/>
      <c r="BX643" s="280"/>
      <c r="BY643" s="280"/>
      <c r="BZ643" s="280"/>
      <c r="CA643" s="280"/>
      <c r="CB643" s="280"/>
      <c r="CC643" s="280"/>
      <c r="CD643" s="280"/>
      <c r="CE643" s="280"/>
      <c r="CF643" s="280"/>
      <c r="CG643" s="280"/>
      <c r="CH643" s="280"/>
      <c r="CI643" s="280"/>
      <c r="CJ643" s="280"/>
      <c r="CK643" s="280"/>
      <c r="CL643" s="280"/>
      <c r="CM643" s="280"/>
      <c r="CN643" s="280"/>
      <c r="CO643" s="280"/>
      <c r="CP643" s="280"/>
      <c r="CQ643" s="280"/>
      <c r="CR643" s="280"/>
      <c r="CS643" s="280"/>
      <c r="CT643" s="280"/>
      <c r="CU643" s="280"/>
      <c r="CV643" s="13"/>
      <c r="CW643" s="280"/>
      <c r="CX643" s="13"/>
      <c r="CY643" s="280"/>
      <c r="CZ643" s="280"/>
      <c r="DA643" s="280"/>
      <c r="DB643" s="280"/>
      <c r="DC643" s="280"/>
      <c r="DD643" s="280"/>
      <c r="DE643" s="280"/>
      <c r="DF643" s="280"/>
      <c r="DG643" s="280"/>
      <c r="DH643" s="280"/>
      <c r="DI643" s="280"/>
      <c r="DJ643" s="280"/>
      <c r="DK643" s="280"/>
      <c r="DL643" s="280"/>
      <c r="DM643" s="280"/>
      <c r="DN643" s="280"/>
      <c r="DO643" s="280"/>
      <c r="DP643" s="280"/>
      <c r="DQ643" s="280"/>
      <c r="DR643" s="280"/>
      <c r="DS643" s="280"/>
      <c r="DT643" s="280"/>
      <c r="DU643" s="280"/>
      <c r="DV643" s="280"/>
      <c r="DW643" s="280"/>
      <c r="DX643" s="280"/>
      <c r="DY643" s="280"/>
      <c r="DZ643" s="280"/>
      <c r="EA643" s="280"/>
      <c r="EB643" s="280"/>
      <c r="EC643" s="280"/>
      <c r="ED643" s="280"/>
      <c r="EE643" s="280"/>
      <c r="EF643" s="280"/>
      <c r="EG643" s="280"/>
      <c r="EH643" s="280"/>
      <c r="EI643" s="280"/>
      <c r="EJ643" s="280"/>
      <c r="EK643" s="280"/>
      <c r="EL643" s="280"/>
      <c r="EM643" s="280"/>
      <c r="EN643" s="280"/>
      <c r="EO643" s="280"/>
      <c r="EP643" s="280"/>
      <c r="EQ643" s="280"/>
      <c r="ER643" s="280"/>
      <c r="ES643" s="280"/>
      <c r="ET643" s="280"/>
      <c r="EU643" s="280"/>
      <c r="EV643" s="280"/>
      <c r="EW643" s="280"/>
      <c r="EX643" s="13"/>
      <c r="EY643" s="283"/>
      <c r="EZ643" s="283"/>
      <c r="FA643" s="45"/>
    </row>
    <row r="644" spans="34:157" ht="10.75" customHeight="1" x14ac:dyDescent="0.2">
      <c r="AH644" s="9"/>
      <c r="AI644" s="9"/>
      <c r="AJ644" s="10"/>
      <c r="AK644" s="10"/>
      <c r="AL644" s="10"/>
      <c r="AM644" s="10"/>
      <c r="AN644" s="10"/>
      <c r="AO644" s="10"/>
      <c r="AP644" s="10"/>
      <c r="AQ644" s="11"/>
      <c r="AR644" s="42"/>
      <c r="AS644" s="283"/>
      <c r="AT644" s="283"/>
      <c r="AU644" s="12"/>
      <c r="AV644" s="280"/>
      <c r="AW644" s="280"/>
      <c r="AX644" s="280"/>
      <c r="AY644" s="280"/>
      <c r="AZ644" s="280"/>
      <c r="BA644" s="280"/>
      <c r="BB644" s="280"/>
      <c r="BC644" s="280"/>
      <c r="BD644" s="280"/>
      <c r="BE644" s="280"/>
      <c r="BF644" s="280"/>
      <c r="BG644" s="280"/>
      <c r="BH644" s="280"/>
      <c r="BI644" s="280"/>
      <c r="BJ644" s="280"/>
      <c r="BK644" s="280"/>
      <c r="BL644" s="280"/>
      <c r="BM644" s="280"/>
      <c r="BN644" s="280"/>
      <c r="BO644" s="280"/>
      <c r="BP644" s="280"/>
      <c r="BQ644" s="280"/>
      <c r="BR644" s="280"/>
      <c r="BS644" s="280"/>
      <c r="BT644" s="280"/>
      <c r="BU644" s="280"/>
      <c r="BV644" s="280"/>
      <c r="BW644" s="280"/>
      <c r="BX644" s="280"/>
      <c r="BY644" s="280"/>
      <c r="BZ644" s="280"/>
      <c r="CA644" s="280"/>
      <c r="CB644" s="280"/>
      <c r="CC644" s="280"/>
      <c r="CD644" s="280"/>
      <c r="CE644" s="280"/>
      <c r="CF644" s="280"/>
      <c r="CG644" s="280"/>
      <c r="CH644" s="280"/>
      <c r="CI644" s="280"/>
      <c r="CJ644" s="280"/>
      <c r="CK644" s="280"/>
      <c r="CL644" s="280"/>
      <c r="CM644" s="280"/>
      <c r="CN644" s="280"/>
      <c r="CO644" s="280"/>
      <c r="CP644" s="280"/>
      <c r="CQ644" s="280"/>
      <c r="CR644" s="280"/>
      <c r="CS644" s="280"/>
      <c r="CT644" s="280"/>
      <c r="CU644" s="280"/>
      <c r="CV644" s="13"/>
      <c r="CW644" s="280"/>
      <c r="CX644" s="13"/>
      <c r="CY644" s="280"/>
      <c r="CZ644" s="280"/>
      <c r="DA644" s="280"/>
      <c r="DB644" s="280"/>
      <c r="DC644" s="280"/>
      <c r="DD644" s="280"/>
      <c r="DE644" s="280"/>
      <c r="DF644" s="280"/>
      <c r="DG644" s="280"/>
      <c r="DH644" s="280"/>
      <c r="DI644" s="280"/>
      <c r="DJ644" s="280"/>
      <c r="DK644" s="280"/>
      <c r="DL644" s="280"/>
      <c r="DM644" s="280"/>
      <c r="DN644" s="280"/>
      <c r="DO644" s="280"/>
      <c r="DP644" s="280"/>
      <c r="DQ644" s="280"/>
      <c r="DR644" s="280"/>
      <c r="DS644" s="280"/>
      <c r="DT644" s="280"/>
      <c r="DU644" s="280"/>
      <c r="DV644" s="280"/>
      <c r="DW644" s="280"/>
      <c r="DX644" s="280"/>
      <c r="DY644" s="280"/>
      <c r="DZ644" s="280"/>
      <c r="EA644" s="280"/>
      <c r="EB644" s="280"/>
      <c r="EC644" s="280"/>
      <c r="ED644" s="280"/>
      <c r="EE644" s="280"/>
      <c r="EF644" s="280"/>
      <c r="EG644" s="280"/>
      <c r="EH644" s="280"/>
      <c r="EI644" s="280"/>
      <c r="EJ644" s="280"/>
      <c r="EK644" s="280"/>
      <c r="EL644" s="280"/>
      <c r="EM644" s="280"/>
      <c r="EN644" s="280"/>
      <c r="EO644" s="280"/>
      <c r="EP644" s="280"/>
      <c r="EQ644" s="280"/>
      <c r="ER644" s="280"/>
      <c r="ES644" s="280"/>
      <c r="ET644" s="280"/>
      <c r="EU644" s="280"/>
      <c r="EV644" s="280"/>
      <c r="EW644" s="280"/>
      <c r="EX644" s="13"/>
      <c r="EY644" s="283"/>
      <c r="EZ644" s="283"/>
      <c r="FA644" s="45"/>
    </row>
    <row r="645" spans="34:157" ht="10.75" customHeight="1" x14ac:dyDescent="0.2">
      <c r="AH645" s="12"/>
      <c r="AI645" s="12"/>
      <c r="AJ645" s="280"/>
      <c r="AK645" s="280"/>
      <c r="AL645" s="280"/>
      <c r="AM645" s="280"/>
      <c r="AN645" s="280"/>
      <c r="AO645" s="280"/>
      <c r="AP645" s="280"/>
      <c r="AQ645" s="13"/>
      <c r="AR645" s="42"/>
      <c r="AS645" s="283"/>
      <c r="AT645" s="283"/>
      <c r="AU645" s="14"/>
      <c r="AV645" s="15"/>
      <c r="AW645" s="15"/>
      <c r="AX645" s="15"/>
      <c r="AY645" s="15"/>
      <c r="AZ645" s="15"/>
      <c r="BA645" s="15"/>
      <c r="BB645" s="15"/>
      <c r="BC645" s="15"/>
      <c r="BD645" s="15"/>
      <c r="BE645" s="15"/>
      <c r="BF645" s="15"/>
      <c r="BG645" s="15"/>
      <c r="BH645" s="15"/>
      <c r="BI645" s="15"/>
      <c r="BJ645" s="15"/>
      <c r="BK645" s="15"/>
      <c r="BL645" s="15"/>
      <c r="BM645" s="15"/>
      <c r="BN645" s="15"/>
      <c r="BO645" s="15"/>
      <c r="BP645" s="15"/>
      <c r="BQ645" s="15"/>
      <c r="BR645" s="15"/>
      <c r="BS645" s="15"/>
      <c r="BT645" s="15"/>
      <c r="BU645" s="15"/>
      <c r="BV645" s="15"/>
      <c r="BW645" s="15"/>
      <c r="BX645" s="15"/>
      <c r="BY645" s="15"/>
      <c r="BZ645" s="15"/>
      <c r="CA645" s="15"/>
      <c r="CB645" s="15"/>
      <c r="CC645" s="15"/>
      <c r="CD645" s="15"/>
      <c r="CE645" s="15"/>
      <c r="CF645" s="15"/>
      <c r="CG645" s="15"/>
      <c r="CH645" s="15"/>
      <c r="CI645" s="15"/>
      <c r="CJ645" s="15"/>
      <c r="CK645" s="15"/>
      <c r="CL645" s="15"/>
      <c r="CM645" s="15"/>
      <c r="CN645" s="15"/>
      <c r="CO645" s="15"/>
      <c r="CP645" s="15"/>
      <c r="CQ645" s="15"/>
      <c r="CR645" s="15"/>
      <c r="CS645" s="15"/>
      <c r="CT645" s="15"/>
      <c r="CU645" s="15"/>
      <c r="CV645" s="16"/>
      <c r="CW645" s="280"/>
      <c r="CX645" s="13"/>
      <c r="CY645" s="280"/>
      <c r="CZ645" s="280"/>
      <c r="DA645" s="280"/>
      <c r="DB645" s="280"/>
      <c r="DC645" s="280"/>
      <c r="DD645" s="280"/>
      <c r="DE645" s="280"/>
      <c r="DF645" s="280"/>
      <c r="DG645" s="280"/>
      <c r="DH645" s="280"/>
      <c r="DI645" s="280"/>
      <c r="DJ645" s="280"/>
      <c r="DK645" s="280"/>
      <c r="DL645" s="280"/>
      <c r="DM645" s="280"/>
      <c r="DN645" s="280"/>
      <c r="DO645" s="280"/>
      <c r="DP645" s="280"/>
      <c r="DQ645" s="280"/>
      <c r="DR645" s="280"/>
      <c r="DS645" s="280"/>
      <c r="DT645" s="280"/>
      <c r="DU645" s="280"/>
      <c r="DV645" s="280"/>
      <c r="DW645" s="280"/>
      <c r="DX645" s="280"/>
      <c r="DY645" s="280"/>
      <c r="DZ645" s="280"/>
      <c r="EA645" s="280"/>
      <c r="EB645" s="280"/>
      <c r="EC645" s="280"/>
      <c r="ED645" s="280"/>
      <c r="EE645" s="280"/>
      <c r="EF645" s="280"/>
      <c r="EG645" s="280"/>
      <c r="EH645" s="280"/>
      <c r="EI645" s="280"/>
      <c r="EJ645" s="280"/>
      <c r="EK645" s="280"/>
      <c r="EL645" s="280"/>
      <c r="EM645" s="280"/>
      <c r="EN645" s="280"/>
      <c r="EO645" s="280"/>
      <c r="EP645" s="280"/>
      <c r="EQ645" s="280"/>
      <c r="ER645" s="280"/>
      <c r="ES645" s="280"/>
      <c r="ET645" s="280"/>
      <c r="EU645" s="280"/>
      <c r="EV645" s="280"/>
      <c r="EW645" s="280"/>
      <c r="EX645" s="13"/>
      <c r="EY645" s="283"/>
      <c r="EZ645" s="283"/>
      <c r="FA645" s="45"/>
    </row>
    <row r="646" spans="34:157" ht="10.75" customHeight="1" x14ac:dyDescent="0.2">
      <c r="AH646" s="12"/>
      <c r="AI646" s="12"/>
      <c r="AJ646" s="280"/>
      <c r="AK646" s="280"/>
      <c r="AL646" s="280"/>
      <c r="AM646" s="280"/>
      <c r="AN646" s="280"/>
      <c r="AO646" s="280"/>
      <c r="AP646" s="280"/>
      <c r="AQ646" s="13"/>
      <c r="AR646" s="42"/>
      <c r="AS646" s="283"/>
      <c r="AT646" s="45"/>
      <c r="AU646" s="280"/>
      <c r="AV646" s="280"/>
      <c r="AW646" s="280"/>
      <c r="AX646" s="280"/>
      <c r="AY646" s="280"/>
      <c r="AZ646" s="280"/>
      <c r="BA646" s="280"/>
      <c r="BB646" s="280"/>
      <c r="BC646" s="280"/>
      <c r="BD646" s="280"/>
      <c r="BE646" s="280"/>
      <c r="BF646" s="280"/>
      <c r="BG646" s="280"/>
      <c r="BH646" s="280"/>
      <c r="BI646" s="280"/>
      <c r="BJ646" s="280"/>
      <c r="BK646" s="280"/>
      <c r="BL646" s="280"/>
      <c r="BM646" s="280"/>
      <c r="BN646" s="280"/>
      <c r="BO646" s="280"/>
      <c r="BP646" s="280"/>
      <c r="BQ646" s="280"/>
      <c r="BR646" s="280"/>
      <c r="BS646" s="280"/>
      <c r="BT646" s="280"/>
      <c r="BU646" s="280"/>
      <c r="BV646" s="280"/>
      <c r="BW646" s="280"/>
      <c r="BX646" s="280"/>
      <c r="BY646" s="280"/>
      <c r="BZ646" s="280"/>
      <c r="CA646" s="280"/>
      <c r="CB646" s="280"/>
      <c r="CC646" s="280"/>
      <c r="CD646" s="280"/>
      <c r="CE646" s="280"/>
      <c r="CF646" s="280"/>
      <c r="CG646" s="280"/>
      <c r="CH646" s="280"/>
      <c r="CI646" s="280"/>
      <c r="CJ646" s="280"/>
      <c r="CK646" s="280"/>
      <c r="CL646" s="280"/>
      <c r="CM646" s="280"/>
      <c r="CN646" s="280"/>
      <c r="CO646" s="280"/>
      <c r="CP646" s="280"/>
      <c r="CQ646" s="280"/>
      <c r="CR646" s="280"/>
      <c r="CS646" s="280"/>
      <c r="CT646" s="280"/>
      <c r="CU646" s="280"/>
      <c r="CV646" s="280"/>
      <c r="CW646" s="280"/>
      <c r="CX646" s="13"/>
      <c r="CY646" s="280"/>
      <c r="CZ646" s="280"/>
      <c r="DA646" s="280"/>
      <c r="DB646" s="280"/>
      <c r="DC646" s="280"/>
      <c r="DD646" s="280"/>
      <c r="DE646" s="280"/>
      <c r="DF646" s="280"/>
      <c r="DG646" s="280"/>
      <c r="DH646" s="280"/>
      <c r="DI646" s="280"/>
      <c r="DJ646" s="280"/>
      <c r="DK646" s="280"/>
      <c r="DL646" s="280"/>
      <c r="DM646" s="280"/>
      <c r="DN646" s="280"/>
      <c r="DO646" s="280"/>
      <c r="DP646" s="280"/>
      <c r="DQ646" s="280"/>
      <c r="DR646" s="280"/>
      <c r="DS646" s="280"/>
      <c r="DT646" s="280"/>
      <c r="DU646" s="280"/>
      <c r="DV646" s="280"/>
      <c r="DW646" s="280"/>
      <c r="DX646" s="280"/>
      <c r="DY646" s="280"/>
      <c r="DZ646" s="280"/>
      <c r="EA646" s="280"/>
      <c r="EB646" s="280"/>
      <c r="EC646" s="280"/>
      <c r="ED646" s="280"/>
      <c r="EE646" s="280"/>
      <c r="EF646" s="280"/>
      <c r="EG646" s="280"/>
      <c r="EH646" s="280"/>
      <c r="EI646" s="280"/>
      <c r="EJ646" s="280"/>
      <c r="EK646" s="280"/>
      <c r="EL646" s="280"/>
      <c r="EM646" s="280"/>
      <c r="EN646" s="280"/>
      <c r="EO646" s="280"/>
      <c r="EP646" s="280"/>
      <c r="EQ646" s="280"/>
      <c r="ER646" s="280"/>
      <c r="ES646" s="280"/>
      <c r="ET646" s="280"/>
      <c r="EU646" s="280"/>
      <c r="EV646" s="280"/>
      <c r="EW646" s="280"/>
      <c r="EX646" s="13"/>
      <c r="EY646" s="283"/>
      <c r="EZ646" s="283"/>
      <c r="FA646" s="45"/>
    </row>
    <row r="647" spans="34:157" ht="10.75" customHeight="1" x14ac:dyDescent="0.2">
      <c r="AH647" s="12"/>
      <c r="AI647" s="12"/>
      <c r="AJ647" s="280"/>
      <c r="AK647" s="280"/>
      <c r="AL647" s="280"/>
      <c r="AM647" s="280"/>
      <c r="AN647" s="280"/>
      <c r="AO647" s="280"/>
      <c r="AP647" s="280"/>
      <c r="AQ647" s="13"/>
      <c r="AR647" s="42"/>
      <c r="AS647" s="283"/>
      <c r="AT647" s="45"/>
      <c r="AU647" s="280"/>
      <c r="AV647" s="280"/>
      <c r="AW647" s="280"/>
      <c r="AX647" s="280"/>
      <c r="AY647" s="280"/>
      <c r="AZ647" s="280"/>
      <c r="BA647" s="280"/>
      <c r="BB647" s="280"/>
      <c r="BC647" s="280"/>
      <c r="BD647" s="280"/>
      <c r="BE647" s="280"/>
      <c r="BF647" s="280"/>
      <c r="BG647" s="280"/>
      <c r="BH647" s="280"/>
      <c r="BI647" s="280"/>
      <c r="BJ647" s="280"/>
      <c r="BK647" s="280"/>
      <c r="BL647" s="280"/>
      <c r="BM647" s="280"/>
      <c r="BN647" s="280"/>
      <c r="BO647" s="280"/>
      <c r="BP647" s="280"/>
      <c r="BQ647" s="280"/>
      <c r="BR647" s="280"/>
      <c r="BS647" s="280"/>
      <c r="BT647" s="280"/>
      <c r="BU647" s="280"/>
      <c r="BV647" s="280"/>
      <c r="BW647" s="280"/>
      <c r="BX647" s="280"/>
      <c r="BY647" s="280"/>
      <c r="BZ647" s="280"/>
      <c r="CA647" s="280"/>
      <c r="CB647" s="280"/>
      <c r="CC647" s="280"/>
      <c r="CD647" s="280"/>
      <c r="CE647" s="280"/>
      <c r="CF647" s="280"/>
      <c r="CG647" s="280"/>
      <c r="CH647" s="280"/>
      <c r="CI647" s="280"/>
      <c r="CJ647" s="280"/>
      <c r="CK647" s="280"/>
      <c r="CL647" s="284"/>
      <c r="CM647" s="284"/>
      <c r="CN647" s="284"/>
      <c r="CO647" s="284"/>
      <c r="CP647" s="284"/>
      <c r="CQ647" s="284"/>
      <c r="CR647" s="284"/>
      <c r="CS647" s="284"/>
      <c r="CT647" s="284"/>
      <c r="CU647" s="284"/>
      <c r="CV647" s="280"/>
      <c r="CW647" s="280"/>
      <c r="CX647" s="13"/>
      <c r="CY647" s="280"/>
      <c r="CZ647" s="280"/>
      <c r="DA647" s="280"/>
      <c r="DB647" s="280"/>
      <c r="DC647" s="280"/>
      <c r="DD647" s="280"/>
      <c r="DE647" s="280"/>
      <c r="DF647" s="280"/>
      <c r="DG647" s="280"/>
      <c r="DH647" s="280"/>
      <c r="DI647" s="280"/>
      <c r="DJ647" s="280"/>
      <c r="DK647" s="280"/>
      <c r="DL647" s="280"/>
      <c r="DM647" s="280"/>
      <c r="DN647" s="280"/>
      <c r="DO647" s="280"/>
      <c r="DP647" s="280"/>
      <c r="DQ647" s="280"/>
      <c r="DR647" s="280"/>
      <c r="DS647" s="280"/>
      <c r="DT647" s="280"/>
      <c r="DU647" s="280"/>
      <c r="DV647" s="280"/>
      <c r="DW647" s="280"/>
      <c r="DX647" s="280"/>
      <c r="DY647" s="280"/>
      <c r="DZ647" s="280"/>
      <c r="EA647" s="280"/>
      <c r="EB647" s="280"/>
      <c r="EC647" s="280"/>
      <c r="ED647" s="280"/>
      <c r="EE647" s="280"/>
      <c r="EF647" s="280"/>
      <c r="EG647" s="280"/>
      <c r="EH647" s="280"/>
      <c r="EI647" s="280"/>
      <c r="EJ647" s="280"/>
      <c r="EK647" s="280"/>
      <c r="EL647" s="280"/>
      <c r="EM647" s="280"/>
      <c r="EN647" s="280"/>
      <c r="EO647" s="280"/>
      <c r="EP647" s="280"/>
      <c r="EQ647" s="280"/>
      <c r="ER647" s="280"/>
      <c r="ES647" s="280"/>
      <c r="ET647" s="280"/>
      <c r="EU647" s="280"/>
      <c r="EV647" s="280"/>
      <c r="EW647" s="280"/>
      <c r="EX647" s="13"/>
      <c r="EY647" s="283"/>
      <c r="EZ647" s="283"/>
      <c r="FA647" s="45"/>
    </row>
    <row r="648" spans="34:157" ht="10.75" customHeight="1" x14ac:dyDescent="0.2">
      <c r="AH648" s="12"/>
      <c r="AI648" s="12"/>
      <c r="AJ648" s="280"/>
      <c r="AK648" s="280"/>
      <c r="AL648" s="280"/>
      <c r="AM648" s="280"/>
      <c r="AN648" s="280"/>
      <c r="AO648" s="280"/>
      <c r="AP648" s="280"/>
      <c r="AQ648" s="13"/>
      <c r="AR648" s="42"/>
      <c r="AS648" s="283"/>
      <c r="AT648" s="283"/>
      <c r="AU648" s="9"/>
      <c r="AV648" s="10"/>
      <c r="AW648" s="10"/>
      <c r="AX648" s="10"/>
      <c r="AY648" s="10"/>
      <c r="AZ648" s="10"/>
      <c r="BA648" s="10"/>
      <c r="BB648" s="10"/>
      <c r="BC648" s="10"/>
      <c r="BD648" s="10"/>
      <c r="BE648" s="10"/>
      <c r="BF648" s="11"/>
      <c r="BG648" s="9"/>
      <c r="BH648" s="10"/>
      <c r="BI648" s="10"/>
      <c r="BJ648" s="10"/>
      <c r="BK648" s="9"/>
      <c r="BL648" s="10"/>
      <c r="BM648" s="10"/>
      <c r="BN648" s="11"/>
      <c r="BO648" s="10"/>
      <c r="BP648" s="10"/>
      <c r="BQ648" s="10"/>
      <c r="BR648" s="10"/>
      <c r="BS648" s="9"/>
      <c r="BT648" s="10"/>
      <c r="BU648" s="10"/>
      <c r="BV648" s="11"/>
      <c r="BW648" s="10"/>
      <c r="BX648" s="10"/>
      <c r="BY648" s="10"/>
      <c r="BZ648" s="10"/>
      <c r="CA648" s="9"/>
      <c r="CB648" s="10"/>
      <c r="CC648" s="10"/>
      <c r="CD648" s="11"/>
      <c r="CE648" s="10"/>
      <c r="CF648" s="10"/>
      <c r="CG648" s="10"/>
      <c r="CH648" s="10"/>
      <c r="CI648" s="10"/>
      <c r="CJ648" s="10"/>
      <c r="CK648" s="10"/>
      <c r="CL648" s="10"/>
      <c r="CM648" s="10"/>
      <c r="CN648" s="10"/>
      <c r="CO648" s="10"/>
      <c r="CP648" s="10"/>
      <c r="CQ648" s="10"/>
      <c r="CR648" s="10"/>
      <c r="CS648" s="10"/>
      <c r="CT648" s="10"/>
      <c r="CU648" s="10"/>
      <c r="CV648" s="10"/>
      <c r="CW648" s="10"/>
      <c r="CX648" s="10"/>
      <c r="CY648" s="280"/>
      <c r="CZ648" s="280"/>
      <c r="DA648" s="280"/>
      <c r="DB648" s="280"/>
      <c r="DC648" s="280"/>
      <c r="DD648" s="280"/>
      <c r="DE648" s="280"/>
      <c r="DF648" s="280"/>
      <c r="DG648" s="280"/>
      <c r="DH648" s="280"/>
      <c r="DI648" s="280"/>
      <c r="DJ648" s="280"/>
      <c r="DK648" s="280"/>
      <c r="DL648" s="280"/>
      <c r="DM648" s="280"/>
      <c r="DN648" s="280"/>
      <c r="DO648" s="280"/>
      <c r="DP648" s="280"/>
      <c r="DQ648" s="280"/>
      <c r="DR648" s="280"/>
      <c r="DS648" s="280"/>
      <c r="DT648" s="280"/>
      <c r="DU648" s="280"/>
      <c r="DV648" s="280"/>
      <c r="DW648" s="280"/>
      <c r="DX648" s="280"/>
      <c r="DY648" s="280"/>
      <c r="DZ648" s="280"/>
      <c r="EA648" s="280"/>
      <c r="EB648" s="280"/>
      <c r="EC648" s="280"/>
      <c r="ED648" s="280"/>
      <c r="EE648" s="280"/>
      <c r="EF648" s="280"/>
      <c r="EG648" s="280"/>
      <c r="EH648" s="280"/>
      <c r="EI648" s="280"/>
      <c r="EJ648" s="280"/>
      <c r="EK648" s="280"/>
      <c r="EL648" s="280"/>
      <c r="EM648" s="280"/>
      <c r="EN648" s="280"/>
      <c r="EO648" s="280"/>
      <c r="EP648" s="280"/>
      <c r="EQ648" s="280"/>
      <c r="ER648" s="280"/>
      <c r="ES648" s="280"/>
      <c r="ET648" s="280"/>
      <c r="EU648" s="280"/>
      <c r="EV648" s="280"/>
      <c r="EW648" s="280"/>
      <c r="EX648" s="13"/>
      <c r="EY648" s="283"/>
      <c r="EZ648" s="283"/>
      <c r="FA648" s="45"/>
    </row>
    <row r="649" spans="34:157" ht="10.75" customHeight="1" x14ac:dyDescent="0.2">
      <c r="AH649" s="12"/>
      <c r="AI649" s="12"/>
      <c r="AJ649" s="280"/>
      <c r="AK649" s="280"/>
      <c r="AL649" s="280"/>
      <c r="AM649" s="280"/>
      <c r="AN649" s="280"/>
      <c r="AO649" s="280"/>
      <c r="AP649" s="280"/>
      <c r="AQ649" s="13"/>
      <c r="AR649" s="42"/>
      <c r="AS649" s="283"/>
      <c r="AT649" s="283"/>
      <c r="AU649" s="12"/>
      <c r="AV649" s="280"/>
      <c r="AW649" s="280"/>
      <c r="AX649" s="280"/>
      <c r="AY649" s="280"/>
      <c r="AZ649" s="280"/>
      <c r="BA649" s="280"/>
      <c r="BB649" s="280"/>
      <c r="BC649" s="280"/>
      <c r="BD649" s="280"/>
      <c r="BE649" s="280"/>
      <c r="BF649" s="13"/>
      <c r="BG649" s="12"/>
      <c r="BH649" s="280"/>
      <c r="BI649" s="280"/>
      <c r="BJ649" s="280"/>
      <c r="BK649" s="12"/>
      <c r="BL649" s="280"/>
      <c r="BM649" s="280"/>
      <c r="BN649" s="13"/>
      <c r="BO649" s="280"/>
      <c r="BP649" s="280"/>
      <c r="BQ649" s="280"/>
      <c r="BR649" s="280"/>
      <c r="BS649" s="12"/>
      <c r="BT649" s="280"/>
      <c r="BU649" s="280"/>
      <c r="BV649" s="13"/>
      <c r="BW649" s="280"/>
      <c r="BX649" s="280"/>
      <c r="BY649" s="280"/>
      <c r="BZ649" s="280"/>
      <c r="CA649" s="12"/>
      <c r="CB649" s="280"/>
      <c r="CC649" s="280"/>
      <c r="CD649" s="13"/>
      <c r="CE649" s="280"/>
      <c r="CF649" s="280"/>
      <c r="CG649" s="280"/>
      <c r="CH649" s="280"/>
      <c r="CI649" s="280"/>
      <c r="CJ649" s="280"/>
      <c r="CK649" s="280"/>
      <c r="CL649" s="280"/>
      <c r="CM649" s="280"/>
      <c r="CN649" s="280"/>
      <c r="CO649" s="280"/>
      <c r="CP649" s="280"/>
      <c r="CQ649" s="280"/>
      <c r="CR649" s="280"/>
      <c r="CS649" s="280"/>
      <c r="CT649" s="280"/>
      <c r="CU649" s="280"/>
      <c r="CV649" s="280"/>
      <c r="CW649" s="280"/>
      <c r="CX649" s="280"/>
      <c r="CY649" s="280"/>
      <c r="CZ649" s="280"/>
      <c r="DA649" s="280"/>
      <c r="DB649" s="280"/>
      <c r="DC649" s="280"/>
      <c r="DD649" s="280"/>
      <c r="DE649" s="280"/>
      <c r="DF649" s="280"/>
      <c r="DG649" s="280"/>
      <c r="DH649" s="280"/>
      <c r="DI649" s="280"/>
      <c r="DJ649" s="280"/>
      <c r="DK649" s="280"/>
      <c r="DL649" s="280"/>
      <c r="DM649" s="280"/>
      <c r="DN649" s="280"/>
      <c r="DO649" s="280"/>
      <c r="DP649" s="280"/>
      <c r="DQ649" s="280"/>
      <c r="DR649" s="280"/>
      <c r="DS649" s="280"/>
      <c r="DT649" s="280"/>
      <c r="DU649" s="280"/>
      <c r="DV649" s="280"/>
      <c r="DW649" s="280"/>
      <c r="DX649" s="280"/>
      <c r="DY649" s="280"/>
      <c r="DZ649" s="280"/>
      <c r="EA649" s="280"/>
      <c r="EB649" s="280"/>
      <c r="EC649" s="280"/>
      <c r="ED649" s="280"/>
      <c r="EE649" s="280"/>
      <c r="EF649" s="280"/>
      <c r="EG649" s="280"/>
      <c r="EH649" s="280"/>
      <c r="EI649" s="280"/>
      <c r="EJ649" s="280"/>
      <c r="EK649" s="280"/>
      <c r="EL649" s="280"/>
      <c r="EM649" s="280"/>
      <c r="EN649" s="280"/>
      <c r="EO649" s="280"/>
      <c r="EP649" s="280"/>
      <c r="EQ649" s="280"/>
      <c r="ER649" s="280"/>
      <c r="ES649" s="280"/>
      <c r="ET649" s="280"/>
      <c r="EU649" s="280"/>
      <c r="EV649" s="280"/>
      <c r="EW649" s="280"/>
      <c r="EX649" s="13"/>
      <c r="EY649" s="283"/>
      <c r="EZ649" s="283"/>
      <c r="FA649" s="45"/>
    </row>
    <row r="650" spans="34:157" ht="10.75" customHeight="1" x14ac:dyDescent="0.2">
      <c r="AH650" s="12"/>
      <c r="AI650" s="12"/>
      <c r="AJ650" s="280"/>
      <c r="AK650" s="280"/>
      <c r="AL650" s="280"/>
      <c r="AM650" s="280"/>
      <c r="AN650" s="280"/>
      <c r="AO650" s="280"/>
      <c r="AP650" s="280"/>
      <c r="AQ650" s="13"/>
      <c r="AR650" s="42"/>
      <c r="AS650" s="283"/>
      <c r="AT650" s="283"/>
      <c r="AU650" s="12"/>
      <c r="AV650" s="280"/>
      <c r="AW650" s="280"/>
      <c r="AX650" s="280"/>
      <c r="AY650" s="280"/>
      <c r="AZ650" s="280"/>
      <c r="BA650" s="280"/>
      <c r="BB650" s="280"/>
      <c r="BC650" s="280"/>
      <c r="BD650" s="280"/>
      <c r="BE650" s="280"/>
      <c r="BF650" s="13"/>
      <c r="BG650" s="12"/>
      <c r="BH650" s="280"/>
      <c r="BI650" s="280"/>
      <c r="BJ650" s="280"/>
      <c r="BK650" s="12"/>
      <c r="BL650" s="280"/>
      <c r="BM650" s="280"/>
      <c r="BN650" s="13"/>
      <c r="BO650" s="280"/>
      <c r="BP650" s="280"/>
      <c r="BQ650" s="280"/>
      <c r="BR650" s="280"/>
      <c r="BS650" s="12"/>
      <c r="BT650" s="280"/>
      <c r="BU650" s="280"/>
      <c r="BV650" s="13"/>
      <c r="BW650" s="280"/>
      <c r="BX650" s="280"/>
      <c r="BY650" s="280"/>
      <c r="BZ650" s="280"/>
      <c r="CA650" s="12"/>
      <c r="CB650" s="280"/>
      <c r="CC650" s="280"/>
      <c r="CD650" s="13"/>
      <c r="CE650" s="280"/>
      <c r="CF650" s="280"/>
      <c r="CG650" s="280"/>
      <c r="CH650" s="280"/>
      <c r="CI650" s="280"/>
      <c r="CJ650" s="280"/>
      <c r="CK650" s="280"/>
      <c r="CL650" s="280"/>
      <c r="CM650" s="280"/>
      <c r="CN650" s="280"/>
      <c r="CO650" s="280"/>
      <c r="CP650" s="280"/>
      <c r="CQ650" s="280"/>
      <c r="CR650" s="280"/>
      <c r="CS650" s="280"/>
      <c r="CT650" s="280"/>
      <c r="CU650" s="280"/>
      <c r="CV650" s="280"/>
      <c r="CW650" s="280"/>
      <c r="CX650" s="280"/>
      <c r="CY650" s="280"/>
      <c r="CZ650" s="280"/>
      <c r="DA650" s="280"/>
      <c r="DB650" s="280"/>
      <c r="DC650" s="280"/>
      <c r="DD650" s="280"/>
      <c r="DE650" s="280"/>
      <c r="DF650" s="280"/>
      <c r="DG650" s="280"/>
      <c r="DH650" s="280"/>
      <c r="DI650" s="280"/>
      <c r="DJ650" s="280"/>
      <c r="DK650" s="280"/>
      <c r="DL650" s="280"/>
      <c r="DM650" s="280"/>
      <c r="DN650" s="280"/>
      <c r="DO650" s="280"/>
      <c r="DP650" s="280"/>
      <c r="DQ650" s="280"/>
      <c r="DR650" s="280"/>
      <c r="DS650" s="280"/>
      <c r="DT650" s="280"/>
      <c r="DU650" s="280"/>
      <c r="DV650" s="280"/>
      <c r="DW650" s="280"/>
      <c r="DX650" s="280"/>
      <c r="DY650" s="280"/>
      <c r="DZ650" s="280"/>
      <c r="EA650" s="280"/>
      <c r="EB650" s="280"/>
      <c r="EC650" s="280"/>
      <c r="ED650" s="280"/>
      <c r="EE650" s="280"/>
      <c r="EF650" s="280"/>
      <c r="EG650" s="280"/>
      <c r="EH650" s="280"/>
      <c r="EI650" s="280"/>
      <c r="EJ650" s="280"/>
      <c r="EK650" s="280"/>
      <c r="EL650" s="280"/>
      <c r="EM650" s="280"/>
      <c r="EN650" s="280"/>
      <c r="EO650" s="280"/>
      <c r="EP650" s="280"/>
      <c r="EQ650" s="280"/>
      <c r="ER650" s="280"/>
      <c r="ES650" s="280"/>
      <c r="ET650" s="280"/>
      <c r="EU650" s="280"/>
      <c r="EV650" s="280"/>
      <c r="EW650" s="280"/>
      <c r="EX650" s="13"/>
      <c r="EY650" s="283"/>
      <c r="EZ650" s="283"/>
      <c r="FA650" s="45"/>
    </row>
    <row r="651" spans="34:157" ht="10.75" customHeight="1" x14ac:dyDescent="0.2">
      <c r="AH651" s="12"/>
      <c r="AI651" s="12"/>
      <c r="AJ651" s="280"/>
      <c r="AK651" s="280"/>
      <c r="AL651" s="280"/>
      <c r="AM651" s="280"/>
      <c r="AN651" s="280"/>
      <c r="AO651" s="280"/>
      <c r="AP651" s="280"/>
      <c r="AQ651" s="13"/>
      <c r="AR651" s="42"/>
      <c r="AS651" s="283"/>
      <c r="AT651" s="283"/>
      <c r="AU651" s="12"/>
      <c r="AV651" s="280"/>
      <c r="AW651" s="280"/>
      <c r="AX651" s="280"/>
      <c r="AY651" s="280"/>
      <c r="AZ651" s="280"/>
      <c r="BA651" s="280"/>
      <c r="BB651" s="280"/>
      <c r="BC651" s="280"/>
      <c r="BD651" s="280"/>
      <c r="BE651" s="280"/>
      <c r="BF651" s="13"/>
      <c r="BG651" s="12"/>
      <c r="BH651" s="280"/>
      <c r="BI651" s="280"/>
      <c r="BJ651" s="280"/>
      <c r="BK651" s="12"/>
      <c r="BL651" s="280"/>
      <c r="BM651" s="280"/>
      <c r="BN651" s="13"/>
      <c r="BO651" s="280"/>
      <c r="BP651" s="280"/>
      <c r="BQ651" s="280"/>
      <c r="BR651" s="280"/>
      <c r="BS651" s="12"/>
      <c r="BT651" s="280"/>
      <c r="BU651" s="280"/>
      <c r="BV651" s="13"/>
      <c r="BW651" s="280"/>
      <c r="BX651" s="280"/>
      <c r="BY651" s="280"/>
      <c r="BZ651" s="280"/>
      <c r="CA651" s="12"/>
      <c r="CB651" s="280"/>
      <c r="CC651" s="280"/>
      <c r="CD651" s="13"/>
      <c r="CE651" s="280"/>
      <c r="CF651" s="280"/>
      <c r="CG651" s="280"/>
      <c r="CH651" s="280"/>
      <c r="CI651" s="280"/>
      <c r="CJ651" s="280"/>
      <c r="CK651" s="280"/>
      <c r="CL651" s="280"/>
      <c r="CM651" s="280"/>
      <c r="CN651" s="280"/>
      <c r="CO651" s="280"/>
      <c r="CP651" s="280"/>
      <c r="CQ651" s="280"/>
      <c r="CR651" s="280"/>
      <c r="CS651" s="280"/>
      <c r="CT651" s="280"/>
      <c r="CU651" s="280"/>
      <c r="CV651" s="280"/>
      <c r="CW651" s="280"/>
      <c r="CX651" s="280"/>
      <c r="CY651" s="280"/>
      <c r="CZ651" s="280"/>
      <c r="DA651" s="280"/>
      <c r="DB651" s="280"/>
      <c r="DC651" s="280"/>
      <c r="DD651" s="280"/>
      <c r="DE651" s="280"/>
      <c r="DF651" s="280"/>
      <c r="DG651" s="280"/>
      <c r="DH651" s="280"/>
      <c r="DI651" s="280"/>
      <c r="DJ651" s="280"/>
      <c r="DK651" s="280"/>
      <c r="DL651" s="280"/>
      <c r="DM651" s="280"/>
      <c r="DN651" s="280"/>
      <c r="DO651" s="280"/>
      <c r="DP651" s="280"/>
      <c r="DQ651" s="280"/>
      <c r="DR651" s="280"/>
      <c r="DS651" s="280"/>
      <c r="DT651" s="280"/>
      <c r="DU651" s="280"/>
      <c r="DV651" s="280"/>
      <c r="DW651" s="280"/>
      <c r="DX651" s="280"/>
      <c r="DY651" s="280"/>
      <c r="DZ651" s="280"/>
      <c r="EA651" s="280"/>
      <c r="EB651" s="280"/>
      <c r="EC651" s="280"/>
      <c r="ED651" s="280"/>
      <c r="EE651" s="280"/>
      <c r="EF651" s="280"/>
      <c r="EG651" s="280"/>
      <c r="EH651" s="280"/>
      <c r="EI651" s="280"/>
      <c r="EJ651" s="280"/>
      <c r="EK651" s="280"/>
      <c r="EL651" s="280"/>
      <c r="EM651" s="280"/>
      <c r="EN651" s="280"/>
      <c r="EO651" s="280"/>
      <c r="EP651" s="280"/>
      <c r="EQ651" s="280"/>
      <c r="ER651" s="280"/>
      <c r="ES651" s="280"/>
      <c r="ET651" s="280"/>
      <c r="EU651" s="280"/>
      <c r="EV651" s="280"/>
      <c r="EW651" s="280"/>
      <c r="EX651" s="13"/>
      <c r="EY651" s="283"/>
      <c r="EZ651" s="283"/>
      <c r="FA651" s="45"/>
    </row>
    <row r="652" spans="34:157" ht="10.75" customHeight="1" x14ac:dyDescent="0.2">
      <c r="AH652" s="12"/>
      <c r="AI652" s="12"/>
      <c r="AJ652" s="280"/>
      <c r="AK652" s="280"/>
      <c r="AL652" s="280"/>
      <c r="AM652" s="280"/>
      <c r="AN652" s="280"/>
      <c r="AO652" s="280"/>
      <c r="AP652" s="280"/>
      <c r="AQ652" s="13"/>
      <c r="AR652" s="42"/>
      <c r="AS652" s="283"/>
      <c r="AT652" s="283"/>
      <c r="AU652" s="12"/>
      <c r="AV652" s="280"/>
      <c r="AW652" s="280"/>
      <c r="AX652" s="280"/>
      <c r="AY652" s="280"/>
      <c r="AZ652" s="280"/>
      <c r="BA652" s="280"/>
      <c r="BB652" s="280"/>
      <c r="BC652" s="280"/>
      <c r="BD652" s="280"/>
      <c r="BE652" s="280"/>
      <c r="BF652" s="13"/>
      <c r="BG652" s="12"/>
      <c r="BH652" s="280"/>
      <c r="BI652" s="280"/>
      <c r="BJ652" s="280"/>
      <c r="BK652" s="12"/>
      <c r="BL652" s="280"/>
      <c r="BM652" s="280"/>
      <c r="BN652" s="13"/>
      <c r="BO652" s="280"/>
      <c r="BP652" s="280"/>
      <c r="BQ652" s="280"/>
      <c r="BR652" s="280"/>
      <c r="BS652" s="12"/>
      <c r="BT652" s="280"/>
      <c r="BU652" s="280"/>
      <c r="BV652" s="13"/>
      <c r="BW652" s="280"/>
      <c r="BX652" s="280"/>
      <c r="BY652" s="280"/>
      <c r="BZ652" s="280"/>
      <c r="CA652" s="12"/>
      <c r="CB652" s="280"/>
      <c r="CC652" s="280"/>
      <c r="CD652" s="13"/>
      <c r="CE652" s="280"/>
      <c r="CF652" s="280"/>
      <c r="CG652" s="280"/>
      <c r="CH652" s="280"/>
      <c r="CI652" s="280"/>
      <c r="CJ652" s="280"/>
      <c r="CK652" s="280"/>
      <c r="CL652" s="280"/>
      <c r="CM652" s="280"/>
      <c r="CN652" s="280"/>
      <c r="CO652" s="280"/>
      <c r="CP652" s="280"/>
      <c r="CQ652" s="280"/>
      <c r="CR652" s="280"/>
      <c r="CS652" s="280"/>
      <c r="CT652" s="280"/>
      <c r="CU652" s="280"/>
      <c r="CV652" s="280"/>
      <c r="CW652" s="280"/>
      <c r="CX652" s="280"/>
      <c r="CY652" s="280"/>
      <c r="CZ652" s="280"/>
      <c r="DA652" s="280"/>
      <c r="DB652" s="280"/>
      <c r="DC652" s="280"/>
      <c r="DD652" s="280"/>
      <c r="DE652" s="280"/>
      <c r="DF652" s="280"/>
      <c r="DG652" s="280"/>
      <c r="DH652" s="280"/>
      <c r="DI652" s="280"/>
      <c r="DJ652" s="280"/>
      <c r="DK652" s="280"/>
      <c r="DL652" s="280"/>
      <c r="DM652" s="280"/>
      <c r="DN652" s="280"/>
      <c r="DO652" s="280"/>
      <c r="DP652" s="280"/>
      <c r="DQ652" s="280"/>
      <c r="DR652" s="280"/>
      <c r="DS652" s="280"/>
      <c r="DT652" s="280"/>
      <c r="DU652" s="280"/>
      <c r="DV652" s="280"/>
      <c r="DW652" s="280"/>
      <c r="DX652" s="280"/>
      <c r="DY652" s="280"/>
      <c r="DZ652" s="280"/>
      <c r="EA652" s="280"/>
      <c r="EB652" s="280"/>
      <c r="EC652" s="280"/>
      <c r="ED652" s="280"/>
      <c r="EE652" s="280"/>
      <c r="EF652" s="280"/>
      <c r="EG652" s="280"/>
      <c r="EH652" s="280"/>
      <c r="EI652" s="280"/>
      <c r="EJ652" s="280"/>
      <c r="EK652" s="280"/>
      <c r="EL652" s="280"/>
      <c r="EM652" s="280"/>
      <c r="EN652" s="280"/>
      <c r="EO652" s="280"/>
      <c r="EP652" s="280"/>
      <c r="EQ652" s="280"/>
      <c r="ER652" s="280"/>
      <c r="ES652" s="280"/>
      <c r="ET652" s="280"/>
      <c r="EU652" s="280"/>
      <c r="EV652" s="280"/>
      <c r="EW652" s="280"/>
      <c r="EX652" s="13"/>
      <c r="EY652" s="283"/>
      <c r="EZ652" s="283"/>
      <c r="FA652" s="45"/>
    </row>
    <row r="653" spans="34:157" ht="10.75" customHeight="1" x14ac:dyDescent="0.2">
      <c r="AH653" s="12"/>
      <c r="AI653" s="12"/>
      <c r="AJ653" s="280"/>
      <c r="AK653" s="280"/>
      <c r="AL653" s="280"/>
      <c r="AM653" s="280"/>
      <c r="AN653" s="280"/>
      <c r="AO653" s="280"/>
      <c r="AP653" s="280"/>
      <c r="AQ653" s="13"/>
      <c r="AR653" s="42"/>
      <c r="AS653" s="283"/>
      <c r="AT653" s="283"/>
      <c r="AU653" s="12"/>
      <c r="AV653" s="280"/>
      <c r="AW653" s="280"/>
      <c r="AX653" s="280"/>
      <c r="AY653" s="280"/>
      <c r="AZ653" s="280"/>
      <c r="BA653" s="280"/>
      <c r="BB653" s="280"/>
      <c r="BC653" s="280"/>
      <c r="BD653" s="280"/>
      <c r="BE653" s="280"/>
      <c r="BF653" s="13"/>
      <c r="BG653" s="12"/>
      <c r="BH653" s="280"/>
      <c r="BI653" s="280"/>
      <c r="BJ653" s="280"/>
      <c r="BK653" s="12"/>
      <c r="BL653" s="280"/>
      <c r="BM653" s="280"/>
      <c r="BN653" s="13"/>
      <c r="BO653" s="280"/>
      <c r="BP653" s="280"/>
      <c r="BQ653" s="280"/>
      <c r="BR653" s="280"/>
      <c r="BS653" s="12"/>
      <c r="BT653" s="280"/>
      <c r="BU653" s="280"/>
      <c r="BV653" s="13"/>
      <c r="BW653" s="280"/>
      <c r="BX653" s="280"/>
      <c r="BY653" s="280"/>
      <c r="BZ653" s="280"/>
      <c r="CA653" s="12"/>
      <c r="CB653" s="280"/>
      <c r="CC653" s="280"/>
      <c r="CD653" s="13"/>
      <c r="CE653" s="280"/>
      <c r="CF653" s="280"/>
      <c r="CG653" s="280"/>
      <c r="CH653" s="280"/>
      <c r="CI653" s="280"/>
      <c r="CJ653" s="280"/>
      <c r="CK653" s="280"/>
      <c r="CL653" s="280"/>
      <c r="CM653" s="280"/>
      <c r="CN653" s="280"/>
      <c r="CO653" s="280"/>
      <c r="CP653" s="280"/>
      <c r="CQ653" s="280"/>
      <c r="CR653" s="280"/>
      <c r="CS653" s="280"/>
      <c r="CT653" s="280"/>
      <c r="CU653" s="280"/>
      <c r="CV653" s="280"/>
      <c r="CW653" s="280"/>
      <c r="CX653" s="280"/>
      <c r="CY653" s="280"/>
      <c r="CZ653" s="280"/>
      <c r="DA653" s="280"/>
      <c r="DB653" s="280"/>
      <c r="DC653" s="280"/>
      <c r="DD653" s="280"/>
      <c r="DE653" s="280"/>
      <c r="DF653" s="280"/>
      <c r="DG653" s="280"/>
      <c r="DH653" s="280"/>
      <c r="DI653" s="280"/>
      <c r="DJ653" s="280"/>
      <c r="DK653" s="280"/>
      <c r="DL653" s="280"/>
      <c r="DM653" s="280"/>
      <c r="DN653" s="280"/>
      <c r="DO653" s="280"/>
      <c r="DP653" s="280"/>
      <c r="DQ653" s="280"/>
      <c r="DR653" s="280"/>
      <c r="DS653" s="280"/>
      <c r="DT653" s="280"/>
      <c r="DU653" s="280"/>
      <c r="DV653" s="280"/>
      <c r="DW653" s="280"/>
      <c r="DX653" s="280"/>
      <c r="DY653" s="280"/>
      <c r="DZ653" s="280"/>
      <c r="EA653" s="280"/>
      <c r="EB653" s="280"/>
      <c r="EC653" s="280"/>
      <c r="ED653" s="280"/>
      <c r="EE653" s="280"/>
      <c r="EF653" s="280"/>
      <c r="EG653" s="280"/>
      <c r="EH653" s="280"/>
      <c r="EI653" s="280"/>
      <c r="EJ653" s="280"/>
      <c r="EK653" s="280"/>
      <c r="EL653" s="280"/>
      <c r="EM653" s="280"/>
      <c r="EN653" s="280"/>
      <c r="EO653" s="280"/>
      <c r="EP653" s="280"/>
      <c r="EQ653" s="280"/>
      <c r="ER653" s="280"/>
      <c r="ES653" s="280"/>
      <c r="ET653" s="280"/>
      <c r="EU653" s="280"/>
      <c r="EV653" s="280"/>
      <c r="EW653" s="280"/>
      <c r="EX653" s="13"/>
      <c r="EY653" s="283"/>
      <c r="EZ653" s="283"/>
      <c r="FA653" s="45"/>
    </row>
    <row r="654" spans="34:157" ht="10.75" customHeight="1" x14ac:dyDescent="0.2">
      <c r="AH654" s="12"/>
      <c r="AI654" s="12"/>
      <c r="AJ654" s="280"/>
      <c r="AK654" s="280"/>
      <c r="AL654" s="280"/>
      <c r="AM654" s="280"/>
      <c r="AN654" s="280"/>
      <c r="AO654" s="280"/>
      <c r="AP654" s="280"/>
      <c r="AQ654" s="13"/>
      <c r="AR654" s="42"/>
      <c r="AS654" s="283"/>
      <c r="AT654" s="283"/>
      <c r="AU654" s="12"/>
      <c r="AV654" s="280"/>
      <c r="AW654" s="280"/>
      <c r="AX654" s="280"/>
      <c r="AY654" s="280"/>
      <c r="AZ654" s="280"/>
      <c r="BA654" s="280"/>
      <c r="BB654" s="280"/>
      <c r="BC654" s="280"/>
      <c r="BD654" s="280"/>
      <c r="BE654" s="280"/>
      <c r="BF654" s="13"/>
      <c r="BG654" s="12"/>
      <c r="BH654" s="280"/>
      <c r="BI654" s="280"/>
      <c r="BJ654" s="280"/>
      <c r="BK654" s="12"/>
      <c r="BL654" s="280"/>
      <c r="BM654" s="280"/>
      <c r="BN654" s="13"/>
      <c r="BO654" s="280"/>
      <c r="BP654" s="280"/>
      <c r="BQ654" s="280"/>
      <c r="BR654" s="280"/>
      <c r="BS654" s="12"/>
      <c r="BT654" s="280"/>
      <c r="BU654" s="280"/>
      <c r="BV654" s="13"/>
      <c r="BW654" s="280"/>
      <c r="BX654" s="280"/>
      <c r="BY654" s="280"/>
      <c r="BZ654" s="280"/>
      <c r="CA654" s="12"/>
      <c r="CB654" s="280"/>
      <c r="CC654" s="280"/>
      <c r="CD654" s="13"/>
      <c r="CE654" s="280"/>
      <c r="CF654" s="280"/>
      <c r="CG654" s="280"/>
      <c r="CH654" s="280"/>
      <c r="CI654" s="280"/>
      <c r="CJ654" s="280"/>
      <c r="CK654" s="280"/>
      <c r="CL654" s="280"/>
      <c r="CM654" s="280"/>
      <c r="CN654" s="280"/>
      <c r="CO654" s="280"/>
      <c r="CP654" s="280"/>
      <c r="CQ654" s="280"/>
      <c r="CR654" s="280"/>
      <c r="CS654" s="280"/>
      <c r="CT654" s="280"/>
      <c r="CU654" s="280"/>
      <c r="CV654" s="280"/>
      <c r="CW654" s="280"/>
      <c r="CX654" s="280"/>
      <c r="CY654" s="280"/>
      <c r="CZ654" s="280"/>
      <c r="DA654" s="280"/>
      <c r="DB654" s="280"/>
      <c r="DC654" s="280"/>
      <c r="DD654" s="280"/>
      <c r="DE654" s="280"/>
      <c r="DF654" s="280"/>
      <c r="DG654" s="280"/>
      <c r="DH654" s="280"/>
      <c r="DI654" s="280"/>
      <c r="DJ654" s="280"/>
      <c r="DK654" s="280"/>
      <c r="DL654" s="280"/>
      <c r="DM654" s="280"/>
      <c r="DN654" s="280"/>
      <c r="DO654" s="280"/>
      <c r="DP654" s="280"/>
      <c r="DQ654" s="280"/>
      <c r="DR654" s="280"/>
      <c r="DS654" s="280"/>
      <c r="DT654" s="280"/>
      <c r="DU654" s="280"/>
      <c r="DV654" s="280"/>
      <c r="DW654" s="280"/>
      <c r="DX654" s="280"/>
      <c r="DY654" s="280"/>
      <c r="DZ654" s="280"/>
      <c r="EA654" s="280"/>
      <c r="EB654" s="280"/>
      <c r="EC654" s="280"/>
      <c r="ED654" s="280"/>
      <c r="EE654" s="280"/>
      <c r="EF654" s="280"/>
      <c r="EG654" s="280"/>
      <c r="EH654" s="280"/>
      <c r="EI654" s="280"/>
      <c r="EJ654" s="280"/>
      <c r="EK654" s="280"/>
      <c r="EL654" s="280"/>
      <c r="EM654" s="280"/>
      <c r="EN654" s="280"/>
      <c r="EO654" s="280"/>
      <c r="EP654" s="280"/>
      <c r="EQ654" s="280"/>
      <c r="ER654" s="280"/>
      <c r="ES654" s="280"/>
      <c r="ET654" s="280"/>
      <c r="EU654" s="280"/>
      <c r="EV654" s="280"/>
      <c r="EW654" s="280"/>
      <c r="EX654" s="13"/>
      <c r="EY654" s="283"/>
      <c r="EZ654" s="283"/>
      <c r="FA654" s="45"/>
    </row>
    <row r="655" spans="34:157" ht="10.75" customHeight="1" x14ac:dyDescent="0.2">
      <c r="AH655" s="12"/>
      <c r="AI655" s="12"/>
      <c r="AJ655" s="280"/>
      <c r="AK655" s="280"/>
      <c r="AL655" s="280"/>
      <c r="AM655" s="280"/>
      <c r="AN655" s="280"/>
      <c r="AO655" s="280"/>
      <c r="AP655" s="280"/>
      <c r="AQ655" s="13"/>
      <c r="AR655" s="42"/>
      <c r="AS655" s="283"/>
      <c r="AT655" s="283"/>
      <c r="AU655" s="12"/>
      <c r="AV655" s="280"/>
      <c r="AW655" s="280"/>
      <c r="AX655" s="280"/>
      <c r="AY655" s="280"/>
      <c r="AZ655" s="280"/>
      <c r="BA655" s="280"/>
      <c r="BB655" s="280"/>
      <c r="BC655" s="280"/>
      <c r="BD655" s="280"/>
      <c r="BE655" s="280"/>
      <c r="BF655" s="13"/>
      <c r="BG655" s="12"/>
      <c r="BH655" s="280"/>
      <c r="BI655" s="280"/>
      <c r="BJ655" s="280"/>
      <c r="BK655" s="12"/>
      <c r="BL655" s="280"/>
      <c r="BM655" s="280"/>
      <c r="BN655" s="13"/>
      <c r="BO655" s="280"/>
      <c r="BP655" s="280"/>
      <c r="BQ655" s="280"/>
      <c r="BR655" s="280"/>
      <c r="BS655" s="12"/>
      <c r="BT655" s="280"/>
      <c r="BU655" s="280"/>
      <c r="BV655" s="13"/>
      <c r="BW655" s="280"/>
      <c r="BX655" s="280"/>
      <c r="BY655" s="280"/>
      <c r="BZ655" s="280"/>
      <c r="CA655" s="12"/>
      <c r="CB655" s="280"/>
      <c r="CC655" s="280"/>
      <c r="CD655" s="13"/>
      <c r="CE655" s="280"/>
      <c r="CF655" s="280"/>
      <c r="CG655" s="280"/>
      <c r="CH655" s="280"/>
      <c r="CI655" s="280"/>
      <c r="CJ655" s="280"/>
      <c r="CK655" s="280"/>
      <c r="CL655" s="280"/>
      <c r="CM655" s="280"/>
      <c r="CN655" s="280"/>
      <c r="CO655" s="280"/>
      <c r="CP655" s="280"/>
      <c r="CQ655" s="280"/>
      <c r="CR655" s="280"/>
      <c r="CS655" s="280"/>
      <c r="CT655" s="280"/>
      <c r="CU655" s="280"/>
      <c r="CV655" s="280"/>
      <c r="CW655" s="280"/>
      <c r="CX655" s="280"/>
      <c r="CY655" s="280"/>
      <c r="CZ655" s="280"/>
      <c r="DA655" s="280"/>
      <c r="DB655" s="280"/>
      <c r="DC655" s="280"/>
      <c r="DD655" s="280"/>
      <c r="DE655" s="280"/>
      <c r="DF655" s="280"/>
      <c r="DG655" s="280"/>
      <c r="DH655" s="280"/>
      <c r="DI655" s="280"/>
      <c r="DJ655" s="280"/>
      <c r="DK655" s="280"/>
      <c r="DL655" s="280"/>
      <c r="DM655" s="280"/>
      <c r="DN655" s="280"/>
      <c r="DO655" s="280"/>
      <c r="DP655" s="280"/>
      <c r="DQ655" s="280"/>
      <c r="DR655" s="280"/>
      <c r="DS655" s="280"/>
      <c r="DT655" s="280"/>
      <c r="DU655" s="280"/>
      <c r="DV655" s="280"/>
      <c r="DW655" s="280"/>
      <c r="DX655" s="280"/>
      <c r="DY655" s="280"/>
      <c r="DZ655" s="280"/>
      <c r="EA655" s="280"/>
      <c r="EB655" s="280"/>
      <c r="EC655" s="280"/>
      <c r="ED655" s="280"/>
      <c r="EE655" s="280"/>
      <c r="EF655" s="280"/>
      <c r="EG655" s="280"/>
      <c r="EH655" s="280"/>
      <c r="EI655" s="280"/>
      <c r="EJ655" s="280"/>
      <c r="EK655" s="280"/>
      <c r="EL655" s="280"/>
      <c r="EM655" s="280"/>
      <c r="EN655" s="280"/>
      <c r="EO655" s="280"/>
      <c r="EP655" s="280"/>
      <c r="EQ655" s="280"/>
      <c r="ER655" s="280"/>
      <c r="ES655" s="280"/>
      <c r="ET655" s="280"/>
      <c r="EU655" s="280"/>
      <c r="EV655" s="280"/>
      <c r="EW655" s="280"/>
      <c r="EX655" s="13"/>
      <c r="EY655" s="283"/>
      <c r="EZ655" s="283"/>
      <c r="FA655" s="45"/>
    </row>
    <row r="656" spans="34:157" ht="10.75" customHeight="1" x14ac:dyDescent="0.2">
      <c r="AH656" s="12"/>
      <c r="AI656" s="14"/>
      <c r="AJ656" s="15"/>
      <c r="AK656" s="15"/>
      <c r="AL656" s="15"/>
      <c r="AM656" s="15"/>
      <c r="AN656" s="15"/>
      <c r="AO656" s="15"/>
      <c r="AP656" s="15"/>
      <c r="AQ656" s="16"/>
      <c r="AR656" s="42"/>
      <c r="AS656" s="283"/>
      <c r="AT656" s="283"/>
      <c r="AU656" s="12"/>
      <c r="AV656" s="280"/>
      <c r="AW656" s="280"/>
      <c r="AX656" s="280"/>
      <c r="AY656" s="280"/>
      <c r="AZ656" s="280"/>
      <c r="BA656" s="280"/>
      <c r="BB656" s="280"/>
      <c r="BC656" s="280"/>
      <c r="BD656" s="280"/>
      <c r="BE656" s="280"/>
      <c r="BF656" s="13"/>
      <c r="BG656" s="12"/>
      <c r="BH656" s="280"/>
      <c r="BI656" s="280"/>
      <c r="BJ656" s="280"/>
      <c r="BK656" s="14"/>
      <c r="BL656" s="15"/>
      <c r="BM656" s="15"/>
      <c r="BN656" s="16"/>
      <c r="BO656" s="280"/>
      <c r="BP656" s="280"/>
      <c r="BQ656" s="280"/>
      <c r="BR656" s="280"/>
      <c r="BS656" s="14"/>
      <c r="BT656" s="15"/>
      <c r="BU656" s="15"/>
      <c r="BV656" s="16"/>
      <c r="BW656" s="280"/>
      <c r="BX656" s="280"/>
      <c r="BY656" s="280"/>
      <c r="BZ656" s="280"/>
      <c r="CA656" s="14"/>
      <c r="CB656" s="15"/>
      <c r="CC656" s="15"/>
      <c r="CD656" s="16"/>
      <c r="CE656" s="280"/>
      <c r="CF656" s="280"/>
      <c r="CG656" s="280"/>
      <c r="CH656" s="280"/>
      <c r="CI656" s="280"/>
      <c r="CJ656" s="280"/>
      <c r="CK656" s="280"/>
      <c r="CL656" s="280"/>
      <c r="CM656" s="280"/>
      <c r="CN656" s="280"/>
      <c r="CO656" s="280"/>
      <c r="CP656" s="280"/>
      <c r="CQ656" s="280"/>
      <c r="CR656" s="280"/>
      <c r="CS656" s="280"/>
      <c r="CT656" s="280"/>
      <c r="CU656" s="280"/>
      <c r="CV656" s="280"/>
      <c r="CW656" s="280"/>
      <c r="CX656" s="280"/>
      <c r="CY656" s="280"/>
      <c r="CZ656" s="280"/>
      <c r="DA656" s="280"/>
      <c r="DB656" s="280"/>
      <c r="DC656" s="280"/>
      <c r="DD656" s="280"/>
      <c r="DE656" s="280"/>
      <c r="DF656" s="280"/>
      <c r="DG656" s="280"/>
      <c r="DH656" s="280"/>
      <c r="DI656" s="280"/>
      <c r="DJ656" s="280"/>
      <c r="DK656" s="280"/>
      <c r="DL656" s="280"/>
      <c r="DM656" s="280"/>
      <c r="DN656" s="280"/>
      <c r="DO656" s="280"/>
      <c r="DP656" s="280"/>
      <c r="DQ656" s="280"/>
      <c r="DR656" s="280"/>
      <c r="DS656" s="280"/>
      <c r="DT656" s="280"/>
      <c r="DU656" s="280"/>
      <c r="DV656" s="280"/>
      <c r="DW656" s="280"/>
      <c r="DX656" s="280"/>
      <c r="DY656" s="280"/>
      <c r="DZ656" s="280"/>
      <c r="EA656" s="280"/>
      <c r="EB656" s="280"/>
      <c r="EC656" s="280"/>
      <c r="ED656" s="280"/>
      <c r="EE656" s="280"/>
      <c r="EF656" s="280"/>
      <c r="EG656" s="280"/>
      <c r="EH656" s="280"/>
      <c r="EI656" s="280"/>
      <c r="EJ656" s="280"/>
      <c r="EK656" s="280"/>
      <c r="EL656" s="280"/>
      <c r="EM656" s="280"/>
      <c r="EN656" s="280"/>
      <c r="EO656" s="280"/>
      <c r="EP656" s="280"/>
      <c r="EQ656" s="280"/>
      <c r="ER656" s="280"/>
      <c r="ES656" s="280"/>
      <c r="ET656" s="280"/>
      <c r="EU656" s="280"/>
      <c r="EV656" s="280"/>
      <c r="EW656" s="280"/>
      <c r="EX656" s="13"/>
      <c r="EY656" s="283"/>
      <c r="EZ656" s="283"/>
      <c r="FA656" s="45"/>
    </row>
    <row r="657" spans="34:157" ht="10.75" customHeight="1" x14ac:dyDescent="0.2">
      <c r="AH657" s="14"/>
      <c r="AI657" s="15"/>
      <c r="AJ657" s="15"/>
      <c r="AK657" s="15"/>
      <c r="AL657" s="15"/>
      <c r="AM657" s="15"/>
      <c r="AN657" s="15"/>
      <c r="AO657" s="15"/>
      <c r="AP657" s="15"/>
      <c r="AQ657" s="16"/>
      <c r="AR657" s="42"/>
      <c r="AS657" s="283"/>
      <c r="AT657" s="283"/>
      <c r="AU657" s="20"/>
      <c r="AV657" s="21"/>
      <c r="AW657" s="21"/>
      <c r="AX657" s="21"/>
      <c r="AY657" s="21"/>
      <c r="AZ657" s="21"/>
      <c r="BA657" s="21"/>
      <c r="BB657" s="21"/>
      <c r="BC657" s="21"/>
      <c r="BD657" s="21"/>
      <c r="BE657" s="21"/>
      <c r="BF657" s="22"/>
      <c r="BG657" s="20"/>
      <c r="BH657" s="21"/>
      <c r="BI657" s="21"/>
      <c r="BJ657" s="21"/>
      <c r="BK657" s="21"/>
      <c r="BL657" s="21"/>
      <c r="BM657" s="21"/>
      <c r="BN657" s="21"/>
      <c r="BO657" s="21"/>
      <c r="BP657" s="21"/>
      <c r="BQ657" s="21"/>
      <c r="BR657" s="21"/>
      <c r="BS657" s="21"/>
      <c r="BT657" s="21"/>
      <c r="BU657" s="21"/>
      <c r="BV657" s="21"/>
      <c r="BW657" s="21"/>
      <c r="BX657" s="21"/>
      <c r="BY657" s="21"/>
      <c r="BZ657" s="21"/>
      <c r="CA657" s="21"/>
      <c r="CB657" s="21"/>
      <c r="CC657" s="21"/>
      <c r="CD657" s="22"/>
      <c r="CE657" s="280"/>
      <c r="CF657" s="280"/>
      <c r="CG657" s="280"/>
      <c r="CH657" s="280"/>
      <c r="CI657" s="280"/>
      <c r="CJ657" s="280"/>
      <c r="CK657" s="280"/>
      <c r="CL657" s="280"/>
      <c r="CM657" s="280"/>
      <c r="CN657" s="280"/>
      <c r="CO657" s="280"/>
      <c r="CP657" s="280"/>
      <c r="CQ657" s="280"/>
      <c r="CR657" s="280"/>
      <c r="CS657" s="280"/>
      <c r="CT657" s="280"/>
      <c r="CU657" s="280"/>
      <c r="CV657" s="280"/>
      <c r="CW657" s="280"/>
      <c r="CX657" s="280"/>
      <c r="CY657" s="280"/>
      <c r="CZ657" s="280"/>
      <c r="DA657" s="280"/>
      <c r="DB657" s="280"/>
      <c r="DC657" s="280"/>
      <c r="DD657" s="280"/>
      <c r="DE657" s="280"/>
      <c r="DF657" s="280"/>
      <c r="DG657" s="280"/>
      <c r="DH657" s="280"/>
      <c r="DI657" s="280"/>
      <c r="DJ657" s="280"/>
      <c r="DK657" s="280"/>
      <c r="DL657" s="280"/>
      <c r="DM657" s="280"/>
      <c r="DN657" s="280"/>
      <c r="DO657" s="280"/>
      <c r="DP657" s="280"/>
      <c r="DQ657" s="280"/>
      <c r="DR657" s="280"/>
      <c r="DS657" s="280"/>
      <c r="DT657" s="280"/>
      <c r="DU657" s="280"/>
      <c r="DV657" s="280"/>
      <c r="DW657" s="280"/>
      <c r="DX657" s="280"/>
      <c r="DY657" s="280"/>
      <c r="DZ657" s="280"/>
      <c r="EA657" s="280"/>
      <c r="EB657" s="280"/>
      <c r="EC657" s="280"/>
      <c r="ED657" s="280"/>
      <c r="EE657" s="280"/>
      <c r="EF657" s="280"/>
      <c r="EG657" s="280"/>
      <c r="EH657" s="280"/>
      <c r="EI657" s="280"/>
      <c r="EJ657" s="280"/>
      <c r="EK657" s="280"/>
      <c r="EL657" s="280"/>
      <c r="EM657" s="280"/>
      <c r="EN657" s="280"/>
      <c r="EO657" s="280"/>
      <c r="EP657" s="280"/>
      <c r="EQ657" s="280"/>
      <c r="ER657" s="280"/>
      <c r="ES657" s="280"/>
      <c r="ET657" s="280"/>
      <c r="EU657" s="280"/>
      <c r="EV657" s="280"/>
      <c r="EW657" s="280"/>
      <c r="EX657" s="13"/>
      <c r="EY657" s="283"/>
      <c r="EZ657" s="283"/>
      <c r="FA657" s="45"/>
    </row>
    <row r="658" spans="34:157" ht="10.75" customHeight="1" x14ac:dyDescent="0.2">
      <c r="AR658" s="42"/>
      <c r="AS658" s="283"/>
      <c r="AT658" s="283"/>
      <c r="AU658" s="9"/>
      <c r="AV658" s="10"/>
      <c r="AW658" s="10"/>
      <c r="AX658" s="10"/>
      <c r="AY658" s="10"/>
      <c r="AZ658" s="10"/>
      <c r="BA658" s="10"/>
      <c r="BB658" s="10"/>
      <c r="BC658" s="9"/>
      <c r="BD658" s="10"/>
      <c r="BE658" s="10"/>
      <c r="BF658" s="10"/>
      <c r="BG658" s="10"/>
      <c r="BH658" s="10"/>
      <c r="BI658" s="10"/>
      <c r="BJ658" s="10"/>
      <c r="BK658" s="10"/>
      <c r="BL658" s="10"/>
      <c r="BM658" s="10"/>
      <c r="BN658" s="10"/>
      <c r="BO658" s="10"/>
      <c r="BP658" s="10"/>
      <c r="BQ658" s="10"/>
      <c r="BR658" s="10"/>
      <c r="BS658" s="10"/>
      <c r="BT658" s="10"/>
      <c r="BU658" s="10"/>
      <c r="BV658" s="10"/>
      <c r="BW658" s="10"/>
      <c r="BX658" s="10"/>
      <c r="BY658" s="10"/>
      <c r="BZ658" s="10"/>
      <c r="CA658" s="10"/>
      <c r="CB658" s="10"/>
      <c r="CC658" s="10"/>
      <c r="CD658" s="10"/>
      <c r="CE658" s="280"/>
      <c r="CF658" s="280"/>
      <c r="CG658" s="280"/>
      <c r="CH658" s="280"/>
      <c r="CI658" s="280"/>
      <c r="CJ658" s="280"/>
      <c r="CK658" s="280"/>
      <c r="CL658" s="280"/>
      <c r="CM658" s="280"/>
      <c r="CN658" s="280"/>
      <c r="CO658" s="280"/>
      <c r="CP658" s="280"/>
      <c r="CQ658" s="280"/>
      <c r="CR658" s="280"/>
      <c r="CS658" s="280"/>
      <c r="CT658" s="280"/>
      <c r="CU658" s="280"/>
      <c r="CV658" s="280"/>
      <c r="CW658" s="280"/>
      <c r="CX658" s="280"/>
      <c r="CY658" s="280"/>
      <c r="CZ658" s="280"/>
      <c r="DA658" s="280"/>
      <c r="DB658" s="280"/>
      <c r="DC658" s="280"/>
      <c r="DD658" s="280"/>
      <c r="DE658" s="280"/>
      <c r="DF658" s="280"/>
      <c r="DG658" s="280"/>
      <c r="DH658" s="280"/>
      <c r="DI658" s="280"/>
      <c r="DJ658" s="280"/>
      <c r="DK658" s="280"/>
      <c r="DL658" s="280"/>
      <c r="DM658" s="280"/>
      <c r="DN658" s="280"/>
      <c r="DO658" s="280"/>
      <c r="DP658" s="280"/>
      <c r="DQ658" s="280"/>
      <c r="DR658" s="280"/>
      <c r="DS658" s="280"/>
      <c r="DT658" s="280"/>
      <c r="DU658" s="280"/>
      <c r="DV658" s="280"/>
      <c r="DW658" s="280"/>
      <c r="DX658" s="280"/>
      <c r="DY658" s="280"/>
      <c r="DZ658" s="280"/>
      <c r="EA658" s="280"/>
      <c r="EB658" s="280"/>
      <c r="EC658" s="280"/>
      <c r="ED658" s="280"/>
      <c r="EE658" s="280"/>
      <c r="EF658" s="280"/>
      <c r="EG658" s="280"/>
      <c r="EH658" s="280"/>
      <c r="EI658" s="280"/>
      <c r="EJ658" s="280"/>
      <c r="EK658" s="280"/>
      <c r="EL658" s="280"/>
      <c r="EM658" s="280"/>
      <c r="EN658" s="280"/>
      <c r="EO658" s="280"/>
      <c r="EP658" s="280"/>
      <c r="EQ658" s="280"/>
      <c r="ER658" s="280"/>
      <c r="ES658" s="280"/>
      <c r="ET658" s="280"/>
      <c r="EU658" s="280"/>
      <c r="EV658" s="280"/>
      <c r="EW658" s="280"/>
      <c r="EX658" s="13"/>
      <c r="EY658" s="283"/>
      <c r="EZ658" s="283"/>
      <c r="FA658" s="45"/>
    </row>
    <row r="659" spans="34:157" ht="10.75" customHeight="1" x14ac:dyDescent="0.2">
      <c r="AR659" s="42"/>
      <c r="AS659" s="283"/>
      <c r="AT659" s="283"/>
      <c r="AU659" s="12"/>
      <c r="AV659" s="280"/>
      <c r="AW659" s="280"/>
      <c r="AX659" s="280"/>
      <c r="AY659" s="280"/>
      <c r="AZ659" s="280"/>
      <c r="BA659" s="280"/>
      <c r="BB659" s="280"/>
      <c r="BC659" s="12"/>
      <c r="BD659" s="280"/>
      <c r="BE659" s="280"/>
      <c r="BF659" s="280"/>
      <c r="BG659" s="280"/>
      <c r="BH659" s="280"/>
      <c r="BI659" s="280"/>
      <c r="BJ659" s="280"/>
      <c r="BK659" s="280"/>
      <c r="BL659" s="280"/>
      <c r="BM659" s="280"/>
      <c r="BN659" s="280"/>
      <c r="BO659" s="280"/>
      <c r="BP659" s="280"/>
      <c r="BQ659" s="280"/>
      <c r="BR659" s="280"/>
      <c r="BS659" s="280"/>
      <c r="BT659" s="280"/>
      <c r="BU659" s="280"/>
      <c r="BV659" s="280"/>
      <c r="BW659" s="280"/>
      <c r="BX659" s="280"/>
      <c r="BY659" s="280"/>
      <c r="BZ659" s="280"/>
      <c r="CA659" s="280"/>
      <c r="CB659" s="280"/>
      <c r="CC659" s="280"/>
      <c r="CD659" s="280"/>
      <c r="CE659" s="280"/>
      <c r="CF659" s="280"/>
      <c r="CG659" s="280"/>
      <c r="CH659" s="280"/>
      <c r="CI659" s="280"/>
      <c r="CJ659" s="280"/>
      <c r="CK659" s="280"/>
      <c r="CL659" s="280"/>
      <c r="CM659" s="280"/>
      <c r="CN659" s="280"/>
      <c r="CO659" s="280"/>
      <c r="CP659" s="280"/>
      <c r="CQ659" s="280"/>
      <c r="CR659" s="280"/>
      <c r="CS659" s="280"/>
      <c r="CT659" s="280"/>
      <c r="CU659" s="280"/>
      <c r="CV659" s="280"/>
      <c r="CW659" s="280"/>
      <c r="CX659" s="280"/>
      <c r="CY659" s="280"/>
      <c r="CZ659" s="280"/>
      <c r="DA659" s="280"/>
      <c r="DB659" s="280"/>
      <c r="DC659" s="280"/>
      <c r="DD659" s="280"/>
      <c r="DE659" s="280"/>
      <c r="DF659" s="280"/>
      <c r="DG659" s="280"/>
      <c r="DH659" s="280"/>
      <c r="DI659" s="280"/>
      <c r="DJ659" s="280"/>
      <c r="DK659" s="280"/>
      <c r="DL659" s="280"/>
      <c r="DM659" s="280"/>
      <c r="DN659" s="280"/>
      <c r="DO659" s="280"/>
      <c r="DP659" s="280"/>
      <c r="DQ659" s="280"/>
      <c r="DR659" s="280"/>
      <c r="DS659" s="280"/>
      <c r="DT659" s="280"/>
      <c r="DU659" s="280"/>
      <c r="DV659" s="280"/>
      <c r="DW659" s="280"/>
      <c r="DX659" s="280"/>
      <c r="DY659" s="280"/>
      <c r="DZ659" s="280"/>
      <c r="EA659" s="280"/>
      <c r="EB659" s="280"/>
      <c r="EC659" s="280"/>
      <c r="ED659" s="280"/>
      <c r="EE659" s="280"/>
      <c r="EF659" s="280"/>
      <c r="EG659" s="280"/>
      <c r="EH659" s="280"/>
      <c r="EI659" s="280"/>
      <c r="EJ659" s="280"/>
      <c r="EK659" s="280"/>
      <c r="EL659" s="280"/>
      <c r="EM659" s="280"/>
      <c r="EN659" s="280"/>
      <c r="EO659" s="280"/>
      <c r="EP659" s="280"/>
      <c r="EQ659" s="280"/>
      <c r="ER659" s="280"/>
      <c r="ES659" s="280"/>
      <c r="ET659" s="280"/>
      <c r="EU659" s="280"/>
      <c r="EV659" s="280"/>
      <c r="EW659" s="280"/>
      <c r="EX659" s="13"/>
      <c r="EY659" s="283"/>
      <c r="EZ659" s="283"/>
      <c r="FA659" s="45"/>
    </row>
    <row r="660" spans="34:157" ht="10.75" customHeight="1" x14ac:dyDescent="0.2">
      <c r="AR660" s="42"/>
      <c r="AS660" s="283"/>
      <c r="AT660" s="283"/>
      <c r="AU660" s="12"/>
      <c r="AV660" s="280"/>
      <c r="AW660" s="280"/>
      <c r="AX660" s="280"/>
      <c r="AY660" s="280"/>
      <c r="AZ660" s="280"/>
      <c r="BA660" s="280"/>
      <c r="BB660" s="280"/>
      <c r="BC660" s="12"/>
      <c r="BD660" s="280"/>
      <c r="BE660" s="280"/>
      <c r="BF660" s="280"/>
      <c r="BG660" s="280"/>
      <c r="BH660" s="280"/>
      <c r="BI660" s="280"/>
      <c r="BJ660" s="280"/>
      <c r="BK660" s="280"/>
      <c r="BL660" s="280"/>
      <c r="BM660" s="280"/>
      <c r="BN660" s="280"/>
      <c r="BO660" s="280"/>
      <c r="BP660" s="280"/>
      <c r="BQ660" s="280"/>
      <c r="BR660" s="280"/>
      <c r="BS660" s="280"/>
      <c r="BT660" s="280"/>
      <c r="BU660" s="280"/>
      <c r="BV660" s="280"/>
      <c r="BW660" s="280"/>
      <c r="BX660" s="280"/>
      <c r="BY660" s="280"/>
      <c r="BZ660" s="280"/>
      <c r="CA660" s="280"/>
      <c r="CB660" s="280"/>
      <c r="CC660" s="280"/>
      <c r="CD660" s="280"/>
      <c r="CE660" s="280"/>
      <c r="CF660" s="280"/>
      <c r="CG660" s="280"/>
      <c r="CH660" s="280"/>
      <c r="CI660" s="280"/>
      <c r="CJ660" s="280"/>
      <c r="CK660" s="280"/>
      <c r="CL660" s="280"/>
      <c r="CM660" s="280"/>
      <c r="CN660" s="280"/>
      <c r="CO660" s="280"/>
      <c r="CP660" s="280"/>
      <c r="CQ660" s="280"/>
      <c r="CR660" s="280"/>
      <c r="CS660" s="280"/>
      <c r="CT660" s="280"/>
      <c r="CU660" s="280"/>
      <c r="CV660" s="280"/>
      <c r="CW660" s="280"/>
      <c r="CX660" s="280"/>
      <c r="CY660" s="280"/>
      <c r="CZ660" s="280"/>
      <c r="DA660" s="280"/>
      <c r="DB660" s="280"/>
      <c r="DC660" s="280"/>
      <c r="DD660" s="280"/>
      <c r="DE660" s="280"/>
      <c r="DF660" s="280"/>
      <c r="DG660" s="280"/>
      <c r="DH660" s="280"/>
      <c r="DI660" s="280"/>
      <c r="DJ660" s="280"/>
      <c r="DK660" s="280"/>
      <c r="DL660" s="280"/>
      <c r="DM660" s="280"/>
      <c r="DN660" s="280"/>
      <c r="DO660" s="280"/>
      <c r="DP660" s="280"/>
      <c r="DQ660" s="280"/>
      <c r="DR660" s="280"/>
      <c r="DS660" s="280"/>
      <c r="DT660" s="280"/>
      <c r="DU660" s="280"/>
      <c r="DV660" s="280"/>
      <c r="DW660" s="280"/>
      <c r="DX660" s="280"/>
      <c r="DY660" s="280"/>
      <c r="DZ660" s="280"/>
      <c r="EA660" s="280"/>
      <c r="EB660" s="280"/>
      <c r="EC660" s="280"/>
      <c r="ED660" s="280"/>
      <c r="EE660" s="280"/>
      <c r="EF660" s="280"/>
      <c r="EG660" s="280"/>
      <c r="EH660" s="280"/>
      <c r="EI660" s="280"/>
      <c r="EJ660" s="280"/>
      <c r="EK660" s="280"/>
      <c r="EL660" s="280"/>
      <c r="EM660" s="280"/>
      <c r="EN660" s="280"/>
      <c r="EO660" s="280"/>
      <c r="EP660" s="280"/>
      <c r="EQ660" s="280"/>
      <c r="ER660" s="280"/>
      <c r="ES660" s="280"/>
      <c r="ET660" s="280"/>
      <c r="EU660" s="280"/>
      <c r="EV660" s="280"/>
      <c r="EW660" s="280"/>
      <c r="EX660" s="13"/>
      <c r="EY660" s="283"/>
      <c r="EZ660" s="283"/>
      <c r="FA660" s="45"/>
    </row>
    <row r="661" spans="34:157" ht="10.75" customHeight="1" x14ac:dyDescent="0.2">
      <c r="AR661" s="42"/>
      <c r="AS661" s="283"/>
      <c r="AT661" s="283"/>
      <c r="AU661" s="12"/>
      <c r="AV661" s="280"/>
      <c r="AW661" s="280"/>
      <c r="AX661" s="280"/>
      <c r="AY661" s="280"/>
      <c r="AZ661" s="280"/>
      <c r="BA661" s="280"/>
      <c r="BB661" s="280"/>
      <c r="BC661" s="12"/>
      <c r="BD661" s="280"/>
      <c r="BE661" s="280"/>
      <c r="BF661" s="280"/>
      <c r="BG661" s="280"/>
      <c r="BH661" s="280"/>
      <c r="BI661" s="280"/>
      <c r="BJ661" s="280"/>
      <c r="BK661" s="280"/>
      <c r="BL661" s="280"/>
      <c r="BM661" s="280"/>
      <c r="BN661" s="280"/>
      <c r="BO661" s="280"/>
      <c r="BP661" s="280"/>
      <c r="BQ661" s="280"/>
      <c r="BR661" s="280"/>
      <c r="BS661" s="280"/>
      <c r="BT661" s="280"/>
      <c r="BU661" s="280"/>
      <c r="BV661" s="280"/>
      <c r="BW661" s="280"/>
      <c r="BX661" s="280"/>
      <c r="BY661" s="280"/>
      <c r="BZ661" s="280"/>
      <c r="CA661" s="280"/>
      <c r="CB661" s="280"/>
      <c r="CC661" s="280"/>
      <c r="CD661" s="280"/>
      <c r="CE661" s="280"/>
      <c r="CF661" s="280"/>
      <c r="CG661" s="280"/>
      <c r="CH661" s="280"/>
      <c r="CI661" s="280"/>
      <c r="CJ661" s="280"/>
      <c r="CK661" s="280"/>
      <c r="CL661" s="280"/>
      <c r="CM661" s="280"/>
      <c r="CN661" s="280"/>
      <c r="CO661" s="280"/>
      <c r="CP661" s="280"/>
      <c r="CQ661" s="280"/>
      <c r="CR661" s="280"/>
      <c r="CS661" s="280"/>
      <c r="CT661" s="280"/>
      <c r="CU661" s="280"/>
      <c r="CV661" s="280"/>
      <c r="CW661" s="280"/>
      <c r="CX661" s="280"/>
      <c r="CY661" s="280"/>
      <c r="CZ661" s="280"/>
      <c r="DA661" s="280"/>
      <c r="DB661" s="280"/>
      <c r="DC661" s="280"/>
      <c r="DD661" s="280"/>
      <c r="DE661" s="280"/>
      <c r="DF661" s="280"/>
      <c r="DG661" s="280"/>
      <c r="DH661" s="280"/>
      <c r="DI661" s="280"/>
      <c r="DJ661" s="280"/>
      <c r="DK661" s="280"/>
      <c r="DL661" s="280"/>
      <c r="DM661" s="280"/>
      <c r="DN661" s="280"/>
      <c r="DO661" s="280"/>
      <c r="DP661" s="280"/>
      <c r="DQ661" s="280"/>
      <c r="DR661" s="280"/>
      <c r="DS661" s="280"/>
      <c r="DT661" s="280"/>
      <c r="DU661" s="280"/>
      <c r="DV661" s="280"/>
      <c r="DW661" s="280"/>
      <c r="DX661" s="280"/>
      <c r="DY661" s="280"/>
      <c r="DZ661" s="280"/>
      <c r="EA661" s="280"/>
      <c r="EB661" s="280"/>
      <c r="EC661" s="280"/>
      <c r="ED661" s="280"/>
      <c r="EE661" s="280"/>
      <c r="EF661" s="280"/>
      <c r="EG661" s="280"/>
      <c r="EH661" s="280"/>
      <c r="EI661" s="280"/>
      <c r="EJ661" s="280"/>
      <c r="EK661" s="280"/>
      <c r="EL661" s="280"/>
      <c r="EM661" s="280"/>
      <c r="EN661" s="280"/>
      <c r="EO661" s="280"/>
      <c r="EP661" s="280"/>
      <c r="EQ661" s="280"/>
      <c r="ER661" s="280"/>
      <c r="ES661" s="280"/>
      <c r="ET661" s="280"/>
      <c r="EU661" s="280"/>
      <c r="EV661" s="280"/>
      <c r="EW661" s="280"/>
      <c r="EX661" s="13"/>
      <c r="EY661" s="283"/>
      <c r="EZ661" s="283"/>
      <c r="FA661" s="45"/>
    </row>
    <row r="662" spans="34:157" ht="10.75" customHeight="1" x14ac:dyDescent="0.2">
      <c r="AR662" s="42"/>
      <c r="AS662" s="283"/>
      <c r="AT662" s="283"/>
      <c r="AU662" s="12"/>
      <c r="AV662" s="280"/>
      <c r="AW662" s="280"/>
      <c r="AX662" s="280"/>
      <c r="AY662" s="280"/>
      <c r="AZ662" s="280"/>
      <c r="BA662" s="280"/>
      <c r="BB662" s="280"/>
      <c r="BC662" s="12"/>
      <c r="BD662" s="280"/>
      <c r="BE662" s="280"/>
      <c r="BF662" s="280"/>
      <c r="BG662" s="280"/>
      <c r="BH662" s="280"/>
      <c r="BI662" s="280"/>
      <c r="BJ662" s="280"/>
      <c r="BK662" s="280"/>
      <c r="BL662" s="280"/>
      <c r="BM662" s="280"/>
      <c r="BN662" s="280"/>
      <c r="BO662" s="280"/>
      <c r="BP662" s="280"/>
      <c r="BQ662" s="280"/>
      <c r="BR662" s="280"/>
      <c r="BS662" s="280"/>
      <c r="BT662" s="280"/>
      <c r="BU662" s="280"/>
      <c r="BV662" s="280"/>
      <c r="BW662" s="280"/>
      <c r="BX662" s="280"/>
      <c r="BY662" s="280"/>
      <c r="BZ662" s="280"/>
      <c r="CA662" s="280"/>
      <c r="CB662" s="280"/>
      <c r="CC662" s="280"/>
      <c r="CD662" s="280"/>
      <c r="CE662" s="280"/>
      <c r="CF662" s="280"/>
      <c r="CG662" s="280"/>
      <c r="CH662" s="280"/>
      <c r="CI662" s="280"/>
      <c r="CJ662" s="280"/>
      <c r="CK662" s="280"/>
      <c r="CL662" s="280"/>
      <c r="CM662" s="280"/>
      <c r="CN662" s="280"/>
      <c r="CO662" s="280"/>
      <c r="CP662" s="280"/>
      <c r="CQ662" s="280"/>
      <c r="CR662" s="280"/>
      <c r="CS662" s="280"/>
      <c r="CT662" s="280"/>
      <c r="CU662" s="280"/>
      <c r="CV662" s="280"/>
      <c r="CW662" s="280"/>
      <c r="CX662" s="280"/>
      <c r="CY662" s="280"/>
      <c r="CZ662" s="280"/>
      <c r="DA662" s="280"/>
      <c r="DB662" s="280"/>
      <c r="DC662" s="280"/>
      <c r="DD662" s="280"/>
      <c r="DE662" s="280"/>
      <c r="DF662" s="280"/>
      <c r="DG662" s="280"/>
      <c r="DH662" s="280"/>
      <c r="DI662" s="280"/>
      <c r="DJ662" s="280"/>
      <c r="DK662" s="280"/>
      <c r="DL662" s="280"/>
      <c r="DM662" s="280"/>
      <c r="DN662" s="280"/>
      <c r="DO662" s="280"/>
      <c r="DP662" s="280"/>
      <c r="DQ662" s="280"/>
      <c r="DR662" s="280"/>
      <c r="DS662" s="280"/>
      <c r="DT662" s="280"/>
      <c r="DU662" s="280"/>
      <c r="DV662" s="280"/>
      <c r="DW662" s="280"/>
      <c r="DX662" s="280"/>
      <c r="DY662" s="280"/>
      <c r="DZ662" s="280"/>
      <c r="EA662" s="280"/>
      <c r="EB662" s="280"/>
      <c r="EC662" s="280"/>
      <c r="ED662" s="280"/>
      <c r="EE662" s="280"/>
      <c r="EF662" s="280"/>
      <c r="EG662" s="280"/>
      <c r="EH662" s="280"/>
      <c r="EI662" s="280"/>
      <c r="EJ662" s="280"/>
      <c r="EK662" s="280"/>
      <c r="EL662" s="280"/>
      <c r="EM662" s="280"/>
      <c r="EN662" s="280"/>
      <c r="EO662" s="280"/>
      <c r="EP662" s="280"/>
      <c r="EQ662" s="280"/>
      <c r="ER662" s="280"/>
      <c r="ES662" s="280"/>
      <c r="ET662" s="280"/>
      <c r="EU662" s="280"/>
      <c r="EV662" s="280"/>
      <c r="EW662" s="280"/>
      <c r="EX662" s="13"/>
      <c r="EY662" s="283"/>
      <c r="EZ662" s="283"/>
      <c r="FA662" s="45"/>
    </row>
    <row r="663" spans="34:157" ht="10.75" customHeight="1" x14ac:dyDescent="0.2">
      <c r="AR663" s="42"/>
      <c r="AS663" s="283"/>
      <c r="AT663" s="283"/>
      <c r="AU663" s="12"/>
      <c r="AV663" s="280"/>
      <c r="AW663" s="280"/>
      <c r="AX663" s="280"/>
      <c r="AY663" s="280"/>
      <c r="AZ663" s="280"/>
      <c r="BA663" s="280"/>
      <c r="BB663" s="280"/>
      <c r="BC663" s="12"/>
      <c r="BD663" s="280"/>
      <c r="BE663" s="280"/>
      <c r="BF663" s="280"/>
      <c r="BG663" s="280"/>
      <c r="BH663" s="280"/>
      <c r="BI663" s="280"/>
      <c r="BJ663" s="280"/>
      <c r="BK663" s="280"/>
      <c r="BL663" s="280"/>
      <c r="BM663" s="280"/>
      <c r="BN663" s="280"/>
      <c r="BO663" s="280"/>
      <c r="BP663" s="280"/>
      <c r="BQ663" s="280"/>
      <c r="BR663" s="280"/>
      <c r="BS663" s="280"/>
      <c r="BT663" s="280"/>
      <c r="BU663" s="280"/>
      <c r="BV663" s="280"/>
      <c r="BW663" s="280"/>
      <c r="BX663" s="280"/>
      <c r="BY663" s="280"/>
      <c r="BZ663" s="280"/>
      <c r="CA663" s="280"/>
      <c r="CB663" s="280"/>
      <c r="CC663" s="280"/>
      <c r="CD663" s="280"/>
      <c r="CE663" s="280"/>
      <c r="CF663" s="280"/>
      <c r="CG663" s="280"/>
      <c r="CH663" s="280"/>
      <c r="CI663" s="280"/>
      <c r="CJ663" s="280"/>
      <c r="CK663" s="280"/>
      <c r="CL663" s="280"/>
      <c r="CM663" s="280"/>
      <c r="CN663" s="280"/>
      <c r="CO663" s="280"/>
      <c r="CP663" s="280"/>
      <c r="CQ663" s="280"/>
      <c r="CR663" s="280"/>
      <c r="CS663" s="280"/>
      <c r="CT663" s="280"/>
      <c r="CU663" s="280"/>
      <c r="CV663" s="280"/>
      <c r="CW663" s="280"/>
      <c r="CX663" s="280"/>
      <c r="CY663" s="280"/>
      <c r="CZ663" s="280"/>
      <c r="DA663" s="280"/>
      <c r="DB663" s="280"/>
      <c r="DC663" s="280"/>
      <c r="DD663" s="280"/>
      <c r="DE663" s="280"/>
      <c r="DF663" s="280"/>
      <c r="DG663" s="280"/>
      <c r="DH663" s="280"/>
      <c r="DI663" s="280"/>
      <c r="DJ663" s="280"/>
      <c r="DK663" s="280"/>
      <c r="DL663" s="280"/>
      <c r="DM663" s="280"/>
      <c r="DN663" s="280"/>
      <c r="DO663" s="280"/>
      <c r="DP663" s="280"/>
      <c r="DQ663" s="280"/>
      <c r="DR663" s="280"/>
      <c r="DS663" s="280"/>
      <c r="DT663" s="280"/>
      <c r="DU663" s="280"/>
      <c r="DV663" s="280"/>
      <c r="DW663" s="280"/>
      <c r="DX663" s="280"/>
      <c r="DY663" s="280"/>
      <c r="DZ663" s="280"/>
      <c r="EA663" s="280"/>
      <c r="EB663" s="280"/>
      <c r="EC663" s="280"/>
      <c r="ED663" s="280"/>
      <c r="EE663" s="280"/>
      <c r="EF663" s="280"/>
      <c r="EG663" s="280"/>
      <c r="EH663" s="280"/>
      <c r="EI663" s="280"/>
      <c r="EJ663" s="280"/>
      <c r="EK663" s="280"/>
      <c r="EL663" s="280"/>
      <c r="EM663" s="280"/>
      <c r="EN663" s="280"/>
      <c r="EO663" s="280"/>
      <c r="EP663" s="280"/>
      <c r="EQ663" s="280"/>
      <c r="ER663" s="280"/>
      <c r="ES663" s="280"/>
      <c r="ET663" s="280"/>
      <c r="EU663" s="280"/>
      <c r="EV663" s="280"/>
      <c r="EW663" s="280"/>
      <c r="EX663" s="13"/>
      <c r="EY663" s="283"/>
      <c r="EZ663" s="283"/>
      <c r="FA663" s="45"/>
    </row>
    <row r="664" spans="34:157" ht="10.75" customHeight="1" x14ac:dyDescent="0.2">
      <c r="AR664" s="42"/>
      <c r="AS664" s="283"/>
      <c r="AT664" s="283"/>
      <c r="AU664" s="12"/>
      <c r="AV664" s="280"/>
      <c r="AW664" s="280"/>
      <c r="AX664" s="280"/>
      <c r="AY664" s="280"/>
      <c r="AZ664" s="280"/>
      <c r="BA664" s="280"/>
      <c r="BB664" s="280"/>
      <c r="BC664" s="12"/>
      <c r="BD664" s="280"/>
      <c r="BE664" s="280"/>
      <c r="BF664" s="280"/>
      <c r="BG664" s="280"/>
      <c r="BH664" s="280"/>
      <c r="BI664" s="280"/>
      <c r="BJ664" s="280"/>
      <c r="BK664" s="280"/>
      <c r="BL664" s="280"/>
      <c r="BM664" s="280"/>
      <c r="BN664" s="280"/>
      <c r="BO664" s="280"/>
      <c r="BP664" s="280"/>
      <c r="BQ664" s="280"/>
      <c r="BR664" s="280"/>
      <c r="BS664" s="280"/>
      <c r="BT664" s="280"/>
      <c r="BU664" s="280"/>
      <c r="BV664" s="280"/>
      <c r="BW664" s="280"/>
      <c r="BX664" s="280"/>
      <c r="BY664" s="280"/>
      <c r="BZ664" s="280"/>
      <c r="CA664" s="280"/>
      <c r="CB664" s="280"/>
      <c r="CC664" s="280"/>
      <c r="CD664" s="280"/>
      <c r="CE664" s="280"/>
      <c r="CF664" s="280"/>
      <c r="CG664" s="280"/>
      <c r="CH664" s="280"/>
      <c r="CI664" s="280"/>
      <c r="CJ664" s="280"/>
      <c r="CK664" s="280"/>
      <c r="CL664" s="280"/>
      <c r="CM664" s="280"/>
      <c r="CN664" s="280"/>
      <c r="CO664" s="280"/>
      <c r="CP664" s="280"/>
      <c r="CQ664" s="280"/>
      <c r="CR664" s="280"/>
      <c r="CS664" s="280"/>
      <c r="CT664" s="280"/>
      <c r="CU664" s="280"/>
      <c r="CV664" s="280"/>
      <c r="CW664" s="280"/>
      <c r="CX664" s="280"/>
      <c r="CY664" s="280"/>
      <c r="CZ664" s="280"/>
      <c r="DA664" s="280"/>
      <c r="DB664" s="280"/>
      <c r="DC664" s="280"/>
      <c r="DD664" s="280"/>
      <c r="DE664" s="280"/>
      <c r="DF664" s="280"/>
      <c r="DG664" s="280"/>
      <c r="DH664" s="280"/>
      <c r="DI664" s="280"/>
      <c r="DJ664" s="280"/>
      <c r="DK664" s="280"/>
      <c r="DL664" s="280"/>
      <c r="DM664" s="280"/>
      <c r="DN664" s="280"/>
      <c r="DO664" s="280"/>
      <c r="DP664" s="280"/>
      <c r="DQ664" s="280"/>
      <c r="DR664" s="280"/>
      <c r="DS664" s="280"/>
      <c r="DT664" s="280"/>
      <c r="DU664" s="280"/>
      <c r="DV664" s="280"/>
      <c r="DW664" s="280"/>
      <c r="DX664" s="280"/>
      <c r="DY664" s="280"/>
      <c r="DZ664" s="280"/>
      <c r="EA664" s="280"/>
      <c r="EB664" s="280"/>
      <c r="EC664" s="280"/>
      <c r="ED664" s="280"/>
      <c r="EE664" s="280"/>
      <c r="EF664" s="280"/>
      <c r="EG664" s="280"/>
      <c r="EH664" s="280"/>
      <c r="EI664" s="280"/>
      <c r="EJ664" s="280"/>
      <c r="EK664" s="280"/>
      <c r="EL664" s="280"/>
      <c r="EM664" s="280"/>
      <c r="EN664" s="280"/>
      <c r="EO664" s="280"/>
      <c r="EP664" s="280"/>
      <c r="EQ664" s="280"/>
      <c r="ER664" s="280"/>
      <c r="ES664" s="280"/>
      <c r="ET664" s="280"/>
      <c r="EU664" s="280"/>
      <c r="EV664" s="280"/>
      <c r="EW664" s="280"/>
      <c r="EX664" s="13"/>
      <c r="EY664" s="283"/>
      <c r="EZ664" s="283"/>
      <c r="FA664" s="45"/>
    </row>
    <row r="665" spans="34:157" ht="10.75" customHeight="1" x14ac:dyDescent="0.2">
      <c r="AR665" s="42"/>
      <c r="AS665" s="283"/>
      <c r="AT665" s="283"/>
      <c r="AU665" s="12"/>
      <c r="AV665" s="280"/>
      <c r="AW665" s="280"/>
      <c r="AX665" s="280"/>
      <c r="AY665" s="280"/>
      <c r="AZ665" s="280"/>
      <c r="BA665" s="280"/>
      <c r="BB665" s="280"/>
      <c r="BC665" s="12"/>
      <c r="BD665" s="280"/>
      <c r="BE665" s="280"/>
      <c r="BF665" s="280"/>
      <c r="BG665" s="280"/>
      <c r="BH665" s="280"/>
      <c r="BI665" s="280"/>
      <c r="BJ665" s="280"/>
      <c r="BK665" s="280"/>
      <c r="BL665" s="280"/>
      <c r="BM665" s="280"/>
      <c r="BN665" s="280"/>
      <c r="BO665" s="280"/>
      <c r="BP665" s="280"/>
      <c r="BQ665" s="280"/>
      <c r="BR665" s="280"/>
      <c r="BS665" s="280"/>
      <c r="BT665" s="280"/>
      <c r="BU665" s="280"/>
      <c r="BV665" s="280"/>
      <c r="BW665" s="280"/>
      <c r="BX665" s="280"/>
      <c r="BY665" s="280"/>
      <c r="BZ665" s="280"/>
      <c r="CA665" s="280"/>
      <c r="CB665" s="280"/>
      <c r="CC665" s="280"/>
      <c r="CD665" s="280"/>
      <c r="CE665" s="280"/>
      <c r="CF665" s="280"/>
      <c r="CG665" s="280"/>
      <c r="CH665" s="280"/>
      <c r="CI665" s="280"/>
      <c r="CJ665" s="280"/>
      <c r="CK665" s="280"/>
      <c r="CL665" s="280"/>
      <c r="CM665" s="280"/>
      <c r="CN665" s="280"/>
      <c r="CO665" s="280"/>
      <c r="CP665" s="280"/>
      <c r="CQ665" s="280"/>
      <c r="CR665" s="280"/>
      <c r="CS665" s="280"/>
      <c r="CT665" s="280"/>
      <c r="CU665" s="280"/>
      <c r="CV665" s="280"/>
      <c r="CW665" s="280"/>
      <c r="CX665" s="280"/>
      <c r="CY665" s="280"/>
      <c r="CZ665" s="280"/>
      <c r="DA665" s="280"/>
      <c r="DB665" s="280"/>
      <c r="DC665" s="280"/>
      <c r="DD665" s="280"/>
      <c r="DE665" s="280"/>
      <c r="DF665" s="280"/>
      <c r="DG665" s="280"/>
      <c r="DH665" s="280"/>
      <c r="DI665" s="280"/>
      <c r="DJ665" s="280"/>
      <c r="DK665" s="280"/>
      <c r="DL665" s="280"/>
      <c r="DM665" s="280"/>
      <c r="DN665" s="280"/>
      <c r="DO665" s="280"/>
      <c r="DP665" s="280"/>
      <c r="DQ665" s="280"/>
      <c r="DR665" s="280"/>
      <c r="DS665" s="280"/>
      <c r="DT665" s="280"/>
      <c r="DU665" s="280"/>
      <c r="DV665" s="280"/>
      <c r="DW665" s="280"/>
      <c r="DX665" s="280"/>
      <c r="DY665" s="280"/>
      <c r="DZ665" s="280"/>
      <c r="EA665" s="280"/>
      <c r="EB665" s="280"/>
      <c r="EC665" s="280"/>
      <c r="ED665" s="280"/>
      <c r="EE665" s="280"/>
      <c r="EF665" s="280"/>
      <c r="EG665" s="280"/>
      <c r="EH665" s="280"/>
      <c r="EI665" s="280"/>
      <c r="EJ665" s="280"/>
      <c r="EK665" s="280"/>
      <c r="EL665" s="280"/>
      <c r="EM665" s="280"/>
      <c r="EN665" s="280"/>
      <c r="EO665" s="280"/>
      <c r="EP665" s="280"/>
      <c r="EQ665" s="280"/>
      <c r="ER665" s="280"/>
      <c r="ES665" s="280"/>
      <c r="ET665" s="280"/>
      <c r="EU665" s="280"/>
      <c r="EV665" s="280"/>
      <c r="EW665" s="280"/>
      <c r="EX665" s="13"/>
      <c r="EY665" s="283"/>
      <c r="EZ665" s="283"/>
      <c r="FA665" s="45"/>
    </row>
    <row r="666" spans="34:157" ht="10.75" customHeight="1" x14ac:dyDescent="0.2">
      <c r="AR666" s="42"/>
      <c r="AS666" s="283"/>
      <c r="AT666" s="283"/>
      <c r="AU666" s="12"/>
      <c r="AV666" s="280"/>
      <c r="AW666" s="280"/>
      <c r="AX666" s="280"/>
      <c r="AY666" s="280"/>
      <c r="AZ666" s="280"/>
      <c r="BA666" s="280"/>
      <c r="BB666" s="280"/>
      <c r="BC666" s="12"/>
      <c r="BD666" s="280"/>
      <c r="BE666" s="280"/>
      <c r="BF666" s="280"/>
      <c r="BG666" s="280"/>
      <c r="BH666" s="280"/>
      <c r="BI666" s="280"/>
      <c r="BJ666" s="280"/>
      <c r="BK666" s="280"/>
      <c r="BL666" s="280"/>
      <c r="BM666" s="280"/>
      <c r="BN666" s="280"/>
      <c r="BO666" s="280"/>
      <c r="BP666" s="280"/>
      <c r="BQ666" s="280"/>
      <c r="BR666" s="280"/>
      <c r="BS666" s="280"/>
      <c r="BT666" s="280"/>
      <c r="BU666" s="280"/>
      <c r="BV666" s="280"/>
      <c r="BW666" s="280"/>
      <c r="BX666" s="280"/>
      <c r="BY666" s="280"/>
      <c r="BZ666" s="280"/>
      <c r="CA666" s="280"/>
      <c r="CB666" s="280"/>
      <c r="CC666" s="280"/>
      <c r="CD666" s="280"/>
      <c r="CE666" s="280"/>
      <c r="CF666" s="280"/>
      <c r="CG666" s="280"/>
      <c r="CH666" s="280"/>
      <c r="CI666" s="280"/>
      <c r="CJ666" s="280"/>
      <c r="CK666" s="280"/>
      <c r="CL666" s="280"/>
      <c r="CM666" s="280"/>
      <c r="CN666" s="280"/>
      <c r="CO666" s="280"/>
      <c r="CP666" s="280"/>
      <c r="CQ666" s="280"/>
      <c r="CR666" s="280"/>
      <c r="CS666" s="280"/>
      <c r="CT666" s="280"/>
      <c r="CU666" s="280"/>
      <c r="CV666" s="13"/>
      <c r="CW666" s="9"/>
      <c r="CX666" s="11"/>
      <c r="CY666" s="280"/>
      <c r="CZ666" s="280"/>
      <c r="DA666" s="280"/>
      <c r="DB666" s="280"/>
      <c r="DC666" s="280"/>
      <c r="DD666" s="280"/>
      <c r="DE666" s="280"/>
      <c r="DF666" s="280"/>
      <c r="DG666" s="280"/>
      <c r="DH666" s="280"/>
      <c r="DI666" s="280"/>
      <c r="DJ666" s="280"/>
      <c r="DK666" s="280"/>
      <c r="DL666" s="280"/>
      <c r="DM666" s="280"/>
      <c r="DN666" s="280"/>
      <c r="DO666" s="280"/>
      <c r="DP666" s="280"/>
      <c r="DQ666" s="280"/>
      <c r="DR666" s="280"/>
      <c r="DS666" s="280"/>
      <c r="DT666" s="280"/>
      <c r="DU666" s="280"/>
      <c r="DV666" s="280"/>
      <c r="DW666" s="280"/>
      <c r="DX666" s="280"/>
      <c r="DY666" s="280"/>
      <c r="DZ666" s="280"/>
      <c r="EA666" s="280"/>
      <c r="EB666" s="280"/>
      <c r="EC666" s="280"/>
      <c r="ED666" s="280"/>
      <c r="EE666" s="280"/>
      <c r="EF666" s="280"/>
      <c r="EG666" s="280"/>
      <c r="EH666" s="280"/>
      <c r="EI666" s="280"/>
      <c r="EJ666" s="280"/>
      <c r="EK666" s="280"/>
      <c r="EL666" s="280"/>
      <c r="EM666" s="280"/>
      <c r="EN666" s="280"/>
      <c r="EO666" s="280"/>
      <c r="EP666" s="280"/>
      <c r="EQ666" s="280"/>
      <c r="ER666" s="280"/>
      <c r="ES666" s="280"/>
      <c r="ET666" s="280"/>
      <c r="EU666" s="280"/>
      <c r="EV666" s="280"/>
      <c r="EW666" s="280"/>
      <c r="EX666" s="13"/>
      <c r="EY666" s="283"/>
      <c r="EZ666" s="283"/>
      <c r="FA666" s="45"/>
    </row>
    <row r="667" spans="34:157" ht="10.75" customHeight="1" x14ac:dyDescent="0.2">
      <c r="AR667" s="42"/>
      <c r="AS667" s="283"/>
      <c r="AT667" s="283"/>
      <c r="AU667" s="12"/>
      <c r="AV667" s="280"/>
      <c r="AW667" s="280"/>
      <c r="AX667" s="280"/>
      <c r="AY667" s="280"/>
      <c r="AZ667" s="280"/>
      <c r="BA667" s="280"/>
      <c r="BB667" s="280"/>
      <c r="BC667" s="12"/>
      <c r="BD667" s="280"/>
      <c r="BE667" s="280"/>
      <c r="BF667" s="280"/>
      <c r="BG667" s="280"/>
      <c r="BH667" s="280"/>
      <c r="BI667" s="280"/>
      <c r="BJ667" s="280"/>
      <c r="BK667" s="280"/>
      <c r="BL667" s="280"/>
      <c r="BM667" s="280"/>
      <c r="BN667" s="280"/>
      <c r="BO667" s="280"/>
      <c r="BP667" s="280"/>
      <c r="BQ667" s="280"/>
      <c r="BR667" s="280"/>
      <c r="BS667" s="280"/>
      <c r="BT667" s="280"/>
      <c r="BU667" s="280"/>
      <c r="BV667" s="280"/>
      <c r="BW667" s="280"/>
      <c r="BX667" s="280"/>
      <c r="BY667" s="280"/>
      <c r="BZ667" s="280"/>
      <c r="CA667" s="280"/>
      <c r="CB667" s="280"/>
      <c r="CC667" s="280"/>
      <c r="CD667" s="280"/>
      <c r="CE667" s="280"/>
      <c r="CF667" s="280"/>
      <c r="CG667" s="280"/>
      <c r="CH667" s="280"/>
      <c r="CI667" s="280"/>
      <c r="CJ667" s="280"/>
      <c r="CK667" s="280"/>
      <c r="CL667" s="280"/>
      <c r="CM667" s="280"/>
      <c r="CN667" s="280"/>
      <c r="CO667" s="280"/>
      <c r="CP667" s="280"/>
      <c r="CQ667" s="280"/>
      <c r="CR667" s="280"/>
      <c r="CS667" s="280"/>
      <c r="CT667" s="280"/>
      <c r="CU667" s="280"/>
      <c r="CV667" s="13"/>
      <c r="CW667" s="12"/>
      <c r="CX667" s="13"/>
      <c r="CY667" s="280"/>
      <c r="CZ667" s="280"/>
      <c r="DA667" s="280"/>
      <c r="DB667" s="280"/>
      <c r="DC667" s="280"/>
      <c r="DD667" s="280"/>
      <c r="DE667" s="280"/>
      <c r="DF667" s="280"/>
      <c r="DG667" s="280"/>
      <c r="DH667" s="280"/>
      <c r="DI667" s="280"/>
      <c r="DJ667" s="280"/>
      <c r="DK667" s="280"/>
      <c r="DL667" s="280"/>
      <c r="DM667" s="280"/>
      <c r="DN667" s="280"/>
      <c r="DO667" s="280"/>
      <c r="DP667" s="280"/>
      <c r="DQ667" s="280"/>
      <c r="DR667" s="280"/>
      <c r="DS667" s="280"/>
      <c r="DT667" s="280"/>
      <c r="DU667" s="280"/>
      <c r="DV667" s="280"/>
      <c r="DW667" s="280"/>
      <c r="DX667" s="280"/>
      <c r="DY667" s="280"/>
      <c r="DZ667" s="280"/>
      <c r="EA667" s="280"/>
      <c r="EB667" s="280"/>
      <c r="EC667" s="280"/>
      <c r="ED667" s="280"/>
      <c r="EE667" s="280"/>
      <c r="EF667" s="280"/>
      <c r="EG667" s="280"/>
      <c r="EH667" s="280"/>
      <c r="EI667" s="280"/>
      <c r="EJ667" s="280"/>
      <c r="EK667" s="280"/>
      <c r="EL667" s="280"/>
      <c r="EM667" s="280"/>
      <c r="EN667" s="280"/>
      <c r="EO667" s="280"/>
      <c r="EP667" s="280"/>
      <c r="EQ667" s="280"/>
      <c r="ER667" s="280"/>
      <c r="ES667" s="280"/>
      <c r="ET667" s="280"/>
      <c r="EU667" s="280"/>
      <c r="EV667" s="280"/>
      <c r="EW667" s="280"/>
      <c r="EX667" s="13"/>
      <c r="EY667" s="283"/>
      <c r="EZ667" s="283"/>
      <c r="FA667" s="45"/>
    </row>
    <row r="668" spans="34:157" ht="10.75" customHeight="1" x14ac:dyDescent="0.2">
      <c r="AR668" s="42"/>
      <c r="AS668" s="283"/>
      <c r="AT668" s="283"/>
      <c r="AU668" s="12"/>
      <c r="AV668" s="280"/>
      <c r="AW668" s="280"/>
      <c r="AX668" s="280"/>
      <c r="AY668" s="280"/>
      <c r="AZ668" s="280"/>
      <c r="BA668" s="280"/>
      <c r="BB668" s="280"/>
      <c r="BC668" s="12"/>
      <c r="BD668" s="280"/>
      <c r="BE668" s="280"/>
      <c r="BF668" s="280"/>
      <c r="BG668" s="280"/>
      <c r="BH668" s="280"/>
      <c r="BI668" s="280"/>
      <c r="BJ668" s="280"/>
      <c r="BK668" s="280"/>
      <c r="BL668" s="280"/>
      <c r="BM668" s="280"/>
      <c r="BN668" s="280"/>
      <c r="BO668" s="280"/>
      <c r="BP668" s="280"/>
      <c r="BQ668" s="280"/>
      <c r="BR668" s="280"/>
      <c r="BS668" s="280"/>
      <c r="BT668" s="280"/>
      <c r="BU668" s="280"/>
      <c r="BV668" s="280"/>
      <c r="BW668" s="280"/>
      <c r="BX668" s="280"/>
      <c r="BY668" s="280"/>
      <c r="BZ668" s="280"/>
      <c r="CA668" s="280"/>
      <c r="CB668" s="280"/>
      <c r="CC668" s="280"/>
      <c r="CD668" s="280"/>
      <c r="CE668" s="280"/>
      <c r="CF668" s="280"/>
      <c r="CG668" s="280"/>
      <c r="CH668" s="280"/>
      <c r="CI668" s="280"/>
      <c r="CJ668" s="280"/>
      <c r="CK668" s="280"/>
      <c r="CL668" s="280"/>
      <c r="CM668" s="280"/>
      <c r="CN668" s="280"/>
      <c r="CO668" s="280"/>
      <c r="CP668" s="280"/>
      <c r="CQ668" s="280"/>
      <c r="CR668" s="280"/>
      <c r="CS668" s="280"/>
      <c r="CT668" s="280"/>
      <c r="CU668" s="280"/>
      <c r="CV668" s="13"/>
      <c r="CW668" s="12"/>
      <c r="CX668" s="13"/>
      <c r="CY668" s="280"/>
      <c r="CZ668" s="280"/>
      <c r="DA668" s="280"/>
      <c r="DB668" s="280"/>
      <c r="DC668" s="280"/>
      <c r="DD668" s="280"/>
      <c r="DE668" s="280"/>
      <c r="DF668" s="280"/>
      <c r="DG668" s="280"/>
      <c r="DH668" s="280"/>
      <c r="DI668" s="280"/>
      <c r="DJ668" s="280"/>
      <c r="DK668" s="280"/>
      <c r="DL668" s="280"/>
      <c r="DM668" s="280"/>
      <c r="DN668" s="280"/>
      <c r="DO668" s="280"/>
      <c r="DP668" s="280"/>
      <c r="DQ668" s="280"/>
      <c r="DR668" s="280"/>
      <c r="DS668" s="280"/>
      <c r="DT668" s="280"/>
      <c r="DU668" s="280"/>
      <c r="DV668" s="280"/>
      <c r="DW668" s="280"/>
      <c r="DX668" s="280"/>
      <c r="DY668" s="280"/>
      <c r="DZ668" s="280"/>
      <c r="EA668" s="280"/>
      <c r="EB668" s="280"/>
      <c r="EC668" s="280"/>
      <c r="ED668" s="280"/>
      <c r="EE668" s="280"/>
      <c r="EF668" s="280"/>
      <c r="EG668" s="280"/>
      <c r="EH668" s="280"/>
      <c r="EI668" s="280"/>
      <c r="EJ668" s="280"/>
      <c r="EK668" s="280"/>
      <c r="EL668" s="280"/>
      <c r="EM668" s="280"/>
      <c r="EN668" s="280"/>
      <c r="EO668" s="280"/>
      <c r="EP668" s="280"/>
      <c r="EQ668" s="280"/>
      <c r="ER668" s="280"/>
      <c r="ES668" s="280"/>
      <c r="ET668" s="280"/>
      <c r="EU668" s="280"/>
      <c r="EV668" s="280"/>
      <c r="EW668" s="280"/>
      <c r="EX668" s="13"/>
      <c r="EY668" s="283"/>
      <c r="EZ668" s="283"/>
      <c r="FA668" s="45"/>
    </row>
    <row r="669" spans="34:157" ht="10.75" customHeight="1" x14ac:dyDescent="0.2">
      <c r="AR669" s="42"/>
      <c r="AS669" s="283"/>
      <c r="AT669" s="283"/>
      <c r="AU669" s="12"/>
      <c r="AV669" s="280"/>
      <c r="AW669" s="280"/>
      <c r="AX669" s="280"/>
      <c r="AY669" s="280"/>
      <c r="AZ669" s="280"/>
      <c r="BA669" s="280"/>
      <c r="BB669" s="280"/>
      <c r="BC669" s="12"/>
      <c r="BD669" s="280"/>
      <c r="BE669" s="280"/>
      <c r="BF669" s="280"/>
      <c r="BG669" s="280"/>
      <c r="BH669" s="280"/>
      <c r="BI669" s="280"/>
      <c r="BJ669" s="280"/>
      <c r="BK669" s="280"/>
      <c r="BL669" s="280"/>
      <c r="BM669" s="280"/>
      <c r="BN669" s="280"/>
      <c r="BO669" s="280"/>
      <c r="BP669" s="280"/>
      <c r="BQ669" s="280"/>
      <c r="BR669" s="280"/>
      <c r="BS669" s="280"/>
      <c r="BT669" s="280"/>
      <c r="BU669" s="280"/>
      <c r="BV669" s="280"/>
      <c r="BW669" s="280"/>
      <c r="BX669" s="280"/>
      <c r="BY669" s="280"/>
      <c r="BZ669" s="280"/>
      <c r="CA669" s="280"/>
      <c r="CB669" s="280"/>
      <c r="CC669" s="280"/>
      <c r="CD669" s="280"/>
      <c r="CE669" s="280"/>
      <c r="CF669" s="280"/>
      <c r="CG669" s="280"/>
      <c r="CH669" s="280"/>
      <c r="CI669" s="280"/>
      <c r="CJ669" s="280"/>
      <c r="CK669" s="280"/>
      <c r="CL669" s="280"/>
      <c r="CM669" s="280"/>
      <c r="CN669" s="280"/>
      <c r="CO669" s="280"/>
      <c r="CP669" s="280"/>
      <c r="CQ669" s="280"/>
      <c r="CR669" s="280"/>
      <c r="CS669" s="280"/>
      <c r="CT669" s="280"/>
      <c r="CU669" s="280"/>
      <c r="CV669" s="13"/>
      <c r="CW669" s="12"/>
      <c r="CX669" s="13"/>
      <c r="CY669" s="280"/>
      <c r="CZ669" s="280"/>
      <c r="DA669" s="280"/>
      <c r="DB669" s="280"/>
      <c r="DC669" s="280"/>
      <c r="DD669" s="280"/>
      <c r="DE669" s="280"/>
      <c r="DF669" s="280"/>
      <c r="DG669" s="280"/>
      <c r="DH669" s="280"/>
      <c r="DI669" s="280"/>
      <c r="DJ669" s="280"/>
      <c r="DK669" s="280"/>
      <c r="DL669" s="280"/>
      <c r="DM669" s="280"/>
      <c r="DN669" s="280"/>
      <c r="DO669" s="280"/>
      <c r="DP669" s="280"/>
      <c r="DQ669" s="280"/>
      <c r="DR669" s="280"/>
      <c r="DS669" s="280"/>
      <c r="DT669" s="280"/>
      <c r="DU669" s="280"/>
      <c r="DV669" s="280"/>
      <c r="DW669" s="280"/>
      <c r="DX669" s="280"/>
      <c r="DY669" s="280"/>
      <c r="DZ669" s="280"/>
      <c r="EA669" s="280"/>
      <c r="EB669" s="280"/>
      <c r="EC669" s="280"/>
      <c r="ED669" s="280"/>
      <c r="EE669" s="280"/>
      <c r="EF669" s="280"/>
      <c r="EG669" s="280"/>
      <c r="EH669" s="280"/>
      <c r="EI669" s="280"/>
      <c r="EJ669" s="280"/>
      <c r="EK669" s="280"/>
      <c r="EL669" s="280"/>
      <c r="EM669" s="280"/>
      <c r="EN669" s="280"/>
      <c r="EO669" s="280"/>
      <c r="EP669" s="280"/>
      <c r="EQ669" s="280"/>
      <c r="ER669" s="280"/>
      <c r="ES669" s="280"/>
      <c r="ET669" s="280"/>
      <c r="EU669" s="280"/>
      <c r="EV669" s="280"/>
      <c r="EW669" s="280"/>
      <c r="EX669" s="13"/>
      <c r="EY669" s="283"/>
      <c r="EZ669" s="283"/>
      <c r="FA669" s="45"/>
    </row>
    <row r="670" spans="34:157" ht="10.75" customHeight="1" x14ac:dyDescent="0.2">
      <c r="AR670" s="42"/>
      <c r="AS670" s="283"/>
      <c r="AT670" s="283"/>
      <c r="AU670" s="12"/>
      <c r="AV670" s="280"/>
      <c r="AW670" s="280"/>
      <c r="AX670" s="280"/>
      <c r="AY670" s="280"/>
      <c r="AZ670" s="280"/>
      <c r="BA670" s="280"/>
      <c r="BB670" s="280"/>
      <c r="BC670" s="12"/>
      <c r="BD670" s="280"/>
      <c r="BE670" s="280"/>
      <c r="BF670" s="280"/>
      <c r="BG670" s="280"/>
      <c r="BH670" s="280"/>
      <c r="BI670" s="280"/>
      <c r="BJ670" s="280"/>
      <c r="BK670" s="280"/>
      <c r="BL670" s="280"/>
      <c r="BM670" s="280"/>
      <c r="BN670" s="280"/>
      <c r="BO670" s="280"/>
      <c r="BP670" s="280"/>
      <c r="BQ670" s="280"/>
      <c r="BR670" s="280"/>
      <c r="BS670" s="280"/>
      <c r="BT670" s="280"/>
      <c r="BU670" s="280"/>
      <c r="BV670" s="280"/>
      <c r="BW670" s="280"/>
      <c r="BX670" s="280"/>
      <c r="BY670" s="280"/>
      <c r="BZ670" s="280"/>
      <c r="CA670" s="280"/>
      <c r="CB670" s="280"/>
      <c r="CC670" s="280"/>
      <c r="CD670" s="280"/>
      <c r="CE670" s="280"/>
      <c r="CF670" s="280"/>
      <c r="CG670" s="280"/>
      <c r="CH670" s="280"/>
      <c r="CI670" s="280"/>
      <c r="CJ670" s="280"/>
      <c r="CK670" s="280"/>
      <c r="CL670" s="280"/>
      <c r="CM670" s="280"/>
      <c r="CN670" s="280"/>
      <c r="CO670" s="280"/>
      <c r="CP670" s="280"/>
      <c r="CQ670" s="280"/>
      <c r="CR670" s="280"/>
      <c r="CS670" s="280"/>
      <c r="CT670" s="280"/>
      <c r="CU670" s="280"/>
      <c r="CV670" s="13"/>
      <c r="CW670" s="12"/>
      <c r="CX670" s="13"/>
      <c r="CY670" s="280"/>
      <c r="CZ670" s="280"/>
      <c r="DA670" s="280"/>
      <c r="DB670" s="280"/>
      <c r="DC670" s="280"/>
      <c r="DD670" s="280"/>
      <c r="DE670" s="280"/>
      <c r="DF670" s="280"/>
      <c r="DG670" s="280"/>
      <c r="DH670" s="280"/>
      <c r="DI670" s="280"/>
      <c r="DJ670" s="280"/>
      <c r="DK670" s="280"/>
      <c r="DL670" s="280"/>
      <c r="DM670" s="280"/>
      <c r="DN670" s="280"/>
      <c r="DO670" s="280"/>
      <c r="DP670" s="280"/>
      <c r="DQ670" s="280"/>
      <c r="DR670" s="280"/>
      <c r="DS670" s="280"/>
      <c r="DT670" s="280"/>
      <c r="DU670" s="280"/>
      <c r="DV670" s="280"/>
      <c r="DW670" s="280"/>
      <c r="DX670" s="280"/>
      <c r="DY670" s="280"/>
      <c r="DZ670" s="280"/>
      <c r="EA670" s="280"/>
      <c r="EB670" s="280"/>
      <c r="EC670" s="280"/>
      <c r="ED670" s="280"/>
      <c r="EE670" s="280"/>
      <c r="EF670" s="280"/>
      <c r="EG670" s="280"/>
      <c r="EH670" s="280"/>
      <c r="EI670" s="280"/>
      <c r="EJ670" s="280"/>
      <c r="EK670" s="280"/>
      <c r="EL670" s="280"/>
      <c r="EM670" s="280"/>
      <c r="EN670" s="280"/>
      <c r="EO670" s="280"/>
      <c r="EP670" s="280"/>
      <c r="EQ670" s="280"/>
      <c r="ER670" s="280"/>
      <c r="ES670" s="280"/>
      <c r="ET670" s="280"/>
      <c r="EU670" s="280"/>
      <c r="EV670" s="280"/>
      <c r="EW670" s="280"/>
      <c r="EX670" s="13"/>
      <c r="EY670" s="283"/>
      <c r="EZ670" s="283"/>
      <c r="FA670" s="45"/>
    </row>
    <row r="671" spans="34:157" ht="10.75" customHeight="1" x14ac:dyDescent="0.2">
      <c r="AR671" s="42"/>
      <c r="AS671" s="283"/>
      <c r="AT671" s="283"/>
      <c r="AU671" s="12"/>
      <c r="AV671" s="280"/>
      <c r="AW671" s="280"/>
      <c r="AX671" s="280"/>
      <c r="AY671" s="280"/>
      <c r="AZ671" s="280"/>
      <c r="BA671" s="280"/>
      <c r="BB671" s="280"/>
      <c r="BC671" s="12"/>
      <c r="BD671" s="280"/>
      <c r="BE671" s="280"/>
      <c r="BF671" s="280"/>
      <c r="BG671" s="280"/>
      <c r="BH671" s="280"/>
      <c r="BI671" s="280"/>
      <c r="BJ671" s="280"/>
      <c r="BK671" s="280"/>
      <c r="BL671" s="280"/>
      <c r="BM671" s="280"/>
      <c r="BN671" s="280"/>
      <c r="BO671" s="280"/>
      <c r="BP671" s="280"/>
      <c r="BQ671" s="280"/>
      <c r="BR671" s="280"/>
      <c r="BS671" s="280"/>
      <c r="BT671" s="280"/>
      <c r="BU671" s="280"/>
      <c r="BV671" s="280"/>
      <c r="BW671" s="280"/>
      <c r="BX671" s="280"/>
      <c r="BY671" s="280"/>
      <c r="BZ671" s="280"/>
      <c r="CA671" s="280"/>
      <c r="CB671" s="280"/>
      <c r="CC671" s="280"/>
      <c r="CD671" s="280"/>
      <c r="CE671" s="280"/>
      <c r="CF671" s="280"/>
      <c r="CG671" s="280"/>
      <c r="CH671" s="280"/>
      <c r="CI671" s="280"/>
      <c r="CJ671" s="280"/>
      <c r="CK671" s="280"/>
      <c r="CL671" s="280"/>
      <c r="CM671" s="280"/>
      <c r="CN671" s="280"/>
      <c r="CO671" s="280"/>
      <c r="CP671" s="280"/>
      <c r="CQ671" s="280"/>
      <c r="CR671" s="280"/>
      <c r="CS671" s="280"/>
      <c r="CT671" s="280"/>
      <c r="CU671" s="280"/>
      <c r="CV671" s="13"/>
      <c r="CW671" s="12"/>
      <c r="CX671" s="13"/>
      <c r="CY671" s="280"/>
      <c r="CZ671" s="280"/>
      <c r="DA671" s="280"/>
      <c r="DB671" s="280"/>
      <c r="DC671" s="280"/>
      <c r="DD671" s="280"/>
      <c r="DE671" s="280"/>
      <c r="DF671" s="280"/>
      <c r="DG671" s="280"/>
      <c r="DH671" s="280"/>
      <c r="DI671" s="280"/>
      <c r="DJ671" s="280"/>
      <c r="DK671" s="280"/>
      <c r="DL671" s="280"/>
      <c r="DM671" s="280"/>
      <c r="DN671" s="280"/>
      <c r="DO671" s="280"/>
      <c r="DP671" s="280"/>
      <c r="DQ671" s="280"/>
      <c r="DR671" s="280"/>
      <c r="DS671" s="280"/>
      <c r="DT671" s="280"/>
      <c r="DU671" s="280"/>
      <c r="DV671" s="280"/>
      <c r="DW671" s="280"/>
      <c r="DX671" s="280"/>
      <c r="DY671" s="280"/>
      <c r="DZ671" s="280"/>
      <c r="EA671" s="280"/>
      <c r="EB671" s="280"/>
      <c r="EC671" s="280"/>
      <c r="ED671" s="280"/>
      <c r="EE671" s="280"/>
      <c r="EF671" s="280"/>
      <c r="EG671" s="280"/>
      <c r="EH671" s="280"/>
      <c r="EI671" s="280"/>
      <c r="EJ671" s="280"/>
      <c r="EK671" s="280"/>
      <c r="EL671" s="280"/>
      <c r="EM671" s="280"/>
      <c r="EN671" s="280"/>
      <c r="EO671" s="280"/>
      <c r="EP671" s="280"/>
      <c r="EQ671" s="280"/>
      <c r="ER671" s="280"/>
      <c r="ES671" s="280"/>
      <c r="ET671" s="280"/>
      <c r="EU671" s="280"/>
      <c r="EV671" s="280"/>
      <c r="EW671" s="280"/>
      <c r="EX671" s="13"/>
      <c r="EY671" s="283"/>
      <c r="EZ671" s="283"/>
      <c r="FA671" s="45"/>
    </row>
    <row r="672" spans="34:157" ht="10.75" customHeight="1" x14ac:dyDescent="0.2">
      <c r="AR672" s="42"/>
      <c r="AS672" s="283"/>
      <c r="AT672" s="283"/>
      <c r="AU672" s="12"/>
      <c r="AV672" s="280"/>
      <c r="AW672" s="280"/>
      <c r="AX672" s="280"/>
      <c r="AY672" s="280"/>
      <c r="AZ672" s="280"/>
      <c r="BA672" s="280"/>
      <c r="BB672" s="280"/>
      <c r="BC672" s="12"/>
      <c r="BD672" s="280"/>
      <c r="BE672" s="280"/>
      <c r="BF672" s="280"/>
      <c r="BG672" s="280"/>
      <c r="BH672" s="280"/>
      <c r="BI672" s="280"/>
      <c r="BJ672" s="280"/>
      <c r="BK672" s="280"/>
      <c r="BL672" s="280"/>
      <c r="BM672" s="280"/>
      <c r="BN672" s="280"/>
      <c r="BO672" s="280"/>
      <c r="BP672" s="280"/>
      <c r="BQ672" s="280"/>
      <c r="BR672" s="280"/>
      <c r="BS672" s="280"/>
      <c r="BT672" s="280"/>
      <c r="BU672" s="280"/>
      <c r="BV672" s="280"/>
      <c r="BW672" s="280"/>
      <c r="BX672" s="280"/>
      <c r="BY672" s="280"/>
      <c r="BZ672" s="280"/>
      <c r="CA672" s="280"/>
      <c r="CB672" s="280"/>
      <c r="CC672" s="280"/>
      <c r="CD672" s="280"/>
      <c r="CE672" s="280"/>
      <c r="CF672" s="280"/>
      <c r="CG672" s="280"/>
      <c r="CH672" s="280"/>
      <c r="CI672" s="280"/>
      <c r="CJ672" s="280"/>
      <c r="CK672" s="280"/>
      <c r="CL672" s="280"/>
      <c r="CM672" s="280"/>
      <c r="CN672" s="280"/>
      <c r="CO672" s="280"/>
      <c r="CP672" s="280"/>
      <c r="CQ672" s="280"/>
      <c r="CR672" s="280"/>
      <c r="CS672" s="280"/>
      <c r="CT672" s="280"/>
      <c r="CU672" s="280"/>
      <c r="CV672" s="13"/>
      <c r="CW672" s="12"/>
      <c r="CX672" s="13"/>
      <c r="CY672" s="280"/>
      <c r="CZ672" s="280"/>
      <c r="DA672" s="280"/>
      <c r="DB672" s="280"/>
      <c r="DC672" s="280"/>
      <c r="DD672" s="280"/>
      <c r="DE672" s="280"/>
      <c r="DF672" s="280"/>
      <c r="DG672" s="280"/>
      <c r="DH672" s="280"/>
      <c r="DI672" s="280"/>
      <c r="DJ672" s="280"/>
      <c r="DK672" s="280"/>
      <c r="DL672" s="280"/>
      <c r="DM672" s="280"/>
      <c r="DN672" s="280"/>
      <c r="DO672" s="280"/>
      <c r="DP672" s="280"/>
      <c r="DQ672" s="280"/>
      <c r="DR672" s="280"/>
      <c r="DS672" s="280"/>
      <c r="DT672" s="280"/>
      <c r="DU672" s="280"/>
      <c r="DV672" s="280"/>
      <c r="DW672" s="280"/>
      <c r="DX672" s="280"/>
      <c r="DY672" s="280"/>
      <c r="DZ672" s="280"/>
      <c r="EA672" s="280"/>
      <c r="EB672" s="280"/>
      <c r="EC672" s="280"/>
      <c r="ED672" s="280"/>
      <c r="EE672" s="280"/>
      <c r="EF672" s="280"/>
      <c r="EG672" s="280"/>
      <c r="EH672" s="280"/>
      <c r="EI672" s="280"/>
      <c r="EJ672" s="280"/>
      <c r="EK672" s="280"/>
      <c r="EL672" s="280"/>
      <c r="EM672" s="280"/>
      <c r="EN672" s="280"/>
      <c r="EO672" s="280"/>
      <c r="EP672" s="280"/>
      <c r="EQ672" s="280"/>
      <c r="ER672" s="280"/>
      <c r="ES672" s="280"/>
      <c r="ET672" s="280"/>
      <c r="EU672" s="280"/>
      <c r="EV672" s="280"/>
      <c r="EW672" s="280"/>
      <c r="EX672" s="13"/>
      <c r="EY672" s="283"/>
      <c r="EZ672" s="283"/>
      <c r="FA672" s="45"/>
    </row>
    <row r="673" spans="44:157" ht="10.75" customHeight="1" x14ac:dyDescent="0.2">
      <c r="AR673" s="42"/>
      <c r="AS673" s="283"/>
      <c r="AT673" s="283"/>
      <c r="AU673" s="12"/>
      <c r="AV673" s="280"/>
      <c r="AW673" s="280"/>
      <c r="AX673" s="280"/>
      <c r="AY673" s="280"/>
      <c r="AZ673" s="280"/>
      <c r="BA673" s="280"/>
      <c r="BB673" s="280"/>
      <c r="BC673" s="12"/>
      <c r="BD673" s="280"/>
      <c r="BE673" s="280"/>
      <c r="BF673" s="280"/>
      <c r="BG673" s="280"/>
      <c r="BH673" s="280"/>
      <c r="BI673" s="280"/>
      <c r="BJ673" s="280"/>
      <c r="BK673" s="280"/>
      <c r="BL673" s="280"/>
      <c r="BM673" s="280"/>
      <c r="BN673" s="280"/>
      <c r="BO673" s="280"/>
      <c r="BP673" s="280"/>
      <c r="BQ673" s="280"/>
      <c r="BR673" s="280"/>
      <c r="BS673" s="280"/>
      <c r="BT673" s="280"/>
      <c r="BU673" s="280"/>
      <c r="BV673" s="280"/>
      <c r="BW673" s="280"/>
      <c r="BX673" s="280"/>
      <c r="BY673" s="280"/>
      <c r="BZ673" s="280"/>
      <c r="CA673" s="280"/>
      <c r="CB673" s="280"/>
      <c r="CC673" s="280"/>
      <c r="CD673" s="280"/>
      <c r="CE673" s="280"/>
      <c r="CF673" s="280"/>
      <c r="CG673" s="280"/>
      <c r="CH673" s="280"/>
      <c r="CI673" s="280"/>
      <c r="CJ673" s="280"/>
      <c r="CK673" s="280"/>
      <c r="CL673" s="280"/>
      <c r="CM673" s="280"/>
      <c r="CN673" s="280"/>
      <c r="CO673" s="280"/>
      <c r="CP673" s="280"/>
      <c r="CQ673" s="280"/>
      <c r="CR673" s="280"/>
      <c r="CS673" s="280"/>
      <c r="CT673" s="280"/>
      <c r="CU673" s="280"/>
      <c r="CV673" s="13"/>
      <c r="CW673" s="12"/>
      <c r="CX673" s="13"/>
      <c r="CY673" s="280"/>
      <c r="CZ673" s="280"/>
      <c r="DA673" s="280"/>
      <c r="DB673" s="280"/>
      <c r="DC673" s="280"/>
      <c r="DD673" s="280"/>
      <c r="DE673" s="280"/>
      <c r="DF673" s="280"/>
      <c r="DG673" s="280"/>
      <c r="DH673" s="280"/>
      <c r="DI673" s="280"/>
      <c r="DJ673" s="280"/>
      <c r="DK673" s="280"/>
      <c r="DL673" s="280"/>
      <c r="DM673" s="280"/>
      <c r="DN673" s="280"/>
      <c r="DO673" s="280"/>
      <c r="DP673" s="280"/>
      <c r="DQ673" s="280"/>
      <c r="DR673" s="280"/>
      <c r="DS673" s="280"/>
      <c r="DT673" s="280"/>
      <c r="DU673" s="280"/>
      <c r="DV673" s="280"/>
      <c r="DW673" s="280"/>
      <c r="DX673" s="280"/>
      <c r="DY673" s="280"/>
      <c r="DZ673" s="280"/>
      <c r="EA673" s="280"/>
      <c r="EB673" s="280"/>
      <c r="EC673" s="280"/>
      <c r="ED673" s="280"/>
      <c r="EE673" s="280"/>
      <c r="EF673" s="280"/>
      <c r="EG673" s="280"/>
      <c r="EH673" s="280"/>
      <c r="EI673" s="280"/>
      <c r="EJ673" s="280"/>
      <c r="EK673" s="280"/>
      <c r="EL673" s="280"/>
      <c r="EM673" s="280"/>
      <c r="EN673" s="280"/>
      <c r="EO673" s="280"/>
      <c r="EP673" s="280"/>
      <c r="EQ673" s="280"/>
      <c r="ER673" s="280"/>
      <c r="ES673" s="280"/>
      <c r="ET673" s="280"/>
      <c r="EU673" s="280"/>
      <c r="EV673" s="280"/>
      <c r="EW673" s="280"/>
      <c r="EX673" s="13"/>
      <c r="EY673" s="283"/>
      <c r="EZ673" s="283"/>
      <c r="FA673" s="45"/>
    </row>
    <row r="674" spans="44:157" ht="10.75" customHeight="1" x14ac:dyDescent="0.2">
      <c r="AR674" s="42"/>
      <c r="AS674" s="283"/>
      <c r="AT674" s="283"/>
      <c r="AU674" s="12"/>
      <c r="AV674" s="280"/>
      <c r="AW674" s="280"/>
      <c r="AX674" s="280"/>
      <c r="AY674" s="280"/>
      <c r="AZ674" s="280"/>
      <c r="BA674" s="280"/>
      <c r="BB674" s="280"/>
      <c r="BC674" s="12"/>
      <c r="BD674" s="280"/>
      <c r="BE674" s="280"/>
      <c r="BF674" s="280"/>
      <c r="BG674" s="280"/>
      <c r="BH674" s="280"/>
      <c r="BI674" s="280"/>
      <c r="BJ674" s="280"/>
      <c r="BK674" s="280"/>
      <c r="BL674" s="280"/>
      <c r="BM674" s="280"/>
      <c r="BN674" s="280"/>
      <c r="BO674" s="280"/>
      <c r="BP674" s="280"/>
      <c r="BQ674" s="280"/>
      <c r="BR674" s="280"/>
      <c r="BS674" s="280"/>
      <c r="BT674" s="280"/>
      <c r="BU674" s="280"/>
      <c r="BV674" s="280"/>
      <c r="BW674" s="280"/>
      <c r="BX674" s="280"/>
      <c r="BY674" s="280"/>
      <c r="BZ674" s="280"/>
      <c r="CA674" s="280"/>
      <c r="CB674" s="280"/>
      <c r="CC674" s="280"/>
      <c r="CD674" s="280"/>
      <c r="CE674" s="280"/>
      <c r="CF674" s="280"/>
      <c r="CG674" s="280"/>
      <c r="CH674" s="280"/>
      <c r="CI674" s="280"/>
      <c r="CJ674" s="280"/>
      <c r="CK674" s="280"/>
      <c r="CL674" s="280"/>
      <c r="CM674" s="280"/>
      <c r="CN674" s="280"/>
      <c r="CO674" s="280"/>
      <c r="CP674" s="280"/>
      <c r="CQ674" s="280"/>
      <c r="CR674" s="280"/>
      <c r="CS674" s="280"/>
      <c r="CT674" s="280"/>
      <c r="CU674" s="280"/>
      <c r="CV674" s="13"/>
      <c r="CW674" s="12"/>
      <c r="CX674" s="13"/>
      <c r="CY674" s="280"/>
      <c r="CZ674" s="280"/>
      <c r="DA674" s="280"/>
      <c r="DB674" s="280"/>
      <c r="DC674" s="280"/>
      <c r="DD674" s="280"/>
      <c r="DE674" s="280"/>
      <c r="DF674" s="280"/>
      <c r="DG674" s="280"/>
      <c r="DH674" s="280"/>
      <c r="DI674" s="280"/>
      <c r="DJ674" s="280"/>
      <c r="DK674" s="280"/>
      <c r="DL674" s="280"/>
      <c r="DM674" s="280"/>
      <c r="DN674" s="280"/>
      <c r="DO674" s="280"/>
      <c r="DP674" s="280"/>
      <c r="DQ674" s="280"/>
      <c r="DR674" s="280"/>
      <c r="DS674" s="280"/>
      <c r="DT674" s="280"/>
      <c r="DU674" s="280"/>
      <c r="DV674" s="280"/>
      <c r="DW674" s="280"/>
      <c r="DX674" s="280"/>
      <c r="DY674" s="280"/>
      <c r="DZ674" s="280"/>
      <c r="EA674" s="280"/>
      <c r="EB674" s="280"/>
      <c r="EC674" s="280"/>
      <c r="ED674" s="280"/>
      <c r="EE674" s="280"/>
      <c r="EF674" s="280"/>
      <c r="EG674" s="280"/>
      <c r="EH674" s="280"/>
      <c r="EI674" s="280"/>
      <c r="EJ674" s="280"/>
      <c r="EK674" s="280"/>
      <c r="EL674" s="280"/>
      <c r="EM674" s="280"/>
      <c r="EN674" s="280"/>
      <c r="EO674" s="280"/>
      <c r="EP674" s="280"/>
      <c r="EQ674" s="280"/>
      <c r="ER674" s="280"/>
      <c r="ES674" s="280"/>
      <c r="ET674" s="280"/>
      <c r="EU674" s="280"/>
      <c r="EV674" s="280"/>
      <c r="EW674" s="280"/>
      <c r="EX674" s="13"/>
      <c r="EY674" s="283"/>
      <c r="EZ674" s="283"/>
      <c r="FA674" s="45"/>
    </row>
    <row r="675" spans="44:157" ht="10.75" customHeight="1" x14ac:dyDescent="0.2">
      <c r="AR675" s="42"/>
      <c r="AS675" s="283"/>
      <c r="AT675" s="283"/>
      <c r="AU675" s="12"/>
      <c r="AV675" s="280"/>
      <c r="AW675" s="280"/>
      <c r="AX675" s="280"/>
      <c r="AY675" s="280"/>
      <c r="AZ675" s="280"/>
      <c r="BA675" s="280"/>
      <c r="BB675" s="280"/>
      <c r="BC675" s="12"/>
      <c r="BD675" s="280"/>
      <c r="BE675" s="280"/>
      <c r="BF675" s="280"/>
      <c r="BG675" s="280"/>
      <c r="BH675" s="280"/>
      <c r="BI675" s="280"/>
      <c r="BJ675" s="280"/>
      <c r="BK675" s="280"/>
      <c r="BL675" s="280"/>
      <c r="BM675" s="280"/>
      <c r="BN675" s="280"/>
      <c r="BO675" s="280"/>
      <c r="BP675" s="280"/>
      <c r="BQ675" s="280"/>
      <c r="BR675" s="280"/>
      <c r="BS675" s="280"/>
      <c r="BT675" s="280"/>
      <c r="BU675" s="280"/>
      <c r="BV675" s="280"/>
      <c r="BW675" s="280"/>
      <c r="BX675" s="280"/>
      <c r="BY675" s="280"/>
      <c r="BZ675" s="280"/>
      <c r="CA675" s="280"/>
      <c r="CB675" s="280"/>
      <c r="CC675" s="280"/>
      <c r="CD675" s="280"/>
      <c r="CE675" s="280"/>
      <c r="CF675" s="280"/>
      <c r="CG675" s="280"/>
      <c r="CH675" s="280"/>
      <c r="CI675" s="280"/>
      <c r="CJ675" s="280"/>
      <c r="CK675" s="280"/>
      <c r="CL675" s="280"/>
      <c r="CM675" s="280"/>
      <c r="CN675" s="280"/>
      <c r="CO675" s="280"/>
      <c r="CP675" s="280"/>
      <c r="CQ675" s="280"/>
      <c r="CR675" s="280"/>
      <c r="CS675" s="280"/>
      <c r="CT675" s="280"/>
      <c r="CU675" s="280"/>
      <c r="CV675" s="13"/>
      <c r="CW675" s="12"/>
      <c r="CX675" s="13"/>
      <c r="CY675" s="280"/>
      <c r="CZ675" s="280"/>
      <c r="DA675" s="280"/>
      <c r="DB675" s="280"/>
      <c r="DC675" s="280"/>
      <c r="DD675" s="280"/>
      <c r="DE675" s="280"/>
      <c r="DF675" s="280"/>
      <c r="DG675" s="280"/>
      <c r="DH675" s="280"/>
      <c r="DI675" s="280"/>
      <c r="DJ675" s="280"/>
      <c r="DK675" s="280"/>
      <c r="DL675" s="280"/>
      <c r="DM675" s="280"/>
      <c r="DN675" s="280"/>
      <c r="DO675" s="280"/>
      <c r="DP675" s="280"/>
      <c r="DQ675" s="280"/>
      <c r="DR675" s="280"/>
      <c r="DS675" s="280"/>
      <c r="DT675" s="280"/>
      <c r="DU675" s="280"/>
      <c r="DV675" s="280"/>
      <c r="DW675" s="280"/>
      <c r="DX675" s="280"/>
      <c r="DY675" s="280"/>
      <c r="DZ675" s="280"/>
      <c r="EA675" s="280"/>
      <c r="EB675" s="280"/>
      <c r="EC675" s="280"/>
      <c r="ED675" s="280"/>
      <c r="EE675" s="280"/>
      <c r="EF675" s="280"/>
      <c r="EG675" s="280"/>
      <c r="EH675" s="280"/>
      <c r="EI675" s="280"/>
      <c r="EJ675" s="280"/>
      <c r="EK675" s="280"/>
      <c r="EL675" s="280"/>
      <c r="EM675" s="280"/>
      <c r="EN675" s="280"/>
      <c r="EO675" s="280"/>
      <c r="EP675" s="280"/>
      <c r="EQ675" s="280"/>
      <c r="ER675" s="280"/>
      <c r="ES675" s="280"/>
      <c r="ET675" s="280"/>
      <c r="EU675" s="280"/>
      <c r="EV675" s="280"/>
      <c r="EW675" s="280"/>
      <c r="EX675" s="13"/>
      <c r="EY675" s="283"/>
      <c r="EZ675" s="283"/>
      <c r="FA675" s="45"/>
    </row>
    <row r="676" spans="44:157" ht="10.75" customHeight="1" x14ac:dyDescent="0.2">
      <c r="AR676" s="42"/>
      <c r="AS676" s="283"/>
      <c r="AT676" s="283"/>
      <c r="AU676" s="12"/>
      <c r="AV676" s="280"/>
      <c r="AW676" s="280"/>
      <c r="AX676" s="280"/>
      <c r="AY676" s="280"/>
      <c r="AZ676" s="280"/>
      <c r="BA676" s="280"/>
      <c r="BB676" s="280"/>
      <c r="BC676" s="12"/>
      <c r="BD676" s="280"/>
      <c r="BE676" s="280"/>
      <c r="BF676" s="280"/>
      <c r="BG676" s="280"/>
      <c r="BH676" s="280"/>
      <c r="BI676" s="280"/>
      <c r="BJ676" s="280"/>
      <c r="BK676" s="280"/>
      <c r="BL676" s="280"/>
      <c r="BM676" s="280"/>
      <c r="BN676" s="280"/>
      <c r="BO676" s="280"/>
      <c r="BP676" s="280"/>
      <c r="BQ676" s="280"/>
      <c r="BR676" s="280"/>
      <c r="BS676" s="280"/>
      <c r="BT676" s="280"/>
      <c r="BU676" s="280"/>
      <c r="BV676" s="280"/>
      <c r="BW676" s="280"/>
      <c r="BX676" s="280"/>
      <c r="BY676" s="280"/>
      <c r="BZ676" s="280"/>
      <c r="CA676" s="280"/>
      <c r="CB676" s="280"/>
      <c r="CC676" s="280"/>
      <c r="CD676" s="280"/>
      <c r="CE676" s="280"/>
      <c r="CF676" s="280"/>
      <c r="CG676" s="280"/>
      <c r="CH676" s="280"/>
      <c r="CI676" s="280"/>
      <c r="CJ676" s="280"/>
      <c r="CK676" s="280"/>
      <c r="CL676" s="280"/>
      <c r="CM676" s="280"/>
      <c r="CN676" s="280"/>
      <c r="CO676" s="280"/>
      <c r="CP676" s="280"/>
      <c r="CQ676" s="280"/>
      <c r="CR676" s="280"/>
      <c r="CS676" s="280"/>
      <c r="CT676" s="280"/>
      <c r="CU676" s="280"/>
      <c r="CV676" s="13"/>
      <c r="CW676" s="12"/>
      <c r="CX676" s="13"/>
      <c r="CY676" s="280"/>
      <c r="CZ676" s="280"/>
      <c r="DA676" s="280"/>
      <c r="DB676" s="280"/>
      <c r="DC676" s="280"/>
      <c r="DD676" s="280"/>
      <c r="DE676" s="280"/>
      <c r="DF676" s="280"/>
      <c r="DG676" s="280"/>
      <c r="DH676" s="280"/>
      <c r="DI676" s="280"/>
      <c r="DJ676" s="280"/>
      <c r="DK676" s="280"/>
      <c r="DL676" s="280"/>
      <c r="DM676" s="280"/>
      <c r="DN676" s="280"/>
      <c r="DO676" s="280"/>
      <c r="DP676" s="280"/>
      <c r="DQ676" s="280"/>
      <c r="DR676" s="280"/>
      <c r="DS676" s="280"/>
      <c r="DT676" s="280"/>
      <c r="DU676" s="280"/>
      <c r="DV676" s="280"/>
      <c r="DW676" s="280"/>
      <c r="DX676" s="280"/>
      <c r="DY676" s="280"/>
      <c r="DZ676" s="280"/>
      <c r="EA676" s="280"/>
      <c r="EB676" s="280"/>
      <c r="EC676" s="280"/>
      <c r="ED676" s="280"/>
      <c r="EE676" s="280"/>
      <c r="EF676" s="280"/>
      <c r="EG676" s="280"/>
      <c r="EH676" s="280"/>
      <c r="EI676" s="280"/>
      <c r="EJ676" s="280"/>
      <c r="EK676" s="280"/>
      <c r="EL676" s="280"/>
      <c r="EM676" s="280"/>
      <c r="EN676" s="280"/>
      <c r="EO676" s="280"/>
      <c r="EP676" s="280"/>
      <c r="EQ676" s="280"/>
      <c r="ER676" s="280"/>
      <c r="ES676" s="280"/>
      <c r="ET676" s="280"/>
      <c r="EU676" s="280"/>
      <c r="EV676" s="280"/>
      <c r="EW676" s="280"/>
      <c r="EX676" s="13"/>
      <c r="EY676" s="283"/>
      <c r="EZ676" s="283"/>
      <c r="FA676" s="45"/>
    </row>
    <row r="677" spans="44:157" ht="10.75" customHeight="1" x14ac:dyDescent="0.2">
      <c r="AR677" s="42"/>
      <c r="AS677" s="283"/>
      <c r="AT677" s="283"/>
      <c r="AU677" s="12"/>
      <c r="AV677" s="280"/>
      <c r="AW677" s="280"/>
      <c r="AX677" s="280"/>
      <c r="AY677" s="280"/>
      <c r="AZ677" s="280"/>
      <c r="BA677" s="280"/>
      <c r="BB677" s="280"/>
      <c r="BC677" s="12"/>
      <c r="BD677" s="280"/>
      <c r="BE677" s="280"/>
      <c r="BF677" s="280"/>
      <c r="BG677" s="280"/>
      <c r="BH677" s="280"/>
      <c r="BI677" s="280"/>
      <c r="BJ677" s="280"/>
      <c r="BK677" s="280"/>
      <c r="BL677" s="280"/>
      <c r="BM677" s="280"/>
      <c r="BN677" s="280"/>
      <c r="BO677" s="280"/>
      <c r="BP677" s="280"/>
      <c r="BQ677" s="280"/>
      <c r="BR677" s="280"/>
      <c r="BS677" s="280"/>
      <c r="BT677" s="280"/>
      <c r="BU677" s="280"/>
      <c r="BV677" s="280"/>
      <c r="BW677" s="280"/>
      <c r="BX677" s="280"/>
      <c r="BY677" s="280"/>
      <c r="BZ677" s="280"/>
      <c r="CA677" s="280"/>
      <c r="CB677" s="280"/>
      <c r="CC677" s="280"/>
      <c r="CD677" s="280"/>
      <c r="CE677" s="280"/>
      <c r="CF677" s="280"/>
      <c r="CG677" s="280"/>
      <c r="CH677" s="280"/>
      <c r="CI677" s="280"/>
      <c r="CJ677" s="280"/>
      <c r="CK677" s="280"/>
      <c r="CL677" s="280"/>
      <c r="CM677" s="280"/>
      <c r="CN677" s="280"/>
      <c r="CO677" s="280"/>
      <c r="CP677" s="280"/>
      <c r="CQ677" s="280"/>
      <c r="CR677" s="280"/>
      <c r="CS677" s="280"/>
      <c r="CT677" s="280"/>
      <c r="CU677" s="280"/>
      <c r="CV677" s="13"/>
      <c r="CW677" s="12"/>
      <c r="CX677" s="13"/>
      <c r="CY677" s="280"/>
      <c r="CZ677" s="280"/>
      <c r="DA677" s="280"/>
      <c r="DB677" s="280"/>
      <c r="DC677" s="280"/>
      <c r="DD677" s="280"/>
      <c r="DE677" s="280"/>
      <c r="DF677" s="280"/>
      <c r="DG677" s="280"/>
      <c r="DH677" s="280"/>
      <c r="DI677" s="280"/>
      <c r="DJ677" s="280"/>
      <c r="DK677" s="280"/>
      <c r="DL677" s="280"/>
      <c r="DM677" s="280"/>
      <c r="DN677" s="280"/>
      <c r="DO677" s="280"/>
      <c r="DP677" s="280"/>
      <c r="DQ677" s="280"/>
      <c r="DR677" s="280"/>
      <c r="DS677" s="280"/>
      <c r="DT677" s="280"/>
      <c r="DU677" s="280"/>
      <c r="DV677" s="280"/>
      <c r="DW677" s="280"/>
      <c r="DX677" s="280"/>
      <c r="DY677" s="280"/>
      <c r="DZ677" s="280"/>
      <c r="EA677" s="280"/>
      <c r="EB677" s="280"/>
      <c r="EC677" s="280"/>
      <c r="ED677" s="280"/>
      <c r="EE677" s="280"/>
      <c r="EF677" s="280"/>
      <c r="EG677" s="280"/>
      <c r="EH677" s="280"/>
      <c r="EI677" s="280"/>
      <c r="EJ677" s="280"/>
      <c r="EK677" s="280"/>
      <c r="EL677" s="280"/>
      <c r="EM677" s="280"/>
      <c r="EN677" s="280"/>
      <c r="EO677" s="280"/>
      <c r="EP677" s="280"/>
      <c r="EQ677" s="280"/>
      <c r="ER677" s="280"/>
      <c r="ES677" s="280"/>
      <c r="ET677" s="280"/>
      <c r="EU677" s="280"/>
      <c r="EV677" s="280"/>
      <c r="EW677" s="280"/>
      <c r="EX677" s="13"/>
      <c r="EY677" s="283"/>
      <c r="EZ677" s="283"/>
      <c r="FA677" s="45"/>
    </row>
    <row r="678" spans="44:157" ht="10.75" customHeight="1" x14ac:dyDescent="0.2">
      <c r="AR678" s="42"/>
      <c r="AS678" s="283"/>
      <c r="AT678" s="283"/>
      <c r="AU678" s="12"/>
      <c r="AV678" s="280"/>
      <c r="AW678" s="280"/>
      <c r="AX678" s="280"/>
      <c r="AY678" s="280"/>
      <c r="AZ678" s="280"/>
      <c r="BA678" s="280"/>
      <c r="BB678" s="280"/>
      <c r="BC678" s="12"/>
      <c r="BD678" s="280"/>
      <c r="BE678" s="280"/>
      <c r="BF678" s="280"/>
      <c r="BG678" s="280"/>
      <c r="BH678" s="280"/>
      <c r="BI678" s="280"/>
      <c r="BJ678" s="280"/>
      <c r="BK678" s="280"/>
      <c r="BL678" s="280"/>
      <c r="BM678" s="280"/>
      <c r="BN678" s="280"/>
      <c r="BO678" s="280"/>
      <c r="BP678" s="280"/>
      <c r="BQ678" s="280"/>
      <c r="BR678" s="280"/>
      <c r="BS678" s="280"/>
      <c r="BT678" s="280"/>
      <c r="BU678" s="280"/>
      <c r="BV678" s="280"/>
      <c r="BW678" s="280"/>
      <c r="BX678" s="280"/>
      <c r="BY678" s="280"/>
      <c r="BZ678" s="280"/>
      <c r="CA678" s="280"/>
      <c r="CB678" s="280"/>
      <c r="CC678" s="280"/>
      <c r="CD678" s="280"/>
      <c r="CE678" s="280"/>
      <c r="CF678" s="280"/>
      <c r="CG678" s="280"/>
      <c r="CH678" s="280"/>
      <c r="CI678" s="280"/>
      <c r="CJ678" s="280"/>
      <c r="CK678" s="280"/>
      <c r="CL678" s="280"/>
      <c r="CM678" s="280"/>
      <c r="CN678" s="280"/>
      <c r="CO678" s="280"/>
      <c r="CP678" s="280"/>
      <c r="CQ678" s="280"/>
      <c r="CR678" s="280"/>
      <c r="CS678" s="280"/>
      <c r="CT678" s="280"/>
      <c r="CU678" s="280"/>
      <c r="CV678" s="13"/>
      <c r="CW678" s="12"/>
      <c r="CX678" s="13"/>
      <c r="CY678" s="280"/>
      <c r="CZ678" s="280"/>
      <c r="DA678" s="280"/>
      <c r="DB678" s="280"/>
      <c r="DC678" s="280"/>
      <c r="DD678" s="280"/>
      <c r="DE678" s="280"/>
      <c r="DF678" s="280"/>
      <c r="DG678" s="280"/>
      <c r="DH678" s="280"/>
      <c r="DI678" s="280"/>
      <c r="DJ678" s="280"/>
      <c r="DK678" s="280"/>
      <c r="DL678" s="280"/>
      <c r="DM678" s="280"/>
      <c r="DN678" s="280"/>
      <c r="DO678" s="280"/>
      <c r="DP678" s="280"/>
      <c r="DQ678" s="280"/>
      <c r="DR678" s="280"/>
      <c r="DS678" s="280"/>
      <c r="DT678" s="280"/>
      <c r="DU678" s="280"/>
      <c r="DV678" s="280"/>
      <c r="DW678" s="280"/>
      <c r="DX678" s="280"/>
      <c r="DY678" s="280"/>
      <c r="DZ678" s="280"/>
      <c r="EA678" s="280"/>
      <c r="EB678" s="280"/>
      <c r="EC678" s="280"/>
      <c r="ED678" s="280"/>
      <c r="EE678" s="280"/>
      <c r="EF678" s="280"/>
      <c r="EG678" s="280"/>
      <c r="EH678" s="280"/>
      <c r="EI678" s="280"/>
      <c r="EJ678" s="280"/>
      <c r="EK678" s="280"/>
      <c r="EL678" s="280"/>
      <c r="EM678" s="280"/>
      <c r="EN678" s="280"/>
      <c r="EO678" s="280"/>
      <c r="EP678" s="280"/>
      <c r="EQ678" s="280"/>
      <c r="ER678" s="280"/>
      <c r="ES678" s="280"/>
      <c r="ET678" s="280"/>
      <c r="EU678" s="280"/>
      <c r="EV678" s="280"/>
      <c r="EW678" s="280"/>
      <c r="EX678" s="13"/>
      <c r="EY678" s="283"/>
      <c r="EZ678" s="283"/>
      <c r="FA678" s="45"/>
    </row>
    <row r="679" spans="44:157" ht="10.75" customHeight="1" x14ac:dyDescent="0.2">
      <c r="AR679" s="42"/>
      <c r="AS679" s="283"/>
      <c r="AT679" s="283"/>
      <c r="AU679" s="12"/>
      <c r="AV679" s="280"/>
      <c r="AW679" s="280"/>
      <c r="AX679" s="280"/>
      <c r="AY679" s="280"/>
      <c r="AZ679" s="280"/>
      <c r="BA679" s="280"/>
      <c r="BB679" s="280"/>
      <c r="BC679" s="12"/>
      <c r="BD679" s="280"/>
      <c r="BE679" s="280"/>
      <c r="BF679" s="280"/>
      <c r="BG679" s="280"/>
      <c r="BH679" s="280"/>
      <c r="BI679" s="280"/>
      <c r="BJ679" s="280"/>
      <c r="BK679" s="280"/>
      <c r="BL679" s="280"/>
      <c r="BM679" s="280"/>
      <c r="BN679" s="280"/>
      <c r="BO679" s="280"/>
      <c r="BP679" s="280"/>
      <c r="BQ679" s="280"/>
      <c r="BR679" s="280"/>
      <c r="BS679" s="280"/>
      <c r="BT679" s="280"/>
      <c r="BU679" s="280"/>
      <c r="BV679" s="280"/>
      <c r="BW679" s="280"/>
      <c r="BX679" s="280"/>
      <c r="BY679" s="280"/>
      <c r="BZ679" s="280"/>
      <c r="CA679" s="280"/>
      <c r="CB679" s="280"/>
      <c r="CC679" s="280"/>
      <c r="CD679" s="280"/>
      <c r="CE679" s="280"/>
      <c r="CF679" s="280"/>
      <c r="CG679" s="280"/>
      <c r="CH679" s="280"/>
      <c r="CI679" s="280"/>
      <c r="CJ679" s="280"/>
      <c r="CK679" s="280"/>
      <c r="CL679" s="280"/>
      <c r="CM679" s="280"/>
      <c r="CN679" s="280"/>
      <c r="CO679" s="280"/>
      <c r="CP679" s="280"/>
      <c r="CQ679" s="280"/>
      <c r="CR679" s="280"/>
      <c r="CS679" s="280"/>
      <c r="CT679" s="280"/>
      <c r="CU679" s="280"/>
      <c r="CV679" s="13"/>
      <c r="CW679" s="12"/>
      <c r="CX679" s="13"/>
      <c r="CY679" s="280"/>
      <c r="CZ679" s="280"/>
      <c r="DA679" s="280"/>
      <c r="DB679" s="280"/>
      <c r="DC679" s="280"/>
      <c r="DD679" s="280"/>
      <c r="DE679" s="280"/>
      <c r="DF679" s="280"/>
      <c r="DG679" s="280"/>
      <c r="DH679" s="280"/>
      <c r="DI679" s="280"/>
      <c r="DJ679" s="280"/>
      <c r="DK679" s="280"/>
      <c r="DL679" s="280"/>
      <c r="DM679" s="280"/>
      <c r="DN679" s="280"/>
      <c r="DO679" s="280"/>
      <c r="DP679" s="280"/>
      <c r="DQ679" s="280"/>
      <c r="DR679" s="280"/>
      <c r="DS679" s="280"/>
      <c r="DT679" s="280"/>
      <c r="DU679" s="280"/>
      <c r="DV679" s="280"/>
      <c r="DW679" s="280"/>
      <c r="DX679" s="280"/>
      <c r="DY679" s="280"/>
      <c r="DZ679" s="280"/>
      <c r="EA679" s="280"/>
      <c r="EB679" s="280"/>
      <c r="EC679" s="280"/>
      <c r="ED679" s="280"/>
      <c r="EE679" s="280"/>
      <c r="EF679" s="280"/>
      <c r="EG679" s="280"/>
      <c r="EH679" s="280"/>
      <c r="EI679" s="280"/>
      <c r="EJ679" s="280"/>
      <c r="EK679" s="280"/>
      <c r="EL679" s="280"/>
      <c r="EM679" s="280"/>
      <c r="EN679" s="280"/>
      <c r="EO679" s="280"/>
      <c r="EP679" s="280"/>
      <c r="EQ679" s="280"/>
      <c r="ER679" s="280"/>
      <c r="ES679" s="280"/>
      <c r="ET679" s="280"/>
      <c r="EU679" s="280"/>
      <c r="EV679" s="280"/>
      <c r="EW679" s="280"/>
      <c r="EX679" s="13"/>
      <c r="EY679" s="283"/>
      <c r="EZ679" s="283"/>
      <c r="FA679" s="45"/>
    </row>
    <row r="680" spans="44:157" ht="10.75" customHeight="1" x14ac:dyDescent="0.2">
      <c r="AR680" s="42"/>
      <c r="AS680" s="283"/>
      <c r="AT680" s="283"/>
      <c r="AU680" s="12"/>
      <c r="AV680" s="280"/>
      <c r="AW680" s="280"/>
      <c r="AX680" s="280"/>
      <c r="AY680" s="280"/>
      <c r="AZ680" s="280"/>
      <c r="BA680" s="280"/>
      <c r="BB680" s="280"/>
      <c r="BC680" s="12"/>
      <c r="BD680" s="280"/>
      <c r="BE680" s="280"/>
      <c r="BF680" s="280"/>
      <c r="BG680" s="280"/>
      <c r="BH680" s="280"/>
      <c r="BI680" s="280"/>
      <c r="BJ680" s="280"/>
      <c r="BK680" s="280"/>
      <c r="BL680" s="280"/>
      <c r="BM680" s="280"/>
      <c r="BN680" s="280"/>
      <c r="BO680" s="280"/>
      <c r="BP680" s="280"/>
      <c r="BQ680" s="280"/>
      <c r="BR680" s="280"/>
      <c r="BS680" s="280"/>
      <c r="BT680" s="280"/>
      <c r="BU680" s="280"/>
      <c r="BV680" s="280"/>
      <c r="BW680" s="280"/>
      <c r="BX680" s="280"/>
      <c r="BY680" s="280"/>
      <c r="BZ680" s="280"/>
      <c r="CA680" s="280"/>
      <c r="CB680" s="280"/>
      <c r="CC680" s="280"/>
      <c r="CD680" s="280"/>
      <c r="CE680" s="280"/>
      <c r="CF680" s="280"/>
      <c r="CG680" s="280"/>
      <c r="CH680" s="280"/>
      <c r="CI680" s="280"/>
      <c r="CJ680" s="280"/>
      <c r="CK680" s="280"/>
      <c r="CL680" s="280"/>
      <c r="CM680" s="280"/>
      <c r="CN680" s="280"/>
      <c r="CO680" s="280"/>
      <c r="CP680" s="280"/>
      <c r="CQ680" s="280"/>
      <c r="CR680" s="280"/>
      <c r="CS680" s="280"/>
      <c r="CT680" s="280"/>
      <c r="CU680" s="280"/>
      <c r="CV680" s="13"/>
      <c r="CW680" s="12"/>
      <c r="CX680" s="13"/>
      <c r="CY680" s="280"/>
      <c r="CZ680" s="280"/>
      <c r="DA680" s="280"/>
      <c r="DB680" s="280"/>
      <c r="DC680" s="280"/>
      <c r="DD680" s="280"/>
      <c r="DE680" s="280"/>
      <c r="DF680" s="280"/>
      <c r="DG680" s="280"/>
      <c r="DH680" s="280"/>
      <c r="DI680" s="280"/>
      <c r="DJ680" s="280"/>
      <c r="DK680" s="280"/>
      <c r="DL680" s="280"/>
      <c r="DM680" s="280"/>
      <c r="DN680" s="280"/>
      <c r="DO680" s="280"/>
      <c r="DP680" s="280"/>
      <c r="DQ680" s="280"/>
      <c r="DR680" s="280"/>
      <c r="DS680" s="280"/>
      <c r="DT680" s="280"/>
      <c r="DU680" s="280"/>
      <c r="DV680" s="280"/>
      <c r="DW680" s="280"/>
      <c r="DX680" s="280"/>
      <c r="DY680" s="280"/>
      <c r="DZ680" s="280"/>
      <c r="EA680" s="280"/>
      <c r="EB680" s="280"/>
      <c r="EC680" s="280"/>
      <c r="ED680" s="280"/>
      <c r="EE680" s="280"/>
      <c r="EF680" s="280"/>
      <c r="EG680" s="280"/>
      <c r="EH680" s="280"/>
      <c r="EI680" s="280"/>
      <c r="EJ680" s="280"/>
      <c r="EK680" s="280"/>
      <c r="EL680" s="280"/>
      <c r="EM680" s="280"/>
      <c r="EN680" s="280"/>
      <c r="EO680" s="280"/>
      <c r="EP680" s="280"/>
      <c r="EQ680" s="280"/>
      <c r="ER680" s="280"/>
      <c r="ES680" s="280"/>
      <c r="ET680" s="280"/>
      <c r="EU680" s="280"/>
      <c r="EV680" s="280"/>
      <c r="EW680" s="280"/>
      <c r="EX680" s="13"/>
      <c r="EY680" s="283"/>
      <c r="EZ680" s="283"/>
      <c r="FA680" s="45"/>
    </row>
    <row r="681" spans="44:157" ht="10.75" customHeight="1" x14ac:dyDescent="0.2">
      <c r="AR681" s="42"/>
      <c r="AS681" s="283"/>
      <c r="AT681" s="283"/>
      <c r="AU681" s="12"/>
      <c r="AV681" s="280"/>
      <c r="AW681" s="280"/>
      <c r="AX681" s="280"/>
      <c r="AY681" s="280"/>
      <c r="AZ681" s="280"/>
      <c r="BA681" s="280"/>
      <c r="BB681" s="280"/>
      <c r="BC681" s="12"/>
      <c r="BD681" s="280"/>
      <c r="BE681" s="280"/>
      <c r="BF681" s="280"/>
      <c r="BG681" s="280"/>
      <c r="BH681" s="280"/>
      <c r="BI681" s="280"/>
      <c r="BJ681" s="280"/>
      <c r="BK681" s="280"/>
      <c r="BL681" s="280"/>
      <c r="BM681" s="280"/>
      <c r="BN681" s="280"/>
      <c r="BO681" s="280"/>
      <c r="BP681" s="280"/>
      <c r="BQ681" s="280"/>
      <c r="BR681" s="280"/>
      <c r="BS681" s="280"/>
      <c r="BT681" s="280"/>
      <c r="BU681" s="280"/>
      <c r="BV681" s="280"/>
      <c r="BW681" s="280"/>
      <c r="BX681" s="280"/>
      <c r="BY681" s="280"/>
      <c r="BZ681" s="280"/>
      <c r="CA681" s="280"/>
      <c r="CB681" s="280"/>
      <c r="CC681" s="280"/>
      <c r="CD681" s="280"/>
      <c r="CE681" s="280"/>
      <c r="CF681" s="280"/>
      <c r="CG681" s="280"/>
      <c r="CH681" s="280"/>
      <c r="CI681" s="280"/>
      <c r="CJ681" s="280"/>
      <c r="CK681" s="280"/>
      <c r="CL681" s="280"/>
      <c r="CM681" s="280"/>
      <c r="CN681" s="280"/>
      <c r="CO681" s="280"/>
      <c r="CP681" s="280"/>
      <c r="CQ681" s="280"/>
      <c r="CR681" s="280"/>
      <c r="CS681" s="280"/>
      <c r="CT681" s="280"/>
      <c r="CU681" s="280"/>
      <c r="CV681" s="13"/>
      <c r="CW681" s="12"/>
      <c r="CX681" s="13"/>
      <c r="CY681" s="280"/>
      <c r="CZ681" s="280"/>
      <c r="DA681" s="280"/>
      <c r="DB681" s="280"/>
      <c r="DC681" s="280"/>
      <c r="DD681" s="280"/>
      <c r="DE681" s="280"/>
      <c r="DF681" s="280"/>
      <c r="DG681" s="280"/>
      <c r="DH681" s="280"/>
      <c r="DI681" s="280"/>
      <c r="DJ681" s="280"/>
      <c r="DK681" s="280"/>
      <c r="DL681" s="280"/>
      <c r="DM681" s="280"/>
      <c r="DN681" s="280"/>
      <c r="DO681" s="280"/>
      <c r="DP681" s="280"/>
      <c r="DQ681" s="280"/>
      <c r="DR681" s="280"/>
      <c r="DS681" s="280"/>
      <c r="DT681" s="280"/>
      <c r="DU681" s="280"/>
      <c r="DV681" s="280"/>
      <c r="DW681" s="280"/>
      <c r="DX681" s="280"/>
      <c r="DY681" s="280"/>
      <c r="DZ681" s="280"/>
      <c r="EA681" s="280"/>
      <c r="EB681" s="280"/>
      <c r="EC681" s="280"/>
      <c r="ED681" s="280"/>
      <c r="EE681" s="280"/>
      <c r="EF681" s="280"/>
      <c r="EG681" s="280"/>
      <c r="EH681" s="280"/>
      <c r="EI681" s="280"/>
      <c r="EJ681" s="280"/>
      <c r="EK681" s="280"/>
      <c r="EL681" s="280"/>
      <c r="EM681" s="280"/>
      <c r="EN681" s="280"/>
      <c r="EO681" s="280"/>
      <c r="EP681" s="280"/>
      <c r="EQ681" s="280"/>
      <c r="ER681" s="280"/>
      <c r="ES681" s="280"/>
      <c r="ET681" s="280"/>
      <c r="EU681" s="280"/>
      <c r="EV681" s="280"/>
      <c r="EW681" s="280"/>
      <c r="EX681" s="13"/>
      <c r="EY681" s="283"/>
      <c r="EZ681" s="283"/>
      <c r="FA681" s="45"/>
    </row>
    <row r="682" spans="44:157" ht="10.75" customHeight="1" x14ac:dyDescent="0.2">
      <c r="AR682" s="42"/>
      <c r="AS682" s="283"/>
      <c r="AT682" s="283"/>
      <c r="AU682" s="12"/>
      <c r="AV682" s="280"/>
      <c r="AW682" s="280"/>
      <c r="AX682" s="280"/>
      <c r="AY682" s="280"/>
      <c r="AZ682" s="280"/>
      <c r="BA682" s="280"/>
      <c r="BB682" s="280"/>
      <c r="BC682" s="12"/>
      <c r="BD682" s="280"/>
      <c r="BE682" s="280"/>
      <c r="BF682" s="280"/>
      <c r="BG682" s="280"/>
      <c r="BH682" s="280"/>
      <c r="BI682" s="280"/>
      <c r="BJ682" s="280"/>
      <c r="BK682" s="280"/>
      <c r="BL682" s="280"/>
      <c r="BM682" s="280"/>
      <c r="BN682" s="280"/>
      <c r="BO682" s="280"/>
      <c r="BP682" s="280"/>
      <c r="BQ682" s="280"/>
      <c r="BR682" s="280"/>
      <c r="BS682" s="280"/>
      <c r="BT682" s="280"/>
      <c r="BU682" s="280"/>
      <c r="BV682" s="280"/>
      <c r="BW682" s="280"/>
      <c r="BX682" s="280"/>
      <c r="BY682" s="280"/>
      <c r="BZ682" s="280"/>
      <c r="CA682" s="280"/>
      <c r="CB682" s="280"/>
      <c r="CC682" s="280"/>
      <c r="CD682" s="280"/>
      <c r="CE682" s="280"/>
      <c r="CF682" s="280"/>
      <c r="CG682" s="280"/>
      <c r="CH682" s="280"/>
      <c r="CI682" s="280"/>
      <c r="CJ682" s="280"/>
      <c r="CK682" s="280"/>
      <c r="CL682" s="280"/>
      <c r="CM682" s="280"/>
      <c r="CN682" s="280"/>
      <c r="CO682" s="280"/>
      <c r="CP682" s="280"/>
      <c r="CQ682" s="280"/>
      <c r="CR682" s="280"/>
      <c r="CS682" s="280"/>
      <c r="CT682" s="280"/>
      <c r="CU682" s="280"/>
      <c r="CV682" s="13"/>
      <c r="CW682" s="12"/>
      <c r="CX682" s="13"/>
      <c r="CY682" s="280"/>
      <c r="CZ682" s="280"/>
      <c r="DA682" s="280"/>
      <c r="DB682" s="280"/>
      <c r="DC682" s="280"/>
      <c r="DD682" s="280"/>
      <c r="DE682" s="280"/>
      <c r="DF682" s="280"/>
      <c r="DG682" s="280"/>
      <c r="DH682" s="280"/>
      <c r="DI682" s="280"/>
      <c r="DJ682" s="280"/>
      <c r="DK682" s="280"/>
      <c r="DL682" s="280"/>
      <c r="DM682" s="280"/>
      <c r="DN682" s="280"/>
      <c r="DO682" s="280"/>
      <c r="DP682" s="280"/>
      <c r="DQ682" s="280"/>
      <c r="DR682" s="280"/>
      <c r="DS682" s="280"/>
      <c r="DT682" s="280"/>
      <c r="DU682" s="280"/>
      <c r="DV682" s="280"/>
      <c r="DW682" s="280"/>
      <c r="DX682" s="280"/>
      <c r="DY682" s="280"/>
      <c r="DZ682" s="280"/>
      <c r="EA682" s="280"/>
      <c r="EB682" s="280"/>
      <c r="EC682" s="280"/>
      <c r="ED682" s="280"/>
      <c r="EE682" s="280"/>
      <c r="EF682" s="280"/>
      <c r="EG682" s="280"/>
      <c r="EH682" s="280"/>
      <c r="EI682" s="280"/>
      <c r="EJ682" s="280"/>
      <c r="EK682" s="280"/>
      <c r="EL682" s="280"/>
      <c r="EM682" s="280"/>
      <c r="EN682" s="280"/>
      <c r="EO682" s="280"/>
      <c r="EP682" s="280"/>
      <c r="EQ682" s="280"/>
      <c r="ER682" s="280"/>
      <c r="ES682" s="280"/>
      <c r="ET682" s="280"/>
      <c r="EU682" s="280"/>
      <c r="EV682" s="280"/>
      <c r="EW682" s="280"/>
      <c r="EX682" s="13"/>
      <c r="EY682" s="283"/>
      <c r="EZ682" s="283"/>
      <c r="FA682" s="45"/>
    </row>
    <row r="683" spans="44:157" ht="10.75" customHeight="1" x14ac:dyDescent="0.2">
      <c r="AR683" s="42"/>
      <c r="AS683" s="283"/>
      <c r="AT683" s="283"/>
      <c r="AU683" s="12"/>
      <c r="AV683" s="280"/>
      <c r="AW683" s="280"/>
      <c r="AX683" s="280"/>
      <c r="AY683" s="280"/>
      <c r="AZ683" s="280"/>
      <c r="BA683" s="280"/>
      <c r="BB683" s="280"/>
      <c r="BC683" s="14"/>
      <c r="BD683" s="15"/>
      <c r="BE683" s="15"/>
      <c r="BF683" s="15"/>
      <c r="BG683" s="15"/>
      <c r="BH683" s="15"/>
      <c r="BI683" s="15"/>
      <c r="BJ683" s="15"/>
      <c r="BK683" s="15"/>
      <c r="BL683" s="15"/>
      <c r="BM683" s="15"/>
      <c r="BN683" s="15"/>
      <c r="BO683" s="15"/>
      <c r="BP683" s="15"/>
      <c r="BQ683" s="15"/>
      <c r="BR683" s="15"/>
      <c r="BS683" s="15"/>
      <c r="BT683" s="15"/>
      <c r="BU683" s="15"/>
      <c r="BV683" s="15"/>
      <c r="BW683" s="15"/>
      <c r="BX683" s="15"/>
      <c r="BY683" s="15"/>
      <c r="BZ683" s="15"/>
      <c r="CA683" s="15"/>
      <c r="CB683" s="280"/>
      <c r="CC683" s="280"/>
      <c r="CD683" s="280"/>
      <c r="CE683" s="280"/>
      <c r="CF683" s="280"/>
      <c r="CG683" s="280"/>
      <c r="CH683" s="280"/>
      <c r="CI683" s="280"/>
      <c r="CJ683" s="280"/>
      <c r="CK683" s="280"/>
      <c r="CL683" s="280"/>
      <c r="CM683" s="280"/>
      <c r="CN683" s="280"/>
      <c r="CO683" s="280"/>
      <c r="CP683" s="280"/>
      <c r="CQ683" s="280"/>
      <c r="CR683" s="280"/>
      <c r="CS683" s="280"/>
      <c r="CT683" s="280"/>
      <c r="CU683" s="280"/>
      <c r="CV683" s="13"/>
      <c r="CW683" s="12"/>
      <c r="CX683" s="13"/>
      <c r="CY683" s="280"/>
      <c r="CZ683" s="280"/>
      <c r="DA683" s="280"/>
      <c r="DB683" s="280"/>
      <c r="DC683" s="280"/>
      <c r="DD683" s="280"/>
      <c r="DE683" s="280"/>
      <c r="DF683" s="280"/>
      <c r="DG683" s="280"/>
      <c r="DH683" s="280"/>
      <c r="DI683" s="280"/>
      <c r="DJ683" s="280"/>
      <c r="DK683" s="280"/>
      <c r="DL683" s="280"/>
      <c r="DM683" s="280"/>
      <c r="DN683" s="280"/>
      <c r="DO683" s="280"/>
      <c r="DP683" s="280"/>
      <c r="DQ683" s="280"/>
      <c r="DR683" s="280"/>
      <c r="DS683" s="280"/>
      <c r="DT683" s="280"/>
      <c r="DU683" s="280"/>
      <c r="DV683" s="280"/>
      <c r="DW683" s="280"/>
      <c r="DX683" s="280"/>
      <c r="DY683" s="280"/>
      <c r="DZ683" s="280"/>
      <c r="EA683" s="280"/>
      <c r="EB683" s="280"/>
      <c r="EC683" s="280"/>
      <c r="ED683" s="280"/>
      <c r="EE683" s="280"/>
      <c r="EF683" s="280"/>
      <c r="EG683" s="280"/>
      <c r="EH683" s="280"/>
      <c r="EI683" s="280"/>
      <c r="EJ683" s="280"/>
      <c r="EK683" s="280"/>
      <c r="EL683" s="280"/>
      <c r="EM683" s="280"/>
      <c r="EN683" s="280"/>
      <c r="EO683" s="280"/>
      <c r="EP683" s="280"/>
      <c r="EQ683" s="280"/>
      <c r="ER683" s="280"/>
      <c r="ES683" s="280"/>
      <c r="ET683" s="280"/>
      <c r="EU683" s="280"/>
      <c r="EV683" s="280"/>
      <c r="EW683" s="280"/>
      <c r="EX683" s="13"/>
      <c r="EY683" s="283"/>
      <c r="EZ683" s="283"/>
      <c r="FA683" s="45"/>
    </row>
    <row r="684" spans="44:157" ht="10.75" customHeight="1" x14ac:dyDescent="0.2">
      <c r="AR684" s="42"/>
      <c r="AS684" s="283"/>
      <c r="AT684" s="283"/>
      <c r="AU684" s="12"/>
      <c r="AV684" s="280"/>
      <c r="AW684" s="280"/>
      <c r="AX684" s="280"/>
      <c r="AY684" s="280"/>
      <c r="AZ684" s="280"/>
      <c r="BA684" s="280"/>
      <c r="BB684" s="280"/>
      <c r="BC684" s="280"/>
      <c r="BD684" s="280"/>
      <c r="BE684" s="280"/>
      <c r="BF684" s="280"/>
      <c r="BG684" s="280"/>
      <c r="BH684" s="280"/>
      <c r="BI684" s="280"/>
      <c r="BJ684" s="280"/>
      <c r="BK684" s="280"/>
      <c r="BL684" s="280"/>
      <c r="BM684" s="280"/>
      <c r="BN684" s="280"/>
      <c r="BO684" s="280"/>
      <c r="BP684" s="280"/>
      <c r="BQ684" s="280"/>
      <c r="BR684" s="280"/>
      <c r="BS684" s="280"/>
      <c r="BT684" s="280"/>
      <c r="BU684" s="280"/>
      <c r="BV684" s="280"/>
      <c r="BW684" s="280"/>
      <c r="BX684" s="280"/>
      <c r="BY684" s="280"/>
      <c r="BZ684" s="280"/>
      <c r="CA684" s="280"/>
      <c r="CB684" s="10"/>
      <c r="CC684" s="10"/>
      <c r="CD684" s="10"/>
      <c r="CE684" s="10"/>
      <c r="CF684" s="10"/>
      <c r="CG684" s="10"/>
      <c r="CH684" s="10"/>
      <c r="CI684" s="10"/>
      <c r="CJ684" s="10"/>
      <c r="CK684" s="10"/>
      <c r="CL684" s="10"/>
      <c r="CM684" s="10"/>
      <c r="CN684" s="10"/>
      <c r="CO684" s="10"/>
      <c r="CP684" s="10"/>
      <c r="CQ684" s="10"/>
      <c r="CR684" s="10"/>
      <c r="CS684" s="10"/>
      <c r="CT684" s="10"/>
      <c r="CU684" s="10"/>
      <c r="CV684" s="11"/>
      <c r="CW684" s="12"/>
      <c r="CX684" s="13"/>
      <c r="CY684" s="280"/>
      <c r="CZ684" s="280"/>
      <c r="DA684" s="280"/>
      <c r="DB684" s="280"/>
      <c r="DC684" s="280"/>
      <c r="DD684" s="280"/>
      <c r="DE684" s="280"/>
      <c r="DF684" s="280"/>
      <c r="DG684" s="280"/>
      <c r="DH684" s="280"/>
      <c r="DI684" s="280"/>
      <c r="DJ684" s="280"/>
      <c r="DK684" s="280"/>
      <c r="DL684" s="280"/>
      <c r="DM684" s="280"/>
      <c r="DN684" s="280"/>
      <c r="DO684" s="280"/>
      <c r="DP684" s="280"/>
      <c r="DQ684" s="280"/>
      <c r="DR684" s="280"/>
      <c r="DS684" s="280"/>
      <c r="DT684" s="280"/>
      <c r="DU684" s="280"/>
      <c r="DV684" s="280"/>
      <c r="DW684" s="280"/>
      <c r="DX684" s="280"/>
      <c r="DY684" s="280"/>
      <c r="DZ684" s="280"/>
      <c r="EA684" s="280"/>
      <c r="EB684" s="280"/>
      <c r="EC684" s="280"/>
      <c r="ED684" s="280"/>
      <c r="EE684" s="280"/>
      <c r="EF684" s="280"/>
      <c r="EG684" s="280"/>
      <c r="EH684" s="280"/>
      <c r="EI684" s="280"/>
      <c r="EJ684" s="280"/>
      <c r="EK684" s="280"/>
      <c r="EL684" s="280"/>
      <c r="EM684" s="280"/>
      <c r="EN684" s="280"/>
      <c r="EO684" s="280"/>
      <c r="EP684" s="280"/>
      <c r="EQ684" s="280"/>
      <c r="ER684" s="280"/>
      <c r="ES684" s="280"/>
      <c r="ET684" s="280"/>
      <c r="EU684" s="280"/>
      <c r="EV684" s="280"/>
      <c r="EW684" s="280"/>
      <c r="EX684" s="13"/>
      <c r="EY684" s="283"/>
      <c r="EZ684" s="283"/>
      <c r="FA684" s="45"/>
    </row>
    <row r="685" spans="44:157" ht="10.75" customHeight="1" x14ac:dyDescent="0.2">
      <c r="AR685" s="42"/>
      <c r="AS685" s="283"/>
      <c r="AT685" s="283"/>
      <c r="AU685" s="12"/>
      <c r="AV685" s="280"/>
      <c r="AW685" s="280"/>
      <c r="AX685" s="280"/>
      <c r="AY685" s="280"/>
      <c r="AZ685" s="280"/>
      <c r="BA685" s="280"/>
      <c r="BB685" s="280"/>
      <c r="BC685" s="280"/>
      <c r="BD685" s="280"/>
      <c r="BE685" s="280"/>
      <c r="BF685" s="280"/>
      <c r="BG685" s="280"/>
      <c r="BH685" s="280"/>
      <c r="BI685" s="280"/>
      <c r="BJ685" s="280"/>
      <c r="BK685" s="280"/>
      <c r="BL685" s="280"/>
      <c r="BM685" s="280"/>
      <c r="BN685" s="280"/>
      <c r="BO685" s="280"/>
      <c r="BP685" s="280"/>
      <c r="BQ685" s="280"/>
      <c r="BR685" s="280"/>
      <c r="BS685" s="280"/>
      <c r="BT685" s="280"/>
      <c r="BU685" s="280"/>
      <c r="BV685" s="280"/>
      <c r="BW685" s="280"/>
      <c r="BX685" s="280"/>
      <c r="BY685" s="280"/>
      <c r="BZ685" s="280"/>
      <c r="CA685" s="280"/>
      <c r="CB685" s="280"/>
      <c r="CC685" s="280"/>
      <c r="CD685" s="280"/>
      <c r="CE685" s="280"/>
      <c r="CF685" s="280"/>
      <c r="CG685" s="280"/>
      <c r="CH685" s="280"/>
      <c r="CI685" s="280"/>
      <c r="CJ685" s="280"/>
      <c r="CK685" s="280"/>
      <c r="CL685" s="280"/>
      <c r="CM685" s="280"/>
      <c r="CN685" s="280"/>
      <c r="CO685" s="280"/>
      <c r="CP685" s="280"/>
      <c r="CQ685" s="280"/>
      <c r="CR685" s="280"/>
      <c r="CS685" s="280"/>
      <c r="CT685" s="280"/>
      <c r="CU685" s="280"/>
      <c r="CV685" s="13"/>
      <c r="CW685" s="12"/>
      <c r="CX685" s="13"/>
      <c r="CY685" s="280"/>
      <c r="CZ685" s="280"/>
      <c r="DA685" s="280"/>
      <c r="DB685" s="280"/>
      <c r="DC685" s="280"/>
      <c r="DD685" s="280"/>
      <c r="DE685" s="280"/>
      <c r="DF685" s="280"/>
      <c r="DG685" s="280"/>
      <c r="DH685" s="280"/>
      <c r="DI685" s="280"/>
      <c r="DJ685" s="280"/>
      <c r="DK685" s="280"/>
      <c r="DL685" s="280"/>
      <c r="DM685" s="280"/>
      <c r="DN685" s="280"/>
      <c r="DO685" s="280"/>
      <c r="DP685" s="280"/>
      <c r="DQ685" s="280"/>
      <c r="DR685" s="280"/>
      <c r="DS685" s="280"/>
      <c r="DT685" s="280"/>
      <c r="DU685" s="280"/>
      <c r="DV685" s="280"/>
      <c r="DW685" s="280"/>
      <c r="DX685" s="280"/>
      <c r="DY685" s="280"/>
      <c r="DZ685" s="280"/>
      <c r="EA685" s="280"/>
      <c r="EB685" s="280"/>
      <c r="EC685" s="280"/>
      <c r="ED685" s="280"/>
      <c r="EE685" s="280"/>
      <c r="EF685" s="280"/>
      <c r="EG685" s="280"/>
      <c r="EH685" s="280"/>
      <c r="EI685" s="280"/>
      <c r="EJ685" s="280"/>
      <c r="EK685" s="280"/>
      <c r="EL685" s="280"/>
      <c r="EM685" s="280"/>
      <c r="EN685" s="280"/>
      <c r="EO685" s="280"/>
      <c r="EP685" s="280"/>
      <c r="EQ685" s="280"/>
      <c r="ER685" s="280"/>
      <c r="ES685" s="280"/>
      <c r="ET685" s="280"/>
      <c r="EU685" s="280"/>
      <c r="EV685" s="280"/>
      <c r="EW685" s="280"/>
      <c r="EX685" s="13"/>
      <c r="EY685" s="283"/>
      <c r="EZ685" s="283"/>
      <c r="FA685" s="45"/>
    </row>
    <row r="686" spans="44:157" ht="10.75" customHeight="1" x14ac:dyDescent="0.2">
      <c r="AR686" s="42"/>
      <c r="AS686" s="283"/>
      <c r="AT686" s="283"/>
      <c r="AU686" s="12"/>
      <c r="AV686" s="280"/>
      <c r="AW686" s="280"/>
      <c r="AX686" s="280"/>
      <c r="AY686" s="280"/>
      <c r="AZ686" s="280"/>
      <c r="BA686" s="280"/>
      <c r="BB686" s="280"/>
      <c r="BC686" s="280"/>
      <c r="BD686" s="280"/>
      <c r="BE686" s="280"/>
      <c r="BF686" s="280"/>
      <c r="BG686" s="280"/>
      <c r="BH686" s="280"/>
      <c r="BI686" s="280"/>
      <c r="BJ686" s="280"/>
      <c r="BK686" s="280"/>
      <c r="BL686" s="280"/>
      <c r="BM686" s="280"/>
      <c r="BN686" s="280"/>
      <c r="BO686" s="280"/>
      <c r="BP686" s="280"/>
      <c r="BQ686" s="280"/>
      <c r="BR686" s="280"/>
      <c r="BS686" s="280"/>
      <c r="BT686" s="280"/>
      <c r="BU686" s="280"/>
      <c r="BV686" s="280"/>
      <c r="BW686" s="280"/>
      <c r="BX686" s="280"/>
      <c r="BY686" s="280"/>
      <c r="BZ686" s="280"/>
      <c r="CA686" s="280"/>
      <c r="CB686" s="280"/>
      <c r="CC686" s="280"/>
      <c r="CD686" s="280"/>
      <c r="CE686" s="280"/>
      <c r="CF686" s="280"/>
      <c r="CG686" s="280"/>
      <c r="CH686" s="280"/>
      <c r="CI686" s="280"/>
      <c r="CJ686" s="280"/>
      <c r="CK686" s="280"/>
      <c r="CL686" s="280"/>
      <c r="CM686" s="280"/>
      <c r="CN686" s="280"/>
      <c r="CO686" s="280"/>
      <c r="CP686" s="280"/>
      <c r="CQ686" s="280"/>
      <c r="CR686" s="280"/>
      <c r="CS686" s="280"/>
      <c r="CT686" s="280"/>
      <c r="CU686" s="280"/>
      <c r="CV686" s="13"/>
      <c r="CW686" s="12"/>
      <c r="CX686" s="13"/>
      <c r="CY686" s="280"/>
      <c r="CZ686" s="280"/>
      <c r="DA686" s="280"/>
      <c r="DB686" s="280"/>
      <c r="DC686" s="280"/>
      <c r="DD686" s="280"/>
      <c r="DE686" s="280"/>
      <c r="DF686" s="280"/>
      <c r="DG686" s="280"/>
      <c r="DH686" s="280"/>
      <c r="DI686" s="280"/>
      <c r="DJ686" s="280"/>
      <c r="DK686" s="280"/>
      <c r="DL686" s="280"/>
      <c r="DM686" s="280"/>
      <c r="DN686" s="280"/>
      <c r="DO686" s="280"/>
      <c r="DP686" s="280"/>
      <c r="DQ686" s="280"/>
      <c r="DR686" s="280"/>
      <c r="DS686" s="280"/>
      <c r="DT686" s="280"/>
      <c r="DU686" s="280"/>
      <c r="DV686" s="280"/>
      <c r="DW686" s="280"/>
      <c r="DX686" s="280"/>
      <c r="DY686" s="280"/>
      <c r="DZ686" s="280"/>
      <c r="EA686" s="280"/>
      <c r="EB686" s="280"/>
      <c r="EC686" s="280"/>
      <c r="ED686" s="280"/>
      <c r="EE686" s="280"/>
      <c r="EF686" s="280"/>
      <c r="EG686" s="280"/>
      <c r="EH686" s="280"/>
      <c r="EI686" s="280"/>
      <c r="EJ686" s="280"/>
      <c r="EK686" s="280"/>
      <c r="EL686" s="280"/>
      <c r="EM686" s="280"/>
      <c r="EN686" s="280"/>
      <c r="EO686" s="280"/>
      <c r="EP686" s="280"/>
      <c r="EQ686" s="280"/>
      <c r="ER686" s="280"/>
      <c r="ES686" s="280"/>
      <c r="ET686" s="280"/>
      <c r="EU686" s="280"/>
      <c r="EV686" s="280"/>
      <c r="EW686" s="280"/>
      <c r="EX686" s="13"/>
      <c r="EY686" s="283"/>
      <c r="EZ686" s="283"/>
      <c r="FA686" s="45"/>
    </row>
    <row r="687" spans="44:157" ht="10.75" customHeight="1" x14ac:dyDescent="0.2">
      <c r="AR687" s="42"/>
      <c r="AS687" s="283"/>
      <c r="AT687" s="283"/>
      <c r="AU687" s="12"/>
      <c r="AV687" s="280"/>
      <c r="AW687" s="280"/>
      <c r="AX687" s="280"/>
      <c r="AY687" s="280"/>
      <c r="AZ687" s="280"/>
      <c r="BA687" s="280"/>
      <c r="BB687" s="280"/>
      <c r="BC687" s="280"/>
      <c r="BD687" s="280"/>
      <c r="BE687" s="280"/>
      <c r="BF687" s="280"/>
      <c r="BG687" s="280"/>
      <c r="BH687" s="280"/>
      <c r="BI687" s="280"/>
      <c r="BJ687" s="280"/>
      <c r="BK687" s="280"/>
      <c r="BL687" s="280"/>
      <c r="BM687" s="280"/>
      <c r="BN687" s="280"/>
      <c r="BO687" s="280"/>
      <c r="BP687" s="280"/>
      <c r="BQ687" s="280"/>
      <c r="BR687" s="280"/>
      <c r="BS687" s="280"/>
      <c r="BT687" s="280"/>
      <c r="BU687" s="280"/>
      <c r="BV687" s="280"/>
      <c r="BW687" s="280"/>
      <c r="BX687" s="280"/>
      <c r="BY687" s="280"/>
      <c r="BZ687" s="280"/>
      <c r="CA687" s="280"/>
      <c r="CB687" s="280"/>
      <c r="CC687" s="280"/>
      <c r="CD687" s="280"/>
      <c r="CE687" s="280"/>
      <c r="CF687" s="280"/>
      <c r="CG687" s="280"/>
      <c r="CH687" s="280"/>
      <c r="CI687" s="280"/>
      <c r="CJ687" s="280"/>
      <c r="CK687" s="280"/>
      <c r="CL687" s="280"/>
      <c r="CM687" s="280"/>
      <c r="CN687" s="280"/>
      <c r="CO687" s="280"/>
      <c r="CP687" s="280"/>
      <c r="CQ687" s="280"/>
      <c r="CR687" s="280"/>
      <c r="CS687" s="280"/>
      <c r="CT687" s="280"/>
      <c r="CU687" s="280"/>
      <c r="CV687" s="13"/>
      <c r="CW687" s="12"/>
      <c r="CX687" s="13"/>
      <c r="CY687" s="280"/>
      <c r="CZ687" s="280"/>
      <c r="DA687" s="280"/>
      <c r="DB687" s="280"/>
      <c r="DC687" s="280"/>
      <c r="DD687" s="280"/>
      <c r="DE687" s="280"/>
      <c r="DF687" s="280"/>
      <c r="DG687" s="280"/>
      <c r="DH687" s="280"/>
      <c r="DI687" s="280"/>
      <c r="DJ687" s="280"/>
      <c r="DK687" s="280"/>
      <c r="DL687" s="280"/>
      <c r="DM687" s="280"/>
      <c r="DN687" s="280"/>
      <c r="DO687" s="280"/>
      <c r="DP687" s="280"/>
      <c r="DQ687" s="280"/>
      <c r="DR687" s="280"/>
      <c r="DS687" s="280"/>
      <c r="DT687" s="280"/>
      <c r="DU687" s="280"/>
      <c r="DV687" s="280"/>
      <c r="DW687" s="280"/>
      <c r="DX687" s="280"/>
      <c r="DY687" s="280"/>
      <c r="DZ687" s="280"/>
      <c r="EA687" s="280"/>
      <c r="EB687" s="280"/>
      <c r="EC687" s="280"/>
      <c r="ED687" s="280"/>
      <c r="EE687" s="280"/>
      <c r="EF687" s="280"/>
      <c r="EG687" s="280"/>
      <c r="EH687" s="280"/>
      <c r="EI687" s="280"/>
      <c r="EJ687" s="280"/>
      <c r="EK687" s="280"/>
      <c r="EL687" s="280"/>
      <c r="EM687" s="280"/>
      <c r="EN687" s="280"/>
      <c r="EO687" s="280"/>
      <c r="EP687" s="280"/>
      <c r="EQ687" s="280"/>
      <c r="ER687" s="280"/>
      <c r="ES687" s="280"/>
      <c r="ET687" s="280"/>
      <c r="EU687" s="280"/>
      <c r="EV687" s="280"/>
      <c r="EW687" s="280"/>
      <c r="EX687" s="13"/>
      <c r="EY687" s="283"/>
      <c r="EZ687" s="283"/>
      <c r="FA687" s="45"/>
    </row>
    <row r="688" spans="44:157" ht="10.75" customHeight="1" x14ac:dyDescent="0.2">
      <c r="AR688" s="42"/>
      <c r="AS688" s="283"/>
      <c r="AT688" s="283"/>
      <c r="AU688" s="12"/>
      <c r="AV688" s="280"/>
      <c r="AW688" s="280"/>
      <c r="AX688" s="280"/>
      <c r="AY688" s="280"/>
      <c r="AZ688" s="280"/>
      <c r="BA688" s="280"/>
      <c r="BB688" s="280"/>
      <c r="BC688" s="280"/>
      <c r="BD688" s="280"/>
      <c r="BE688" s="280"/>
      <c r="BF688" s="280"/>
      <c r="BG688" s="280"/>
      <c r="BH688" s="280"/>
      <c r="BI688" s="280"/>
      <c r="BJ688" s="280"/>
      <c r="BK688" s="280"/>
      <c r="BL688" s="280"/>
      <c r="BM688" s="280"/>
      <c r="BN688" s="280"/>
      <c r="BO688" s="280"/>
      <c r="BP688" s="280"/>
      <c r="BQ688" s="280"/>
      <c r="BR688" s="280"/>
      <c r="BS688" s="280"/>
      <c r="BT688" s="280"/>
      <c r="BU688" s="280"/>
      <c r="BV688" s="280"/>
      <c r="BW688" s="280"/>
      <c r="BX688" s="280"/>
      <c r="BY688" s="280"/>
      <c r="BZ688" s="280"/>
      <c r="CA688" s="280"/>
      <c r="CB688" s="280"/>
      <c r="CC688" s="280"/>
      <c r="CD688" s="280"/>
      <c r="CE688" s="280"/>
      <c r="CF688" s="280"/>
      <c r="CG688" s="280"/>
      <c r="CH688" s="280"/>
      <c r="CI688" s="280"/>
      <c r="CJ688" s="280"/>
      <c r="CK688" s="280"/>
      <c r="CL688" s="280"/>
      <c r="CM688" s="280"/>
      <c r="CN688" s="280"/>
      <c r="CO688" s="280"/>
      <c r="CP688" s="280"/>
      <c r="CQ688" s="280"/>
      <c r="CR688" s="280"/>
      <c r="CS688" s="280"/>
      <c r="CT688" s="280"/>
      <c r="CU688" s="280"/>
      <c r="CV688" s="13"/>
      <c r="CW688" s="12"/>
      <c r="CX688" s="13"/>
      <c r="CY688" s="280"/>
      <c r="CZ688" s="280"/>
      <c r="DA688" s="280"/>
      <c r="DB688" s="280"/>
      <c r="DC688" s="280"/>
      <c r="DD688" s="280"/>
      <c r="DE688" s="280"/>
      <c r="DF688" s="280"/>
      <c r="DG688" s="280"/>
      <c r="DH688" s="280"/>
      <c r="DI688" s="280"/>
      <c r="DJ688" s="280"/>
      <c r="DK688" s="280"/>
      <c r="DL688" s="280"/>
      <c r="DM688" s="280"/>
      <c r="DN688" s="280"/>
      <c r="DO688" s="280"/>
      <c r="DP688" s="280"/>
      <c r="DQ688" s="280"/>
      <c r="DR688" s="280"/>
      <c r="DS688" s="280"/>
      <c r="DT688" s="280"/>
      <c r="DU688" s="280"/>
      <c r="DV688" s="280"/>
      <c r="DW688" s="280"/>
      <c r="DX688" s="280"/>
      <c r="DY688" s="280"/>
      <c r="DZ688" s="280"/>
      <c r="EA688" s="280"/>
      <c r="EB688" s="280"/>
      <c r="EC688" s="280"/>
      <c r="ED688" s="280"/>
      <c r="EE688" s="280"/>
      <c r="EF688" s="280"/>
      <c r="EG688" s="280"/>
      <c r="EH688" s="280"/>
      <c r="EI688" s="280"/>
      <c r="EJ688" s="280"/>
      <c r="EK688" s="280"/>
      <c r="EL688" s="280"/>
      <c r="EM688" s="280"/>
      <c r="EN688" s="280"/>
      <c r="EO688" s="280"/>
      <c r="EP688" s="280"/>
      <c r="EQ688" s="280"/>
      <c r="ER688" s="280"/>
      <c r="ES688" s="280"/>
      <c r="ET688" s="280"/>
      <c r="EU688" s="280"/>
      <c r="EV688" s="280"/>
      <c r="EW688" s="280"/>
      <c r="EX688" s="13"/>
      <c r="EY688" s="283"/>
      <c r="EZ688" s="283"/>
      <c r="FA688" s="45"/>
    </row>
    <row r="689" spans="44:157" ht="10.75" customHeight="1" x14ac:dyDescent="0.2">
      <c r="AR689" s="42"/>
      <c r="AS689" s="283"/>
      <c r="AT689" s="283"/>
      <c r="AU689" s="12"/>
      <c r="AV689" s="280"/>
      <c r="AW689" s="280"/>
      <c r="AX689" s="280"/>
      <c r="AY689" s="280"/>
      <c r="AZ689" s="280"/>
      <c r="BA689" s="280"/>
      <c r="BB689" s="280"/>
      <c r="BC689" s="280"/>
      <c r="BD689" s="280"/>
      <c r="BE689" s="280"/>
      <c r="BF689" s="280"/>
      <c r="BG689" s="280"/>
      <c r="BH689" s="280"/>
      <c r="BI689" s="280"/>
      <c r="BJ689" s="280"/>
      <c r="BK689" s="280"/>
      <c r="BL689" s="280"/>
      <c r="BM689" s="280"/>
      <c r="BN689" s="280"/>
      <c r="BO689" s="280"/>
      <c r="BP689" s="280"/>
      <c r="BQ689" s="280"/>
      <c r="BR689" s="280"/>
      <c r="BS689" s="280"/>
      <c r="BT689" s="280"/>
      <c r="BU689" s="280"/>
      <c r="BV689" s="280"/>
      <c r="BW689" s="280"/>
      <c r="BX689" s="280"/>
      <c r="BY689" s="280"/>
      <c r="BZ689" s="280"/>
      <c r="CA689" s="280"/>
      <c r="CB689" s="280"/>
      <c r="CC689" s="280"/>
      <c r="CD689" s="280"/>
      <c r="CE689" s="280"/>
      <c r="CF689" s="280"/>
      <c r="CG689" s="280"/>
      <c r="CH689" s="280"/>
      <c r="CI689" s="280"/>
      <c r="CJ689" s="280"/>
      <c r="CK689" s="280"/>
      <c r="CL689" s="280"/>
      <c r="CM689" s="280"/>
      <c r="CN689" s="280"/>
      <c r="CO689" s="280"/>
      <c r="CP689" s="280"/>
      <c r="CQ689" s="280"/>
      <c r="CR689" s="280"/>
      <c r="CS689" s="280"/>
      <c r="CT689" s="280"/>
      <c r="CU689" s="280"/>
      <c r="CV689" s="13"/>
      <c r="CW689" s="12"/>
      <c r="CX689" s="13"/>
      <c r="CY689" s="280"/>
      <c r="CZ689" s="280"/>
      <c r="DA689" s="280"/>
      <c r="DB689" s="280"/>
      <c r="DC689" s="280"/>
      <c r="DD689" s="280"/>
      <c r="DE689" s="280"/>
      <c r="DF689" s="280"/>
      <c r="DG689" s="280"/>
      <c r="DH689" s="280"/>
      <c r="DI689" s="280"/>
      <c r="DJ689" s="280"/>
      <c r="DK689" s="280"/>
      <c r="DL689" s="280"/>
      <c r="DM689" s="280"/>
      <c r="DN689" s="280"/>
      <c r="DO689" s="280"/>
      <c r="DP689" s="280"/>
      <c r="DQ689" s="280"/>
      <c r="DR689" s="280"/>
      <c r="DS689" s="280"/>
      <c r="DT689" s="280"/>
      <c r="DU689" s="280"/>
      <c r="DV689" s="280"/>
      <c r="DW689" s="280"/>
      <c r="DX689" s="280"/>
      <c r="DY689" s="280"/>
      <c r="DZ689" s="280"/>
      <c r="EA689" s="280"/>
      <c r="EB689" s="280"/>
      <c r="EC689" s="280"/>
      <c r="ED689" s="280"/>
      <c r="EE689" s="280"/>
      <c r="EF689" s="280"/>
      <c r="EG689" s="280"/>
      <c r="EH689" s="280"/>
      <c r="EI689" s="280"/>
      <c r="EJ689" s="280"/>
      <c r="EK689" s="280"/>
      <c r="EL689" s="280"/>
      <c r="EM689" s="280"/>
      <c r="EN689" s="280"/>
      <c r="EO689" s="280"/>
      <c r="EP689" s="280"/>
      <c r="EQ689" s="280"/>
      <c r="ER689" s="280"/>
      <c r="ES689" s="280"/>
      <c r="ET689" s="280"/>
      <c r="EU689" s="280"/>
      <c r="EV689" s="280"/>
      <c r="EW689" s="280"/>
      <c r="EX689" s="13"/>
      <c r="EY689" s="283"/>
      <c r="EZ689" s="283"/>
      <c r="FA689" s="45"/>
    </row>
    <row r="690" spans="44:157" ht="10.75" customHeight="1" x14ac:dyDescent="0.2">
      <c r="AR690" s="42"/>
      <c r="AS690" s="283"/>
      <c r="AT690" s="283"/>
      <c r="AU690" s="12"/>
      <c r="AV690" s="280"/>
      <c r="AW690" s="280"/>
      <c r="AX690" s="280"/>
      <c r="AY690" s="280"/>
      <c r="AZ690" s="280"/>
      <c r="BA690" s="280"/>
      <c r="BB690" s="280"/>
      <c r="BC690" s="280"/>
      <c r="BD690" s="280"/>
      <c r="BE690" s="280"/>
      <c r="BF690" s="280"/>
      <c r="BG690" s="280"/>
      <c r="BH690" s="280"/>
      <c r="BI690" s="280"/>
      <c r="BJ690" s="280"/>
      <c r="BK690" s="280"/>
      <c r="BL690" s="280"/>
      <c r="BM690" s="280"/>
      <c r="BN690" s="280"/>
      <c r="BO690" s="280"/>
      <c r="BP690" s="280"/>
      <c r="BQ690" s="280"/>
      <c r="BR690" s="280"/>
      <c r="BS690" s="280"/>
      <c r="BT690" s="280"/>
      <c r="BU690" s="280"/>
      <c r="BV690" s="280"/>
      <c r="BW690" s="280"/>
      <c r="BX690" s="280"/>
      <c r="BY690" s="280"/>
      <c r="BZ690" s="280"/>
      <c r="CA690" s="280"/>
      <c r="CB690" s="280"/>
      <c r="CC690" s="280"/>
      <c r="CD690" s="280"/>
      <c r="CE690" s="280"/>
      <c r="CF690" s="280"/>
      <c r="CG690" s="280"/>
      <c r="CH690" s="280"/>
      <c r="CI690" s="280"/>
      <c r="CJ690" s="280"/>
      <c r="CK690" s="280"/>
      <c r="CL690" s="280"/>
      <c r="CM690" s="280"/>
      <c r="CN690" s="280"/>
      <c r="CO690" s="280"/>
      <c r="CP690" s="280"/>
      <c r="CQ690" s="280"/>
      <c r="CR690" s="280"/>
      <c r="CS690" s="280"/>
      <c r="CT690" s="280"/>
      <c r="CU690" s="280"/>
      <c r="CV690" s="13"/>
      <c r="CW690" s="12"/>
      <c r="CX690" s="13"/>
      <c r="CY690" s="280"/>
      <c r="CZ690" s="280"/>
      <c r="DA690" s="280"/>
      <c r="DB690" s="280"/>
      <c r="DC690" s="280"/>
      <c r="DD690" s="280"/>
      <c r="DE690" s="280"/>
      <c r="DF690" s="280"/>
      <c r="DG690" s="280"/>
      <c r="DH690" s="280"/>
      <c r="DI690" s="280"/>
      <c r="DJ690" s="280"/>
      <c r="DK690" s="280"/>
      <c r="DL690" s="280"/>
      <c r="DM690" s="280"/>
      <c r="DN690" s="280"/>
      <c r="DO690" s="280"/>
      <c r="DP690" s="280"/>
      <c r="DQ690" s="280"/>
      <c r="DR690" s="280"/>
      <c r="DS690" s="280"/>
      <c r="DT690" s="280"/>
      <c r="DU690" s="280"/>
      <c r="DV690" s="280"/>
      <c r="DW690" s="280"/>
      <c r="DX690" s="280"/>
      <c r="DY690" s="280"/>
      <c r="DZ690" s="280"/>
      <c r="EA690" s="280"/>
      <c r="EB690" s="280"/>
      <c r="EC690" s="280"/>
      <c r="ED690" s="280"/>
      <c r="EE690" s="280"/>
      <c r="EF690" s="280"/>
      <c r="EG690" s="280"/>
      <c r="EH690" s="280"/>
      <c r="EI690" s="280"/>
      <c r="EJ690" s="280"/>
      <c r="EK690" s="280"/>
      <c r="EL690" s="280"/>
      <c r="EM690" s="280"/>
      <c r="EN690" s="280"/>
      <c r="EO690" s="280"/>
      <c r="EP690" s="280"/>
      <c r="EQ690" s="280"/>
      <c r="ER690" s="280"/>
      <c r="ES690" s="280"/>
      <c r="ET690" s="280"/>
      <c r="EU690" s="280"/>
      <c r="EV690" s="280"/>
      <c r="EW690" s="280"/>
      <c r="EX690" s="13"/>
      <c r="EY690" s="283"/>
      <c r="EZ690" s="283"/>
      <c r="FA690" s="45"/>
    </row>
    <row r="691" spans="44:157" ht="10.75" customHeight="1" x14ac:dyDescent="0.2">
      <c r="AR691" s="42"/>
      <c r="AS691" s="283"/>
      <c r="AT691" s="283"/>
      <c r="AU691" s="14"/>
      <c r="AV691" s="15"/>
      <c r="AW691" s="15"/>
      <c r="AX691" s="15"/>
      <c r="AY691" s="15"/>
      <c r="AZ691" s="15"/>
      <c r="BA691" s="15"/>
      <c r="BB691" s="15"/>
      <c r="BC691" s="15"/>
      <c r="BD691" s="15"/>
      <c r="BE691" s="15"/>
      <c r="BF691" s="15"/>
      <c r="BG691" s="15"/>
      <c r="BH691" s="15"/>
      <c r="BI691" s="15"/>
      <c r="BJ691" s="15"/>
      <c r="BK691" s="15"/>
      <c r="BL691" s="15"/>
      <c r="BM691" s="15"/>
      <c r="BN691" s="15"/>
      <c r="BO691" s="15"/>
      <c r="BP691" s="15"/>
      <c r="BQ691" s="15"/>
      <c r="BR691" s="15"/>
      <c r="BS691" s="15"/>
      <c r="BT691" s="15"/>
      <c r="BU691" s="15"/>
      <c r="BV691" s="15"/>
      <c r="BW691" s="15"/>
      <c r="BX691" s="15"/>
      <c r="BY691" s="15"/>
      <c r="BZ691" s="15"/>
      <c r="CA691" s="15"/>
      <c r="CB691" s="15"/>
      <c r="CC691" s="15"/>
      <c r="CD691" s="15"/>
      <c r="CE691" s="15"/>
      <c r="CF691" s="15"/>
      <c r="CG691" s="15"/>
      <c r="CH691" s="15"/>
      <c r="CI691" s="15"/>
      <c r="CJ691" s="15"/>
      <c r="CK691" s="15"/>
      <c r="CL691" s="15"/>
      <c r="CM691" s="15"/>
      <c r="CN691" s="15"/>
      <c r="CO691" s="15"/>
      <c r="CP691" s="15"/>
      <c r="CQ691" s="15"/>
      <c r="CR691" s="15"/>
      <c r="CS691" s="15"/>
      <c r="CT691" s="15"/>
      <c r="CU691" s="15"/>
      <c r="CV691" s="16"/>
      <c r="CW691" s="14"/>
      <c r="CX691" s="16"/>
      <c r="CY691" s="15"/>
      <c r="CZ691" s="15"/>
      <c r="DA691" s="15"/>
      <c r="DB691" s="15"/>
      <c r="DC691" s="15"/>
      <c r="DD691" s="15"/>
      <c r="DE691" s="15"/>
      <c r="DF691" s="15"/>
      <c r="DG691" s="15"/>
      <c r="DH691" s="15"/>
      <c r="DI691" s="15"/>
      <c r="DJ691" s="15"/>
      <c r="DK691" s="15"/>
      <c r="DL691" s="15"/>
      <c r="DM691" s="15"/>
      <c r="DN691" s="15"/>
      <c r="DO691" s="15"/>
      <c r="DP691" s="15"/>
      <c r="DQ691" s="15"/>
      <c r="DR691" s="15"/>
      <c r="DS691" s="15"/>
      <c r="DT691" s="15"/>
      <c r="DU691" s="15"/>
      <c r="DV691" s="15"/>
      <c r="DW691" s="15"/>
      <c r="DX691" s="15"/>
      <c r="DY691" s="15"/>
      <c r="DZ691" s="15"/>
      <c r="EA691" s="15"/>
      <c r="EB691" s="15"/>
      <c r="EC691" s="15"/>
      <c r="ED691" s="15"/>
      <c r="EE691" s="15"/>
      <c r="EF691" s="15"/>
      <c r="EG691" s="15"/>
      <c r="EH691" s="15"/>
      <c r="EI691" s="15"/>
      <c r="EJ691" s="15"/>
      <c r="EK691" s="15"/>
      <c r="EL691" s="15"/>
      <c r="EM691" s="15"/>
      <c r="EN691" s="15"/>
      <c r="EO691" s="15"/>
      <c r="EP691" s="15"/>
      <c r="EQ691" s="15"/>
      <c r="ER691" s="15"/>
      <c r="ES691" s="15"/>
      <c r="ET691" s="15"/>
      <c r="EU691" s="15"/>
      <c r="EV691" s="15"/>
      <c r="EW691" s="15"/>
      <c r="EX691" s="16"/>
      <c r="EY691" s="282"/>
      <c r="EZ691" s="282"/>
      <c r="FA691" s="98"/>
    </row>
    <row r="692" spans="44:157" ht="10.75" customHeight="1" x14ac:dyDescent="0.2">
      <c r="AR692" s="96"/>
      <c r="AS692" s="282"/>
      <c r="AT692" s="282"/>
      <c r="AU692" s="282"/>
      <c r="AV692" s="283"/>
      <c r="AW692" s="283"/>
      <c r="AX692" s="283"/>
      <c r="AY692" s="283"/>
      <c r="AZ692" s="283"/>
      <c r="BA692" s="283"/>
      <c r="BB692" s="283"/>
      <c r="BC692" s="283"/>
      <c r="BD692" s="283"/>
      <c r="BE692" s="283"/>
      <c r="BF692" s="283"/>
      <c r="BG692" s="283"/>
      <c r="BH692" s="283"/>
      <c r="BI692" s="283"/>
      <c r="BJ692" s="283"/>
      <c r="BK692" s="283"/>
      <c r="BL692" s="283"/>
      <c r="BM692" s="283"/>
      <c r="BN692" s="283"/>
      <c r="BO692" s="283"/>
      <c r="BP692" s="283"/>
      <c r="BQ692" s="283"/>
      <c r="BR692" s="283"/>
      <c r="BS692" s="283"/>
      <c r="BT692" s="283"/>
      <c r="BU692" s="283"/>
      <c r="BV692" s="283"/>
      <c r="BW692" s="283"/>
      <c r="BX692" s="283"/>
      <c r="BY692" s="283"/>
      <c r="BZ692" s="283"/>
      <c r="CA692" s="283"/>
      <c r="CB692" s="283"/>
      <c r="CC692" s="283"/>
      <c r="CD692" s="283"/>
      <c r="CE692" s="283"/>
      <c r="CF692" s="283"/>
      <c r="CG692" s="283"/>
      <c r="CH692" s="283"/>
      <c r="CI692" s="283"/>
      <c r="CJ692" s="283"/>
      <c r="CK692" s="283"/>
      <c r="CL692" s="283"/>
      <c r="CM692" s="283"/>
      <c r="CN692" s="283"/>
      <c r="CO692" s="283"/>
      <c r="CP692" s="283"/>
      <c r="CQ692" s="283"/>
      <c r="CR692" s="283"/>
      <c r="CS692" s="283"/>
      <c r="CT692" s="283"/>
      <c r="CU692" s="282"/>
      <c r="CV692" s="282"/>
      <c r="CW692" s="282"/>
      <c r="CX692" s="282"/>
      <c r="CY692" s="283"/>
      <c r="CZ692" s="283"/>
      <c r="DA692" s="283"/>
      <c r="DB692" s="283"/>
      <c r="DC692" s="283"/>
      <c r="DD692" s="283"/>
      <c r="DE692" s="283"/>
      <c r="DF692" s="283"/>
      <c r="DG692" s="283"/>
      <c r="DH692" s="283"/>
      <c r="DI692" s="283"/>
      <c r="DJ692" s="283"/>
      <c r="DK692" s="283"/>
      <c r="DL692" s="283"/>
      <c r="DM692" s="283"/>
      <c r="DN692" s="283"/>
      <c r="DO692" s="283"/>
      <c r="DP692" s="283"/>
      <c r="DQ692" s="283"/>
      <c r="DR692" s="283"/>
      <c r="DS692" s="283"/>
      <c r="DT692" s="283"/>
      <c r="DU692" s="283"/>
      <c r="DV692" s="283"/>
      <c r="DW692" s="283"/>
      <c r="DX692" s="283"/>
      <c r="DY692" s="283"/>
      <c r="DZ692" s="283"/>
      <c r="EA692" s="283"/>
      <c r="EB692" s="283"/>
      <c r="EC692" s="283"/>
      <c r="ED692" s="283"/>
      <c r="EE692" s="283"/>
      <c r="EF692" s="283"/>
      <c r="EG692" s="283"/>
      <c r="EH692" s="283"/>
      <c r="EI692" s="283"/>
      <c r="EJ692" s="283"/>
      <c r="EK692" s="283"/>
      <c r="EL692" s="283"/>
      <c r="EM692" s="123"/>
      <c r="EN692" s="109"/>
      <c r="EO692" s="109"/>
      <c r="EP692" s="109"/>
      <c r="EQ692" s="109"/>
      <c r="ER692" s="109"/>
      <c r="ES692" s="109"/>
      <c r="ET692" s="109"/>
      <c r="EU692" s="109"/>
      <c r="EV692" s="124"/>
      <c r="EW692" s="283"/>
      <c r="EX692" s="283"/>
      <c r="EY692" s="282"/>
      <c r="EZ692" s="282"/>
      <c r="FA692" s="98"/>
    </row>
    <row r="693" spans="44:157" ht="10.75" customHeight="1" x14ac:dyDescent="0.2">
      <c r="AR693" s="96"/>
      <c r="AS693" s="282"/>
      <c r="AT693" s="282"/>
      <c r="AU693" s="282"/>
      <c r="AV693" s="283"/>
      <c r="AW693" s="283"/>
      <c r="AX693" s="283"/>
      <c r="AY693" s="283"/>
      <c r="AZ693" s="283"/>
      <c r="BA693" s="283"/>
      <c r="BB693" s="283"/>
      <c r="BC693" s="283"/>
      <c r="BD693" s="283"/>
      <c r="BE693" s="283"/>
      <c r="BF693" s="283"/>
      <c r="BG693" s="283"/>
      <c r="BH693" s="283"/>
      <c r="BI693" s="283"/>
      <c r="BJ693" s="283"/>
      <c r="BK693" s="283"/>
      <c r="BL693" s="283"/>
      <c r="BM693" s="283"/>
      <c r="BN693" s="283"/>
      <c r="BO693" s="283"/>
      <c r="BP693" s="283"/>
      <c r="BQ693" s="283"/>
      <c r="BR693" s="283"/>
      <c r="BS693" s="283"/>
      <c r="BT693" s="283"/>
      <c r="BU693" s="283"/>
      <c r="BV693" s="283"/>
      <c r="BW693" s="283"/>
      <c r="BX693" s="283"/>
      <c r="BY693" s="283"/>
      <c r="BZ693" s="283"/>
      <c r="CA693" s="283"/>
      <c r="CB693" s="283"/>
      <c r="CC693" s="283"/>
      <c r="CD693" s="283"/>
      <c r="CE693" s="283"/>
      <c r="CF693" s="283"/>
      <c r="CG693" s="283"/>
      <c r="CH693" s="283"/>
      <c r="CI693" s="283"/>
      <c r="CJ693" s="283"/>
      <c r="CK693" s="283"/>
      <c r="CL693" s="283"/>
      <c r="CM693" s="283"/>
      <c r="CN693" s="283"/>
      <c r="CO693" s="283"/>
      <c r="CP693" s="283"/>
      <c r="CQ693" s="283"/>
      <c r="CR693" s="283"/>
      <c r="CS693" s="283"/>
      <c r="CT693" s="283"/>
      <c r="CU693" s="282"/>
      <c r="CV693" s="282"/>
      <c r="CW693" s="282"/>
      <c r="CX693" s="282"/>
      <c r="CY693" s="283"/>
      <c r="CZ693" s="283"/>
      <c r="DA693" s="283"/>
      <c r="DB693" s="283"/>
      <c r="DC693" s="283"/>
      <c r="DD693" s="283"/>
      <c r="DE693" s="283"/>
      <c r="DF693" s="283"/>
      <c r="DG693" s="283"/>
      <c r="DH693" s="283"/>
      <c r="DI693" s="283"/>
      <c r="DJ693" s="283"/>
      <c r="DK693" s="283"/>
      <c r="DL693" s="283"/>
      <c r="DM693" s="283"/>
      <c r="DN693" s="283"/>
      <c r="DO693" s="283"/>
      <c r="DP693" s="283"/>
      <c r="DQ693" s="283"/>
      <c r="DR693" s="283"/>
      <c r="DS693" s="283"/>
      <c r="DT693" s="283"/>
      <c r="DU693" s="283"/>
      <c r="DV693" s="283"/>
      <c r="DW693" s="283"/>
      <c r="DX693" s="283"/>
      <c r="DY693" s="283"/>
      <c r="DZ693" s="283"/>
      <c r="EA693" s="283"/>
      <c r="EB693" s="283"/>
      <c r="EC693" s="283"/>
      <c r="ED693" s="283"/>
      <c r="EE693" s="283"/>
      <c r="EF693" s="283"/>
      <c r="EG693" s="283"/>
      <c r="EH693" s="283"/>
      <c r="EI693" s="283"/>
      <c r="EJ693" s="283"/>
      <c r="EK693" s="283"/>
      <c r="EL693" s="283"/>
      <c r="EM693" s="121"/>
      <c r="EN693" s="284"/>
      <c r="EO693" s="284"/>
      <c r="EP693" s="284"/>
      <c r="EQ693" s="284"/>
      <c r="ER693" s="284"/>
      <c r="ES693" s="284"/>
      <c r="ET693" s="284"/>
      <c r="EU693" s="284"/>
      <c r="EV693" s="122"/>
      <c r="EW693" s="283"/>
      <c r="EX693" s="283"/>
      <c r="EY693" s="282"/>
      <c r="EZ693" s="282"/>
      <c r="FA693" s="98"/>
    </row>
    <row r="694" spans="44:157" ht="10.75" customHeight="1" x14ac:dyDescent="0.2">
      <c r="AR694" s="59"/>
      <c r="AS694" s="60"/>
      <c r="AT694" s="60"/>
      <c r="AU694" s="60"/>
      <c r="AV694" s="47"/>
      <c r="AW694" s="47"/>
      <c r="AX694" s="47"/>
      <c r="AY694" s="47"/>
      <c r="AZ694" s="47"/>
      <c r="BA694" s="47"/>
      <c r="BB694" s="47"/>
      <c r="BC694" s="47"/>
      <c r="BD694" s="47"/>
      <c r="BE694" s="47"/>
      <c r="BF694" s="47"/>
      <c r="BG694" s="47"/>
      <c r="BH694" s="47"/>
      <c r="BI694" s="47"/>
      <c r="BJ694" s="47"/>
      <c r="BK694" s="47"/>
      <c r="BL694" s="47"/>
      <c r="BM694" s="47"/>
      <c r="BN694" s="47"/>
      <c r="BO694" s="47"/>
      <c r="BP694" s="47"/>
      <c r="BQ694" s="47"/>
      <c r="BR694" s="47"/>
      <c r="BS694" s="47"/>
      <c r="BT694" s="47"/>
      <c r="BU694" s="47"/>
      <c r="BV694" s="47"/>
      <c r="BW694" s="47"/>
      <c r="BX694" s="47"/>
      <c r="BY694" s="47"/>
      <c r="BZ694" s="47"/>
      <c r="CA694" s="47"/>
      <c r="CB694" s="47"/>
      <c r="CC694" s="47"/>
      <c r="CD694" s="47"/>
      <c r="CE694" s="47"/>
      <c r="CF694" s="47"/>
      <c r="CG694" s="47"/>
      <c r="CH694" s="47"/>
      <c r="CI694" s="47"/>
      <c r="CJ694" s="47"/>
      <c r="CK694" s="47"/>
      <c r="CL694" s="47"/>
      <c r="CM694" s="47"/>
      <c r="CN694" s="47"/>
      <c r="CO694" s="47"/>
      <c r="CP694" s="47"/>
      <c r="CQ694" s="47"/>
      <c r="CR694" s="47"/>
      <c r="CS694" s="47"/>
      <c r="CT694" s="47"/>
      <c r="CU694" s="60"/>
      <c r="CV694" s="60"/>
      <c r="CW694" s="60"/>
      <c r="CX694" s="60"/>
      <c r="CY694" s="47"/>
      <c r="CZ694" s="47"/>
      <c r="DA694" s="47"/>
      <c r="DB694" s="47"/>
      <c r="DC694" s="47"/>
      <c r="DD694" s="47"/>
      <c r="DE694" s="47"/>
      <c r="DF694" s="47"/>
      <c r="DG694" s="47"/>
      <c r="DH694" s="47"/>
      <c r="DI694" s="47"/>
      <c r="DJ694" s="47"/>
      <c r="DK694" s="47"/>
      <c r="DL694" s="47"/>
      <c r="DM694" s="47"/>
      <c r="DN694" s="47"/>
      <c r="DO694" s="47"/>
      <c r="DP694" s="47"/>
      <c r="DQ694" s="47"/>
      <c r="DR694" s="47"/>
      <c r="DS694" s="47"/>
      <c r="DT694" s="47"/>
      <c r="DU694" s="47"/>
      <c r="DV694" s="47"/>
      <c r="DW694" s="47"/>
      <c r="DX694" s="47"/>
      <c r="DY694" s="47"/>
      <c r="DZ694" s="47"/>
      <c r="EA694" s="47"/>
      <c r="EB694" s="47"/>
      <c r="EC694" s="47"/>
      <c r="ED694" s="47"/>
      <c r="EE694" s="47"/>
      <c r="EF694" s="47"/>
      <c r="EG694" s="47"/>
      <c r="EH694" s="47"/>
      <c r="EI694" s="47"/>
      <c r="EJ694" s="47"/>
      <c r="EK694" s="47"/>
      <c r="EL694" s="47"/>
      <c r="EM694" s="123"/>
      <c r="EN694" s="109"/>
      <c r="EO694" s="109"/>
      <c r="EP694" s="109"/>
      <c r="EQ694" s="109"/>
      <c r="ER694" s="109"/>
      <c r="ES694" s="109"/>
      <c r="ET694" s="109"/>
      <c r="EU694" s="109"/>
      <c r="EV694" s="124"/>
      <c r="EW694" s="47"/>
      <c r="EX694" s="47"/>
      <c r="EY694" s="60"/>
      <c r="EZ694" s="60"/>
      <c r="FA694" s="61"/>
    </row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Sheet4</vt:lpstr>
      <vt:lpstr>Sheet1 (3)</vt:lpstr>
      <vt:lpstr>Sheet1 (4)</vt:lpstr>
      <vt:lpstr>Sheet1 (5)</vt:lpstr>
      <vt:lpstr>Calc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 Reddy</dc:creator>
  <cp:lastModifiedBy>Venkat Reddy</cp:lastModifiedBy>
  <dcterms:created xsi:type="dcterms:W3CDTF">2023-12-29T23:55:15Z</dcterms:created>
  <dcterms:modified xsi:type="dcterms:W3CDTF">2024-01-24T11:43:28Z</dcterms:modified>
</cp:coreProperties>
</file>