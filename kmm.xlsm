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r/Desktop/"/>
    </mc:Choice>
  </mc:AlternateContent>
  <xr:revisionPtr revIDLastSave="0" documentId="13_ncr:1_{19861B32-4134-A840-A0E2-8D5EBF499ED1}" xr6:coauthVersionLast="47" xr6:coauthVersionMax="47" xr10:uidLastSave="{00000000-0000-0000-0000-000000000000}"/>
  <bookViews>
    <workbookView xWindow="460" yWindow="0" windowWidth="27560" windowHeight="17380" activeTab="6" xr2:uid="{4F2C5078-D8A4-B340-A780-D2C59BF3A328}"/>
  </bookViews>
  <sheets>
    <sheet name="Sheet4" sheetId="4" r:id="rId1"/>
    <sheet name="Calc-2" sheetId="11" r:id="rId2"/>
    <sheet name="Sheet1 (3)" sheetId="5" r:id="rId3"/>
    <sheet name="Sheet1 (4)" sheetId="6" r:id="rId4"/>
    <sheet name="Sheet1 (5)" sheetId="7" r:id="rId5"/>
    <sheet name="Calc" sheetId="9" r:id="rId6"/>
    <sheet name="Sheet2" sheetId="10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" i="11" l="1"/>
  <c r="F25" i="11" s="1"/>
  <c r="F24" i="11"/>
  <c r="E24" i="11"/>
  <c r="F22" i="11"/>
  <c r="F23" i="11" s="1"/>
  <c r="F26" i="11" s="1"/>
  <c r="F27" i="11" s="1"/>
  <c r="F21" i="11"/>
  <c r="F16" i="11"/>
  <c r="F15" i="11"/>
  <c r="F14" i="11"/>
  <c r="F19" i="11" s="1"/>
  <c r="F13" i="11"/>
  <c r="F17" i="11" s="1"/>
  <c r="E13" i="11"/>
  <c r="D13" i="11"/>
  <c r="F12" i="11"/>
  <c r="F18" i="11" s="1"/>
  <c r="E12" i="11"/>
  <c r="D12" i="11"/>
  <c r="F11" i="11"/>
  <c r="U22" i="4"/>
  <c r="U20" i="4"/>
  <c r="U17" i="4"/>
  <c r="Q25" i="4"/>
  <c r="Q15" i="4"/>
  <c r="Q16" i="4"/>
  <c r="Q17" i="4" s="1"/>
  <c r="S13" i="4"/>
  <c r="S12" i="4"/>
  <c r="S11" i="4"/>
  <c r="S10" i="4"/>
  <c r="S9" i="4"/>
  <c r="N15" i="4"/>
  <c r="N14" i="4"/>
  <c r="N12" i="4"/>
  <c r="N7" i="4"/>
  <c r="N8" i="4"/>
  <c r="N5" i="4"/>
  <c r="R32" i="9"/>
  <c r="R31" i="9"/>
  <c r="I5" i="4"/>
  <c r="I4" i="4"/>
  <c r="H5" i="4"/>
  <c r="H4" i="4"/>
  <c r="R12" i="9"/>
  <c r="R13" i="9" s="1"/>
  <c r="R15" i="9" s="1"/>
  <c r="R16" i="9" s="1"/>
  <c r="S6" i="9"/>
  <c r="T6" i="9"/>
  <c r="T7" i="9" s="1"/>
  <c r="C10" i="9"/>
  <c r="C9" i="9"/>
  <c r="R8" i="9"/>
  <c r="Q7" i="9"/>
  <c r="Q6" i="9"/>
  <c r="P22" i="9"/>
  <c r="R52" i="4"/>
  <c r="Q52" i="4"/>
  <c r="F26" i="9"/>
  <c r="F27" i="9" s="1"/>
  <c r="D37" i="9"/>
  <c r="B35" i="9"/>
  <c r="D35" i="9" s="1"/>
  <c r="I16" i="9"/>
  <c r="C27" i="9"/>
  <c r="C28" i="9"/>
  <c r="C29" i="9"/>
  <c r="I8" i="9"/>
  <c r="F13" i="9"/>
  <c r="F14" i="9" s="1"/>
  <c r="Q5" i="9"/>
  <c r="F8" i="9"/>
  <c r="I24" i="9"/>
  <c r="I25" i="9" s="1"/>
  <c r="F7" i="9"/>
  <c r="C5" i="9"/>
  <c r="P14" i="9" s="1"/>
  <c r="S62" i="4"/>
  <c r="S54" i="4"/>
  <c r="S55" i="4" s="1"/>
  <c r="S56" i="4" s="1"/>
  <c r="S57" i="4" s="1"/>
  <c r="S61" i="4" s="1"/>
  <c r="N30" i="4"/>
  <c r="O30" i="4" s="1"/>
  <c r="N29" i="4"/>
  <c r="N27" i="4"/>
  <c r="N26" i="4"/>
  <c r="N24" i="4"/>
  <c r="N23" i="4"/>
  <c r="P54" i="4"/>
  <c r="P53" i="4"/>
  <c r="P52" i="4"/>
  <c r="P50" i="4"/>
  <c r="R48" i="4"/>
  <c r="Q48" i="4"/>
  <c r="P48" i="4"/>
  <c r="P47" i="4"/>
  <c r="P45" i="4"/>
  <c r="P44" i="4"/>
  <c r="P43" i="4"/>
  <c r="J66" i="4"/>
  <c r="J65" i="4"/>
  <c r="K66" i="4" s="1"/>
  <c r="J63" i="4"/>
  <c r="K63" i="4" s="1"/>
  <c r="J62" i="4"/>
  <c r="J60" i="4"/>
  <c r="J59" i="4"/>
  <c r="K60" i="4" s="1"/>
  <c r="L58" i="4"/>
  <c r="L55" i="4"/>
  <c r="L49" i="4"/>
  <c r="J57" i="4"/>
  <c r="K57" i="4" s="1"/>
  <c r="J56" i="4"/>
  <c r="J55" i="4"/>
  <c r="K55" i="4" s="1"/>
  <c r="J54" i="4"/>
  <c r="J53" i="4"/>
  <c r="J52" i="4"/>
  <c r="K53" i="4" s="1"/>
  <c r="J51" i="4"/>
  <c r="K51" i="4" s="1"/>
  <c r="J50" i="4"/>
  <c r="J49" i="4"/>
  <c r="K49" i="4" s="1"/>
  <c r="J48" i="4"/>
  <c r="J46" i="4"/>
  <c r="J45" i="4"/>
  <c r="J43" i="4"/>
  <c r="K43" i="4" s="1"/>
  <c r="J42" i="4"/>
  <c r="J39" i="4"/>
  <c r="K39" i="4" s="1"/>
  <c r="J38" i="4"/>
  <c r="J37" i="4"/>
  <c r="K37" i="4" s="1"/>
  <c r="J36" i="4"/>
  <c r="E12" i="4"/>
  <c r="H16" i="4"/>
  <c r="J34" i="4"/>
  <c r="J33" i="4"/>
  <c r="J31" i="4"/>
  <c r="J30" i="4"/>
  <c r="J26" i="4"/>
  <c r="K26" i="4" s="1"/>
  <c r="K28" i="4" s="1"/>
  <c r="J25" i="4"/>
  <c r="J24" i="4"/>
  <c r="J23" i="4"/>
  <c r="K24" i="4" s="1"/>
  <c r="J19" i="4"/>
  <c r="J17" i="4"/>
  <c r="J9" i="4"/>
  <c r="I9" i="4"/>
  <c r="I11" i="4"/>
  <c r="F20" i="11" l="1"/>
  <c r="Q18" i="4"/>
  <c r="Q20" i="4" s="1"/>
  <c r="R17" i="4"/>
  <c r="R7" i="9"/>
  <c r="I26" i="9" s="1"/>
  <c r="P23" i="9"/>
  <c r="P24" i="9" s="1"/>
  <c r="I18" i="9" s="1"/>
  <c r="I17" i="9"/>
  <c r="C30" i="9"/>
  <c r="C31" i="9" s="1"/>
  <c r="C32" i="9" s="1"/>
  <c r="L5" i="9"/>
  <c r="I6" i="9" s="1"/>
  <c r="I7" i="9" s="1"/>
  <c r="I11" i="9" s="1"/>
  <c r="P10" i="9"/>
  <c r="P15" i="9"/>
  <c r="P11" i="9"/>
  <c r="P16" i="9"/>
  <c r="P12" i="9"/>
  <c r="P17" i="9"/>
  <c r="S63" i="4"/>
  <c r="S64" i="4" s="1"/>
  <c r="Q54" i="4"/>
  <c r="Q45" i="4"/>
  <c r="K46" i="4"/>
  <c r="K31" i="4"/>
  <c r="K34" i="4"/>
  <c r="R20" i="4" l="1"/>
  <c r="Q21" i="4"/>
  <c r="Q23" i="4" s="1"/>
  <c r="R18" i="4"/>
  <c r="I9" i="9"/>
  <c r="I27" i="9"/>
  <c r="I29" i="9" s="1"/>
  <c r="F24" i="9" s="1"/>
  <c r="F25" i="9" s="1"/>
  <c r="F28" i="9" s="1"/>
  <c r="P19" i="9"/>
  <c r="I19" i="9" s="1"/>
  <c r="I32" i="9" l="1"/>
  <c r="I33" i="9" s="1"/>
  <c r="I34" i="9" l="1"/>
  <c r="I35" i="9" s="1"/>
  <c r="I38" i="9" s="1"/>
  <c r="I39" i="9" s="1"/>
  <c r="I40" i="9" s="1"/>
  <c r="I41" i="9" s="1"/>
  <c r="L32" i="9"/>
  <c r="L33" i="9" s="1"/>
</calcChain>
</file>

<file path=xl/sharedStrings.xml><?xml version="1.0" encoding="utf-8"?>
<sst xmlns="http://schemas.openxmlformats.org/spreadsheetml/2006/main" count="287" uniqueCount="230">
  <si>
    <t>n - 140</t>
  </si>
  <si>
    <t>e - 90</t>
  </si>
  <si>
    <t>s - 157</t>
  </si>
  <si>
    <t>w - 121</t>
  </si>
  <si>
    <t>nw-se-186</t>
  </si>
  <si>
    <t>ne-sw-174</t>
  </si>
  <si>
    <t xml:space="preserve"> </t>
  </si>
  <si>
    <t>MW</t>
  </si>
  <si>
    <t>Wash</t>
  </si>
  <si>
    <t>hob</t>
  </si>
  <si>
    <t>fridge</t>
  </si>
  <si>
    <t>grill</t>
  </si>
  <si>
    <t>Pot</t>
  </si>
  <si>
    <t>Kettle</t>
  </si>
  <si>
    <t>Mixer</t>
  </si>
  <si>
    <t>Other</t>
  </si>
  <si>
    <t>fridge - small one</t>
  </si>
  <si>
    <t>no hob</t>
  </si>
  <si>
    <t>no dish washer</t>
  </si>
  <si>
    <t>no washing mc</t>
  </si>
  <si>
    <t>micro wave - small</t>
  </si>
  <si>
    <t>oven/grill - portable</t>
  </si>
  <si>
    <t>instant pot</t>
  </si>
  <si>
    <t>kettle</t>
  </si>
  <si>
    <t>mixie/grinder</t>
  </si>
  <si>
    <t>pans, plates, cups, bowls</t>
  </si>
  <si>
    <t>cutlery, boxes, jars</t>
  </si>
  <si>
    <t>groceries</t>
  </si>
  <si>
    <t>tape cots</t>
  </si>
  <si>
    <t>plastic chairs</t>
  </si>
  <si>
    <t>tables - 2</t>
  </si>
  <si>
    <t>tea poy</t>
  </si>
  <si>
    <t>sofa 2-seater</t>
  </si>
  <si>
    <t>swing chair</t>
  </si>
  <si>
    <t>baths - fully fitted</t>
  </si>
  <si>
    <t>water heaters</t>
  </si>
  <si>
    <t>showers</t>
  </si>
  <si>
    <t>shower curtains</t>
  </si>
  <si>
    <t>small TV and deck</t>
  </si>
  <si>
    <t>fans</t>
  </si>
  <si>
    <t>lighting</t>
  </si>
  <si>
    <t>carpet</t>
  </si>
  <si>
    <t>cupboard</t>
  </si>
  <si>
    <t>modular kitchen</t>
  </si>
  <si>
    <t>wardrobes</t>
  </si>
  <si>
    <t>`</t>
  </si>
  <si>
    <t>basin</t>
  </si>
  <si>
    <t>dishes</t>
  </si>
  <si>
    <t>mw</t>
  </si>
  <si>
    <t>other</t>
  </si>
  <si>
    <t>6 ft</t>
  </si>
  <si>
    <t>min spacing between columns</t>
  </si>
  <si>
    <t>max spacing between columns</t>
  </si>
  <si>
    <t>24 ft</t>
  </si>
  <si>
    <t>ave spacing between columns</t>
  </si>
  <si>
    <t>16 ft</t>
  </si>
  <si>
    <t>for bending momemt</t>
  </si>
  <si>
    <t>for solar etc</t>
  </si>
  <si>
    <t>M20 psi</t>
  </si>
  <si>
    <t>in m^2</t>
  </si>
  <si>
    <t>sft to m^2</t>
  </si>
  <si>
    <t>wt in kg</t>
  </si>
  <si>
    <t>wt in Newtons</t>
  </si>
  <si>
    <t>of M20</t>
  </si>
  <si>
    <t>column area m^2</t>
  </si>
  <si>
    <t>in sft</t>
  </si>
  <si>
    <t>6 in slab wt kg/m^2</t>
  </si>
  <si>
    <t>ft &gt; cm</t>
  </si>
  <si>
    <t>column size cm</t>
  </si>
  <si>
    <t>wt of concrete kg/m3</t>
  </si>
  <si>
    <t>wt of steel kg/m3</t>
  </si>
  <si>
    <t>wt of column</t>
  </si>
  <si>
    <t>beam size cm (1 m L)</t>
  </si>
  <si>
    <t>wt of bricks kg/m3</t>
  </si>
  <si>
    <t>wt of aerated blocks</t>
  </si>
  <si>
    <t>slab size (1 m2)</t>
  </si>
  <si>
    <t>vol of beam</t>
  </si>
  <si>
    <t>vol of slab</t>
  </si>
  <si>
    <t>wt of RCC kg/m3 (1%)</t>
  </si>
  <si>
    <t>wt of RCC kg/m3 (2%)</t>
  </si>
  <si>
    <t>wt of slab kg (1 m2)</t>
  </si>
  <si>
    <t>factor 1.5</t>
  </si>
  <si>
    <t>kN &gt; kg</t>
  </si>
  <si>
    <t>sqm &gt; sft</t>
  </si>
  <si>
    <t>steel strength N/mm2</t>
  </si>
  <si>
    <t>concrete strength N/mm2</t>
  </si>
  <si>
    <t>RCC strength N/mm2</t>
  </si>
  <si>
    <t>column cross-section</t>
  </si>
  <si>
    <t>total wt of slab</t>
  </si>
  <si>
    <t>column area required /m2</t>
  </si>
  <si>
    <t>wt of beam (1 m)</t>
  </si>
  <si>
    <t>per cm2</t>
  </si>
  <si>
    <t>total no. of cols</t>
  </si>
  <si>
    <t>beam lengths</t>
  </si>
  <si>
    <t>slab areas</t>
  </si>
  <si>
    <t>no. of cols (estimate)</t>
  </si>
  <si>
    <t>total col wt</t>
  </si>
  <si>
    <t>total wt of slab + beams+cols</t>
  </si>
  <si>
    <t>Pu</t>
  </si>
  <si>
    <t>kN</t>
  </si>
  <si>
    <t>f_ck</t>
  </si>
  <si>
    <t>N/mm2</t>
  </si>
  <si>
    <t>f_y</t>
  </si>
  <si>
    <t>factor</t>
  </si>
  <si>
    <t>Pu = 0.4 * f_ck * A_c  + 0.67 * f_y * A_sc</t>
  </si>
  <si>
    <t>steel (A_sc)</t>
  </si>
  <si>
    <t>of A_g</t>
  </si>
  <si>
    <t>A_c</t>
  </si>
  <si>
    <t>Pu factored</t>
  </si>
  <si>
    <t>0.67 * f_y *1%</t>
  </si>
  <si>
    <t>0.4 * f_ck * 99%</t>
  </si>
  <si>
    <t>total strength</t>
  </si>
  <si>
    <t>N</t>
  </si>
  <si>
    <t>mm2</t>
  </si>
  <si>
    <t>mm</t>
  </si>
  <si>
    <t>square col side</t>
  </si>
  <si>
    <t>col area required</t>
  </si>
  <si>
    <t>in N/m2</t>
  </si>
  <si>
    <t>kg per m2</t>
  </si>
  <si>
    <t>m3</t>
  </si>
  <si>
    <t>kg</t>
  </si>
  <si>
    <t>cm2</t>
  </si>
  <si>
    <t>column vol</t>
  </si>
  <si>
    <t>column strength</t>
  </si>
  <si>
    <t>m</t>
  </si>
  <si>
    <t>total beam length</t>
  </si>
  <si>
    <t>total beam wt</t>
  </si>
  <si>
    <t>m2</t>
  </si>
  <si>
    <t>total area of slab</t>
  </si>
  <si>
    <t>kg/m2</t>
  </si>
  <si>
    <t>m3/m2</t>
  </si>
  <si>
    <t>kg &gt; N</t>
  </si>
  <si>
    <t>N/m2</t>
  </si>
  <si>
    <t>wt of water tank, solar etc</t>
  </si>
  <si>
    <t>total wt</t>
  </si>
  <si>
    <t>permissible (direct) N/mm2</t>
  </si>
  <si>
    <t>permissible (bending) N/mm2</t>
  </si>
  <si>
    <t>Issa method (simple)</t>
  </si>
  <si>
    <t>load on column</t>
  </si>
  <si>
    <t>add 20% for bending moment</t>
  </si>
  <si>
    <t>20% of concrete strength</t>
  </si>
  <si>
    <t>in kg/mm2</t>
  </si>
  <si>
    <t>column area</t>
  </si>
  <si>
    <t>total col area</t>
  </si>
  <si>
    <t>slab</t>
  </si>
  <si>
    <t>stairs roof</t>
  </si>
  <si>
    <t>stairs</t>
  </si>
  <si>
    <t>cols area required cm2</t>
  </si>
  <si>
    <t>cols</t>
  </si>
  <si>
    <t>permissable load in kg/cm2</t>
  </si>
  <si>
    <t>m3 &gt; cft</t>
  </si>
  <si>
    <t>m &gt; ft</t>
  </si>
  <si>
    <t>in &gt; cm</t>
  </si>
  <si>
    <t>floor to landing surface</t>
  </si>
  <si>
    <t>landing surface to slab top</t>
  </si>
  <si>
    <t>ft</t>
  </si>
  <si>
    <t>5 ft</t>
  </si>
  <si>
    <t>7,6</t>
  </si>
  <si>
    <t>external steps required</t>
  </si>
  <si>
    <t xml:space="preserve">internal steps </t>
  </si>
  <si>
    <t>beam span</t>
  </si>
  <si>
    <t>in inches</t>
  </si>
  <si>
    <t>L/D</t>
  </si>
  <si>
    <t>effective depth</t>
  </si>
  <si>
    <t>in</t>
  </si>
  <si>
    <t>total depth</t>
  </si>
  <si>
    <t>Slotted angle</t>
  </si>
  <si>
    <t xml:space="preserve">h = </t>
  </si>
  <si>
    <t xml:space="preserve">s = </t>
  </si>
  <si>
    <t>ht</t>
  </si>
  <si>
    <t>slope</t>
  </si>
  <si>
    <t>tread</t>
  </si>
  <si>
    <t>N =</t>
  </si>
  <si>
    <t>ramp =</t>
  </si>
  <si>
    <t xml:space="preserve">C = </t>
  </si>
  <si>
    <t>check h</t>
  </si>
  <si>
    <t>shade</t>
  </si>
  <si>
    <t>Beam length</t>
  </si>
  <si>
    <t>Roof slab area</t>
  </si>
  <si>
    <t>Plinth Area</t>
  </si>
  <si>
    <t>sft</t>
  </si>
  <si>
    <t>Columns length</t>
  </si>
  <si>
    <t>sq in</t>
  </si>
  <si>
    <t>Column area</t>
  </si>
  <si>
    <t>Beam aea</t>
  </si>
  <si>
    <t>Roof slab vol</t>
  </si>
  <si>
    <t>cft</t>
  </si>
  <si>
    <t>Beam vol</t>
  </si>
  <si>
    <t>Coulmn vol</t>
  </si>
  <si>
    <t>Total (slab, beams, cols)</t>
  </si>
  <si>
    <t>external wall length</t>
  </si>
  <si>
    <t>external wall length (minus cols)</t>
  </si>
  <si>
    <t>wall area</t>
  </si>
  <si>
    <t>door area (external)</t>
  </si>
  <si>
    <t>windows area</t>
  </si>
  <si>
    <t>brick area</t>
  </si>
  <si>
    <t>brick vol</t>
  </si>
  <si>
    <t>Lintel area</t>
  </si>
  <si>
    <t>plinth beams</t>
  </si>
  <si>
    <t>floor slab</t>
  </si>
  <si>
    <t>Staircase area</t>
  </si>
  <si>
    <t>parapet wall</t>
  </si>
  <si>
    <t>staircase wall</t>
  </si>
  <si>
    <t>kitchen granite area</t>
  </si>
  <si>
    <t>bathrooms tiles area</t>
  </si>
  <si>
    <t>internal walls area</t>
  </si>
  <si>
    <t>wall paint area (internal)</t>
  </si>
  <si>
    <t>wall paint area (externa)</t>
  </si>
  <si>
    <t>plumbing points</t>
  </si>
  <si>
    <t>electrical points</t>
  </si>
  <si>
    <t>electrical cabling length</t>
  </si>
  <si>
    <t>plumbing lengths</t>
  </si>
  <si>
    <t>Plinth level filling vol</t>
  </si>
  <si>
    <t>Footing vol</t>
  </si>
  <si>
    <t>excavation vol</t>
  </si>
  <si>
    <t>plinth level stones vol</t>
  </si>
  <si>
    <t>Steel vol</t>
  </si>
  <si>
    <t>cement vol</t>
  </si>
  <si>
    <t>gravel vol</t>
  </si>
  <si>
    <t>sand vol</t>
  </si>
  <si>
    <t>Kitchen tile area</t>
  </si>
  <si>
    <t>wall skirting length</t>
  </si>
  <si>
    <t>mosquito proofing</t>
  </si>
  <si>
    <t>porch columns</t>
  </si>
  <si>
    <t>porch roof slab area</t>
  </si>
  <si>
    <t>porch plinth vol</t>
  </si>
  <si>
    <t>Lintel hangover area</t>
  </si>
  <si>
    <t>Roof overhang</t>
  </si>
  <si>
    <t>Lintel overhang</t>
  </si>
  <si>
    <t>Porch roof width (excess of lintel)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</si>
</sst>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#,##0.0"/>
    <numFmt numFmtId="165" formatCode="#,##0.0000"/>
  </numFmts>
  <fonts count="7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C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A000"/>
        <bgColor indexed="64"/>
      </patternFill>
    </fill>
    <fill>
      <patternFill patternType="solid">
        <fgColor rgb="FFD49F00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ashDot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dashDot">
        <color indexed="64"/>
      </top>
      <bottom/>
      <diagonal/>
    </border>
    <border>
      <left style="thin">
        <color indexed="64"/>
      </left>
      <right style="thin">
        <color indexed="64"/>
      </right>
      <top style="dashDot">
        <color indexed="64"/>
      </top>
      <bottom/>
      <diagonal/>
    </border>
    <border>
      <left/>
      <right/>
      <top/>
      <bottom style="dashDot">
        <color indexed="64"/>
      </bottom>
      <diagonal/>
    </border>
    <border>
      <left style="thin">
        <color indexed="64"/>
      </left>
      <right style="thin">
        <color indexed="64"/>
      </right>
      <top/>
      <bottom style="dashDot">
        <color indexed="64"/>
      </bottom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/>
      <top/>
      <bottom style="thin">
        <color indexed="64"/>
      </bottom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/>
      <bottom style="thin">
        <color rgb="FFFF0000"/>
      </bottom>
      <diagonal/>
    </border>
    <border>
      <left style="thin">
        <color indexed="64"/>
      </left>
      <right/>
      <top/>
      <bottom style="thin">
        <color rgb="FFFF0000"/>
      </bottom>
      <diagonal/>
    </border>
    <border>
      <left/>
      <right style="thin">
        <color indexed="64"/>
      </right>
      <top/>
      <bottom style="thin">
        <color rgb="FFFF0000"/>
      </bottom>
      <diagonal/>
    </border>
    <border>
      <left/>
      <right style="thin">
        <color rgb="FFFF0000"/>
      </right>
      <top/>
      <bottom/>
      <diagonal/>
    </border>
    <border>
      <left/>
      <right style="thin">
        <color rgb="FFFF0000"/>
      </right>
      <top style="thin">
        <color indexed="64"/>
      </top>
      <bottom/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thin">
        <color indexed="64"/>
      </left>
      <right/>
      <top/>
      <bottom style="mediumDashed">
        <color theme="0" tint="-0.499984740745262"/>
      </bottom>
      <diagonal/>
    </border>
    <border>
      <left/>
      <right/>
      <top/>
      <bottom style="mediumDashed">
        <color theme="0" tint="-0.499984740745262"/>
      </bottom>
      <diagonal/>
    </border>
    <border>
      <left style="thin">
        <color indexed="64"/>
      </left>
      <right/>
      <top style="mediumDashed">
        <color theme="0" tint="-0.499984740745262"/>
      </top>
      <bottom/>
      <diagonal/>
    </border>
    <border>
      <left/>
      <right/>
      <top style="mediumDashed">
        <color theme="0" tint="-0.499984740745262"/>
      </top>
      <bottom/>
      <diagonal/>
    </border>
    <border>
      <left/>
      <right style="thin">
        <color indexed="64"/>
      </right>
      <top style="mediumDashed">
        <color theme="0" tint="-0.499984740745262"/>
      </top>
      <bottom/>
      <diagonal/>
    </border>
    <border>
      <left/>
      <right style="thin">
        <color indexed="64"/>
      </right>
      <top/>
      <bottom style="mediumDashed">
        <color theme="0" tint="-0.499984740745262"/>
      </bottom>
      <diagonal/>
    </border>
    <border>
      <left style="mediumDashed">
        <color theme="0" tint="-0.499984740745262"/>
      </left>
      <right/>
      <top/>
      <bottom/>
      <diagonal/>
    </border>
    <border>
      <left style="mediumDashed">
        <color theme="0" tint="-0.499984740745262"/>
      </left>
      <right/>
      <top/>
      <bottom style="thin">
        <color indexed="64"/>
      </bottom>
      <diagonal/>
    </border>
    <border>
      <left/>
      <right style="mediumDashed">
        <color theme="0" tint="-0.499984740745262"/>
      </right>
      <top/>
      <bottom/>
      <diagonal/>
    </border>
    <border>
      <left/>
      <right style="mediumDashed">
        <color theme="0" tint="-0.499984740745262"/>
      </right>
      <top/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33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0" xfId="0" applyBorder="1"/>
    <xf numFmtId="0" fontId="0" fillId="0" borderId="22" xfId="0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1" xfId="0" applyFill="1" applyBorder="1"/>
    <xf numFmtId="0" fontId="0" fillId="2" borderId="20" xfId="0" applyFill="1" applyBorder="1"/>
    <xf numFmtId="0" fontId="0" fillId="2" borderId="2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8" xfId="0" applyFill="1" applyBorder="1"/>
    <xf numFmtId="0" fontId="0" fillId="3" borderId="0" xfId="0" applyFill="1"/>
    <xf numFmtId="0" fontId="0" fillId="3" borderId="13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2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2" xfId="0" applyFill="1" applyBorder="1"/>
    <xf numFmtId="0" fontId="0" fillId="4" borderId="0" xfId="0" applyFill="1"/>
    <xf numFmtId="0" fontId="0" fillId="4" borderId="11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5" borderId="0" xfId="0" applyFill="1"/>
    <xf numFmtId="0" fontId="0" fillId="6" borderId="13" xfId="0" applyFill="1" applyBorder="1"/>
    <xf numFmtId="0" fontId="0" fillId="6" borderId="0" xfId="0" applyFill="1"/>
    <xf numFmtId="0" fontId="0" fillId="6" borderId="10" xfId="0" applyFill="1" applyBorder="1"/>
    <xf numFmtId="0" fontId="0" fillId="6" borderId="11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9" xfId="0" applyFill="1" applyBorder="1"/>
    <xf numFmtId="0" fontId="0" fillId="8" borderId="11" xfId="0" applyFill="1" applyBorder="1"/>
    <xf numFmtId="0" fontId="0" fillId="8" borderId="14" xfId="0" applyFill="1" applyBorder="1"/>
    <xf numFmtId="0" fontId="0" fillId="8" borderId="16" xfId="0" applyFill="1" applyBorder="1"/>
    <xf numFmtId="0" fontId="0" fillId="9" borderId="9" xfId="0" applyFill="1" applyBorder="1"/>
    <xf numFmtId="0" fontId="0" fillId="9" borderId="11" xfId="0" applyFill="1" applyBorder="1"/>
    <xf numFmtId="0" fontId="0" fillId="9" borderId="14" xfId="0" applyFill="1" applyBorder="1"/>
    <xf numFmtId="0" fontId="0" fillId="9" borderId="16" xfId="0" applyFill="1" applyBorder="1"/>
    <xf numFmtId="0" fontId="0" fillId="2" borderId="9" xfId="0" applyFill="1" applyBorder="1"/>
    <xf numFmtId="0" fontId="0" fillId="2" borderId="11" xfId="0" applyFill="1" applyBorder="1"/>
    <xf numFmtId="0" fontId="0" fillId="2" borderId="14" xfId="0" applyFill="1" applyBorder="1"/>
    <xf numFmtId="0" fontId="0" fillId="2" borderId="16" xfId="0" applyFill="1" applyBorder="1"/>
    <xf numFmtId="0" fontId="0" fillId="10" borderId="9" xfId="0" applyFill="1" applyBorder="1"/>
    <xf numFmtId="0" fontId="0" fillId="10" borderId="11" xfId="0" applyFill="1" applyBorder="1"/>
    <xf numFmtId="0" fontId="0" fillId="10" borderId="14" xfId="0" applyFill="1" applyBorder="1"/>
    <xf numFmtId="0" fontId="0" fillId="10" borderId="16" xfId="0" applyFill="1" applyBorder="1"/>
    <xf numFmtId="0" fontId="0" fillId="3" borderId="14" xfId="0" applyFill="1" applyBorder="1"/>
    <xf numFmtId="0" fontId="0" fillId="11" borderId="9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0" fillId="11" borderId="14" xfId="0" applyFill="1" applyBorder="1"/>
    <xf numFmtId="0" fontId="0" fillId="11" borderId="16" xfId="0" applyFill="1" applyBorder="1"/>
    <xf numFmtId="0" fontId="0" fillId="10" borderId="10" xfId="0" applyFill="1" applyBorder="1"/>
    <xf numFmtId="0" fontId="0" fillId="10" borderId="12" xfId="0" applyFill="1" applyBorder="1"/>
    <xf numFmtId="0" fontId="0" fillId="10" borderId="0" xfId="0" applyFill="1"/>
    <xf numFmtId="0" fontId="0" fillId="10" borderId="13" xfId="0" applyFill="1" applyBorder="1"/>
    <xf numFmtId="0" fontId="0" fillId="10" borderId="15" xfId="0" applyFill="1" applyBorder="1"/>
    <xf numFmtId="0" fontId="0" fillId="2" borderId="13" xfId="0" applyFill="1" applyBorder="1"/>
    <xf numFmtId="0" fontId="0" fillId="11" borderId="10" xfId="0" applyFill="1" applyBorder="1"/>
    <xf numFmtId="0" fontId="0" fillId="2" borderId="10" xfId="0" applyFill="1" applyBorder="1"/>
    <xf numFmtId="0" fontId="0" fillId="11" borderId="15" xfId="0" applyFill="1" applyBorder="1"/>
    <xf numFmtId="0" fontId="0" fillId="9" borderId="12" xfId="0" applyFill="1" applyBorder="1"/>
    <xf numFmtId="0" fontId="0" fillId="9" borderId="13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1" fillId="0" borderId="0" xfId="0" applyFont="1"/>
    <xf numFmtId="0" fontId="0" fillId="2" borderId="15" xfId="0" applyFill="1" applyBorder="1"/>
    <xf numFmtId="0" fontId="0" fillId="12" borderId="9" xfId="0" applyFill="1" applyBorder="1"/>
    <xf numFmtId="0" fontId="0" fillId="12" borderId="11" xfId="0" applyFill="1" applyBorder="1"/>
    <xf numFmtId="0" fontId="0" fillId="12" borderId="12" xfId="0" applyFill="1" applyBorder="1"/>
    <xf numFmtId="0" fontId="0" fillId="12" borderId="13" xfId="0" applyFill="1" applyBorder="1"/>
    <xf numFmtId="0" fontId="0" fillId="12" borderId="14" xfId="0" applyFill="1" applyBorder="1"/>
    <xf numFmtId="0" fontId="0" fillId="12" borderId="16" xfId="0" applyFill="1" applyBorder="1"/>
    <xf numFmtId="0" fontId="0" fillId="2" borderId="12" xfId="0" applyFill="1" applyBorder="1"/>
    <xf numFmtId="0" fontId="0" fillId="4" borderId="18" xfId="0" applyFill="1" applyBorder="1"/>
    <xf numFmtId="0" fontId="0" fillId="4" borderId="20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0" fillId="14" borderId="9" xfId="0" applyFill="1" applyBorder="1"/>
    <xf numFmtId="0" fontId="0" fillId="14" borderId="10" xfId="0" applyFill="1" applyBorder="1"/>
    <xf numFmtId="0" fontId="0" fillId="14" borderId="11" xfId="0" applyFill="1" applyBorder="1"/>
    <xf numFmtId="0" fontId="0" fillId="14" borderId="14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8" borderId="0" xfId="0" applyFill="1"/>
    <xf numFmtId="0" fontId="0" fillId="8" borderId="15" xfId="0" applyFill="1" applyBorder="1"/>
    <xf numFmtId="0" fontId="0" fillId="8" borderId="12" xfId="0" applyFill="1" applyBorder="1"/>
    <xf numFmtId="0" fontId="0" fillId="8" borderId="13" xfId="0" applyFill="1" applyBorder="1"/>
    <xf numFmtId="0" fontId="0" fillId="4" borderId="21" xfId="0" applyFill="1" applyBorder="1"/>
    <xf numFmtId="0" fontId="0" fillId="4" borderId="22" xfId="0" applyFill="1" applyBorder="1"/>
    <xf numFmtId="0" fontId="0" fillId="4" borderId="17" xfId="0" applyFill="1" applyBorder="1"/>
    <xf numFmtId="0" fontId="0" fillId="4" borderId="19" xfId="0" applyFill="1" applyBorder="1"/>
    <xf numFmtId="0" fontId="0" fillId="2" borderId="0" xfId="0" applyFill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20" xfId="0" applyFont="1" applyBorder="1" applyAlignment="1">
      <alignment horizontal="left" vertical="center"/>
    </xf>
    <xf numFmtId="0" fontId="0" fillId="0" borderId="23" xfId="0" applyBorder="1"/>
    <xf numFmtId="0" fontId="2" fillId="0" borderId="12" xfId="0" applyFont="1" applyBorder="1" applyAlignment="1">
      <alignment horizontal="left" vertical="center"/>
    </xf>
    <xf numFmtId="0" fontId="0" fillId="10" borderId="21" xfId="0" applyFill="1" applyBorder="1"/>
    <xf numFmtId="0" fontId="0" fillId="10" borderId="20" xfId="0" applyFill="1" applyBorder="1"/>
    <xf numFmtId="0" fontId="0" fillId="10" borderId="23" xfId="0" applyFill="1" applyBorder="1"/>
    <xf numFmtId="0" fontId="2" fillId="10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left" vertical="center"/>
    </xf>
    <xf numFmtId="0" fontId="2" fillId="10" borderId="12" xfId="0" applyFont="1" applyFill="1" applyBorder="1" applyAlignment="1">
      <alignment horizontal="left" vertical="center"/>
    </xf>
    <xf numFmtId="0" fontId="0" fillId="6" borderId="9" xfId="0" applyFill="1" applyBorder="1"/>
    <xf numFmtId="0" fontId="0" fillId="6" borderId="12" xfId="0" applyFill="1" applyBorder="1"/>
    <xf numFmtId="0" fontId="0" fillId="5" borderId="10" xfId="0" applyFill="1" applyBorder="1"/>
    <xf numFmtId="0" fontId="2" fillId="5" borderId="0" xfId="0" applyFont="1" applyFill="1" applyAlignment="1">
      <alignment horizontal="left" vertical="center"/>
    </xf>
    <xf numFmtId="0" fontId="0" fillId="10" borderId="22" xfId="0" applyFill="1" applyBorder="1"/>
    <xf numFmtId="0" fontId="0" fillId="15" borderId="11" xfId="0" applyFill="1" applyBorder="1"/>
    <xf numFmtId="0" fontId="0" fillId="15" borderId="16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0" xfId="0" applyFill="1"/>
    <xf numFmtId="0" fontId="0" fillId="16" borderId="13" xfId="0" applyFill="1" applyBorder="1"/>
    <xf numFmtId="0" fontId="0" fillId="16" borderId="14" xfId="0" applyFill="1" applyBorder="1"/>
    <xf numFmtId="0" fontId="0" fillId="16" borderId="15" xfId="0" applyFill="1" applyBorder="1"/>
    <xf numFmtId="0" fontId="0" fillId="16" borderId="16" xfId="0" applyFill="1" applyBorder="1"/>
    <xf numFmtId="0" fontId="0" fillId="3" borderId="17" xfId="0" applyFill="1" applyBorder="1"/>
    <xf numFmtId="0" fontId="0" fillId="3" borderId="19" xfId="0" applyFill="1" applyBorder="1"/>
    <xf numFmtId="0" fontId="0" fillId="17" borderId="9" xfId="0" applyFill="1" applyBorder="1"/>
    <xf numFmtId="0" fontId="0" fillId="17" borderId="10" xfId="0" applyFill="1" applyBorder="1"/>
    <xf numFmtId="0" fontId="0" fillId="17" borderId="11" xfId="0" applyFill="1" applyBorder="1"/>
    <xf numFmtId="0" fontId="0" fillId="17" borderId="12" xfId="0" applyFill="1" applyBorder="1"/>
    <xf numFmtId="0" fontId="0" fillId="17" borderId="13" xfId="0" applyFill="1" applyBorder="1"/>
    <xf numFmtId="0" fontId="0" fillId="17" borderId="0" xfId="0" applyFill="1"/>
    <xf numFmtId="0" fontId="0" fillId="17" borderId="15" xfId="0" applyFill="1" applyBorder="1"/>
    <xf numFmtId="0" fontId="0" fillId="17" borderId="16" xfId="0" applyFill="1" applyBorder="1"/>
    <xf numFmtId="0" fontId="0" fillId="17" borderId="21" xfId="0" applyFill="1" applyBorder="1"/>
    <xf numFmtId="0" fontId="0" fillId="17" borderId="20" xfId="0" applyFill="1" applyBorder="1"/>
    <xf numFmtId="0" fontId="0" fillId="17" borderId="22" xfId="0" applyFill="1" applyBorder="1"/>
    <xf numFmtId="0" fontId="0" fillId="18" borderId="9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0" xfId="0" applyFill="1"/>
    <xf numFmtId="0" fontId="0" fillId="18" borderId="13" xfId="0" applyFill="1" applyBorder="1"/>
    <xf numFmtId="0" fontId="0" fillId="18" borderId="14" xfId="0" applyFill="1" applyBorder="1"/>
    <xf numFmtId="0" fontId="0" fillId="18" borderId="16" xfId="0" applyFill="1" applyBorder="1"/>
    <xf numFmtId="0" fontId="0" fillId="18" borderId="15" xfId="0" applyFill="1" applyBorder="1"/>
    <xf numFmtId="0" fontId="0" fillId="18" borderId="17" xfId="0" applyFill="1" applyBorder="1"/>
    <xf numFmtId="0" fontId="0" fillId="18" borderId="18" xfId="0" applyFill="1" applyBorder="1"/>
    <xf numFmtId="0" fontId="0" fillId="18" borderId="19" xfId="0" applyFill="1" applyBorder="1"/>
    <xf numFmtId="0" fontId="0" fillId="0" borderId="24" xfId="0" applyBorder="1"/>
    <xf numFmtId="0" fontId="0" fillId="0" borderId="25" xfId="0" applyBorder="1"/>
    <xf numFmtId="0" fontId="0" fillId="3" borderId="23" xfId="0" applyFill="1" applyBorder="1"/>
    <xf numFmtId="0" fontId="0" fillId="19" borderId="14" xfId="0" applyFill="1" applyBorder="1"/>
    <xf numFmtId="0" fontId="0" fillId="19" borderId="0" xfId="0" applyFill="1"/>
    <xf numFmtId="0" fontId="0" fillId="16" borderId="21" xfId="0" applyFill="1" applyBorder="1"/>
    <xf numFmtId="0" fontId="0" fillId="16" borderId="20" xfId="0" applyFill="1" applyBorder="1"/>
    <xf numFmtId="0" fontId="0" fillId="16" borderId="17" xfId="0" applyFill="1" applyBorder="1"/>
    <xf numFmtId="0" fontId="0" fillId="16" borderId="18" xfId="0" applyFill="1" applyBorder="1"/>
    <xf numFmtId="0" fontId="0" fillId="16" borderId="19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6" borderId="14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13" xfId="0" applyFill="1" applyBorder="1"/>
    <xf numFmtId="0" fontId="0" fillId="5" borderId="16" xfId="0" applyFill="1" applyBorder="1"/>
    <xf numFmtId="0" fontId="5" fillId="0" borderId="13" xfId="0" applyFont="1" applyBorder="1"/>
    <xf numFmtId="0" fontId="5" fillId="0" borderId="0" xfId="0" applyFont="1"/>
    <xf numFmtId="0" fontId="0" fillId="7" borderId="20" xfId="0" applyFill="1" applyBorder="1"/>
    <xf numFmtId="0" fontId="0" fillId="7" borderId="22" xfId="0" applyFill="1" applyBorder="1"/>
    <xf numFmtId="0" fontId="0" fillId="5" borderId="12" xfId="0" applyFill="1" applyBorder="1"/>
    <xf numFmtId="9" fontId="0" fillId="0" borderId="0" xfId="0" applyNumberFormat="1"/>
    <xf numFmtId="2" fontId="0" fillId="0" borderId="0" xfId="0" applyNumberFormat="1"/>
    <xf numFmtId="1" fontId="0" fillId="0" borderId="0" xfId="0" applyNumberFormat="1"/>
    <xf numFmtId="0" fontId="4" fillId="0" borderId="0" xfId="0" applyFont="1"/>
    <xf numFmtId="164" fontId="0" fillId="0" borderId="0" xfId="1" applyNumberFormat="1" applyFont="1"/>
    <xf numFmtId="3" fontId="0" fillId="0" borderId="0" xfId="0" applyNumberFormat="1"/>
    <xf numFmtId="165" fontId="0" fillId="0" borderId="0" xfId="1" applyNumberFormat="1" applyFont="1"/>
    <xf numFmtId="164" fontId="0" fillId="0" borderId="0" xfId="0" applyNumberFormat="1"/>
    <xf numFmtId="0" fontId="0" fillId="0" borderId="40" xfId="0" applyBorder="1"/>
    <xf numFmtId="0" fontId="5" fillId="7" borderId="0" xfId="0" applyFont="1" applyFill="1"/>
    <xf numFmtId="0" fontId="5" fillId="0" borderId="19" xfId="0" applyFont="1" applyBorder="1"/>
    <xf numFmtId="0" fontId="0" fillId="13" borderId="9" xfId="0" applyFill="1" applyBorder="1"/>
    <xf numFmtId="0" fontId="0" fillId="13" borderId="10" xfId="0" applyFill="1" applyBorder="1"/>
    <xf numFmtId="0" fontId="0" fillId="13" borderId="11" xfId="0" applyFill="1" applyBorder="1"/>
    <xf numFmtId="0" fontId="0" fillId="13" borderId="12" xfId="0" applyFill="1" applyBorder="1"/>
    <xf numFmtId="0" fontId="0" fillId="13" borderId="14" xfId="0" applyFill="1" applyBorder="1"/>
    <xf numFmtId="0" fontId="0" fillId="13" borderId="0" xfId="0" applyFill="1"/>
    <xf numFmtId="0" fontId="0" fillId="13" borderId="13" xfId="0" applyFill="1" applyBorder="1"/>
    <xf numFmtId="0" fontId="0" fillId="13" borderId="15" xfId="0" applyFill="1" applyBorder="1"/>
    <xf numFmtId="0" fontId="0" fillId="13" borderId="16" xfId="0" applyFill="1" applyBorder="1"/>
    <xf numFmtId="0" fontId="0" fillId="5" borderId="11" xfId="0" applyFill="1" applyBorder="1"/>
    <xf numFmtId="0" fontId="0" fillId="5" borderId="14" xfId="0" applyFill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6" fillId="0" borderId="13" xfId="0" applyFont="1" applyBorder="1"/>
    <xf numFmtId="0" fontId="6" fillId="0" borderId="14" xfId="0" applyFont="1" applyBorder="1"/>
    <xf numFmtId="0" fontId="6" fillId="0" borderId="15" xfId="0" applyFont="1" applyBorder="1"/>
    <xf numFmtId="0" fontId="6" fillId="0" borderId="16" xfId="0" applyFont="1" applyBorder="1"/>
    <xf numFmtId="0" fontId="6" fillId="0" borderId="0" xfId="0" applyFont="1"/>
    <xf numFmtId="0" fontId="0" fillId="0" borderId="41" xfId="0" applyBorder="1"/>
    <xf numFmtId="0" fontId="0" fillId="0" borderId="42" xfId="0" applyBorder="1"/>
    <xf numFmtId="0" fontId="6" fillId="0" borderId="42" xfId="0" applyFont="1" applyBorder="1"/>
    <xf numFmtId="0" fontId="6" fillId="0" borderId="2" xfId="0" applyFont="1" applyBorder="1"/>
    <xf numFmtId="0" fontId="6" fillId="0" borderId="41" xfId="0" applyFont="1" applyBorder="1"/>
    <xf numFmtId="0" fontId="6" fillId="0" borderId="24" xfId="0" applyFont="1" applyBorder="1"/>
    <xf numFmtId="0" fontId="6" fillId="0" borderId="7" xfId="0" applyFont="1" applyBorder="1"/>
    <xf numFmtId="0" fontId="6" fillId="0" borderId="25" xfId="0" applyFont="1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5" borderId="15" xfId="0" applyFill="1" applyBorder="1"/>
    <xf numFmtId="0" fontId="0" fillId="5" borderId="9" xfId="0" applyFill="1" applyBorder="1"/>
    <xf numFmtId="0" fontId="0" fillId="7" borderId="23" xfId="0" applyFill="1" applyBorder="1"/>
    <xf numFmtId="0" fontId="0" fillId="7" borderId="17" xfId="0" applyFill="1" applyBorder="1"/>
    <xf numFmtId="0" fontId="0" fillId="20" borderId="13" xfId="0" applyFill="1" applyBorder="1"/>
    <xf numFmtId="0" fontId="0" fillId="21" borderId="20" xfId="0" applyFill="1" applyBorder="1"/>
    <xf numFmtId="0" fontId="0" fillId="21" borderId="9" xfId="0" applyFill="1" applyBorder="1"/>
    <xf numFmtId="0" fontId="0" fillId="21" borderId="10" xfId="0" applyFill="1" applyBorder="1"/>
    <xf numFmtId="0" fontId="0" fillId="21" borderId="11" xfId="0" applyFill="1" applyBorder="1"/>
    <xf numFmtId="0" fontId="0" fillId="21" borderId="14" xfId="0" applyFill="1" applyBorder="1"/>
    <xf numFmtId="0" fontId="0" fillId="21" borderId="15" xfId="0" applyFill="1" applyBorder="1"/>
    <xf numFmtId="0" fontId="0" fillId="21" borderId="16" xfId="0" applyFill="1" applyBorder="1"/>
    <xf numFmtId="0" fontId="0" fillId="21" borderId="12" xfId="0" applyFill="1" applyBorder="1"/>
    <xf numFmtId="0" fontId="0" fillId="21" borderId="0" xfId="0" applyFill="1"/>
    <xf numFmtId="0" fontId="0" fillId="21" borderId="13" xfId="0" applyFill="1" applyBorder="1"/>
    <xf numFmtId="16" fontId="0" fillId="0" borderId="0" xfId="0" applyNumberFormat="1"/>
    <xf numFmtId="0" fontId="0" fillId="21" borderId="21" xfId="0" applyFill="1" applyBorder="1"/>
    <xf numFmtId="0" fontId="0" fillId="21" borderId="22" xfId="0" applyFill="1" applyBorder="1"/>
    <xf numFmtId="0" fontId="0" fillId="8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22" borderId="9" xfId="0" applyFill="1" applyBorder="1"/>
    <xf numFmtId="0" fontId="0" fillId="22" borderId="10" xfId="0" applyFill="1" applyBorder="1"/>
    <xf numFmtId="0" fontId="0" fillId="22" borderId="12" xfId="0" applyFill="1" applyBorder="1"/>
    <xf numFmtId="0" fontId="0" fillId="22" borderId="0" xfId="0" applyFill="1"/>
    <xf numFmtId="0" fontId="0" fillId="22" borderId="11" xfId="0" applyFill="1" applyBorder="1"/>
    <xf numFmtId="0" fontId="0" fillId="22" borderId="13" xfId="0" applyFill="1" applyBorder="1"/>
    <xf numFmtId="0" fontId="0" fillId="22" borderId="14" xfId="0" applyFill="1" applyBorder="1"/>
    <xf numFmtId="0" fontId="0" fillId="22" borderId="15" xfId="0" applyFill="1" applyBorder="1"/>
    <xf numFmtId="0" fontId="0" fillId="22" borderId="16" xfId="0" applyFill="1" applyBorder="1"/>
    <xf numFmtId="0" fontId="0" fillId="7" borderId="18" xfId="0" applyFill="1" applyBorder="1"/>
    <xf numFmtId="0" fontId="0" fillId="7" borderId="19" xfId="0" applyFill="1" applyBorder="1"/>
    <xf numFmtId="0" fontId="0" fillId="17" borderId="14" xfId="0" applyFill="1" applyBorder="1"/>
    <xf numFmtId="0" fontId="0" fillId="0" borderId="47" xfId="0" applyBorder="1"/>
    <xf numFmtId="0" fontId="0" fillId="0" borderId="48" xfId="0" applyBorder="1"/>
    <xf numFmtId="0" fontId="0" fillId="0" borderId="50" xfId="0" applyBorder="1"/>
    <xf numFmtId="0" fontId="0" fillId="0" borderId="49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7" xfId="0" applyBorder="1"/>
    <xf numFmtId="0" fontId="0" fillId="0" borderId="56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61" xfId="0" applyBorder="1"/>
    <xf numFmtId="0" fontId="0" fillId="0" borderId="62" xfId="0" applyBorder="1"/>
    <xf numFmtId="0" fontId="0" fillId="0" borderId="63" xfId="0" applyBorder="1"/>
    <xf numFmtId="0" fontId="0" fillId="0" borderId="64" xfId="0" applyBorder="1"/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68" xfId="0" applyBorder="1"/>
    <xf numFmtId="0" fontId="0" fillId="23" borderId="13" xfId="0" applyFill="1" applyBorder="1"/>
    <xf numFmtId="0" fontId="0" fillId="23" borderId="0" xfId="0" applyFill="1"/>
    <xf numFmtId="0" fontId="0" fillId="4" borderId="0" xfId="0" applyFill="1" applyBorder="1"/>
    <xf numFmtId="0" fontId="0" fillId="17" borderId="0" xfId="0" applyFill="1" applyBorder="1"/>
    <xf numFmtId="0" fontId="0" fillId="0" borderId="0" xfId="0" applyBorder="1"/>
    <xf numFmtId="0" fontId="0" fillId="13" borderId="0" xfId="0" applyFill="1" applyBorder="1"/>
    <xf numFmtId="0" fontId="0" fillId="5" borderId="0" xfId="0" applyFill="1" applyBorder="1"/>
    <xf numFmtId="0" fontId="0" fillId="24" borderId="0" xfId="0" applyFill="1" applyBorder="1"/>
    <xf numFmtId="0" fontId="0" fillId="24" borderId="13" xfId="0" applyFill="1" applyBorder="1"/>
    <xf numFmtId="0" fontId="0" fillId="10" borderId="17" xfId="0" applyFill="1" applyBorder="1"/>
    <xf numFmtId="0" fontId="0" fillId="10" borderId="18" xfId="0" applyFill="1" applyBorder="1"/>
    <xf numFmtId="0" fontId="0" fillId="10" borderId="19" xfId="0" applyFill="1" applyBorder="1"/>
    <xf numFmtId="0" fontId="0" fillId="23" borderId="0" xfId="0" applyFill="1" applyBorder="1"/>
    <xf numFmtId="0" fontId="6" fillId="0" borderId="0" xfId="0" applyFont="1" applyBorder="1"/>
    <xf numFmtId="0" fontId="0" fillId="13" borderId="47" xfId="0" applyFill="1" applyBorder="1"/>
    <xf numFmtId="0" fontId="0" fillId="13" borderId="50" xfId="0" applyFill="1" applyBorder="1"/>
    <xf numFmtId="0" fontId="0" fillId="13" borderId="49" xfId="0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D49F00"/>
      <color rgb="FFD6A000"/>
      <color rgb="FFFFFBE4"/>
      <color rgb="FF0852C4"/>
      <color rgb="FF9DC3E6"/>
      <color rgb="FF9CC3E6"/>
      <color rgb="FFFFC0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50800</xdr:colOff>
      <xdr:row>82</xdr:row>
      <xdr:rowOff>101600</xdr:rowOff>
    </xdr:from>
    <xdr:to>
      <xdr:col>30</xdr:col>
      <xdr:colOff>25400</xdr:colOff>
      <xdr:row>85</xdr:row>
      <xdr:rowOff>76200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08800" y="18846800"/>
          <a:ext cx="660400" cy="660400"/>
        </a:xfrm>
        <a:prstGeom prst="ellipse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209932</xdr:colOff>
      <xdr:row>97</xdr:row>
      <xdr:rowOff>201335</xdr:rowOff>
    </xdr:from>
    <xdr:to>
      <xdr:col>62</xdr:col>
      <xdr:colOff>92843</xdr:colOff>
      <xdr:row>104</xdr:row>
      <xdr:rowOff>2771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 rot="3426135">
          <a:off x="13770024" y="24003824"/>
          <a:ext cx="1522081" cy="1603556"/>
          <a:chOff x="21448891" y="25973857"/>
          <a:chExt cx="1382889" cy="1449245"/>
        </a:xfrm>
      </xdr:grpSpPr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Straight Connector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68</xdr:col>
      <xdr:colOff>29195</xdr:colOff>
      <xdr:row>160</xdr:row>
      <xdr:rowOff>14598</xdr:rowOff>
    </xdr:from>
    <xdr:to>
      <xdr:col>81</xdr:col>
      <xdr:colOff>189770</xdr:colOff>
      <xdr:row>176</xdr:row>
      <xdr:rowOff>175173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5911494" y="37384713"/>
          <a:ext cx="3196897" cy="389758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0</xdr:colOff>
      <xdr:row>246</xdr:row>
      <xdr:rowOff>0</xdr:rowOff>
    </xdr:from>
    <xdr:to>
      <xdr:col>161</xdr:col>
      <xdr:colOff>111511</xdr:colOff>
      <xdr:row>252</xdr:row>
      <xdr:rowOff>30036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 rot="3426135">
          <a:off x="38140737" y="60427650"/>
          <a:ext cx="1504875" cy="1586350"/>
          <a:chOff x="21448891" y="25973857"/>
          <a:chExt cx="1382889" cy="1449245"/>
        </a:xfrm>
      </xdr:grpSpPr>
      <xdr:cxnSp macro="">
        <xdr:nvCxnSpPr>
          <xdr:cNvPr id="3" name="Straight Arrow Connector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11948</xdr:col>
      <xdr:colOff>25400</xdr:colOff>
      <xdr:row>14296</xdr:row>
      <xdr:rowOff>76200</xdr:rowOff>
    </xdr:from>
    <xdr:to>
      <xdr:col>11948</xdr:col>
      <xdr:colOff>48079</xdr:colOff>
      <xdr:row>14303</xdr:row>
      <xdr:rowOff>43779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 flipV="1">
          <a:off x="33487012" y="52027072"/>
          <a:ext cx="22679" cy="1449245"/>
        </a:xfrm>
        <a:prstGeom prst="straightConnector1">
          <a:avLst/>
        </a:prstGeom>
        <a:ln w="57150">
          <a:headEnd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11960</xdr:col>
      <xdr:colOff>203200</xdr:colOff>
      <xdr:row>14699</xdr:row>
      <xdr:rowOff>0</xdr:rowOff>
    </xdr:from>
    <xdr:to>
      <xdr:col>11967</xdr:col>
      <xdr:colOff>104422</xdr:colOff>
      <xdr:row>14699</xdr:row>
      <xdr:rowOff>9408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V="1">
          <a:off x="32717507" y="52800638"/>
          <a:ext cx="1382889" cy="9408"/>
        </a:xfrm>
        <a:prstGeom prst="line">
          <a:avLst/>
        </a:prstGeom>
        <a:ln w="571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156584</xdr:colOff>
      <xdr:row>448</xdr:row>
      <xdr:rowOff>208067</xdr:rowOff>
    </xdr:from>
    <xdr:to>
      <xdr:col>100</xdr:col>
      <xdr:colOff>51266</xdr:colOff>
      <xdr:row>455</xdr:row>
      <xdr:rowOff>1324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42E1D723-07E8-984B-B4DA-B0934E8C227D}"/>
            </a:ext>
          </a:extLst>
        </xdr:cNvPr>
        <xdr:cNvGrpSpPr/>
      </xdr:nvGrpSpPr>
      <xdr:grpSpPr>
        <a:xfrm rot="3426135">
          <a:off x="23067297" y="110278644"/>
          <a:ext cx="1513902" cy="1615327"/>
          <a:chOff x="21448891" y="25973857"/>
          <a:chExt cx="1382889" cy="1449245"/>
        </a:xfrm>
      </xdr:grpSpPr>
      <xdr:cxnSp macro="">
        <xdr:nvCxnSpPr>
          <xdr:cNvPr id="15" name="Straight Arrow Connector 14">
            <a:extLst>
              <a:ext uri="{FF2B5EF4-FFF2-40B4-BE49-F238E27FC236}">
                <a16:creationId xmlns:a16="http://schemas.microsoft.com/office/drawing/2014/main" id="{B4135AC6-6C7D-9357-2015-BDFA2632FD52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Straight Connector 18">
            <a:extLst>
              <a:ext uri="{FF2B5EF4-FFF2-40B4-BE49-F238E27FC236}">
                <a16:creationId xmlns:a16="http://schemas.microsoft.com/office/drawing/2014/main" id="{4B9E7F86-FC6F-FFB4-550A-80DC42D9146C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218</xdr:col>
      <xdr:colOff>84532</xdr:colOff>
      <xdr:row>571</xdr:row>
      <xdr:rowOff>112554</xdr:rowOff>
    </xdr:from>
    <xdr:to>
      <xdr:col>245</xdr:col>
      <xdr:colOff>146210</xdr:colOff>
      <xdr:row>572</xdr:row>
      <xdr:rowOff>129209</xdr:rowOff>
    </xdr:to>
    <xdr:sp macro="" textlink="">
      <xdr:nvSpPr>
        <xdr:cNvPr id="29" name="Parallelogram 28">
          <a:extLst>
            <a:ext uri="{FF2B5EF4-FFF2-40B4-BE49-F238E27FC236}">
              <a16:creationId xmlns:a16="http://schemas.microsoft.com/office/drawing/2014/main" id="{AE2D97C7-21D5-6A49-86D1-A6DEE99AD8B0}"/>
            </a:ext>
          </a:extLst>
        </xdr:cNvPr>
        <xdr:cNvSpPr/>
      </xdr:nvSpPr>
      <xdr:spPr>
        <a:xfrm rot="1574555" flipV="1">
          <a:off x="39387690" y="133696501"/>
          <a:ext cx="6378257" cy="250603"/>
        </a:xfrm>
        <a:prstGeom prst="parallelogram">
          <a:avLst>
            <a:gd name="adj" fmla="val 5178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161</xdr:col>
      <xdr:colOff>72930</xdr:colOff>
      <xdr:row>142</xdr:row>
      <xdr:rowOff>11424</xdr:rowOff>
    </xdr:from>
    <xdr:to>
      <xdr:col>168</xdr:col>
      <xdr:colOff>205694</xdr:colOff>
      <xdr:row>149</xdr:row>
      <xdr:rowOff>123900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E59A381-7CB4-5B4E-A55F-6A2748C37620}"/>
            </a:ext>
          </a:extLst>
        </xdr:cNvPr>
        <xdr:cNvSpPr/>
      </xdr:nvSpPr>
      <xdr:spPr>
        <a:xfrm>
          <a:off x="34982442" y="30801180"/>
          <a:ext cx="1650569" cy="1630281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133</xdr:col>
      <xdr:colOff>211064</xdr:colOff>
      <xdr:row>141</xdr:row>
      <xdr:rowOff>155152</xdr:rowOff>
    </xdr:from>
    <xdr:to>
      <xdr:col>141</xdr:col>
      <xdr:colOff>126999</xdr:colOff>
      <xdr:row>149</xdr:row>
      <xdr:rowOff>50799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33176170-A49A-6840-B585-2119699C21F9}"/>
            </a:ext>
          </a:extLst>
        </xdr:cNvPr>
        <xdr:cNvSpPr/>
      </xdr:nvSpPr>
      <xdr:spPr>
        <a:xfrm>
          <a:off x="30614864" y="323877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173</xdr:col>
      <xdr:colOff>162082</xdr:colOff>
      <xdr:row>152</xdr:row>
      <xdr:rowOff>17001</xdr:rowOff>
    </xdr:from>
    <xdr:to>
      <xdr:col>181</xdr:col>
      <xdr:colOff>65641</xdr:colOff>
      <xdr:row>159</xdr:row>
      <xdr:rowOff>141248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3B43220A-9A4B-2842-817F-A27AFBC4C319}"/>
            </a:ext>
          </a:extLst>
        </xdr:cNvPr>
        <xdr:cNvSpPr/>
      </xdr:nvSpPr>
      <xdr:spPr>
        <a:xfrm>
          <a:off x="42011606" y="36786525"/>
          <a:ext cx="1838797" cy="1817580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194</xdr:col>
      <xdr:colOff>33264</xdr:colOff>
      <xdr:row>152</xdr:row>
      <xdr:rowOff>155152</xdr:rowOff>
    </xdr:from>
    <xdr:to>
      <xdr:col>201</xdr:col>
      <xdr:colOff>177799</xdr:colOff>
      <xdr:row>160</xdr:row>
      <xdr:rowOff>50799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7C9BCA82-F361-674C-907B-AD84D6E4E1F8}"/>
            </a:ext>
          </a:extLst>
        </xdr:cNvPr>
        <xdr:cNvSpPr/>
      </xdr:nvSpPr>
      <xdr:spPr>
        <a:xfrm>
          <a:off x="44381664" y="349023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161</xdr:col>
      <xdr:colOff>185664</xdr:colOff>
      <xdr:row>162</xdr:row>
      <xdr:rowOff>180552</xdr:rowOff>
    </xdr:from>
    <xdr:to>
      <xdr:col>169</xdr:col>
      <xdr:colOff>101599</xdr:colOff>
      <xdr:row>170</xdr:row>
      <xdr:rowOff>76199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5E848770-F0DC-0845-BF05-FD52B07AD8FC}"/>
            </a:ext>
          </a:extLst>
        </xdr:cNvPr>
        <xdr:cNvSpPr/>
      </xdr:nvSpPr>
      <xdr:spPr>
        <a:xfrm>
          <a:off x="36990264" y="372137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4506</xdr:colOff>
      <xdr:row>174</xdr:row>
      <xdr:rowOff>140904</xdr:rowOff>
    </xdr:from>
    <xdr:to>
      <xdr:col>154</xdr:col>
      <xdr:colOff>174117</xdr:colOff>
      <xdr:row>182</xdr:row>
      <xdr:rowOff>48322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F2293EED-B94C-2149-BC43-AC76B4F299EA}"/>
            </a:ext>
          </a:extLst>
        </xdr:cNvPr>
        <xdr:cNvSpPr/>
      </xdr:nvSpPr>
      <xdr:spPr>
        <a:xfrm>
          <a:off x="35564506" y="42232333"/>
          <a:ext cx="1862944" cy="1842656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194</xdr:col>
      <xdr:colOff>7864</xdr:colOff>
      <xdr:row>174</xdr:row>
      <xdr:rowOff>28152</xdr:rowOff>
    </xdr:from>
    <xdr:to>
      <xdr:col>201</xdr:col>
      <xdr:colOff>152399</xdr:colOff>
      <xdr:row>181</xdr:row>
      <xdr:rowOff>152399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F435B52D-AC24-E244-A898-A7C8826281FB}"/>
            </a:ext>
          </a:extLst>
        </xdr:cNvPr>
        <xdr:cNvSpPr/>
      </xdr:nvSpPr>
      <xdr:spPr>
        <a:xfrm>
          <a:off x="44356264" y="398045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134</xdr:col>
      <xdr:colOff>211064</xdr:colOff>
      <xdr:row>162</xdr:row>
      <xdr:rowOff>180552</xdr:rowOff>
    </xdr:from>
    <xdr:to>
      <xdr:col>142</xdr:col>
      <xdr:colOff>126999</xdr:colOff>
      <xdr:row>170</xdr:row>
      <xdr:rowOff>76199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142F880B-F001-C348-9DCE-1F2DA533B402}"/>
            </a:ext>
          </a:extLst>
        </xdr:cNvPr>
        <xdr:cNvSpPr/>
      </xdr:nvSpPr>
      <xdr:spPr>
        <a:xfrm>
          <a:off x="30843464" y="372137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109464</xdr:colOff>
      <xdr:row>191</xdr:row>
      <xdr:rowOff>155152</xdr:rowOff>
    </xdr:from>
    <xdr:to>
      <xdr:col>161</xdr:col>
      <xdr:colOff>25399</xdr:colOff>
      <xdr:row>199</xdr:row>
      <xdr:rowOff>50799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5D4416A5-DA1C-444D-8196-2DE680F8196E}"/>
            </a:ext>
          </a:extLst>
        </xdr:cNvPr>
        <xdr:cNvSpPr/>
      </xdr:nvSpPr>
      <xdr:spPr>
        <a:xfrm>
          <a:off x="35085264" y="438177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170</xdr:col>
      <xdr:colOff>185664</xdr:colOff>
      <xdr:row>175</xdr:row>
      <xdr:rowOff>53552</xdr:rowOff>
    </xdr:from>
    <xdr:to>
      <xdr:col>178</xdr:col>
      <xdr:colOff>101599</xdr:colOff>
      <xdr:row>182</xdr:row>
      <xdr:rowOff>177799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6301E275-2B4E-C54D-BE9C-91B49930DE5B}"/>
            </a:ext>
          </a:extLst>
        </xdr:cNvPr>
        <xdr:cNvSpPr/>
      </xdr:nvSpPr>
      <xdr:spPr>
        <a:xfrm>
          <a:off x="39047664" y="400585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193</xdr:col>
      <xdr:colOff>109464</xdr:colOff>
      <xdr:row>191</xdr:row>
      <xdr:rowOff>205952</xdr:rowOff>
    </xdr:from>
    <xdr:to>
      <xdr:col>201</xdr:col>
      <xdr:colOff>25399</xdr:colOff>
      <xdr:row>199</xdr:row>
      <xdr:rowOff>101599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DE8169F-BB62-8F4F-8B8B-B6E90E01CB49}"/>
            </a:ext>
          </a:extLst>
        </xdr:cNvPr>
        <xdr:cNvSpPr/>
      </xdr:nvSpPr>
      <xdr:spPr>
        <a:xfrm>
          <a:off x="44229264" y="438685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171</xdr:col>
      <xdr:colOff>7864</xdr:colOff>
      <xdr:row>191</xdr:row>
      <xdr:rowOff>104352</xdr:rowOff>
    </xdr:from>
    <xdr:to>
      <xdr:col>178</xdr:col>
      <xdr:colOff>152399</xdr:colOff>
      <xdr:row>199</xdr:row>
      <xdr:rowOff>-1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3F7EFFD8-59A4-6845-9B83-3FDA930673E6}"/>
            </a:ext>
          </a:extLst>
        </xdr:cNvPr>
        <xdr:cNvSpPr/>
      </xdr:nvSpPr>
      <xdr:spPr>
        <a:xfrm>
          <a:off x="39098464" y="437669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11670</xdr:col>
      <xdr:colOff>25400</xdr:colOff>
      <xdr:row>13871</xdr:row>
      <xdr:rowOff>76200</xdr:rowOff>
    </xdr:from>
    <xdr:to>
      <xdr:col>11670</xdr:col>
      <xdr:colOff>48079</xdr:colOff>
      <xdr:row>13878</xdr:row>
      <xdr:rowOff>43779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89A61A9A-A34F-3642-83DA-EEEBB0AF52C8}"/>
            </a:ext>
          </a:extLst>
        </xdr:cNvPr>
        <xdr:cNvCxnSpPr/>
      </xdr:nvCxnSpPr>
      <xdr:spPr>
        <a:xfrm flipH="1" flipV="1">
          <a:off x="2731338200" y="3268141800"/>
          <a:ext cx="22679" cy="1567779"/>
        </a:xfrm>
        <a:prstGeom prst="straightConnector1">
          <a:avLst/>
        </a:prstGeom>
        <a:ln w="57150">
          <a:headEnd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11682</xdr:col>
      <xdr:colOff>203200</xdr:colOff>
      <xdr:row>14274</xdr:row>
      <xdr:rowOff>0</xdr:rowOff>
    </xdr:from>
    <xdr:to>
      <xdr:col>11689</xdr:col>
      <xdr:colOff>104422</xdr:colOff>
      <xdr:row>14274</xdr:row>
      <xdr:rowOff>9408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6A926EA5-43E3-5146-B796-CB24E3346148}"/>
            </a:ext>
          </a:extLst>
        </xdr:cNvPr>
        <xdr:cNvCxnSpPr/>
      </xdr:nvCxnSpPr>
      <xdr:spPr>
        <a:xfrm flipV="1">
          <a:off x="2734259200" y="3360191400"/>
          <a:ext cx="1501422" cy="9408"/>
        </a:xfrm>
        <a:prstGeom prst="line">
          <a:avLst/>
        </a:prstGeom>
        <a:ln w="571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95250</xdr:colOff>
      <xdr:row>35</xdr:row>
      <xdr:rowOff>0</xdr:rowOff>
    </xdr:from>
    <xdr:to>
      <xdr:col>104</xdr:col>
      <xdr:colOff>21682</xdr:colOff>
      <xdr:row>41</xdr:row>
      <xdr:rowOff>47257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41F97509-C76C-4344-A2E2-F8DCB64FEB3F}"/>
            </a:ext>
          </a:extLst>
        </xdr:cNvPr>
        <xdr:cNvGrpSpPr/>
      </xdr:nvGrpSpPr>
      <xdr:grpSpPr>
        <a:xfrm rot="3426135">
          <a:off x="23252025" y="8275725"/>
          <a:ext cx="1476007" cy="1593307"/>
          <a:chOff x="21448891" y="25973857"/>
          <a:chExt cx="1382889" cy="1449245"/>
        </a:xfrm>
      </xdr:grpSpPr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31EBBCCB-BEBB-6316-EEF1-91E1025CAA13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2C023079-944B-8346-3FF0-5C7F430DF1A4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191</xdr:col>
      <xdr:colOff>32167</xdr:colOff>
      <xdr:row>93</xdr:row>
      <xdr:rowOff>214199</xdr:rowOff>
    </xdr:from>
    <xdr:to>
      <xdr:col>216</xdr:col>
      <xdr:colOff>196029</xdr:colOff>
      <xdr:row>94</xdr:row>
      <xdr:rowOff>172229</xdr:rowOff>
    </xdr:to>
    <xdr:sp macro="" textlink="">
      <xdr:nvSpPr>
        <xdr:cNvPr id="20" name="Parallelogram 19">
          <a:extLst>
            <a:ext uri="{FF2B5EF4-FFF2-40B4-BE49-F238E27FC236}">
              <a16:creationId xmlns:a16="http://schemas.microsoft.com/office/drawing/2014/main" id="{9194BE0A-032A-2144-AFBE-393F84821585}"/>
            </a:ext>
          </a:extLst>
        </xdr:cNvPr>
        <xdr:cNvSpPr/>
      </xdr:nvSpPr>
      <xdr:spPr>
        <a:xfrm rot="1172970" flipV="1">
          <a:off x="44257637" y="21748066"/>
          <a:ext cx="5952536" cy="189577"/>
        </a:xfrm>
        <a:prstGeom prst="parallelogram">
          <a:avLst>
            <a:gd name="adj" fmla="val 37154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203200</xdr:colOff>
      <xdr:row>95</xdr:row>
      <xdr:rowOff>0</xdr:rowOff>
    </xdr:from>
    <xdr:to>
      <xdr:col>100</xdr:col>
      <xdr:colOff>43051</xdr:colOff>
      <xdr:row>115</xdr:row>
      <xdr:rowOff>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907FA2BF-3B47-07D9-1C2F-46EB96C1FD2F}"/>
            </a:ext>
          </a:extLst>
        </xdr:cNvPr>
        <xdr:cNvCxnSpPr/>
      </xdr:nvCxnSpPr>
      <xdr:spPr>
        <a:xfrm>
          <a:off x="18172752" y="21608955"/>
          <a:ext cx="4616568" cy="454925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31750</xdr:colOff>
      <xdr:row>152</xdr:row>
      <xdr:rowOff>63501</xdr:rowOff>
    </xdr:from>
    <xdr:to>
      <xdr:col>109</xdr:col>
      <xdr:colOff>180432</xdr:colOff>
      <xdr:row>158</xdr:row>
      <xdr:rowOff>110758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99446E3A-97F6-0849-ABC0-9C97F303844C}"/>
            </a:ext>
          </a:extLst>
        </xdr:cNvPr>
        <xdr:cNvGrpSpPr/>
      </xdr:nvGrpSpPr>
      <xdr:grpSpPr>
        <a:xfrm rot="3426135">
          <a:off x="24609337" y="36207789"/>
          <a:ext cx="1476007" cy="1577432"/>
          <a:chOff x="21448891" y="25973857"/>
          <a:chExt cx="1382889" cy="1449245"/>
        </a:xfrm>
      </xdr:grpSpPr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785A7311-2C9B-908D-D309-A8A7ABFEA13A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D45D0000-62AB-30F5-C5FC-F59DB09B71A3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135</xdr:col>
      <xdr:colOff>203200</xdr:colOff>
      <xdr:row>143</xdr:row>
      <xdr:rowOff>25400</xdr:rowOff>
    </xdr:from>
    <xdr:to>
      <xdr:col>179</xdr:col>
      <xdr:colOff>0</xdr:colOff>
      <xdr:row>146</xdr:row>
      <xdr:rowOff>203200</xdr:rowOff>
    </xdr:to>
    <xdr:sp macro="" textlink="">
      <xdr:nvSpPr>
        <xdr:cNvPr id="47" name="Rounded Rectangle 46">
          <a:extLst>
            <a:ext uri="{FF2B5EF4-FFF2-40B4-BE49-F238E27FC236}">
              <a16:creationId xmlns:a16="http://schemas.microsoft.com/office/drawing/2014/main" id="{F604B335-A3D0-A299-3983-097E77653FD9}"/>
            </a:ext>
          </a:extLst>
        </xdr:cNvPr>
        <xdr:cNvSpPr/>
      </xdr:nvSpPr>
      <xdr:spPr>
        <a:xfrm>
          <a:off x="29475151" y="31031985"/>
          <a:ext cx="9337288" cy="828288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175</xdr:col>
      <xdr:colOff>76200</xdr:colOff>
      <xdr:row>154</xdr:row>
      <xdr:rowOff>70652</xdr:rowOff>
    </xdr:from>
    <xdr:to>
      <xdr:col>200</xdr:col>
      <xdr:colOff>16934</xdr:colOff>
      <xdr:row>158</xdr:row>
      <xdr:rowOff>29486</xdr:rowOff>
    </xdr:to>
    <xdr:sp macro="" textlink="">
      <xdr:nvSpPr>
        <xdr:cNvPr id="48" name="Rounded Rectangle 47">
          <a:extLst>
            <a:ext uri="{FF2B5EF4-FFF2-40B4-BE49-F238E27FC236}">
              <a16:creationId xmlns:a16="http://schemas.microsoft.com/office/drawing/2014/main" id="{68D7CAB8-5B37-154D-A8DA-1F9C70008D51}"/>
            </a:ext>
          </a:extLst>
        </xdr:cNvPr>
        <xdr:cNvSpPr/>
      </xdr:nvSpPr>
      <xdr:spPr>
        <a:xfrm>
          <a:off x="40081200" y="35275052"/>
          <a:ext cx="5655734" cy="873234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140</xdr:col>
      <xdr:colOff>0</xdr:colOff>
      <xdr:row>164</xdr:row>
      <xdr:rowOff>134885</xdr:rowOff>
    </xdr:from>
    <xdr:to>
      <xdr:col>167</xdr:col>
      <xdr:colOff>152400</xdr:colOff>
      <xdr:row>168</xdr:row>
      <xdr:rowOff>93719</xdr:rowOff>
    </xdr:to>
    <xdr:sp macro="" textlink="">
      <xdr:nvSpPr>
        <xdr:cNvPr id="49" name="Rounded Rectangle 48">
          <a:extLst>
            <a:ext uri="{FF2B5EF4-FFF2-40B4-BE49-F238E27FC236}">
              <a16:creationId xmlns:a16="http://schemas.microsoft.com/office/drawing/2014/main" id="{21F0BB15-091C-8446-9903-874051276A9B}"/>
            </a:ext>
          </a:extLst>
        </xdr:cNvPr>
        <xdr:cNvSpPr/>
      </xdr:nvSpPr>
      <xdr:spPr>
        <a:xfrm>
          <a:off x="32004000" y="37625285"/>
          <a:ext cx="6324600" cy="873234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140</xdr:col>
      <xdr:colOff>16933</xdr:colOff>
      <xdr:row>176</xdr:row>
      <xdr:rowOff>50798</xdr:rowOff>
    </xdr:from>
    <xdr:to>
      <xdr:col>195</xdr:col>
      <xdr:colOff>203200</xdr:colOff>
      <xdr:row>179</xdr:row>
      <xdr:rowOff>228598</xdr:rowOff>
    </xdr:to>
    <xdr:sp macro="" textlink="">
      <xdr:nvSpPr>
        <xdr:cNvPr id="50" name="Rounded Rectangle 49">
          <a:extLst>
            <a:ext uri="{FF2B5EF4-FFF2-40B4-BE49-F238E27FC236}">
              <a16:creationId xmlns:a16="http://schemas.microsoft.com/office/drawing/2014/main" id="{5536FD59-AEC3-4947-A5D6-C18CB2C4C8AE}"/>
            </a:ext>
          </a:extLst>
        </xdr:cNvPr>
        <xdr:cNvSpPr/>
      </xdr:nvSpPr>
      <xdr:spPr>
        <a:xfrm>
          <a:off x="32020933" y="40284398"/>
          <a:ext cx="12759267" cy="863600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203200</xdr:colOff>
      <xdr:row>194</xdr:row>
      <xdr:rowOff>71823</xdr:rowOff>
    </xdr:from>
    <xdr:to>
      <xdr:col>196</xdr:col>
      <xdr:colOff>0</xdr:colOff>
      <xdr:row>198</xdr:row>
      <xdr:rowOff>11388</xdr:rowOff>
    </xdr:to>
    <xdr:sp macro="" textlink="">
      <xdr:nvSpPr>
        <xdr:cNvPr id="51" name="Rounded Rectangle 50">
          <a:extLst>
            <a:ext uri="{FF2B5EF4-FFF2-40B4-BE49-F238E27FC236}">
              <a16:creationId xmlns:a16="http://schemas.microsoft.com/office/drawing/2014/main" id="{3C16D7E0-4706-1240-8F76-20BAC3E6FB85}"/>
            </a:ext>
          </a:extLst>
        </xdr:cNvPr>
        <xdr:cNvSpPr/>
      </xdr:nvSpPr>
      <xdr:spPr>
        <a:xfrm>
          <a:off x="35407600" y="44420223"/>
          <a:ext cx="9398000" cy="853965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215901</xdr:colOff>
      <xdr:row>147</xdr:row>
      <xdr:rowOff>25400</xdr:rowOff>
    </xdr:from>
    <xdr:to>
      <xdr:col>139</xdr:col>
      <xdr:colOff>165101</xdr:colOff>
      <xdr:row>180</xdr:row>
      <xdr:rowOff>50800</xdr:rowOff>
    </xdr:to>
    <xdr:sp macro="" textlink="">
      <xdr:nvSpPr>
        <xdr:cNvPr id="52" name="Rounded Rectangle 51">
          <a:extLst>
            <a:ext uri="{FF2B5EF4-FFF2-40B4-BE49-F238E27FC236}">
              <a16:creationId xmlns:a16="http://schemas.microsoft.com/office/drawing/2014/main" id="{EE51633F-7DE1-BB42-8C24-20FE37DF6194}"/>
            </a:ext>
          </a:extLst>
        </xdr:cNvPr>
        <xdr:cNvSpPr/>
      </xdr:nvSpPr>
      <xdr:spPr>
        <a:xfrm rot="5400000">
          <a:off x="27724101" y="36982400"/>
          <a:ext cx="7569200" cy="863600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196</xdr:col>
      <xdr:colOff>48608</xdr:colOff>
      <xdr:row>158</xdr:row>
      <xdr:rowOff>25403</xdr:rowOff>
    </xdr:from>
    <xdr:to>
      <xdr:col>199</xdr:col>
      <xdr:colOff>216773</xdr:colOff>
      <xdr:row>198</xdr:row>
      <xdr:rowOff>76201</xdr:rowOff>
    </xdr:to>
    <xdr:sp macro="" textlink="">
      <xdr:nvSpPr>
        <xdr:cNvPr id="53" name="Rounded Rectangle 52">
          <a:extLst>
            <a:ext uri="{FF2B5EF4-FFF2-40B4-BE49-F238E27FC236}">
              <a16:creationId xmlns:a16="http://schemas.microsoft.com/office/drawing/2014/main" id="{57293FBF-C49D-024D-B4F4-2E4BF1196532}"/>
            </a:ext>
          </a:extLst>
        </xdr:cNvPr>
        <xdr:cNvSpPr/>
      </xdr:nvSpPr>
      <xdr:spPr>
        <a:xfrm rot="5400000">
          <a:off x="40683792" y="40314619"/>
          <a:ext cx="9194798" cy="853965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172</xdr:col>
      <xdr:colOff>139700</xdr:colOff>
      <xdr:row>180</xdr:row>
      <xdr:rowOff>25400</xdr:rowOff>
    </xdr:from>
    <xdr:to>
      <xdr:col>176</xdr:col>
      <xdr:colOff>88900</xdr:colOff>
      <xdr:row>194</xdr:row>
      <xdr:rowOff>50800</xdr:rowOff>
    </xdr:to>
    <xdr:sp macro="" textlink="">
      <xdr:nvSpPr>
        <xdr:cNvPr id="55" name="Rounded Rectangle 54">
          <a:extLst>
            <a:ext uri="{FF2B5EF4-FFF2-40B4-BE49-F238E27FC236}">
              <a16:creationId xmlns:a16="http://schemas.microsoft.com/office/drawing/2014/main" id="{E799DC05-266F-2B4F-9CA0-7D45D16A7266}"/>
            </a:ext>
          </a:extLst>
        </xdr:cNvPr>
        <xdr:cNvSpPr/>
      </xdr:nvSpPr>
      <xdr:spPr>
        <a:xfrm rot="5400000">
          <a:off x="38277800" y="42354500"/>
          <a:ext cx="3225800" cy="863600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163</xdr:col>
      <xdr:colOff>139700</xdr:colOff>
      <xdr:row>147</xdr:row>
      <xdr:rowOff>18394</xdr:rowOff>
    </xdr:from>
    <xdr:to>
      <xdr:col>167</xdr:col>
      <xdr:colOff>88900</xdr:colOff>
      <xdr:row>164</xdr:row>
      <xdr:rowOff>76200</xdr:rowOff>
    </xdr:to>
    <xdr:sp macro="" textlink="">
      <xdr:nvSpPr>
        <xdr:cNvPr id="56" name="Rounded Rectangle 55">
          <a:extLst>
            <a:ext uri="{FF2B5EF4-FFF2-40B4-BE49-F238E27FC236}">
              <a16:creationId xmlns:a16="http://schemas.microsoft.com/office/drawing/2014/main" id="{38818683-240A-E34B-9470-E8D13761121A}"/>
            </a:ext>
          </a:extLst>
        </xdr:cNvPr>
        <xdr:cNvSpPr/>
      </xdr:nvSpPr>
      <xdr:spPr>
        <a:xfrm rot="5400000">
          <a:off x="35861297" y="35162797"/>
          <a:ext cx="3944006" cy="863600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151</xdr:col>
      <xdr:colOff>61952</xdr:colOff>
      <xdr:row>27</xdr:row>
      <xdr:rowOff>154878</xdr:rowOff>
    </xdr:from>
    <xdr:to>
      <xdr:col>162</xdr:col>
      <xdr:colOff>185854</xdr:colOff>
      <xdr:row>31</xdr:row>
      <xdr:rowOff>61952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A7EB835-8F27-8B93-2AB1-1878E6A0F1C4}"/>
            </a:ext>
          </a:extLst>
        </xdr:cNvPr>
        <xdr:cNvSpPr txBox="1"/>
      </xdr:nvSpPr>
      <xdr:spPr>
        <a:xfrm>
          <a:off x="32803172" y="6009268"/>
          <a:ext cx="2509023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13 x 10</a:t>
          </a:r>
        </a:p>
      </xdr:txBody>
    </xdr:sp>
    <xdr:clientData/>
  </xdr:twoCellAnchor>
  <xdr:twoCellAnchor>
    <xdr:from>
      <xdr:col>187</xdr:col>
      <xdr:colOff>90450</xdr:colOff>
      <xdr:row>37</xdr:row>
      <xdr:rowOff>121424</xdr:rowOff>
    </xdr:from>
    <xdr:to>
      <xdr:col>198</xdr:col>
      <xdr:colOff>214351</xdr:colOff>
      <xdr:row>41</xdr:row>
      <xdr:rowOff>28498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3314E852-C21C-A947-AA1E-760E5D50F276}"/>
            </a:ext>
          </a:extLst>
        </xdr:cNvPr>
        <xdr:cNvSpPr txBox="1"/>
      </xdr:nvSpPr>
      <xdr:spPr>
        <a:xfrm>
          <a:off x="40637523" y="8144107"/>
          <a:ext cx="2509023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11 x 19</a:t>
          </a:r>
        </a:p>
      </xdr:txBody>
    </xdr:sp>
    <xdr:clientData/>
  </xdr:twoCellAnchor>
  <xdr:twoCellAnchor>
    <xdr:from>
      <xdr:col>167</xdr:col>
      <xdr:colOff>214358</xdr:colOff>
      <xdr:row>62</xdr:row>
      <xdr:rowOff>183380</xdr:rowOff>
    </xdr:from>
    <xdr:to>
      <xdr:col>175</xdr:col>
      <xdr:colOff>92932</xdr:colOff>
      <xdr:row>66</xdr:row>
      <xdr:rowOff>90454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D0B4914C-08F7-714A-B9B0-292249CBCCAE}"/>
            </a:ext>
          </a:extLst>
        </xdr:cNvPr>
        <xdr:cNvSpPr txBox="1"/>
      </xdr:nvSpPr>
      <xdr:spPr>
        <a:xfrm>
          <a:off x="36424846" y="13626795"/>
          <a:ext cx="1613208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14</a:t>
          </a:r>
        </a:p>
      </xdr:txBody>
    </xdr:sp>
    <xdr:clientData/>
  </xdr:twoCellAnchor>
  <xdr:twoCellAnchor>
    <xdr:from>
      <xdr:col>145</xdr:col>
      <xdr:colOff>87973</xdr:colOff>
      <xdr:row>41</xdr:row>
      <xdr:rowOff>149921</xdr:rowOff>
    </xdr:from>
    <xdr:to>
      <xdr:col>152</xdr:col>
      <xdr:colOff>183376</xdr:colOff>
      <xdr:row>45</xdr:row>
      <xdr:rowOff>56995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D788C772-283E-3345-9500-0BCB75CD8C6C}"/>
            </a:ext>
          </a:extLst>
        </xdr:cNvPr>
        <xdr:cNvSpPr txBox="1"/>
      </xdr:nvSpPr>
      <xdr:spPr>
        <a:xfrm>
          <a:off x="31528217" y="9039921"/>
          <a:ext cx="1613208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10 x 5</a:t>
          </a:r>
        </a:p>
      </xdr:txBody>
    </xdr:sp>
    <xdr:clientData/>
  </xdr:twoCellAnchor>
  <xdr:twoCellAnchor>
    <xdr:from>
      <xdr:col>172</xdr:col>
      <xdr:colOff>116470</xdr:colOff>
      <xdr:row>25</xdr:row>
      <xdr:rowOff>23540</xdr:rowOff>
    </xdr:from>
    <xdr:to>
      <xdr:col>179</xdr:col>
      <xdr:colOff>211873</xdr:colOff>
      <xdr:row>28</xdr:row>
      <xdr:rowOff>147443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E6BF3495-88B5-614C-8979-77528042E900}"/>
            </a:ext>
          </a:extLst>
        </xdr:cNvPr>
        <xdr:cNvSpPr txBox="1"/>
      </xdr:nvSpPr>
      <xdr:spPr>
        <a:xfrm>
          <a:off x="37411104" y="5444272"/>
          <a:ext cx="1613208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5 x 5</a:t>
          </a:r>
        </a:p>
      </xdr:txBody>
    </xdr:sp>
    <xdr:clientData/>
  </xdr:twoCellAnchor>
  <xdr:twoCellAnchor>
    <xdr:from>
      <xdr:col>323</xdr:col>
      <xdr:colOff>214358</xdr:colOff>
      <xdr:row>186</xdr:row>
      <xdr:rowOff>183380</xdr:rowOff>
    </xdr:from>
    <xdr:to>
      <xdr:col>331</xdr:col>
      <xdr:colOff>92932</xdr:colOff>
      <xdr:row>190</xdr:row>
      <xdr:rowOff>90454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1A71A9A1-80CE-A340-B20D-A0B6086CA5C7}"/>
            </a:ext>
          </a:extLst>
        </xdr:cNvPr>
        <xdr:cNvSpPr txBox="1"/>
      </xdr:nvSpPr>
      <xdr:spPr>
        <a:xfrm>
          <a:off x="36424846" y="13626795"/>
          <a:ext cx="1613208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13</a:t>
          </a:r>
        </a:p>
      </xdr:txBody>
    </xdr:sp>
    <xdr:clientData/>
  </xdr:twoCellAnchor>
  <xdr:twoCellAnchor>
    <xdr:from>
      <xdr:col>270</xdr:col>
      <xdr:colOff>0</xdr:colOff>
      <xdr:row>160</xdr:row>
      <xdr:rowOff>0</xdr:rowOff>
    </xdr:from>
    <xdr:to>
      <xdr:col>281</xdr:col>
      <xdr:colOff>123902</xdr:colOff>
      <xdr:row>163</xdr:row>
      <xdr:rowOff>135023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58786D3-B231-1140-8DFA-9266784D5623}"/>
            </a:ext>
          </a:extLst>
        </xdr:cNvPr>
        <xdr:cNvSpPr txBox="1"/>
      </xdr:nvSpPr>
      <xdr:spPr>
        <a:xfrm>
          <a:off x="61546154" y="36471795"/>
          <a:ext cx="2631338" cy="818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24</a:t>
          </a:r>
        </a:p>
      </xdr:txBody>
    </xdr:sp>
    <xdr:clientData/>
  </xdr:twoCellAnchor>
  <xdr:twoCellAnchor>
    <xdr:from>
      <xdr:col>240</xdr:col>
      <xdr:colOff>0</xdr:colOff>
      <xdr:row>162</xdr:row>
      <xdr:rowOff>0</xdr:rowOff>
    </xdr:from>
    <xdr:to>
      <xdr:col>251</xdr:col>
      <xdr:colOff>123902</xdr:colOff>
      <xdr:row>165</xdr:row>
      <xdr:rowOff>135023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A08330D2-8AEE-C647-8BC8-452AF700B2B7}"/>
            </a:ext>
          </a:extLst>
        </xdr:cNvPr>
        <xdr:cNvSpPr txBox="1"/>
      </xdr:nvSpPr>
      <xdr:spPr>
        <a:xfrm>
          <a:off x="54707692" y="36927692"/>
          <a:ext cx="2631338" cy="818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10</a:t>
          </a:r>
        </a:p>
      </xdr:txBody>
    </xdr:sp>
    <xdr:clientData/>
  </xdr:twoCellAnchor>
  <xdr:twoCellAnchor>
    <xdr:from>
      <xdr:col>245</xdr:col>
      <xdr:colOff>152399</xdr:colOff>
      <xdr:row>182</xdr:row>
      <xdr:rowOff>22142</xdr:rowOff>
    </xdr:from>
    <xdr:to>
      <xdr:col>257</xdr:col>
      <xdr:colOff>48352</xdr:colOff>
      <xdr:row>185</xdr:row>
      <xdr:rowOff>157165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707A8CF2-F21B-ED47-824F-64B5E64DA2A0}"/>
            </a:ext>
          </a:extLst>
        </xdr:cNvPr>
        <xdr:cNvSpPr txBox="1"/>
      </xdr:nvSpPr>
      <xdr:spPr>
        <a:xfrm>
          <a:off x="55999835" y="41508809"/>
          <a:ext cx="2631338" cy="818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8</a:t>
          </a:r>
        </a:p>
      </xdr:txBody>
    </xdr:sp>
    <xdr:clientData/>
  </xdr:twoCellAnchor>
  <xdr:twoCellAnchor>
    <xdr:from>
      <xdr:col>307</xdr:col>
      <xdr:colOff>61952</xdr:colOff>
      <xdr:row>153</xdr:row>
      <xdr:rowOff>154878</xdr:rowOff>
    </xdr:from>
    <xdr:to>
      <xdr:col>318</xdr:col>
      <xdr:colOff>185854</xdr:colOff>
      <xdr:row>157</xdr:row>
      <xdr:rowOff>61952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A0E5CAE5-413E-E94B-B0E3-6250FF7D8592}"/>
            </a:ext>
          </a:extLst>
        </xdr:cNvPr>
        <xdr:cNvSpPr txBox="1"/>
      </xdr:nvSpPr>
      <xdr:spPr>
        <a:xfrm>
          <a:off x="68463706" y="33798738"/>
          <a:ext cx="2574780" cy="7983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13 x 12</a:t>
          </a:r>
        </a:p>
      </xdr:txBody>
    </xdr:sp>
    <xdr:clientData/>
  </xdr:twoCellAnchor>
  <xdr:twoCellAnchor>
    <xdr:from>
      <xdr:col>341</xdr:col>
      <xdr:colOff>90450</xdr:colOff>
      <xdr:row>163</xdr:row>
      <xdr:rowOff>121424</xdr:rowOff>
    </xdr:from>
    <xdr:to>
      <xdr:col>352</xdr:col>
      <xdr:colOff>214351</xdr:colOff>
      <xdr:row>167</xdr:row>
      <xdr:rowOff>28498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DCEFADBC-C619-EF4E-8CA5-8A3C8900BCE6}"/>
            </a:ext>
          </a:extLst>
        </xdr:cNvPr>
        <xdr:cNvSpPr txBox="1"/>
      </xdr:nvSpPr>
      <xdr:spPr>
        <a:xfrm>
          <a:off x="76067643" y="35993354"/>
          <a:ext cx="2574778" cy="7983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20</a:t>
          </a:r>
        </a:p>
      </xdr:txBody>
    </xdr:sp>
    <xdr:clientData/>
  </xdr:twoCellAnchor>
  <xdr:twoCellAnchor>
    <xdr:from>
      <xdr:col>45</xdr:col>
      <xdr:colOff>214358</xdr:colOff>
      <xdr:row>287</xdr:row>
      <xdr:rowOff>183380</xdr:rowOff>
    </xdr:from>
    <xdr:to>
      <xdr:col>53</xdr:col>
      <xdr:colOff>92932</xdr:colOff>
      <xdr:row>291</xdr:row>
      <xdr:rowOff>90454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2A32FE2D-BB64-8543-BB2D-FDCC1B081F8E}"/>
            </a:ext>
          </a:extLst>
        </xdr:cNvPr>
        <xdr:cNvSpPr txBox="1"/>
      </xdr:nvSpPr>
      <xdr:spPr>
        <a:xfrm>
          <a:off x="79609842" y="45903380"/>
          <a:ext cx="1845025" cy="89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13</a:t>
          </a:r>
        </a:p>
      </xdr:txBody>
    </xdr:sp>
    <xdr:clientData/>
  </xdr:twoCellAnchor>
  <xdr:twoCellAnchor>
    <xdr:from>
      <xdr:col>29</xdr:col>
      <xdr:colOff>61952</xdr:colOff>
      <xdr:row>254</xdr:row>
      <xdr:rowOff>154878</xdr:rowOff>
    </xdr:from>
    <xdr:to>
      <xdr:col>40</xdr:col>
      <xdr:colOff>185854</xdr:colOff>
      <xdr:row>258</xdr:row>
      <xdr:rowOff>61952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11149A73-874C-524B-8897-9F761C5C9A29}"/>
            </a:ext>
          </a:extLst>
        </xdr:cNvPr>
        <xdr:cNvSpPr txBox="1"/>
      </xdr:nvSpPr>
      <xdr:spPr>
        <a:xfrm>
          <a:off x="75524533" y="37763265"/>
          <a:ext cx="2827773" cy="89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13 x 12</a:t>
          </a:r>
        </a:p>
      </xdr:txBody>
    </xdr:sp>
    <xdr:clientData/>
  </xdr:twoCellAnchor>
  <xdr:twoCellAnchor>
    <xdr:from>
      <xdr:col>63</xdr:col>
      <xdr:colOff>90450</xdr:colOff>
      <xdr:row>264</xdr:row>
      <xdr:rowOff>121424</xdr:rowOff>
    </xdr:from>
    <xdr:to>
      <xdr:col>74</xdr:col>
      <xdr:colOff>214351</xdr:colOff>
      <xdr:row>268</xdr:row>
      <xdr:rowOff>28498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C6FF4891-029F-9548-8FC9-98601B08F596}"/>
            </a:ext>
          </a:extLst>
        </xdr:cNvPr>
        <xdr:cNvSpPr txBox="1"/>
      </xdr:nvSpPr>
      <xdr:spPr>
        <a:xfrm>
          <a:off x="83910450" y="40187876"/>
          <a:ext cx="2827772" cy="8902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20</a:t>
          </a:r>
        </a:p>
      </xdr:txBody>
    </xdr:sp>
    <xdr:clientData/>
  </xdr:twoCellAnchor>
  <xdr:twoCellAnchor>
    <xdr:from>
      <xdr:col>16</xdr:col>
      <xdr:colOff>107062</xdr:colOff>
      <xdr:row>267</xdr:row>
      <xdr:rowOff>204838</xdr:rowOff>
    </xdr:from>
    <xdr:to>
      <xdr:col>88</xdr:col>
      <xdr:colOff>120952</xdr:colOff>
      <xdr:row>271</xdr:row>
      <xdr:rowOff>-1</xdr:rowOff>
    </xdr:to>
    <xdr:sp macro="" textlink="">
      <xdr:nvSpPr>
        <xdr:cNvPr id="82" name="Rounded Rectangle 81">
          <a:extLst>
            <a:ext uri="{FF2B5EF4-FFF2-40B4-BE49-F238E27FC236}">
              <a16:creationId xmlns:a16="http://schemas.microsoft.com/office/drawing/2014/main" id="{83AEF2A8-3CB7-7C43-B989-458E3D1141C5}"/>
            </a:ext>
          </a:extLst>
        </xdr:cNvPr>
        <xdr:cNvSpPr/>
      </xdr:nvSpPr>
      <xdr:spPr>
        <a:xfrm>
          <a:off x="30345157" y="58261981"/>
          <a:ext cx="17431033" cy="762780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218495</xdr:colOff>
      <xdr:row>242</xdr:row>
      <xdr:rowOff>29496</xdr:rowOff>
    </xdr:from>
    <xdr:to>
      <xdr:col>62</xdr:col>
      <xdr:colOff>127000</xdr:colOff>
      <xdr:row>245</xdr:row>
      <xdr:rowOff>122904</xdr:rowOff>
    </xdr:to>
    <xdr:sp macro="" textlink="">
      <xdr:nvSpPr>
        <xdr:cNvPr id="83" name="Rounded Rectangle 82">
          <a:extLst>
            <a:ext uri="{FF2B5EF4-FFF2-40B4-BE49-F238E27FC236}">
              <a16:creationId xmlns:a16="http://schemas.microsoft.com/office/drawing/2014/main" id="{41C62774-5BC7-E440-A1B0-E35EB7F51D2E}"/>
            </a:ext>
          </a:extLst>
        </xdr:cNvPr>
        <xdr:cNvSpPr/>
      </xdr:nvSpPr>
      <xdr:spPr>
        <a:xfrm>
          <a:off x="28564895" y="49178496"/>
          <a:ext cx="10652705" cy="779208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228327</xdr:colOff>
      <xdr:row>295</xdr:row>
      <xdr:rowOff>66367</xdr:rowOff>
    </xdr:from>
    <xdr:to>
      <xdr:col>88</xdr:col>
      <xdr:colOff>27038</xdr:colOff>
      <xdr:row>298</xdr:row>
      <xdr:rowOff>142568</xdr:rowOff>
    </xdr:to>
    <xdr:sp macro="" textlink="">
      <xdr:nvSpPr>
        <xdr:cNvPr id="84" name="Rounded Rectangle 83">
          <a:extLst>
            <a:ext uri="{FF2B5EF4-FFF2-40B4-BE49-F238E27FC236}">
              <a16:creationId xmlns:a16="http://schemas.microsoft.com/office/drawing/2014/main" id="{7092F07C-A302-CF44-917A-39B87979FEEF}"/>
            </a:ext>
          </a:extLst>
        </xdr:cNvPr>
        <xdr:cNvSpPr/>
      </xdr:nvSpPr>
      <xdr:spPr>
        <a:xfrm>
          <a:off x="32918127" y="61331167"/>
          <a:ext cx="12143111" cy="762001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81</xdr:col>
      <xdr:colOff>18473</xdr:colOff>
      <xdr:row>252</xdr:row>
      <xdr:rowOff>33485</xdr:rowOff>
    </xdr:from>
    <xdr:to>
      <xdr:col>84</xdr:col>
      <xdr:colOff>94672</xdr:colOff>
      <xdr:row>299</xdr:row>
      <xdr:rowOff>137391</xdr:rowOff>
    </xdr:to>
    <xdr:sp macro="" textlink="">
      <xdr:nvSpPr>
        <xdr:cNvPr id="86" name="Rounded Rectangle 85">
          <a:extLst>
            <a:ext uri="{FF2B5EF4-FFF2-40B4-BE49-F238E27FC236}">
              <a16:creationId xmlns:a16="http://schemas.microsoft.com/office/drawing/2014/main" id="{57D95924-1943-3045-80E2-563818B54E8E}"/>
            </a:ext>
          </a:extLst>
        </xdr:cNvPr>
        <xdr:cNvSpPr/>
      </xdr:nvSpPr>
      <xdr:spPr>
        <a:xfrm rot="5400000">
          <a:off x="38797347" y="57081883"/>
          <a:ext cx="10956634" cy="768927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110392</xdr:colOff>
      <xdr:row>239</xdr:row>
      <xdr:rowOff>46895</xdr:rowOff>
    </xdr:from>
    <xdr:to>
      <xdr:col>22</xdr:col>
      <xdr:colOff>186591</xdr:colOff>
      <xdr:row>283</xdr:row>
      <xdr:rowOff>181432</xdr:rowOff>
    </xdr:to>
    <xdr:sp macro="" textlink="">
      <xdr:nvSpPr>
        <xdr:cNvPr id="87" name="Rounded Rectangle 86">
          <a:extLst>
            <a:ext uri="{FF2B5EF4-FFF2-40B4-BE49-F238E27FC236}">
              <a16:creationId xmlns:a16="http://schemas.microsoft.com/office/drawing/2014/main" id="{6FBD2A29-02B9-D74A-9519-224F5B8D67BC}"/>
            </a:ext>
          </a:extLst>
        </xdr:cNvPr>
        <xdr:cNvSpPr/>
      </xdr:nvSpPr>
      <xdr:spPr>
        <a:xfrm rot="5400000">
          <a:off x="26085986" y="56318921"/>
          <a:ext cx="10778346" cy="801913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104630</xdr:colOff>
      <xdr:row>239</xdr:row>
      <xdr:rowOff>198130</xdr:rowOff>
    </xdr:from>
    <xdr:to>
      <xdr:col>42</xdr:col>
      <xdr:colOff>61645</xdr:colOff>
      <xdr:row>299</xdr:row>
      <xdr:rowOff>211666</xdr:rowOff>
    </xdr:to>
    <xdr:sp macro="" textlink="">
      <xdr:nvSpPr>
        <xdr:cNvPr id="88" name="Rounded Rectangle 87">
          <a:extLst>
            <a:ext uri="{FF2B5EF4-FFF2-40B4-BE49-F238E27FC236}">
              <a16:creationId xmlns:a16="http://schemas.microsoft.com/office/drawing/2014/main" id="{F7C67950-862D-3448-959A-13D06B90F950}"/>
            </a:ext>
          </a:extLst>
        </xdr:cNvPr>
        <xdr:cNvSpPr/>
      </xdr:nvSpPr>
      <xdr:spPr>
        <a:xfrm rot="5400000">
          <a:off x="28863036" y="58283534"/>
          <a:ext cx="14527821" cy="924634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55</xdr:col>
      <xdr:colOff>127929</xdr:colOff>
      <xdr:row>266</xdr:row>
      <xdr:rowOff>120952</xdr:rowOff>
    </xdr:from>
    <xdr:to>
      <xdr:col>59</xdr:col>
      <xdr:colOff>72245</xdr:colOff>
      <xdr:row>299</xdr:row>
      <xdr:rowOff>201248</xdr:rowOff>
    </xdr:to>
    <xdr:sp macro="" textlink="">
      <xdr:nvSpPr>
        <xdr:cNvPr id="89" name="Rounded Rectangle 88">
          <a:extLst>
            <a:ext uri="{FF2B5EF4-FFF2-40B4-BE49-F238E27FC236}">
              <a16:creationId xmlns:a16="http://schemas.microsoft.com/office/drawing/2014/main" id="{5F42A2CF-2207-7D45-B023-0D0D533CF336}"/>
            </a:ext>
          </a:extLst>
        </xdr:cNvPr>
        <xdr:cNvSpPr/>
      </xdr:nvSpPr>
      <xdr:spPr>
        <a:xfrm rot="5400000">
          <a:off x="36224701" y="61511799"/>
          <a:ext cx="8063153" cy="911935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213737</xdr:colOff>
      <xdr:row>240</xdr:row>
      <xdr:rowOff>153816</xdr:rowOff>
    </xdr:from>
    <xdr:to>
      <xdr:col>25</xdr:col>
      <xdr:colOff>129672</xdr:colOff>
      <xdr:row>248</xdr:row>
      <xdr:rowOff>49463</xdr:rowOff>
    </xdr:to>
    <xdr:sp macro="" textlink="">
      <xdr:nvSpPr>
        <xdr:cNvPr id="92" name="Oval 91">
          <a:extLst>
            <a:ext uri="{FF2B5EF4-FFF2-40B4-BE49-F238E27FC236}">
              <a16:creationId xmlns:a16="http://schemas.microsoft.com/office/drawing/2014/main" id="{0ABF069A-E4AC-7E47-A8E2-A80527DE5D0D}"/>
            </a:ext>
          </a:extLst>
        </xdr:cNvPr>
        <xdr:cNvSpPr/>
      </xdr:nvSpPr>
      <xdr:spPr>
        <a:xfrm>
          <a:off x="29691105" y="49984605"/>
          <a:ext cx="1787514" cy="1767226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17222</xdr:colOff>
      <xdr:row>265</xdr:row>
      <xdr:rowOff>90984</xdr:rowOff>
    </xdr:from>
    <xdr:to>
      <xdr:col>24</xdr:col>
      <xdr:colOff>167104</xdr:colOff>
      <xdr:row>272</xdr:row>
      <xdr:rowOff>220579</xdr:rowOff>
    </xdr:to>
    <xdr:sp macro="" textlink="">
      <xdr:nvSpPr>
        <xdr:cNvPr id="94" name="Oval 93">
          <a:extLst>
            <a:ext uri="{FF2B5EF4-FFF2-40B4-BE49-F238E27FC236}">
              <a16:creationId xmlns:a16="http://schemas.microsoft.com/office/drawing/2014/main" id="{D93F9CEB-FD17-BF4E-8301-8F0BF90AA793}"/>
            </a:ext>
          </a:extLst>
        </xdr:cNvPr>
        <xdr:cNvSpPr/>
      </xdr:nvSpPr>
      <xdr:spPr>
        <a:xfrm>
          <a:off x="29494590" y="55770458"/>
          <a:ext cx="1787514" cy="1767226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2515</xdr:colOff>
      <xdr:row>293</xdr:row>
      <xdr:rowOff>9437</xdr:rowOff>
    </xdr:from>
    <xdr:to>
      <xdr:col>86</xdr:col>
      <xdr:colOff>152397</xdr:colOff>
      <xdr:row>300</xdr:row>
      <xdr:rowOff>139031</xdr:rowOff>
    </xdr:to>
    <xdr:sp macro="" textlink="">
      <xdr:nvSpPr>
        <xdr:cNvPr id="95" name="Oval 94">
          <a:extLst>
            <a:ext uri="{FF2B5EF4-FFF2-40B4-BE49-F238E27FC236}">
              <a16:creationId xmlns:a16="http://schemas.microsoft.com/office/drawing/2014/main" id="{FC77C6D6-7A9B-8744-B29F-99E3CF62D1E1}"/>
            </a:ext>
          </a:extLst>
        </xdr:cNvPr>
        <xdr:cNvSpPr/>
      </xdr:nvSpPr>
      <xdr:spPr>
        <a:xfrm>
          <a:off x="43984620" y="62239437"/>
          <a:ext cx="1787514" cy="1767226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67</xdr:col>
      <xdr:colOff>111947</xdr:colOff>
      <xdr:row>251</xdr:row>
      <xdr:rowOff>118866</xdr:rowOff>
    </xdr:from>
    <xdr:to>
      <xdr:col>75</xdr:col>
      <xdr:colOff>19925</xdr:colOff>
      <xdr:row>259</xdr:row>
      <xdr:rowOff>6556</xdr:rowOff>
    </xdr:to>
    <xdr:sp macro="" textlink="">
      <xdr:nvSpPr>
        <xdr:cNvPr id="96" name="Oval 95">
          <a:extLst>
            <a:ext uri="{FF2B5EF4-FFF2-40B4-BE49-F238E27FC236}">
              <a16:creationId xmlns:a16="http://schemas.microsoft.com/office/drawing/2014/main" id="{115CE1E4-2990-DA4A-91E3-B137F88D66DA}"/>
            </a:ext>
          </a:extLst>
        </xdr:cNvPr>
        <xdr:cNvSpPr/>
      </xdr:nvSpPr>
      <xdr:spPr>
        <a:xfrm>
          <a:off x="42687185" y="54305533"/>
          <a:ext cx="1843216" cy="1822928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39946</xdr:colOff>
      <xdr:row>265</xdr:row>
      <xdr:rowOff>180553</xdr:rowOff>
    </xdr:from>
    <xdr:to>
      <xdr:col>86</xdr:col>
      <xdr:colOff>189828</xdr:colOff>
      <xdr:row>273</xdr:row>
      <xdr:rowOff>76200</xdr:rowOff>
    </xdr:to>
    <xdr:sp macro="" textlink="">
      <xdr:nvSpPr>
        <xdr:cNvPr id="97" name="Oval 96">
          <a:extLst>
            <a:ext uri="{FF2B5EF4-FFF2-40B4-BE49-F238E27FC236}">
              <a16:creationId xmlns:a16="http://schemas.microsoft.com/office/drawing/2014/main" id="{D51AFE0D-8EFC-DF41-8470-3E1CAA8C917F}"/>
            </a:ext>
          </a:extLst>
        </xdr:cNvPr>
        <xdr:cNvSpPr/>
      </xdr:nvSpPr>
      <xdr:spPr>
        <a:xfrm>
          <a:off x="44022051" y="55860027"/>
          <a:ext cx="1787514" cy="1767226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135054</xdr:colOff>
      <xdr:row>292</xdr:row>
      <xdr:rowOff>219959</xdr:rowOff>
    </xdr:from>
    <xdr:to>
      <xdr:col>61</xdr:col>
      <xdr:colOff>50989</xdr:colOff>
      <xdr:row>300</xdr:row>
      <xdr:rowOff>107648</xdr:rowOff>
    </xdr:to>
    <xdr:sp macro="" textlink="">
      <xdr:nvSpPr>
        <xdr:cNvPr id="98" name="Oval 97">
          <a:extLst>
            <a:ext uri="{FF2B5EF4-FFF2-40B4-BE49-F238E27FC236}">
              <a16:creationId xmlns:a16="http://schemas.microsoft.com/office/drawing/2014/main" id="{3157E960-4DE9-8E47-B681-9ACB55F4E337}"/>
            </a:ext>
          </a:extLst>
        </xdr:cNvPr>
        <xdr:cNvSpPr/>
      </xdr:nvSpPr>
      <xdr:spPr>
        <a:xfrm>
          <a:off x="39323625" y="64324721"/>
          <a:ext cx="1851174" cy="182292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186999</xdr:colOff>
      <xdr:row>265</xdr:row>
      <xdr:rowOff>169858</xdr:rowOff>
    </xdr:from>
    <xdr:to>
      <xdr:col>44</xdr:col>
      <xdr:colOff>102934</xdr:colOff>
      <xdr:row>273</xdr:row>
      <xdr:rowOff>70853</xdr:rowOff>
    </xdr:to>
    <xdr:sp macro="" textlink="">
      <xdr:nvSpPr>
        <xdr:cNvPr id="99" name="Oval 98">
          <a:extLst>
            <a:ext uri="{FF2B5EF4-FFF2-40B4-BE49-F238E27FC236}">
              <a16:creationId xmlns:a16="http://schemas.microsoft.com/office/drawing/2014/main" id="{02E694EC-9F51-514A-95FE-BED931C35DE6}"/>
            </a:ext>
          </a:extLst>
        </xdr:cNvPr>
        <xdr:cNvSpPr/>
      </xdr:nvSpPr>
      <xdr:spPr>
        <a:xfrm>
          <a:off x="35263189" y="57743191"/>
          <a:ext cx="1851174" cy="1836233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130151</xdr:colOff>
      <xdr:row>265</xdr:row>
      <xdr:rowOff>47697</xdr:rowOff>
    </xdr:from>
    <xdr:to>
      <xdr:col>64</xdr:col>
      <xdr:colOff>32782</xdr:colOff>
      <xdr:row>272</xdr:row>
      <xdr:rowOff>164592</xdr:rowOff>
    </xdr:to>
    <xdr:sp macro="" textlink="">
      <xdr:nvSpPr>
        <xdr:cNvPr id="100" name="Oval 99">
          <a:extLst>
            <a:ext uri="{FF2B5EF4-FFF2-40B4-BE49-F238E27FC236}">
              <a16:creationId xmlns:a16="http://schemas.microsoft.com/office/drawing/2014/main" id="{DBA1B24F-FB89-B745-AA3E-14D0D54CAC98}"/>
            </a:ext>
          </a:extLst>
        </xdr:cNvPr>
        <xdr:cNvSpPr/>
      </xdr:nvSpPr>
      <xdr:spPr>
        <a:xfrm>
          <a:off x="40044437" y="57621030"/>
          <a:ext cx="1837869" cy="1810229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119409</xdr:colOff>
      <xdr:row>239</xdr:row>
      <xdr:rowOff>229126</xdr:rowOff>
    </xdr:from>
    <xdr:to>
      <xdr:col>64</xdr:col>
      <xdr:colOff>35344</xdr:colOff>
      <xdr:row>247</xdr:row>
      <xdr:rowOff>104116</xdr:rowOff>
    </xdr:to>
    <xdr:sp macro="" textlink="">
      <xdr:nvSpPr>
        <xdr:cNvPr id="101" name="Oval 100">
          <a:extLst>
            <a:ext uri="{FF2B5EF4-FFF2-40B4-BE49-F238E27FC236}">
              <a16:creationId xmlns:a16="http://schemas.microsoft.com/office/drawing/2014/main" id="{27C7C03D-39B9-364C-A198-5AD711B5A0C8}"/>
            </a:ext>
          </a:extLst>
        </xdr:cNvPr>
        <xdr:cNvSpPr/>
      </xdr:nvSpPr>
      <xdr:spPr>
        <a:xfrm>
          <a:off x="40033695" y="51512936"/>
          <a:ext cx="1851173" cy="1810228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110799</xdr:colOff>
      <xdr:row>293</xdr:row>
      <xdr:rowOff>17458</xdr:rowOff>
    </xdr:from>
    <xdr:to>
      <xdr:col>44</xdr:col>
      <xdr:colOff>26734</xdr:colOff>
      <xdr:row>300</xdr:row>
      <xdr:rowOff>147053</xdr:rowOff>
    </xdr:to>
    <xdr:sp macro="" textlink="">
      <xdr:nvSpPr>
        <xdr:cNvPr id="103" name="Oval 102">
          <a:extLst>
            <a:ext uri="{FF2B5EF4-FFF2-40B4-BE49-F238E27FC236}">
              <a16:creationId xmlns:a16="http://schemas.microsoft.com/office/drawing/2014/main" id="{CF1C5087-850D-BD4D-A307-A46A43441CFA}"/>
            </a:ext>
          </a:extLst>
        </xdr:cNvPr>
        <xdr:cNvSpPr/>
      </xdr:nvSpPr>
      <xdr:spPr>
        <a:xfrm>
          <a:off x="33257799" y="60825058"/>
          <a:ext cx="1744735" cy="1729795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150857</xdr:colOff>
      <xdr:row>238</xdr:row>
      <xdr:rowOff>230335</xdr:rowOff>
    </xdr:from>
    <xdr:to>
      <xdr:col>44</xdr:col>
      <xdr:colOff>66791</xdr:colOff>
      <xdr:row>246</xdr:row>
      <xdr:rowOff>105325</xdr:rowOff>
    </xdr:to>
    <xdr:sp macro="" textlink="">
      <xdr:nvSpPr>
        <xdr:cNvPr id="105" name="Oval 104">
          <a:extLst>
            <a:ext uri="{FF2B5EF4-FFF2-40B4-BE49-F238E27FC236}">
              <a16:creationId xmlns:a16="http://schemas.microsoft.com/office/drawing/2014/main" id="{E1AEA608-DB42-0549-9DAB-1F2446F46428}"/>
            </a:ext>
          </a:extLst>
        </xdr:cNvPr>
        <xdr:cNvSpPr/>
      </xdr:nvSpPr>
      <xdr:spPr>
        <a:xfrm>
          <a:off x="35227047" y="51272240"/>
          <a:ext cx="1851173" cy="1810228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234109</xdr:colOff>
      <xdr:row>277</xdr:row>
      <xdr:rowOff>180553</xdr:rowOff>
    </xdr:from>
    <xdr:to>
      <xdr:col>33</xdr:col>
      <xdr:colOff>142087</xdr:colOff>
      <xdr:row>285</xdr:row>
      <xdr:rowOff>68242</xdr:rowOff>
    </xdr:to>
    <xdr:sp macro="" textlink="">
      <xdr:nvSpPr>
        <xdr:cNvPr id="106" name="Oval 105">
          <a:extLst>
            <a:ext uri="{FF2B5EF4-FFF2-40B4-BE49-F238E27FC236}">
              <a16:creationId xmlns:a16="http://schemas.microsoft.com/office/drawing/2014/main" id="{AE6EBE23-107B-AE49-8FB8-AB23F3FD4068}"/>
            </a:ext>
          </a:extLst>
        </xdr:cNvPr>
        <xdr:cNvSpPr/>
      </xdr:nvSpPr>
      <xdr:spPr>
        <a:xfrm>
          <a:off x="32649347" y="60656743"/>
          <a:ext cx="1843216" cy="1822928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58</xdr:col>
      <xdr:colOff>22700</xdr:colOff>
      <xdr:row>241</xdr:row>
      <xdr:rowOff>61686</xdr:rowOff>
    </xdr:from>
    <xdr:to>
      <xdr:col>61</xdr:col>
      <xdr:colOff>195616</xdr:colOff>
      <xdr:row>270</xdr:row>
      <xdr:rowOff>151191</xdr:rowOff>
    </xdr:to>
    <xdr:sp macro="" textlink="">
      <xdr:nvSpPr>
        <xdr:cNvPr id="107" name="Rounded Rectangle 106">
          <a:extLst>
            <a:ext uri="{FF2B5EF4-FFF2-40B4-BE49-F238E27FC236}">
              <a16:creationId xmlns:a16="http://schemas.microsoft.com/office/drawing/2014/main" id="{FD56EC30-90AE-D84D-A56F-83E79B7DA8A6}"/>
            </a:ext>
          </a:extLst>
        </xdr:cNvPr>
        <xdr:cNvSpPr/>
      </xdr:nvSpPr>
      <xdr:spPr>
        <a:xfrm rot="5400000">
          <a:off x="35268805" y="51912181"/>
          <a:ext cx="6718905" cy="858716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58</xdr:col>
      <xdr:colOff>152400</xdr:colOff>
      <xdr:row>253</xdr:row>
      <xdr:rowOff>0</xdr:rowOff>
    </xdr:from>
    <xdr:to>
      <xdr:col>85</xdr:col>
      <xdr:colOff>101600</xdr:colOff>
      <xdr:row>256</xdr:row>
      <xdr:rowOff>168165</xdr:rowOff>
    </xdr:to>
    <xdr:sp macro="" textlink="">
      <xdr:nvSpPr>
        <xdr:cNvPr id="108" name="Rounded Rectangle 107">
          <a:extLst>
            <a:ext uri="{FF2B5EF4-FFF2-40B4-BE49-F238E27FC236}">
              <a16:creationId xmlns:a16="http://schemas.microsoft.com/office/drawing/2014/main" id="{31F6443F-1B5C-2C41-9EB0-1B99A33F79D8}"/>
            </a:ext>
          </a:extLst>
        </xdr:cNvPr>
        <xdr:cNvSpPr/>
      </xdr:nvSpPr>
      <xdr:spPr>
        <a:xfrm>
          <a:off x="38328600" y="51663600"/>
          <a:ext cx="6121400" cy="853965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101600</xdr:colOff>
      <xdr:row>279</xdr:row>
      <xdr:rowOff>101600</xdr:rowOff>
    </xdr:from>
    <xdr:to>
      <xdr:col>43</xdr:col>
      <xdr:colOff>25400</xdr:colOff>
      <xdr:row>283</xdr:row>
      <xdr:rowOff>41165</xdr:rowOff>
    </xdr:to>
    <xdr:sp macro="" textlink="">
      <xdr:nvSpPr>
        <xdr:cNvPr id="109" name="Rounded Rectangle 108">
          <a:extLst>
            <a:ext uri="{FF2B5EF4-FFF2-40B4-BE49-F238E27FC236}">
              <a16:creationId xmlns:a16="http://schemas.microsoft.com/office/drawing/2014/main" id="{7156998C-ECD5-CB4A-AC74-4B757057975D}"/>
            </a:ext>
          </a:extLst>
        </xdr:cNvPr>
        <xdr:cNvSpPr/>
      </xdr:nvSpPr>
      <xdr:spPr>
        <a:xfrm>
          <a:off x="28905200" y="57708800"/>
          <a:ext cx="5867400" cy="853965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61952</xdr:colOff>
      <xdr:row>251</xdr:row>
      <xdr:rowOff>154878</xdr:rowOff>
    </xdr:from>
    <xdr:to>
      <xdr:col>143</xdr:col>
      <xdr:colOff>84667</xdr:colOff>
      <xdr:row>255</xdr:row>
      <xdr:rowOff>61952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49FE7D71-362E-7D4A-804F-4827576A6FDE}"/>
            </a:ext>
          </a:extLst>
        </xdr:cNvPr>
        <xdr:cNvSpPr txBox="1"/>
      </xdr:nvSpPr>
      <xdr:spPr>
        <a:xfrm>
          <a:off x="50582552" y="51589878"/>
          <a:ext cx="1851515" cy="82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12</a:t>
          </a:r>
        </a:p>
      </xdr:txBody>
    </xdr:sp>
    <xdr:clientData/>
  </xdr:twoCellAnchor>
  <xdr:twoCellAnchor>
    <xdr:from>
      <xdr:col>154</xdr:col>
      <xdr:colOff>214358</xdr:colOff>
      <xdr:row>284</xdr:row>
      <xdr:rowOff>183380</xdr:rowOff>
    </xdr:from>
    <xdr:to>
      <xdr:col>161</xdr:col>
      <xdr:colOff>143933</xdr:colOff>
      <xdr:row>288</xdr:row>
      <xdr:rowOff>90454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E71E2AA-D4D1-644F-AC5E-1147FD5E0C22}"/>
            </a:ext>
          </a:extLst>
        </xdr:cNvPr>
        <xdr:cNvSpPr txBox="1"/>
      </xdr:nvSpPr>
      <xdr:spPr>
        <a:xfrm>
          <a:off x="55078358" y="59162180"/>
          <a:ext cx="1529775" cy="82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13</a:t>
          </a:r>
        </a:p>
      </xdr:txBody>
    </xdr:sp>
    <xdr:clientData/>
  </xdr:twoCellAnchor>
  <xdr:twoCellAnchor>
    <xdr:from>
      <xdr:col>127</xdr:col>
      <xdr:colOff>92365</xdr:colOff>
      <xdr:row>238</xdr:row>
      <xdr:rowOff>49653</xdr:rowOff>
    </xdr:from>
    <xdr:to>
      <xdr:col>130</xdr:col>
      <xdr:colOff>168564</xdr:colOff>
      <xdr:row>271</xdr:row>
      <xdr:rowOff>177800</xdr:rowOff>
    </xdr:to>
    <xdr:sp macro="" textlink="">
      <xdr:nvSpPr>
        <xdr:cNvPr id="125" name="Rounded Rectangle 124">
          <a:extLst>
            <a:ext uri="{FF2B5EF4-FFF2-40B4-BE49-F238E27FC236}">
              <a16:creationId xmlns:a16="http://schemas.microsoft.com/office/drawing/2014/main" id="{960B75C1-3716-EC45-BD97-F8D3A9C18D84}"/>
            </a:ext>
          </a:extLst>
        </xdr:cNvPr>
        <xdr:cNvSpPr/>
      </xdr:nvSpPr>
      <xdr:spPr>
        <a:xfrm rot="5400000">
          <a:off x="25669591" y="57911427"/>
          <a:ext cx="7671947" cy="761999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71583</xdr:colOff>
      <xdr:row>238</xdr:row>
      <xdr:rowOff>202053</xdr:rowOff>
    </xdr:from>
    <xdr:to>
      <xdr:col>150</xdr:col>
      <xdr:colOff>147783</xdr:colOff>
      <xdr:row>296</xdr:row>
      <xdr:rowOff>57727</xdr:rowOff>
    </xdr:to>
    <xdr:sp macro="" textlink="">
      <xdr:nvSpPr>
        <xdr:cNvPr id="126" name="Rounded Rectangle 125">
          <a:extLst>
            <a:ext uri="{FF2B5EF4-FFF2-40B4-BE49-F238E27FC236}">
              <a16:creationId xmlns:a16="http://schemas.microsoft.com/office/drawing/2014/main" id="{DC45D008-22E6-2241-BE46-52194AFAC09B}"/>
            </a:ext>
          </a:extLst>
        </xdr:cNvPr>
        <xdr:cNvSpPr/>
      </xdr:nvSpPr>
      <xdr:spPr>
        <a:xfrm rot="5400000">
          <a:off x="47633664" y="55394517"/>
          <a:ext cx="13248402" cy="76892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163</xdr:col>
      <xdr:colOff>195120</xdr:colOff>
      <xdr:row>238</xdr:row>
      <xdr:rowOff>158753</xdr:rowOff>
    </xdr:from>
    <xdr:to>
      <xdr:col>167</xdr:col>
      <xdr:colOff>40411</xdr:colOff>
      <xdr:row>296</xdr:row>
      <xdr:rowOff>210127</xdr:rowOff>
    </xdr:to>
    <xdr:sp macro="" textlink="">
      <xdr:nvSpPr>
        <xdr:cNvPr id="127" name="Rounded Rectangle 126">
          <a:extLst>
            <a:ext uri="{FF2B5EF4-FFF2-40B4-BE49-F238E27FC236}">
              <a16:creationId xmlns:a16="http://schemas.microsoft.com/office/drawing/2014/main" id="{42AD1AF8-D891-784B-A9DF-13D8B58F563B}"/>
            </a:ext>
          </a:extLst>
        </xdr:cNvPr>
        <xdr:cNvSpPr/>
      </xdr:nvSpPr>
      <xdr:spPr>
        <a:xfrm rot="5400000">
          <a:off x="52955829" y="57173669"/>
          <a:ext cx="13862624" cy="797791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125</xdr:col>
      <xdr:colOff>76783</xdr:colOff>
      <xdr:row>239</xdr:row>
      <xdr:rowOff>110266</xdr:rowOff>
    </xdr:from>
    <xdr:to>
      <xdr:col>168</xdr:col>
      <xdr:colOff>109483</xdr:colOff>
      <xdr:row>242</xdr:row>
      <xdr:rowOff>186465</xdr:rowOff>
    </xdr:to>
    <xdr:sp macro="" textlink="">
      <xdr:nvSpPr>
        <xdr:cNvPr id="129" name="Rounded Rectangle 128">
          <a:extLst>
            <a:ext uri="{FF2B5EF4-FFF2-40B4-BE49-F238E27FC236}">
              <a16:creationId xmlns:a16="http://schemas.microsoft.com/office/drawing/2014/main" id="{AD1FB3E7-8715-DE49-9EA4-0DEF545306C8}"/>
            </a:ext>
          </a:extLst>
        </xdr:cNvPr>
        <xdr:cNvSpPr/>
      </xdr:nvSpPr>
      <xdr:spPr>
        <a:xfrm>
          <a:off x="46278507" y="46749921"/>
          <a:ext cx="9448217" cy="733096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125</xdr:col>
      <xdr:colOff>200320</xdr:colOff>
      <xdr:row>266</xdr:row>
      <xdr:rowOff>9863</xdr:rowOff>
    </xdr:from>
    <xdr:to>
      <xdr:col>192</xdr:col>
      <xdr:colOff>173182</xdr:colOff>
      <xdr:row>269</xdr:row>
      <xdr:rowOff>86064</xdr:rowOff>
    </xdr:to>
    <xdr:sp macro="" textlink="">
      <xdr:nvSpPr>
        <xdr:cNvPr id="130" name="Rounded Rectangle 129">
          <a:extLst>
            <a:ext uri="{FF2B5EF4-FFF2-40B4-BE49-F238E27FC236}">
              <a16:creationId xmlns:a16="http://schemas.microsoft.com/office/drawing/2014/main" id="{C46F7148-60F9-8147-8876-AC8DC5AE72EF}"/>
            </a:ext>
          </a:extLst>
        </xdr:cNvPr>
        <xdr:cNvSpPr/>
      </xdr:nvSpPr>
      <xdr:spPr>
        <a:xfrm>
          <a:off x="27571010" y="58254691"/>
          <a:ext cx="14643551" cy="73309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125</xdr:col>
      <xdr:colOff>121811</xdr:colOff>
      <xdr:row>276</xdr:row>
      <xdr:rowOff>97565</xdr:rowOff>
    </xdr:from>
    <xdr:to>
      <xdr:col>151</xdr:col>
      <xdr:colOff>202045</xdr:colOff>
      <xdr:row>279</xdr:row>
      <xdr:rowOff>173765</xdr:rowOff>
    </xdr:to>
    <xdr:sp macro="" textlink="">
      <xdr:nvSpPr>
        <xdr:cNvPr id="131" name="Rounded Rectangle 130">
          <a:extLst>
            <a:ext uri="{FF2B5EF4-FFF2-40B4-BE49-F238E27FC236}">
              <a16:creationId xmlns:a16="http://schemas.microsoft.com/office/drawing/2014/main" id="{100E02B6-3D92-ED4E-9439-55D8E6038246}"/>
            </a:ext>
          </a:extLst>
        </xdr:cNvPr>
        <xdr:cNvSpPr/>
      </xdr:nvSpPr>
      <xdr:spPr>
        <a:xfrm>
          <a:off x="48843629" y="57824838"/>
          <a:ext cx="6083871" cy="76892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0</xdr:colOff>
      <xdr:row>292</xdr:row>
      <xdr:rowOff>97566</xdr:rowOff>
    </xdr:from>
    <xdr:to>
      <xdr:col>193</xdr:col>
      <xdr:colOff>123537</xdr:colOff>
      <xdr:row>295</xdr:row>
      <xdr:rowOff>173766</xdr:rowOff>
    </xdr:to>
    <xdr:sp macro="" textlink="">
      <xdr:nvSpPr>
        <xdr:cNvPr id="132" name="Rounded Rectangle 131">
          <a:extLst>
            <a:ext uri="{FF2B5EF4-FFF2-40B4-BE49-F238E27FC236}">
              <a16:creationId xmlns:a16="http://schemas.microsoft.com/office/drawing/2014/main" id="{11EE4371-1680-9D46-B629-A280676A1837}"/>
            </a:ext>
          </a:extLst>
        </xdr:cNvPr>
        <xdr:cNvSpPr/>
      </xdr:nvSpPr>
      <xdr:spPr>
        <a:xfrm>
          <a:off x="53035200" y="60905166"/>
          <a:ext cx="10867737" cy="762000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162</xdr:col>
      <xdr:colOff>158756</xdr:colOff>
      <xdr:row>250</xdr:row>
      <xdr:rowOff>76784</xdr:rowOff>
    </xdr:from>
    <xdr:to>
      <xdr:col>192</xdr:col>
      <xdr:colOff>202046</xdr:colOff>
      <xdr:row>253</xdr:row>
      <xdr:rowOff>152983</xdr:rowOff>
    </xdr:to>
    <xdr:sp macro="" textlink="">
      <xdr:nvSpPr>
        <xdr:cNvPr id="133" name="Rounded Rectangle 132">
          <a:extLst>
            <a:ext uri="{FF2B5EF4-FFF2-40B4-BE49-F238E27FC236}">
              <a16:creationId xmlns:a16="http://schemas.microsoft.com/office/drawing/2014/main" id="{62D56638-34B3-CD41-94C4-8829EC52F95B}"/>
            </a:ext>
          </a:extLst>
        </xdr:cNvPr>
        <xdr:cNvSpPr/>
      </xdr:nvSpPr>
      <xdr:spPr>
        <a:xfrm>
          <a:off x="57424211" y="51800420"/>
          <a:ext cx="6970562" cy="76892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129</xdr:col>
      <xdr:colOff>0</xdr:colOff>
      <xdr:row>273</xdr:row>
      <xdr:rowOff>127000</xdr:rowOff>
    </xdr:from>
    <xdr:to>
      <xdr:col>138</xdr:col>
      <xdr:colOff>229577</xdr:colOff>
      <xdr:row>278</xdr:row>
      <xdr:rowOff>0</xdr:rowOff>
    </xdr:to>
    <xdr:cxnSp macro="">
      <xdr:nvCxnSpPr>
        <xdr:cNvPr id="135" name="Straight Connector 134">
          <a:extLst>
            <a:ext uri="{FF2B5EF4-FFF2-40B4-BE49-F238E27FC236}">
              <a16:creationId xmlns:a16="http://schemas.microsoft.com/office/drawing/2014/main" id="{73B92096-014D-38A1-9A6A-9ECECCDD672E}"/>
            </a:ext>
          </a:extLst>
        </xdr:cNvPr>
        <xdr:cNvCxnSpPr/>
      </xdr:nvCxnSpPr>
      <xdr:spPr>
        <a:xfrm>
          <a:off x="29615423" y="62801500"/>
          <a:ext cx="2295769" cy="102088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219808</xdr:colOff>
      <xdr:row>272</xdr:row>
      <xdr:rowOff>122115</xdr:rowOff>
    </xdr:from>
    <xdr:to>
      <xdr:col>138</xdr:col>
      <xdr:colOff>4885</xdr:colOff>
      <xdr:row>278</xdr:row>
      <xdr:rowOff>9769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1C12F614-BD31-4B44-936E-0C60B63D8169}"/>
            </a:ext>
          </a:extLst>
        </xdr:cNvPr>
        <xdr:cNvCxnSpPr/>
      </xdr:nvCxnSpPr>
      <xdr:spPr>
        <a:xfrm>
          <a:off x="29605654" y="62567038"/>
          <a:ext cx="2080846" cy="126511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215</xdr:col>
      <xdr:colOff>61952</xdr:colOff>
      <xdr:row>251</xdr:row>
      <xdr:rowOff>154878</xdr:rowOff>
    </xdr:from>
    <xdr:to>
      <xdr:col>224</xdr:col>
      <xdr:colOff>50800</xdr:colOff>
      <xdr:row>255</xdr:row>
      <xdr:rowOff>61952</xdr:rowOff>
    </xdr:to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8F25E414-7F49-2842-ACC8-2EFBC8528B24}"/>
            </a:ext>
          </a:extLst>
        </xdr:cNvPr>
        <xdr:cNvSpPr txBox="1"/>
      </xdr:nvSpPr>
      <xdr:spPr>
        <a:xfrm>
          <a:off x="49210952" y="57533478"/>
          <a:ext cx="2046248" cy="82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12</a:t>
          </a:r>
        </a:p>
      </xdr:txBody>
    </xdr:sp>
    <xdr:clientData/>
  </xdr:twoCellAnchor>
  <xdr:twoCellAnchor>
    <xdr:from>
      <xdr:col>234</xdr:col>
      <xdr:colOff>214358</xdr:colOff>
      <xdr:row>285</xdr:row>
      <xdr:rowOff>117694</xdr:rowOff>
    </xdr:from>
    <xdr:to>
      <xdr:col>243</xdr:col>
      <xdr:colOff>109482</xdr:colOff>
      <xdr:row>289</xdr:row>
      <xdr:rowOff>24768</xdr:rowOff>
    </xdr:to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F363B574-1EA6-324E-BBA8-7422F72C1444}"/>
            </a:ext>
          </a:extLst>
        </xdr:cNvPr>
        <xdr:cNvSpPr txBox="1"/>
      </xdr:nvSpPr>
      <xdr:spPr>
        <a:xfrm>
          <a:off x="51452289" y="62522866"/>
          <a:ext cx="1865814" cy="782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13</a:t>
          </a:r>
        </a:p>
      </xdr:txBody>
    </xdr:sp>
    <xdr:clientData/>
  </xdr:twoCellAnchor>
  <xdr:twoCellAnchor>
    <xdr:from>
      <xdr:col>254</xdr:col>
      <xdr:colOff>24770</xdr:colOff>
      <xdr:row>272</xdr:row>
      <xdr:rowOff>218564</xdr:rowOff>
    </xdr:from>
    <xdr:to>
      <xdr:col>262</xdr:col>
      <xdr:colOff>110068</xdr:colOff>
      <xdr:row>276</xdr:row>
      <xdr:rowOff>125638</xdr:rowOff>
    </xdr:to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2E4ED707-C598-9C40-8166-C04E4659411C}"/>
            </a:ext>
          </a:extLst>
        </xdr:cNvPr>
        <xdr:cNvSpPr txBox="1"/>
      </xdr:nvSpPr>
      <xdr:spPr>
        <a:xfrm>
          <a:off x="57631970" y="62397764"/>
          <a:ext cx="1914098" cy="82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20</a:t>
          </a:r>
        </a:p>
      </xdr:txBody>
    </xdr:sp>
    <xdr:clientData/>
  </xdr:twoCellAnchor>
  <xdr:twoCellAnchor>
    <xdr:from>
      <xdr:col>174</xdr:col>
      <xdr:colOff>24770</xdr:colOff>
      <xdr:row>272</xdr:row>
      <xdr:rowOff>218564</xdr:rowOff>
    </xdr:from>
    <xdr:to>
      <xdr:col>182</xdr:col>
      <xdr:colOff>110068</xdr:colOff>
      <xdr:row>276</xdr:row>
      <xdr:rowOff>125638</xdr:rowOff>
    </xdr:to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D97C4921-CD9F-524F-A0BF-A3BF742A4F64}"/>
            </a:ext>
          </a:extLst>
        </xdr:cNvPr>
        <xdr:cNvSpPr txBox="1"/>
      </xdr:nvSpPr>
      <xdr:spPr>
        <a:xfrm>
          <a:off x="39343970" y="62397764"/>
          <a:ext cx="1914098" cy="82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20</a:t>
          </a:r>
        </a:p>
      </xdr:txBody>
    </xdr:sp>
    <xdr:clientData/>
  </xdr:twoCellAnchor>
  <xdr:twoCellAnchor>
    <xdr:from>
      <xdr:col>190</xdr:col>
      <xdr:colOff>106220</xdr:colOff>
      <xdr:row>263</xdr:row>
      <xdr:rowOff>127000</xdr:rowOff>
    </xdr:from>
    <xdr:to>
      <xdr:col>193</xdr:col>
      <xdr:colOff>182420</xdr:colOff>
      <xdr:row>296</xdr:row>
      <xdr:rowOff>116614</xdr:rowOff>
    </xdr:to>
    <xdr:sp macro="" textlink="">
      <xdr:nvSpPr>
        <xdr:cNvPr id="166" name="Rounded Rectangle 165">
          <a:extLst>
            <a:ext uri="{FF2B5EF4-FFF2-40B4-BE49-F238E27FC236}">
              <a16:creationId xmlns:a16="http://schemas.microsoft.com/office/drawing/2014/main" id="{5012E017-A4CF-4443-8403-33C91F95A2D4}"/>
            </a:ext>
          </a:extLst>
        </xdr:cNvPr>
        <xdr:cNvSpPr/>
      </xdr:nvSpPr>
      <xdr:spPr>
        <a:xfrm rot="5400000">
          <a:off x="40154513" y="63634507"/>
          <a:ext cx="7533414" cy="762000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203827</xdr:colOff>
      <xdr:row>252</xdr:row>
      <xdr:rowOff>31358</xdr:rowOff>
    </xdr:from>
    <xdr:to>
      <xdr:col>191</xdr:col>
      <xdr:colOff>221435</xdr:colOff>
      <xdr:row>257</xdr:row>
      <xdr:rowOff>225019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E6C45A6F-2698-8846-8405-305495E47097}"/>
            </a:ext>
          </a:extLst>
        </xdr:cNvPr>
        <xdr:cNvCxnSpPr/>
      </xdr:nvCxnSpPr>
      <xdr:spPr>
        <a:xfrm>
          <a:off x="42066790" y="59298025"/>
          <a:ext cx="3075015" cy="136958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179</xdr:col>
      <xdr:colOff>219506</xdr:colOff>
      <xdr:row>251</xdr:row>
      <xdr:rowOff>219507</xdr:rowOff>
    </xdr:from>
    <xdr:to>
      <xdr:col>192</xdr:col>
      <xdr:colOff>0</xdr:colOff>
      <xdr:row>259</xdr:row>
      <xdr:rowOff>8467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9DB3921E-EA94-D24C-8EC6-575D01EC2A70}"/>
            </a:ext>
          </a:extLst>
        </xdr:cNvPr>
        <xdr:cNvCxnSpPr/>
      </xdr:nvCxnSpPr>
      <xdr:spPr>
        <a:xfrm>
          <a:off x="42317654" y="59250988"/>
          <a:ext cx="2837902" cy="167044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61952</xdr:colOff>
      <xdr:row>332</xdr:row>
      <xdr:rowOff>154878</xdr:rowOff>
    </xdr:from>
    <xdr:to>
      <xdr:col>35</xdr:col>
      <xdr:colOff>50800</xdr:colOff>
      <xdr:row>336</xdr:row>
      <xdr:rowOff>61952</xdr:rowOff>
    </xdr:to>
    <xdr:sp macro="" textlink="">
      <xdr:nvSpPr>
        <xdr:cNvPr id="174" name="TextBox 173">
          <a:extLst>
            <a:ext uri="{FF2B5EF4-FFF2-40B4-BE49-F238E27FC236}">
              <a16:creationId xmlns:a16="http://schemas.microsoft.com/office/drawing/2014/main" id="{34C85A34-52FA-2342-9916-531ACFA1F6D3}"/>
            </a:ext>
          </a:extLst>
        </xdr:cNvPr>
        <xdr:cNvSpPr txBox="1"/>
      </xdr:nvSpPr>
      <xdr:spPr>
        <a:xfrm>
          <a:off x="46870523" y="54801164"/>
          <a:ext cx="1948277" cy="7779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12</a:t>
          </a:r>
        </a:p>
      </xdr:txBody>
    </xdr:sp>
    <xdr:clientData/>
  </xdr:twoCellAnchor>
  <xdr:twoCellAnchor>
    <xdr:from>
      <xdr:col>45</xdr:col>
      <xdr:colOff>214358</xdr:colOff>
      <xdr:row>366</xdr:row>
      <xdr:rowOff>117694</xdr:rowOff>
    </xdr:from>
    <xdr:to>
      <xdr:col>54</xdr:col>
      <xdr:colOff>109482</xdr:colOff>
      <xdr:row>370</xdr:row>
      <xdr:rowOff>24768</xdr:rowOff>
    </xdr:to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D934FBDB-FB91-1749-B855-9F179B098316}"/>
            </a:ext>
          </a:extLst>
        </xdr:cNvPr>
        <xdr:cNvSpPr txBox="1"/>
      </xdr:nvSpPr>
      <xdr:spPr>
        <a:xfrm>
          <a:off x="51159501" y="62166265"/>
          <a:ext cx="1854552" cy="7779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13</a:t>
          </a:r>
        </a:p>
      </xdr:txBody>
    </xdr:sp>
    <xdr:clientData/>
  </xdr:twoCellAnchor>
  <xdr:twoCellAnchor>
    <xdr:from>
      <xdr:col>65</xdr:col>
      <xdr:colOff>24770</xdr:colOff>
      <xdr:row>353</xdr:row>
      <xdr:rowOff>218564</xdr:rowOff>
    </xdr:from>
    <xdr:to>
      <xdr:col>77</xdr:col>
      <xdr:colOff>153939</xdr:colOff>
      <xdr:row>357</xdr:row>
      <xdr:rowOff>115455</xdr:rowOff>
    </xdr:to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389877DC-DB77-FE4E-9F11-9D0FC307B2B1}"/>
            </a:ext>
          </a:extLst>
        </xdr:cNvPr>
        <xdr:cNvSpPr txBox="1"/>
      </xdr:nvSpPr>
      <xdr:spPr>
        <a:xfrm>
          <a:off x="15033861" y="81729473"/>
          <a:ext cx="2900078" cy="82052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12.5 x 22</a:t>
          </a:r>
        </a:p>
      </xdr:txBody>
    </xdr:sp>
    <xdr:clientData/>
  </xdr:twoCellAnchor>
  <xdr:twoCellAnchor>
    <xdr:from>
      <xdr:col>84</xdr:col>
      <xdr:colOff>0</xdr:colOff>
      <xdr:row>376</xdr:row>
      <xdr:rowOff>10160</xdr:rowOff>
    </xdr:from>
    <xdr:to>
      <xdr:col>104</xdr:col>
      <xdr:colOff>0</xdr:colOff>
      <xdr:row>395</xdr:row>
      <xdr:rowOff>223520</xdr:rowOff>
    </xdr:to>
    <xdr:cxnSp macro="">
      <xdr:nvCxnSpPr>
        <xdr:cNvPr id="196" name="Straight Connector 195">
          <a:extLst>
            <a:ext uri="{FF2B5EF4-FFF2-40B4-BE49-F238E27FC236}">
              <a16:creationId xmlns:a16="http://schemas.microsoft.com/office/drawing/2014/main" id="{432052E6-9060-0447-A85B-9CFC68AF84E6}"/>
            </a:ext>
          </a:extLst>
        </xdr:cNvPr>
        <xdr:cNvCxnSpPr/>
      </xdr:nvCxnSpPr>
      <xdr:spPr>
        <a:xfrm>
          <a:off x="19629120" y="87873840"/>
          <a:ext cx="4673600" cy="46532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50800</xdr:colOff>
      <xdr:row>484</xdr:row>
      <xdr:rowOff>50800</xdr:rowOff>
    </xdr:from>
    <xdr:to>
      <xdr:col>33</xdr:col>
      <xdr:colOff>0</xdr:colOff>
      <xdr:row>493</xdr:row>
      <xdr:rowOff>177800</xdr:rowOff>
    </xdr:to>
    <xdr:cxnSp macro="">
      <xdr:nvCxnSpPr>
        <xdr:cNvPr id="198" name="Straight Connector 197">
          <a:extLst>
            <a:ext uri="{FF2B5EF4-FFF2-40B4-BE49-F238E27FC236}">
              <a16:creationId xmlns:a16="http://schemas.microsoft.com/office/drawing/2014/main" id="{3E04AE60-E175-0841-97EC-597EAAB79C21}"/>
            </a:ext>
          </a:extLst>
        </xdr:cNvPr>
        <xdr:cNvCxnSpPr/>
      </xdr:nvCxnSpPr>
      <xdr:spPr>
        <a:xfrm flipH="1">
          <a:off x="4394200" y="101320600"/>
          <a:ext cx="3149600" cy="21844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203200</xdr:colOff>
      <xdr:row>438</xdr:row>
      <xdr:rowOff>50800</xdr:rowOff>
    </xdr:from>
    <xdr:to>
      <xdr:col>75</xdr:col>
      <xdr:colOff>223340</xdr:colOff>
      <xdr:row>463</xdr:row>
      <xdr:rowOff>11931</xdr:rowOff>
    </xdr:to>
    <xdr:cxnSp macro="">
      <xdr:nvCxnSpPr>
        <xdr:cNvPr id="245" name="Straight Connector 244">
          <a:extLst>
            <a:ext uri="{FF2B5EF4-FFF2-40B4-BE49-F238E27FC236}">
              <a16:creationId xmlns:a16="http://schemas.microsoft.com/office/drawing/2014/main" id="{F7094A09-EE75-154E-8C30-7B6944CA42C8}"/>
            </a:ext>
          </a:extLst>
        </xdr:cNvPr>
        <xdr:cNvCxnSpPr/>
      </xdr:nvCxnSpPr>
      <xdr:spPr>
        <a:xfrm flipH="1" flipV="1">
          <a:off x="7823200" y="85177086"/>
          <a:ext cx="8728711" cy="54039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50800</xdr:colOff>
      <xdr:row>478</xdr:row>
      <xdr:rowOff>76200</xdr:rowOff>
    </xdr:from>
    <xdr:to>
      <xdr:col>32</xdr:col>
      <xdr:colOff>177800</xdr:colOff>
      <xdr:row>484</xdr:row>
      <xdr:rowOff>0</xdr:rowOff>
    </xdr:to>
    <xdr:cxnSp macro="">
      <xdr:nvCxnSpPr>
        <xdr:cNvPr id="248" name="Straight Connector 247">
          <a:extLst>
            <a:ext uri="{FF2B5EF4-FFF2-40B4-BE49-F238E27FC236}">
              <a16:creationId xmlns:a16="http://schemas.microsoft.com/office/drawing/2014/main" id="{9324479D-2C71-DE4C-98BF-D446E0E7A81C}"/>
            </a:ext>
          </a:extLst>
        </xdr:cNvPr>
        <xdr:cNvCxnSpPr/>
      </xdr:nvCxnSpPr>
      <xdr:spPr>
        <a:xfrm flipH="1" flipV="1">
          <a:off x="5765800" y="99974400"/>
          <a:ext cx="1727200" cy="12954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25400</xdr:colOff>
      <xdr:row>471</xdr:row>
      <xdr:rowOff>203200</xdr:rowOff>
    </xdr:from>
    <xdr:to>
      <xdr:col>33</xdr:col>
      <xdr:colOff>50800</xdr:colOff>
      <xdr:row>477</xdr:row>
      <xdr:rowOff>203200</xdr:rowOff>
    </xdr:to>
    <xdr:cxnSp macro="">
      <xdr:nvCxnSpPr>
        <xdr:cNvPr id="252" name="Straight Connector 251">
          <a:extLst>
            <a:ext uri="{FF2B5EF4-FFF2-40B4-BE49-F238E27FC236}">
              <a16:creationId xmlns:a16="http://schemas.microsoft.com/office/drawing/2014/main" id="{5ECE0ABC-DBBB-734D-8FE2-8E32931E52E5}"/>
            </a:ext>
          </a:extLst>
        </xdr:cNvPr>
        <xdr:cNvCxnSpPr/>
      </xdr:nvCxnSpPr>
      <xdr:spPr>
        <a:xfrm flipH="1">
          <a:off x="5740400" y="98501200"/>
          <a:ext cx="1854200" cy="13716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203200</xdr:colOff>
      <xdr:row>480</xdr:row>
      <xdr:rowOff>16933</xdr:rowOff>
    </xdr:from>
    <xdr:to>
      <xdr:col>62</xdr:col>
      <xdr:colOff>220134</xdr:colOff>
      <xdr:row>494</xdr:row>
      <xdr:rowOff>0</xdr:rowOff>
    </xdr:to>
    <xdr:cxnSp macro="">
      <xdr:nvCxnSpPr>
        <xdr:cNvPr id="255" name="Straight Connector 254">
          <a:extLst>
            <a:ext uri="{FF2B5EF4-FFF2-40B4-BE49-F238E27FC236}">
              <a16:creationId xmlns:a16="http://schemas.microsoft.com/office/drawing/2014/main" id="{26D70B95-74E0-724E-9316-D5348393356D}"/>
            </a:ext>
          </a:extLst>
        </xdr:cNvPr>
        <xdr:cNvCxnSpPr/>
      </xdr:nvCxnSpPr>
      <xdr:spPr>
        <a:xfrm flipH="1">
          <a:off x="10160000" y="104089200"/>
          <a:ext cx="4758267" cy="33020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33866</xdr:colOff>
      <xdr:row>471</xdr:row>
      <xdr:rowOff>33866</xdr:rowOff>
    </xdr:from>
    <xdr:to>
      <xdr:col>63</xdr:col>
      <xdr:colOff>4231</xdr:colOff>
      <xdr:row>479</xdr:row>
      <xdr:rowOff>228600</xdr:rowOff>
    </xdr:to>
    <xdr:cxnSp macro="">
      <xdr:nvCxnSpPr>
        <xdr:cNvPr id="257" name="Straight Connector 256">
          <a:extLst>
            <a:ext uri="{FF2B5EF4-FFF2-40B4-BE49-F238E27FC236}">
              <a16:creationId xmlns:a16="http://schemas.microsoft.com/office/drawing/2014/main" id="{0B482A85-E53D-2448-8514-6C4E66D67D62}"/>
            </a:ext>
          </a:extLst>
        </xdr:cNvPr>
        <xdr:cNvCxnSpPr/>
      </xdr:nvCxnSpPr>
      <xdr:spPr>
        <a:xfrm flipH="1" flipV="1">
          <a:off x="11650133" y="101972533"/>
          <a:ext cx="3289298" cy="209126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59266</xdr:colOff>
      <xdr:row>450</xdr:row>
      <xdr:rowOff>25400</xdr:rowOff>
    </xdr:from>
    <xdr:to>
      <xdr:col>75</xdr:col>
      <xdr:colOff>203200</xdr:colOff>
      <xdr:row>459</xdr:row>
      <xdr:rowOff>143933</xdr:rowOff>
    </xdr:to>
    <xdr:cxnSp macro="">
      <xdr:nvCxnSpPr>
        <xdr:cNvPr id="259" name="Straight Connector 258">
          <a:extLst>
            <a:ext uri="{FF2B5EF4-FFF2-40B4-BE49-F238E27FC236}">
              <a16:creationId xmlns:a16="http://schemas.microsoft.com/office/drawing/2014/main" id="{5D9FB69F-FECE-0643-B3FC-30EB39046680}"/>
            </a:ext>
          </a:extLst>
        </xdr:cNvPr>
        <xdr:cNvCxnSpPr/>
      </xdr:nvCxnSpPr>
      <xdr:spPr>
        <a:xfrm flipH="1" flipV="1">
          <a:off x="13775266" y="93522800"/>
          <a:ext cx="3572934" cy="217593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25400</xdr:colOff>
      <xdr:row>431</xdr:row>
      <xdr:rowOff>203200</xdr:rowOff>
    </xdr:from>
    <xdr:to>
      <xdr:col>55</xdr:col>
      <xdr:colOff>0</xdr:colOff>
      <xdr:row>444</xdr:row>
      <xdr:rowOff>0</xdr:rowOff>
    </xdr:to>
    <xdr:cxnSp macro="">
      <xdr:nvCxnSpPr>
        <xdr:cNvPr id="263" name="Straight Connector 262">
          <a:extLst>
            <a:ext uri="{FF2B5EF4-FFF2-40B4-BE49-F238E27FC236}">
              <a16:creationId xmlns:a16="http://schemas.microsoft.com/office/drawing/2014/main" id="{593E5D4A-3DCB-F747-8165-D616F417D2EE}"/>
            </a:ext>
          </a:extLst>
        </xdr:cNvPr>
        <xdr:cNvCxnSpPr/>
      </xdr:nvCxnSpPr>
      <xdr:spPr>
        <a:xfrm flipH="1" flipV="1">
          <a:off x="8255000" y="89357200"/>
          <a:ext cx="4318000" cy="27686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8466</xdr:colOff>
      <xdr:row>443</xdr:row>
      <xdr:rowOff>203200</xdr:rowOff>
    </xdr:from>
    <xdr:to>
      <xdr:col>76</xdr:col>
      <xdr:colOff>25400</xdr:colOff>
      <xdr:row>454</xdr:row>
      <xdr:rowOff>50800</xdr:rowOff>
    </xdr:to>
    <xdr:cxnSp macro="">
      <xdr:nvCxnSpPr>
        <xdr:cNvPr id="267" name="Straight Connector 266">
          <a:extLst>
            <a:ext uri="{FF2B5EF4-FFF2-40B4-BE49-F238E27FC236}">
              <a16:creationId xmlns:a16="http://schemas.microsoft.com/office/drawing/2014/main" id="{72AFACDF-488E-7340-AC55-9C9DF8B01F69}"/>
            </a:ext>
          </a:extLst>
        </xdr:cNvPr>
        <xdr:cNvCxnSpPr/>
      </xdr:nvCxnSpPr>
      <xdr:spPr>
        <a:xfrm flipH="1" flipV="1">
          <a:off x="13724466" y="92100400"/>
          <a:ext cx="3674534" cy="23622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204368</xdr:colOff>
      <xdr:row>347</xdr:row>
      <xdr:rowOff>44123</xdr:rowOff>
    </xdr:from>
    <xdr:to>
      <xdr:col>189</xdr:col>
      <xdr:colOff>11759</xdr:colOff>
      <xdr:row>349</xdr:row>
      <xdr:rowOff>60705</xdr:rowOff>
    </xdr:to>
    <xdr:sp macro="" textlink="">
      <xdr:nvSpPr>
        <xdr:cNvPr id="45" name="Rounded Rectangle 44">
          <a:extLst>
            <a:ext uri="{FF2B5EF4-FFF2-40B4-BE49-F238E27FC236}">
              <a16:creationId xmlns:a16="http://schemas.microsoft.com/office/drawing/2014/main" id="{56504E69-9C76-534E-A896-C65FEA5F9A5E}"/>
            </a:ext>
          </a:extLst>
        </xdr:cNvPr>
        <xdr:cNvSpPr/>
      </xdr:nvSpPr>
      <xdr:spPr>
        <a:xfrm>
          <a:off x="29399770" y="81090560"/>
          <a:ext cx="14755437" cy="483708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187</xdr:col>
      <xdr:colOff>24959</xdr:colOff>
      <xdr:row>318</xdr:row>
      <xdr:rowOff>13956</xdr:rowOff>
    </xdr:from>
    <xdr:to>
      <xdr:col>188</xdr:col>
      <xdr:colOff>214502</xdr:colOff>
      <xdr:row>369</xdr:row>
      <xdr:rowOff>66577</xdr:rowOff>
    </xdr:to>
    <xdr:sp macro="" textlink="">
      <xdr:nvSpPr>
        <xdr:cNvPr id="46" name="Rounded Rectangle 45">
          <a:extLst>
            <a:ext uri="{FF2B5EF4-FFF2-40B4-BE49-F238E27FC236}">
              <a16:creationId xmlns:a16="http://schemas.microsoft.com/office/drawing/2014/main" id="{3E968FA1-EB5E-694B-9E23-82BE8596F0B9}"/>
            </a:ext>
          </a:extLst>
        </xdr:cNvPr>
        <xdr:cNvSpPr/>
      </xdr:nvSpPr>
      <xdr:spPr>
        <a:xfrm rot="5400000">
          <a:off x="36267486" y="76536265"/>
          <a:ext cx="11440753" cy="412839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126</xdr:col>
      <xdr:colOff>0</xdr:colOff>
      <xdr:row>366</xdr:row>
      <xdr:rowOff>216841</xdr:rowOff>
    </xdr:from>
    <xdr:to>
      <xdr:col>189</xdr:col>
      <xdr:colOff>61148</xdr:colOff>
      <xdr:row>368</xdr:row>
      <xdr:rowOff>220722</xdr:rowOff>
    </xdr:to>
    <xdr:sp macro="" textlink="">
      <xdr:nvSpPr>
        <xdr:cNvPr id="54" name="Rounded Rectangle 53">
          <a:extLst>
            <a:ext uri="{FF2B5EF4-FFF2-40B4-BE49-F238E27FC236}">
              <a16:creationId xmlns:a16="http://schemas.microsoft.com/office/drawing/2014/main" id="{F14F62BC-89DD-2145-A982-BDED2C194C99}"/>
            </a:ext>
          </a:extLst>
        </xdr:cNvPr>
        <xdr:cNvSpPr/>
      </xdr:nvSpPr>
      <xdr:spPr>
        <a:xfrm>
          <a:off x="29428966" y="85700979"/>
          <a:ext cx="14775630" cy="47100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48032</xdr:colOff>
      <xdr:row>327</xdr:row>
      <xdr:rowOff>67736</xdr:rowOff>
    </xdr:from>
    <xdr:to>
      <xdr:col>160</xdr:col>
      <xdr:colOff>222966</xdr:colOff>
      <xdr:row>369</xdr:row>
      <xdr:rowOff>111267</xdr:rowOff>
    </xdr:to>
    <xdr:sp macro="" textlink="">
      <xdr:nvSpPr>
        <xdr:cNvPr id="60" name="Rounded Rectangle 59">
          <a:extLst>
            <a:ext uri="{FF2B5EF4-FFF2-40B4-BE49-F238E27FC236}">
              <a16:creationId xmlns:a16="http://schemas.microsoft.com/office/drawing/2014/main" id="{44C5AB5A-FD44-B245-8CE6-65091CBE5F91}"/>
            </a:ext>
          </a:extLst>
        </xdr:cNvPr>
        <xdr:cNvSpPr/>
      </xdr:nvSpPr>
      <xdr:spPr>
        <a:xfrm rot="5400000">
          <a:off x="32947467" y="82382701"/>
          <a:ext cx="10000331" cy="412001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126</xdr:col>
      <xdr:colOff>30477</xdr:colOff>
      <xdr:row>318</xdr:row>
      <xdr:rowOff>13956</xdr:rowOff>
    </xdr:from>
    <xdr:to>
      <xdr:col>128</xdr:col>
      <xdr:colOff>1803</xdr:colOff>
      <xdr:row>369</xdr:row>
      <xdr:rowOff>71655</xdr:rowOff>
    </xdr:to>
    <xdr:sp macro="" textlink="">
      <xdr:nvSpPr>
        <xdr:cNvPr id="62" name="Rounded Rectangle 61">
          <a:extLst>
            <a:ext uri="{FF2B5EF4-FFF2-40B4-BE49-F238E27FC236}">
              <a16:creationId xmlns:a16="http://schemas.microsoft.com/office/drawing/2014/main" id="{C15DE227-0206-3944-AAE8-C9A9E7803292}"/>
            </a:ext>
          </a:extLst>
        </xdr:cNvPr>
        <xdr:cNvSpPr/>
      </xdr:nvSpPr>
      <xdr:spPr>
        <a:xfrm rot="5400000">
          <a:off x="22651906" y="76536264"/>
          <a:ext cx="11445831" cy="417919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125</xdr:col>
      <xdr:colOff>218965</xdr:colOff>
      <xdr:row>327</xdr:row>
      <xdr:rowOff>49619</xdr:rowOff>
    </xdr:from>
    <xdr:to>
      <xdr:col>189</xdr:col>
      <xdr:colOff>76994</xdr:colOff>
      <xdr:row>329</xdr:row>
      <xdr:rowOff>15395</xdr:rowOff>
    </xdr:to>
    <xdr:sp macro="" textlink="">
      <xdr:nvSpPr>
        <xdr:cNvPr id="63" name="Rounded Rectangle 62">
          <a:extLst>
            <a:ext uri="{FF2B5EF4-FFF2-40B4-BE49-F238E27FC236}">
              <a16:creationId xmlns:a16="http://schemas.microsoft.com/office/drawing/2014/main" id="{31B91D8F-EB56-CF47-8DAA-9D7B6D83101B}"/>
            </a:ext>
          </a:extLst>
        </xdr:cNvPr>
        <xdr:cNvSpPr/>
      </xdr:nvSpPr>
      <xdr:spPr>
        <a:xfrm>
          <a:off x="29414367" y="76424791"/>
          <a:ext cx="14806075" cy="432903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139</xdr:col>
      <xdr:colOff>48311</xdr:colOff>
      <xdr:row>410</xdr:row>
      <xdr:rowOff>106573</xdr:rowOff>
    </xdr:from>
    <xdr:to>
      <xdr:col>184</xdr:col>
      <xdr:colOff>66784</xdr:colOff>
      <xdr:row>412</xdr:row>
      <xdr:rowOff>53337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68073E8-50D1-5D43-AC1D-A28BD6B17CA2}"/>
            </a:ext>
          </a:extLst>
        </xdr:cNvPr>
        <xdr:cNvSpPr/>
      </xdr:nvSpPr>
      <xdr:spPr>
        <a:xfrm>
          <a:off x="32144675" y="94779300"/>
          <a:ext cx="10409382" cy="408582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130</xdr:col>
      <xdr:colOff>60348</xdr:colOff>
      <xdr:row>436</xdr:row>
      <xdr:rowOff>47337</xdr:rowOff>
    </xdr:from>
    <xdr:to>
      <xdr:col>184</xdr:col>
      <xdr:colOff>84</xdr:colOff>
      <xdr:row>437</xdr:row>
      <xdr:rowOff>227318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28AD4E6E-2574-E04A-9AD4-C1362EF0B325}"/>
            </a:ext>
          </a:extLst>
        </xdr:cNvPr>
        <xdr:cNvSpPr/>
      </xdr:nvSpPr>
      <xdr:spPr>
        <a:xfrm>
          <a:off x="30078530" y="100723701"/>
          <a:ext cx="12408827" cy="410890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131</xdr:col>
      <xdr:colOff>2491</xdr:colOff>
      <xdr:row>385</xdr:row>
      <xdr:rowOff>49322</xdr:rowOff>
    </xdr:from>
    <xdr:to>
      <xdr:col>184</xdr:col>
      <xdr:colOff>173136</xdr:colOff>
      <xdr:row>387</xdr:row>
      <xdr:rowOff>3743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7521A1DF-DAC3-6B47-92B5-1DBB86EA5A98}"/>
            </a:ext>
          </a:extLst>
        </xdr:cNvPr>
        <xdr:cNvSpPr/>
      </xdr:nvSpPr>
      <xdr:spPr>
        <a:xfrm>
          <a:off x="30251582" y="88949322"/>
          <a:ext cx="12408827" cy="416239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56033</xdr:colOff>
      <xdr:row>383</xdr:row>
      <xdr:rowOff>183192</xdr:rowOff>
    </xdr:from>
    <xdr:to>
      <xdr:col>158</xdr:col>
      <xdr:colOff>2797</xdr:colOff>
      <xdr:row>438</xdr:row>
      <xdr:rowOff>203598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B98EA23D-B5BC-7243-B01D-825AA85E737B}"/>
            </a:ext>
          </a:extLst>
        </xdr:cNvPr>
        <xdr:cNvSpPr/>
      </xdr:nvSpPr>
      <xdr:spPr>
        <a:xfrm rot="5400000">
          <a:off x="29921939" y="94777286"/>
          <a:ext cx="12720406" cy="408582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225856</xdr:colOff>
      <xdr:row>384</xdr:row>
      <xdr:rowOff>16213</xdr:rowOff>
    </xdr:from>
    <xdr:to>
      <xdr:col>137</xdr:col>
      <xdr:colOff>174929</xdr:colOff>
      <xdr:row>439</xdr:row>
      <xdr:rowOff>45412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6FDA704D-D877-FC48-958F-1EFD745CF9E3}"/>
            </a:ext>
          </a:extLst>
        </xdr:cNvPr>
        <xdr:cNvSpPr/>
      </xdr:nvSpPr>
      <xdr:spPr>
        <a:xfrm rot="5400000">
          <a:off x="25239429" y="94844458"/>
          <a:ext cx="12729199" cy="410891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50476</xdr:colOff>
      <xdr:row>383</xdr:row>
      <xdr:rowOff>164742</xdr:rowOff>
    </xdr:from>
    <xdr:to>
      <xdr:col>183</xdr:col>
      <xdr:colOff>207017</xdr:colOff>
      <xdr:row>438</xdr:row>
      <xdr:rowOff>190962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668BB0DB-7EF1-5749-940E-CF4FA032CB08}"/>
            </a:ext>
          </a:extLst>
        </xdr:cNvPr>
        <xdr:cNvSpPr/>
      </xdr:nvSpPr>
      <xdr:spPr>
        <a:xfrm rot="5400000">
          <a:off x="35906546" y="94772309"/>
          <a:ext cx="12726220" cy="387450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105</xdr:col>
      <xdr:colOff>18316</xdr:colOff>
      <xdr:row>252</xdr:row>
      <xdr:rowOff>125815</xdr:rowOff>
    </xdr:from>
    <xdr:to>
      <xdr:col>198</xdr:col>
      <xdr:colOff>113515</xdr:colOff>
      <xdr:row>253</xdr:row>
      <xdr:rowOff>89065</xdr:rowOff>
    </xdr:to>
    <xdr:sp macro="" textlink="">
      <xdr:nvSpPr>
        <xdr:cNvPr id="10" name="Parallelogram 9">
          <a:extLst>
            <a:ext uri="{FF2B5EF4-FFF2-40B4-BE49-F238E27FC236}">
              <a16:creationId xmlns:a16="http://schemas.microsoft.com/office/drawing/2014/main" id="{3837F9D2-19B1-5CA2-4B69-31F12E96400E}"/>
            </a:ext>
          </a:extLst>
        </xdr:cNvPr>
        <xdr:cNvSpPr/>
      </xdr:nvSpPr>
      <xdr:spPr>
        <a:xfrm rot="1860000" flipH="1">
          <a:off x="12210316" y="32129815"/>
          <a:ext cx="11906199" cy="90250"/>
        </a:xfrm>
        <a:prstGeom prst="parallelogram">
          <a:avLst>
            <a:gd name="adj" fmla="val 62666"/>
          </a:avLst>
        </a:prstGeom>
        <a:noFill/>
        <a:ln w="63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0</xdr:colOff>
      <xdr:row>99</xdr:row>
      <xdr:rowOff>14597</xdr:rowOff>
    </xdr:from>
    <xdr:to>
      <xdr:col>207</xdr:col>
      <xdr:colOff>40967</xdr:colOff>
      <xdr:row>103</xdr:row>
      <xdr:rowOff>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B4FCC1A8-7212-1946-9503-63FFDA70FAB1}"/>
            </a:ext>
          </a:extLst>
        </xdr:cNvPr>
        <xdr:cNvSpPr/>
      </xdr:nvSpPr>
      <xdr:spPr>
        <a:xfrm>
          <a:off x="8809910" y="12474327"/>
          <a:ext cx="16150516" cy="488826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78</xdr:col>
      <xdr:colOff>103631</xdr:colOff>
      <xdr:row>150</xdr:row>
      <xdr:rowOff>129351</xdr:rowOff>
    </xdr:from>
    <xdr:to>
      <xdr:col>207</xdr:col>
      <xdr:colOff>17597</xdr:colOff>
      <xdr:row>154</xdr:row>
      <xdr:rowOff>5387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34C7369C-8B3F-7648-B181-D61C4FB8E4D7}"/>
            </a:ext>
          </a:extLst>
        </xdr:cNvPr>
        <xdr:cNvSpPr/>
      </xdr:nvSpPr>
      <xdr:spPr>
        <a:xfrm>
          <a:off x="9028909" y="19532129"/>
          <a:ext cx="16600355" cy="393443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78</xdr:col>
      <xdr:colOff>101600</xdr:colOff>
      <xdr:row>50</xdr:row>
      <xdr:rowOff>23517</xdr:rowOff>
    </xdr:from>
    <xdr:to>
      <xdr:col>207</xdr:col>
      <xdr:colOff>15566</xdr:colOff>
      <xdr:row>52</xdr:row>
      <xdr:rowOff>120631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CF0313EA-C6DA-2649-AFB1-81B26EA6062E}"/>
            </a:ext>
          </a:extLst>
        </xdr:cNvPr>
        <xdr:cNvSpPr/>
      </xdr:nvSpPr>
      <xdr:spPr>
        <a:xfrm>
          <a:off x="9026878" y="6491110"/>
          <a:ext cx="16600355" cy="35581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3466</xdr:colOff>
      <xdr:row>49</xdr:row>
      <xdr:rowOff>111404</xdr:rowOff>
    </xdr:from>
    <xdr:to>
      <xdr:col>82</xdr:col>
      <xdr:colOff>6501</xdr:colOff>
      <xdr:row>154</xdr:row>
      <xdr:rowOff>6227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F263D452-5F44-354B-9536-DD98E9B3E72A}"/>
            </a:ext>
          </a:extLst>
        </xdr:cNvPr>
        <xdr:cNvSpPr/>
      </xdr:nvSpPr>
      <xdr:spPr>
        <a:xfrm rot="5400000">
          <a:off x="2385906" y="12311683"/>
          <a:ext cx="12761928" cy="37066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204</xdr:col>
      <xdr:colOff>10040</xdr:colOff>
      <xdr:row>49</xdr:row>
      <xdr:rowOff>106231</xdr:rowOff>
    </xdr:from>
    <xdr:to>
      <xdr:col>207</xdr:col>
      <xdr:colOff>13075</xdr:colOff>
      <xdr:row>154</xdr:row>
      <xdr:rowOff>1054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C8DD534F-10DE-E24F-9DBA-BAC6CD126BB7}"/>
            </a:ext>
          </a:extLst>
        </xdr:cNvPr>
        <xdr:cNvSpPr/>
      </xdr:nvSpPr>
      <xdr:spPr>
        <a:xfrm rot="5400000">
          <a:off x="20060873" y="13906670"/>
          <a:ext cx="14442096" cy="418672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104</xdr:col>
      <xdr:colOff>44562</xdr:colOff>
      <xdr:row>482</xdr:row>
      <xdr:rowOff>44562</xdr:rowOff>
    </xdr:from>
    <xdr:to>
      <xdr:col>154</xdr:col>
      <xdr:colOff>92030</xdr:colOff>
      <xdr:row>515</xdr:row>
      <xdr:rowOff>110434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304E3163-CADB-0C8A-5536-C16F53EB7685}"/>
            </a:ext>
          </a:extLst>
        </xdr:cNvPr>
        <xdr:cNvCxnSpPr/>
      </xdr:nvCxnSpPr>
      <xdr:spPr>
        <a:xfrm>
          <a:off x="12789123" y="59110702"/>
          <a:ext cx="6174661" cy="41098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1</xdr:colOff>
      <xdr:row>350</xdr:row>
      <xdr:rowOff>81063</xdr:rowOff>
    </xdr:from>
    <xdr:to>
      <xdr:col>96</xdr:col>
      <xdr:colOff>124770</xdr:colOff>
      <xdr:row>356</xdr:row>
      <xdr:rowOff>33763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5EBBB0AF-5FD1-1E49-B16D-46705C4FBBF2}"/>
            </a:ext>
          </a:extLst>
        </xdr:cNvPr>
        <xdr:cNvSpPr txBox="1"/>
      </xdr:nvSpPr>
      <xdr:spPr>
        <a:xfrm>
          <a:off x="10403192" y="47368297"/>
          <a:ext cx="2691791" cy="7633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13.5 x 10</a:t>
          </a:r>
        </a:p>
      </xdr:txBody>
    </xdr:sp>
    <xdr:clientData/>
  </xdr:twoCellAnchor>
  <xdr:twoCellAnchor>
    <xdr:from>
      <xdr:col>120</xdr:col>
      <xdr:colOff>48116</xdr:colOff>
      <xdr:row>335</xdr:row>
      <xdr:rowOff>45224</xdr:rowOff>
    </xdr:from>
    <xdr:to>
      <xdr:col>142</xdr:col>
      <xdr:colOff>99219</xdr:colOff>
      <xdr:row>341</xdr:row>
      <xdr:rowOff>6030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C3BEEE95-54FA-B54D-8803-21FAF047F89B}"/>
            </a:ext>
          </a:extLst>
        </xdr:cNvPr>
        <xdr:cNvSpPr txBox="1"/>
      </xdr:nvSpPr>
      <xdr:spPr>
        <a:xfrm>
          <a:off x="14335616" y="39931162"/>
          <a:ext cx="2670478" cy="67518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12.5 x 27</a:t>
          </a:r>
        </a:p>
      </xdr:txBody>
    </xdr:sp>
    <xdr:clientData/>
  </xdr:twoCellAnchor>
  <xdr:twoCellAnchor>
    <xdr:from>
      <xdr:col>66</xdr:col>
      <xdr:colOff>76201</xdr:colOff>
      <xdr:row>402</xdr:row>
      <xdr:rowOff>50800</xdr:rowOff>
    </xdr:from>
    <xdr:to>
      <xdr:col>85</xdr:col>
      <xdr:colOff>22680</xdr:colOff>
      <xdr:row>408</xdr:row>
      <xdr:rowOff>11606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52E2BB7-374D-684E-89D7-148D32E9C2B4}"/>
            </a:ext>
          </a:extLst>
        </xdr:cNvPr>
        <xdr:cNvSpPr txBox="1"/>
      </xdr:nvSpPr>
      <xdr:spPr>
        <a:xfrm>
          <a:off x="9056915" y="54751514"/>
          <a:ext cx="2531836" cy="777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9 + 7</a:t>
          </a:r>
        </a:p>
      </xdr:txBody>
    </xdr:sp>
    <xdr:clientData/>
  </xdr:twoCellAnchor>
  <xdr:twoCellAnchor>
    <xdr:from>
      <xdr:col>53</xdr:col>
      <xdr:colOff>25538</xdr:colOff>
      <xdr:row>332</xdr:row>
      <xdr:rowOff>22646</xdr:rowOff>
    </xdr:from>
    <xdr:to>
      <xdr:col>73</xdr:col>
      <xdr:colOff>23308</xdr:colOff>
      <xdr:row>337</xdr:row>
      <xdr:rowOff>107355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1765E16B-04A0-6E43-9239-7E818AB5DFE9}"/>
            </a:ext>
          </a:extLst>
        </xdr:cNvPr>
        <xdr:cNvSpPr txBox="1"/>
      </xdr:nvSpPr>
      <xdr:spPr>
        <a:xfrm>
          <a:off x="6592367" y="41158256"/>
          <a:ext cx="2475819" cy="7042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8 x 5</a:t>
          </a:r>
        </a:p>
      </xdr:txBody>
    </xdr:sp>
    <xdr:clientData/>
  </xdr:twoCellAnchor>
  <xdr:twoCellAnchor>
    <xdr:from>
      <xdr:col>83</xdr:col>
      <xdr:colOff>56136</xdr:colOff>
      <xdr:row>330</xdr:row>
      <xdr:rowOff>58878</xdr:rowOff>
    </xdr:from>
    <xdr:to>
      <xdr:col>95</xdr:col>
      <xdr:colOff>45356</xdr:colOff>
      <xdr:row>336</xdr:row>
      <xdr:rowOff>19683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F2347C36-10D2-EB4B-B7F2-61F286C18AE7}"/>
            </a:ext>
          </a:extLst>
        </xdr:cNvPr>
        <xdr:cNvSpPr txBox="1"/>
      </xdr:nvSpPr>
      <xdr:spPr>
        <a:xfrm>
          <a:off x="10408904" y="41220485"/>
          <a:ext cx="1486006" cy="70919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5 x 5</a:t>
          </a:r>
        </a:p>
      </xdr:txBody>
    </xdr:sp>
    <xdr:clientData/>
  </xdr:twoCellAnchor>
  <xdr:twoCellAnchor>
    <xdr:from>
      <xdr:col>65</xdr:col>
      <xdr:colOff>0</xdr:colOff>
      <xdr:row>670</xdr:row>
      <xdr:rowOff>0</xdr:rowOff>
    </xdr:from>
    <xdr:to>
      <xdr:col>84</xdr:col>
      <xdr:colOff>124770</xdr:colOff>
      <xdr:row>675</xdr:row>
      <xdr:rowOff>87806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26211F0-38E2-014C-B85E-30A136B99652}"/>
            </a:ext>
          </a:extLst>
        </xdr:cNvPr>
        <xdr:cNvSpPr txBox="1"/>
      </xdr:nvSpPr>
      <xdr:spPr>
        <a:xfrm>
          <a:off x="8255000" y="85090000"/>
          <a:ext cx="2537770" cy="722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11.5 + 6.5</a:t>
          </a:r>
        </a:p>
      </xdr:txBody>
    </xdr:sp>
    <xdr:clientData/>
  </xdr:twoCellAnchor>
  <xdr:twoCellAnchor>
    <xdr:from>
      <xdr:col>64</xdr:col>
      <xdr:colOff>0</xdr:colOff>
      <xdr:row>614</xdr:row>
      <xdr:rowOff>0</xdr:rowOff>
    </xdr:from>
    <xdr:to>
      <xdr:col>83</xdr:col>
      <xdr:colOff>124770</xdr:colOff>
      <xdr:row>619</xdr:row>
      <xdr:rowOff>87806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4B0866F0-EBBA-AB44-BB8A-D629A483D864}"/>
            </a:ext>
          </a:extLst>
        </xdr:cNvPr>
        <xdr:cNvSpPr txBox="1"/>
      </xdr:nvSpPr>
      <xdr:spPr>
        <a:xfrm>
          <a:off x="8128000" y="77978000"/>
          <a:ext cx="2537770" cy="722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13.5 x 10</a:t>
          </a:r>
        </a:p>
      </xdr:txBody>
    </xdr:sp>
    <xdr:clientData/>
  </xdr:twoCellAnchor>
  <xdr:twoCellAnchor>
    <xdr:from>
      <xdr:col>117</xdr:col>
      <xdr:colOff>76200</xdr:colOff>
      <xdr:row>592</xdr:row>
      <xdr:rowOff>25400</xdr:rowOff>
    </xdr:from>
    <xdr:to>
      <xdr:col>137</xdr:col>
      <xdr:colOff>73970</xdr:colOff>
      <xdr:row>597</xdr:row>
      <xdr:rowOff>113206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3973C49C-FAFC-1F42-BAAA-CB2AD9D9E723}"/>
            </a:ext>
          </a:extLst>
        </xdr:cNvPr>
        <xdr:cNvSpPr txBox="1"/>
      </xdr:nvSpPr>
      <xdr:spPr>
        <a:xfrm>
          <a:off x="14935200" y="75209400"/>
          <a:ext cx="2537770" cy="722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13 x 27.5</a:t>
          </a:r>
        </a:p>
      </xdr:txBody>
    </xdr:sp>
    <xdr:clientData/>
  </xdr:twoCellAnchor>
  <xdr:twoCellAnchor>
    <xdr:from>
      <xdr:col>55</xdr:col>
      <xdr:colOff>50800</xdr:colOff>
      <xdr:row>589</xdr:row>
      <xdr:rowOff>0</xdr:rowOff>
    </xdr:from>
    <xdr:to>
      <xdr:col>69</xdr:col>
      <xdr:colOff>0</xdr:colOff>
      <xdr:row>594</xdr:row>
      <xdr:rowOff>87806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45DEC0F1-635A-1E4C-8859-5C58AF14B7D3}"/>
            </a:ext>
          </a:extLst>
        </xdr:cNvPr>
        <xdr:cNvSpPr txBox="1"/>
      </xdr:nvSpPr>
      <xdr:spPr>
        <a:xfrm>
          <a:off x="7035800" y="74803000"/>
          <a:ext cx="1727200" cy="722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8 x 5</a:t>
          </a:r>
        </a:p>
      </xdr:txBody>
    </xdr:sp>
    <xdr:clientData/>
  </xdr:twoCellAnchor>
  <xdr:twoCellAnchor>
    <xdr:from>
      <xdr:col>83</xdr:col>
      <xdr:colOff>49823</xdr:colOff>
      <xdr:row>588</xdr:row>
      <xdr:rowOff>61220</xdr:rowOff>
    </xdr:from>
    <xdr:to>
      <xdr:col>96</xdr:col>
      <xdr:colOff>24423</xdr:colOff>
      <xdr:row>594</xdr:row>
      <xdr:rowOff>13559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1D89C777-C1D9-004E-8FAC-A8B34561BC5B}"/>
            </a:ext>
          </a:extLst>
        </xdr:cNvPr>
        <xdr:cNvSpPr txBox="1"/>
      </xdr:nvSpPr>
      <xdr:spPr>
        <a:xfrm>
          <a:off x="10185400" y="71865066"/>
          <a:ext cx="1562100" cy="6850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5 x 5</a:t>
          </a:r>
        </a:p>
      </xdr:txBody>
    </xdr:sp>
    <xdr:clientData/>
  </xdr:twoCellAnchor>
  <xdr:twoCellAnchor>
    <xdr:from>
      <xdr:col>119</xdr:col>
      <xdr:colOff>76200</xdr:colOff>
      <xdr:row>592</xdr:row>
      <xdr:rowOff>25400</xdr:rowOff>
    </xdr:from>
    <xdr:to>
      <xdr:col>139</xdr:col>
      <xdr:colOff>73970</xdr:colOff>
      <xdr:row>597</xdr:row>
      <xdr:rowOff>113206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445005CA-E3DE-B948-8B08-B3235F937668}"/>
            </a:ext>
          </a:extLst>
        </xdr:cNvPr>
        <xdr:cNvSpPr txBox="1"/>
      </xdr:nvSpPr>
      <xdr:spPr>
        <a:xfrm>
          <a:off x="14363700" y="72317708"/>
          <a:ext cx="2440078" cy="6983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13 x 27.5</a:t>
          </a:r>
        </a:p>
      </xdr:txBody>
    </xdr:sp>
    <xdr:clientData/>
  </xdr:twoCellAnchor>
  <xdr:twoCellAnchor>
    <xdr:from>
      <xdr:col>89</xdr:col>
      <xdr:colOff>1264</xdr:colOff>
      <xdr:row>655</xdr:row>
      <xdr:rowOff>14303</xdr:rowOff>
    </xdr:from>
    <xdr:to>
      <xdr:col>114</xdr:col>
      <xdr:colOff>128878</xdr:colOff>
      <xdr:row>674</xdr:row>
      <xdr:rowOff>36172</xdr:rowOff>
    </xdr:to>
    <xdr:sp macro="" textlink="">
      <xdr:nvSpPr>
        <xdr:cNvPr id="32" name="Arc 31">
          <a:extLst>
            <a:ext uri="{FF2B5EF4-FFF2-40B4-BE49-F238E27FC236}">
              <a16:creationId xmlns:a16="http://schemas.microsoft.com/office/drawing/2014/main" id="{7381C2C5-A041-4353-7729-A14FFC38D72F}"/>
            </a:ext>
          </a:extLst>
        </xdr:cNvPr>
        <xdr:cNvSpPr/>
      </xdr:nvSpPr>
      <xdr:spPr>
        <a:xfrm rot="16006176">
          <a:off x="12009857" y="84691105"/>
          <a:ext cx="2490985" cy="3376452"/>
        </a:xfrm>
        <a:prstGeom prst="arc">
          <a:avLst>
            <a:gd name="adj1" fmla="val 17134412"/>
            <a:gd name="adj2" fmla="val 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93</xdr:col>
      <xdr:colOff>72568</xdr:colOff>
      <xdr:row>635</xdr:row>
      <xdr:rowOff>116760</xdr:rowOff>
    </xdr:from>
    <xdr:to>
      <xdr:col>111</xdr:col>
      <xdr:colOff>112972</xdr:colOff>
      <xdr:row>655</xdr:row>
      <xdr:rowOff>6549</xdr:rowOff>
    </xdr:to>
    <xdr:sp macro="" textlink="">
      <xdr:nvSpPr>
        <xdr:cNvPr id="33" name="Arc 32">
          <a:extLst>
            <a:ext uri="{FF2B5EF4-FFF2-40B4-BE49-F238E27FC236}">
              <a16:creationId xmlns:a16="http://schemas.microsoft.com/office/drawing/2014/main" id="{722C7EA0-6A1C-884D-ABA5-455ADBA3ADFF}"/>
            </a:ext>
          </a:extLst>
        </xdr:cNvPr>
        <xdr:cNvSpPr/>
      </xdr:nvSpPr>
      <xdr:spPr>
        <a:xfrm rot="17107005">
          <a:off x="12299235" y="84044333"/>
          <a:ext cx="2531389" cy="2417844"/>
        </a:xfrm>
        <a:prstGeom prst="arc">
          <a:avLst>
            <a:gd name="adj1" fmla="val 10305759"/>
            <a:gd name="adj2" fmla="val 14246135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96411</xdr:colOff>
      <xdr:row>652</xdr:row>
      <xdr:rowOff>43140</xdr:rowOff>
    </xdr:from>
    <xdr:to>
      <xdr:col>106</xdr:col>
      <xdr:colOff>20906</xdr:colOff>
      <xdr:row>664</xdr:row>
      <xdr:rowOff>131462</xdr:rowOff>
    </xdr:to>
    <xdr:sp macro="" textlink="">
      <xdr:nvSpPr>
        <xdr:cNvPr id="35" name="Arc 34">
          <a:extLst>
            <a:ext uri="{FF2B5EF4-FFF2-40B4-BE49-F238E27FC236}">
              <a16:creationId xmlns:a16="http://schemas.microsoft.com/office/drawing/2014/main" id="{C1BBF625-E1DA-A34E-9013-68DF02398D20}"/>
            </a:ext>
          </a:extLst>
        </xdr:cNvPr>
        <xdr:cNvSpPr/>
      </xdr:nvSpPr>
      <xdr:spPr>
        <a:xfrm rot="16596724">
          <a:off x="11109218" y="84920413"/>
          <a:ext cx="1673282" cy="4151055"/>
        </a:xfrm>
        <a:prstGeom prst="arc">
          <a:avLst>
            <a:gd name="adj1" fmla="val 18999177"/>
            <a:gd name="adj2" fmla="val 3962939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26980</xdr:colOff>
      <xdr:row>424</xdr:row>
      <xdr:rowOff>19968</xdr:rowOff>
    </xdr:from>
    <xdr:to>
      <xdr:col>51</xdr:col>
      <xdr:colOff>26979</xdr:colOff>
      <xdr:row>440</xdr:row>
      <xdr:rowOff>38511</xdr:rowOff>
    </xdr:to>
    <xdr:sp macro="" textlink="">
      <xdr:nvSpPr>
        <xdr:cNvPr id="36" name="Arc 35">
          <a:extLst>
            <a:ext uri="{FF2B5EF4-FFF2-40B4-BE49-F238E27FC236}">
              <a16:creationId xmlns:a16="http://schemas.microsoft.com/office/drawing/2014/main" id="{D5670A6F-EAC1-37AD-6AD0-2FDD9B83FDE3}"/>
            </a:ext>
          </a:extLst>
        </xdr:cNvPr>
        <xdr:cNvSpPr/>
      </xdr:nvSpPr>
      <xdr:spPr>
        <a:xfrm rot="10800000" flipV="1">
          <a:off x="4625256" y="55724796"/>
          <a:ext cx="2102068" cy="2120612"/>
        </a:xfrm>
        <a:prstGeom prst="arc">
          <a:avLst/>
        </a:prstGeom>
        <a:ln>
          <a:headEnd type="none" w="lg" len="lg"/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366</xdr:col>
      <xdr:colOff>79075</xdr:colOff>
      <xdr:row>497</xdr:row>
      <xdr:rowOff>40753</xdr:rowOff>
    </xdr:from>
    <xdr:to>
      <xdr:col>379</xdr:col>
      <xdr:colOff>25172</xdr:colOff>
      <xdr:row>509</xdr:row>
      <xdr:rowOff>23971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2DC3112A-05DC-BF42-99D9-828EF3DBA782}"/>
            </a:ext>
          </a:extLst>
        </xdr:cNvPr>
        <xdr:cNvGrpSpPr/>
      </xdr:nvGrpSpPr>
      <xdr:grpSpPr>
        <a:xfrm rot="3426135">
          <a:off x="50653449" y="68597901"/>
          <a:ext cx="1639739" cy="1740662"/>
          <a:chOff x="21448891" y="25973857"/>
          <a:chExt cx="1382889" cy="1449245"/>
        </a:xfrm>
      </xdr:grpSpPr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DCD703D6-0592-A699-06FB-67258FC11486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4E9CD54D-AC6D-637B-28EA-4793D759FDDE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234</xdr:col>
      <xdr:colOff>6614</xdr:colOff>
      <xdr:row>511</xdr:row>
      <xdr:rowOff>9597</xdr:rowOff>
    </xdr:from>
    <xdr:to>
      <xdr:col>237</xdr:col>
      <xdr:colOff>1500</xdr:colOff>
      <xdr:row>514</xdr:row>
      <xdr:rowOff>3382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B6EAEFDA-389C-A448-B585-FB275ECF2CD4}"/>
            </a:ext>
          </a:extLst>
        </xdr:cNvPr>
        <xdr:cNvSpPr/>
      </xdr:nvSpPr>
      <xdr:spPr>
        <a:xfrm>
          <a:off x="35668214" y="77276397"/>
          <a:ext cx="452086" cy="450985"/>
        </a:xfrm>
        <a:prstGeom prst="ellipse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288</xdr:col>
      <xdr:colOff>127300</xdr:colOff>
      <xdr:row>510</xdr:row>
      <xdr:rowOff>129277</xdr:rowOff>
    </xdr:from>
    <xdr:to>
      <xdr:col>291</xdr:col>
      <xdr:colOff>122186</xdr:colOff>
      <xdr:row>513</xdr:row>
      <xdr:rowOff>123062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1D813FE3-BDCF-9B44-9811-6D924B5E0C91}"/>
            </a:ext>
          </a:extLst>
        </xdr:cNvPr>
        <xdr:cNvSpPr/>
      </xdr:nvSpPr>
      <xdr:spPr>
        <a:xfrm>
          <a:off x="44018500" y="77243677"/>
          <a:ext cx="452086" cy="450985"/>
        </a:xfrm>
        <a:prstGeom prst="ellipse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343</xdr:col>
      <xdr:colOff>126180</xdr:colOff>
      <xdr:row>511</xdr:row>
      <xdr:rowOff>2729</xdr:rowOff>
    </xdr:from>
    <xdr:to>
      <xdr:col>346</xdr:col>
      <xdr:colOff>121066</xdr:colOff>
      <xdr:row>513</xdr:row>
      <xdr:rowOff>123062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7C863736-F5D0-F143-83EB-3B88F11C8CEE}"/>
            </a:ext>
          </a:extLst>
        </xdr:cNvPr>
        <xdr:cNvSpPr/>
      </xdr:nvSpPr>
      <xdr:spPr>
        <a:xfrm>
          <a:off x="52399380" y="77269529"/>
          <a:ext cx="452086" cy="425133"/>
        </a:xfrm>
        <a:prstGeom prst="ellipse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317</xdr:col>
      <xdr:colOff>45356</xdr:colOff>
      <xdr:row>633</xdr:row>
      <xdr:rowOff>113393</xdr:rowOff>
    </xdr:from>
    <xdr:to>
      <xdr:col>332</xdr:col>
      <xdr:colOff>45358</xdr:colOff>
      <xdr:row>638</xdr:row>
      <xdr:rowOff>64103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55E46B48-D878-CE4A-AA43-7C4C7A887D56}"/>
            </a:ext>
          </a:extLst>
        </xdr:cNvPr>
        <xdr:cNvSpPr txBox="1"/>
      </xdr:nvSpPr>
      <xdr:spPr>
        <a:xfrm>
          <a:off x="43179999" y="86246607"/>
          <a:ext cx="2041073" cy="6310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26'</a:t>
          </a:r>
          <a:r>
            <a:rPr lang="en-US" sz="3200" baseline="0"/>
            <a:t> - 6"</a:t>
          </a:r>
          <a:endParaRPr lang="en-US" sz="3200"/>
        </a:p>
      </xdr:txBody>
    </xdr:sp>
    <xdr:clientData/>
  </xdr:twoCellAnchor>
  <xdr:twoCellAnchor>
    <xdr:from>
      <xdr:col>278</xdr:col>
      <xdr:colOff>67735</xdr:colOff>
      <xdr:row>574</xdr:row>
      <xdr:rowOff>2</xdr:rowOff>
    </xdr:from>
    <xdr:to>
      <xdr:col>293</xdr:col>
      <xdr:colOff>67736</xdr:colOff>
      <xdr:row>578</xdr:row>
      <xdr:rowOff>104111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D72555DF-CCCF-6B4E-92E8-F1239EE5C5C3}"/>
            </a:ext>
          </a:extLst>
        </xdr:cNvPr>
        <xdr:cNvSpPr txBox="1"/>
      </xdr:nvSpPr>
      <xdr:spPr>
        <a:xfrm>
          <a:off x="37727468" y="77757869"/>
          <a:ext cx="2032001" cy="645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12'</a:t>
          </a:r>
        </a:p>
      </xdr:txBody>
    </xdr:sp>
    <xdr:clientData/>
  </xdr:twoCellAnchor>
  <xdr:twoCellAnchor>
    <xdr:from>
      <xdr:col>265</xdr:col>
      <xdr:colOff>33866</xdr:colOff>
      <xdr:row>623</xdr:row>
      <xdr:rowOff>101599</xdr:rowOff>
    </xdr:from>
    <xdr:to>
      <xdr:col>273</xdr:col>
      <xdr:colOff>21164</xdr:colOff>
      <xdr:row>628</xdr:row>
      <xdr:rowOff>70240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5C29E1A9-E3AD-9442-B4CC-E9F4338AA5D1}"/>
            </a:ext>
          </a:extLst>
        </xdr:cNvPr>
        <xdr:cNvSpPr txBox="1"/>
      </xdr:nvSpPr>
      <xdr:spPr>
        <a:xfrm>
          <a:off x="35932533" y="84497332"/>
          <a:ext cx="1071031" cy="645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10'</a:t>
          </a:r>
        </a:p>
      </xdr:txBody>
    </xdr:sp>
    <xdr:clientData/>
  </xdr:twoCellAnchor>
  <xdr:twoCellAnchor>
    <xdr:from>
      <xdr:col>247</xdr:col>
      <xdr:colOff>110986</xdr:colOff>
      <xdr:row>607</xdr:row>
      <xdr:rowOff>55768</xdr:rowOff>
    </xdr:from>
    <xdr:to>
      <xdr:col>258</xdr:col>
      <xdr:colOff>83377</xdr:colOff>
      <xdr:row>612</xdr:row>
      <xdr:rowOff>35637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2708809F-8A5D-7A47-A4A6-FFD69B61F324}"/>
            </a:ext>
          </a:extLst>
        </xdr:cNvPr>
        <xdr:cNvSpPr txBox="1"/>
      </xdr:nvSpPr>
      <xdr:spPr>
        <a:xfrm>
          <a:off x="30798051" y="75468920"/>
          <a:ext cx="1339022" cy="6010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4' - 6"</a:t>
          </a:r>
          <a:endParaRPr lang="en-US" sz="3200"/>
        </a:p>
      </xdr:txBody>
    </xdr:sp>
    <xdr:clientData/>
  </xdr:twoCellAnchor>
  <xdr:twoCellAnchor>
    <xdr:from>
      <xdr:col>265</xdr:col>
      <xdr:colOff>55214</xdr:colOff>
      <xdr:row>589</xdr:row>
      <xdr:rowOff>55218</xdr:rowOff>
    </xdr:from>
    <xdr:to>
      <xdr:col>272</xdr:col>
      <xdr:colOff>82823</xdr:colOff>
      <xdr:row>594</xdr:row>
      <xdr:rowOff>35088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9EDF05EF-D3E8-1247-A6DA-25DDA36ACFBE}"/>
            </a:ext>
          </a:extLst>
        </xdr:cNvPr>
        <xdr:cNvSpPr txBox="1"/>
      </xdr:nvSpPr>
      <xdr:spPr>
        <a:xfrm>
          <a:off x="32978584" y="73232066"/>
          <a:ext cx="897282" cy="6010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5'</a:t>
          </a:r>
          <a:endParaRPr lang="en-US" sz="3200"/>
        </a:p>
      </xdr:txBody>
    </xdr:sp>
    <xdr:clientData/>
  </xdr:twoCellAnchor>
  <xdr:twoCellAnchor>
    <xdr:from>
      <xdr:col>335</xdr:col>
      <xdr:colOff>87584</xdr:colOff>
      <xdr:row>576</xdr:row>
      <xdr:rowOff>109483</xdr:rowOff>
    </xdr:from>
    <xdr:to>
      <xdr:col>386</xdr:col>
      <xdr:colOff>43051</xdr:colOff>
      <xdr:row>657</xdr:row>
      <xdr:rowOff>107627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B6D12C03-9702-B247-BCE1-4EC8854D2C50}"/>
            </a:ext>
          </a:extLst>
        </xdr:cNvPr>
        <xdr:cNvSpPr txBox="1"/>
      </xdr:nvSpPr>
      <xdr:spPr>
        <a:xfrm>
          <a:off x="43353686" y="74501347"/>
          <a:ext cx="6542246" cy="1045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182880" bIns="182880" rtlCol="0" anchor="t"/>
        <a:lstStyle/>
        <a:p>
          <a:pPr algn="l"/>
          <a:r>
            <a:rPr lang="en-US" sz="2800"/>
            <a:t>External walls:</a:t>
          </a:r>
          <a:r>
            <a:rPr lang="en-US" sz="2800" baseline="0"/>
            <a:t> 		9"</a:t>
          </a:r>
        </a:p>
        <a:p>
          <a:pPr algn="l"/>
          <a:r>
            <a:rPr lang="en-US" sz="2800" baseline="0"/>
            <a:t>Internal walls:		6"</a:t>
          </a:r>
        </a:p>
        <a:p>
          <a:pPr algn="l"/>
          <a:r>
            <a:rPr lang="en-US" sz="2800" baseline="0"/>
            <a:t>Columns:			9" x 12"</a:t>
          </a:r>
        </a:p>
        <a:p>
          <a:pPr algn="l"/>
          <a:r>
            <a:rPr lang="en-US" sz="2800" baseline="0"/>
            <a:t>Beams:			9" x 12"</a:t>
          </a:r>
        </a:p>
        <a:p>
          <a:pPr algn="l"/>
          <a:r>
            <a:rPr lang="en-US" sz="2800" baseline="0"/>
            <a:t>Ceiling ht:			10'</a:t>
          </a:r>
        </a:p>
        <a:p>
          <a:pPr algn="l"/>
          <a:r>
            <a:rPr lang="en-US" sz="2800" baseline="0"/>
            <a:t>Roof slab thickness:	6"</a:t>
          </a:r>
        </a:p>
        <a:p>
          <a:pPr algn="l"/>
          <a:r>
            <a:rPr lang="en-US" sz="2800" baseline="0"/>
            <a:t>Lintel ht:			7'</a:t>
          </a:r>
        </a:p>
        <a:p>
          <a:pPr algn="l"/>
          <a:r>
            <a:rPr lang="en-US" sz="2800" baseline="0"/>
            <a:t>Shade overhang:		4'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aseline="0"/>
            <a:t>Shade ht:			7'</a:t>
          </a:r>
        </a:p>
        <a:p>
          <a:pPr algn="l"/>
          <a:r>
            <a:rPr lang="en-US" sz="2800" baseline="0"/>
            <a:t>Roof slab overhang:	18"</a:t>
          </a:r>
        </a:p>
        <a:p>
          <a:pPr algn="l"/>
          <a:r>
            <a:rPr lang="en-US" sz="2800"/>
            <a:t>Plinth</a:t>
          </a:r>
          <a:r>
            <a:rPr lang="en-US" sz="2800" baseline="0"/>
            <a:t> level (from GL):	30"</a:t>
          </a:r>
        </a:p>
        <a:p>
          <a:pPr algn="l"/>
          <a:r>
            <a:rPr lang="en-US" sz="2800"/>
            <a:t>Stair case width:		30"</a:t>
          </a:r>
        </a:p>
        <a:p>
          <a:pPr algn="l"/>
          <a:r>
            <a:rPr lang="en-US" sz="2800"/>
            <a:t>Stair</a:t>
          </a:r>
          <a:r>
            <a:rPr lang="en-US" sz="2800" baseline="0"/>
            <a:t> </a:t>
          </a:r>
          <a:r>
            <a:rPr lang="en-US" sz="2800"/>
            <a:t>step size:		7" x 12"</a:t>
          </a:r>
        </a:p>
        <a:p>
          <a:pPr algn="l"/>
          <a:r>
            <a:rPr lang="en-US" sz="2800"/>
            <a:t>Sill ht:				3'</a:t>
          </a:r>
        </a:p>
        <a:p>
          <a:pPr algn="l"/>
          <a:r>
            <a:rPr lang="en-US" sz="2800"/>
            <a:t>Counter-top ht		3'</a:t>
          </a:r>
        </a:p>
        <a:p>
          <a:pPr algn="l"/>
          <a:r>
            <a:rPr lang="en-US" sz="2800"/>
            <a:t>Counter-top</a:t>
          </a:r>
          <a:r>
            <a:rPr lang="en-US" sz="2800" baseline="0"/>
            <a:t> width:	2'</a:t>
          </a:r>
        </a:p>
        <a:p>
          <a:pPr algn="l"/>
          <a:r>
            <a:rPr lang="en-US" sz="2800" baseline="0"/>
            <a:t>Doors ht:			6' 6"</a:t>
          </a:r>
        </a:p>
        <a:p>
          <a:pPr algn="l"/>
          <a:r>
            <a:rPr lang="en-US" sz="2800"/>
            <a:t>Main door width:		3'</a:t>
          </a:r>
        </a:p>
        <a:p>
          <a:pPr algn="l"/>
          <a:r>
            <a:rPr lang="en-US" sz="2800"/>
            <a:t>Bath</a:t>
          </a:r>
          <a:r>
            <a:rPr lang="en-US" sz="2800" baseline="0"/>
            <a:t>room doors (w)	27"</a:t>
          </a:r>
        </a:p>
        <a:p>
          <a:pPr algn="l"/>
          <a:r>
            <a:rPr lang="en-US" sz="2800" baseline="0"/>
            <a:t>Other doors (w)		30"</a:t>
          </a:r>
        </a:p>
        <a:p>
          <a:pPr algn="l"/>
          <a:r>
            <a:rPr lang="en-US" sz="2800" baseline="0"/>
            <a:t>RCC:				M20, Fe415</a:t>
          </a:r>
        </a:p>
        <a:p>
          <a:pPr algn="l"/>
          <a:r>
            <a:rPr lang="en-US" sz="2800"/>
            <a:t>Flooring:			Concrete polish</a:t>
          </a:r>
        </a:p>
      </xdr:txBody>
    </xdr:sp>
    <xdr:clientData/>
  </xdr:twoCellAnchor>
  <xdr:twoCellAnchor>
    <xdr:from>
      <xdr:col>335</xdr:col>
      <xdr:colOff>87587</xdr:colOff>
      <xdr:row>673</xdr:row>
      <xdr:rowOff>87586</xdr:rowOff>
    </xdr:from>
    <xdr:to>
      <xdr:col>348</xdr:col>
      <xdr:colOff>33684</xdr:colOff>
      <xdr:row>685</xdr:row>
      <xdr:rowOff>70804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B3B204CF-415A-7A47-9A1A-69A4F9E56334}"/>
            </a:ext>
          </a:extLst>
        </xdr:cNvPr>
        <xdr:cNvGrpSpPr/>
      </xdr:nvGrpSpPr>
      <xdr:grpSpPr>
        <a:xfrm rot="3426135">
          <a:off x="46382613" y="92940386"/>
          <a:ext cx="1639740" cy="1740662"/>
          <a:chOff x="21448891" y="25973857"/>
          <a:chExt cx="1382889" cy="1449245"/>
        </a:xfrm>
      </xdr:grpSpPr>
      <xdr:cxnSp macro="">
        <xdr:nvCxnSpPr>
          <xdr:cNvPr id="54" name="Straight Arrow Connector 53">
            <a:extLst>
              <a:ext uri="{FF2B5EF4-FFF2-40B4-BE49-F238E27FC236}">
                <a16:creationId xmlns:a16="http://schemas.microsoft.com/office/drawing/2014/main" id="{1984EF7B-E99C-C10F-70D7-B23CFEB0DA19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70B2197A-A3B9-10CB-5AC3-E90407A2EA3C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347</xdr:col>
      <xdr:colOff>101601</xdr:colOff>
      <xdr:row>672</xdr:row>
      <xdr:rowOff>29632</xdr:rowOff>
    </xdr:from>
    <xdr:to>
      <xdr:col>352</xdr:col>
      <xdr:colOff>18394</xdr:colOff>
      <xdr:row>677</xdr:row>
      <xdr:rowOff>16424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BE8E6E3-2249-2D40-95B6-67229355F906}"/>
            </a:ext>
          </a:extLst>
        </xdr:cNvPr>
        <xdr:cNvSpPr txBox="1"/>
      </xdr:nvSpPr>
      <xdr:spPr>
        <a:xfrm>
          <a:off x="44170601" y="85373632"/>
          <a:ext cx="551793" cy="6217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N</a:t>
          </a:r>
          <a:endParaRPr lang="en-US" sz="3200"/>
        </a:p>
      </xdr:txBody>
    </xdr:sp>
    <xdr:clientData/>
  </xdr:twoCellAnchor>
  <xdr:twoCellAnchor>
    <xdr:from>
      <xdr:col>251</xdr:col>
      <xdr:colOff>94073</xdr:colOff>
      <xdr:row>687</xdr:row>
      <xdr:rowOff>78395</xdr:rowOff>
    </xdr:from>
    <xdr:to>
      <xdr:col>266</xdr:col>
      <xdr:colOff>94074</xdr:colOff>
      <xdr:row>692</xdr:row>
      <xdr:rowOff>47037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85577A6E-1E88-7744-865C-4B2359C9CAA3}"/>
            </a:ext>
          </a:extLst>
        </xdr:cNvPr>
        <xdr:cNvSpPr txBox="1"/>
      </xdr:nvSpPr>
      <xdr:spPr>
        <a:xfrm>
          <a:off x="31971073" y="87835395"/>
          <a:ext cx="1905001" cy="6036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26'</a:t>
          </a:r>
        </a:p>
      </xdr:txBody>
    </xdr:sp>
    <xdr:clientData/>
  </xdr:twoCellAnchor>
  <xdr:twoCellAnchor>
    <xdr:from>
      <xdr:col>265</xdr:col>
      <xdr:colOff>84667</xdr:colOff>
      <xdr:row>655</xdr:row>
      <xdr:rowOff>84667</xdr:rowOff>
    </xdr:from>
    <xdr:to>
      <xdr:col>272</xdr:col>
      <xdr:colOff>112276</xdr:colOff>
      <xdr:row>660</xdr:row>
      <xdr:rowOff>64536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C1E635CC-BCCB-B14F-8A23-CB78C036596F}"/>
            </a:ext>
          </a:extLst>
        </xdr:cNvPr>
        <xdr:cNvSpPr txBox="1"/>
      </xdr:nvSpPr>
      <xdr:spPr>
        <a:xfrm>
          <a:off x="33739667" y="83777667"/>
          <a:ext cx="916609" cy="614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6'</a:t>
          </a:r>
          <a:endParaRPr lang="en-US" sz="3200"/>
        </a:p>
      </xdr:txBody>
    </xdr:sp>
    <xdr:clientData/>
  </xdr:twoCellAnchor>
  <xdr:twoCellAnchor>
    <xdr:from>
      <xdr:col>265</xdr:col>
      <xdr:colOff>84667</xdr:colOff>
      <xdr:row>674</xdr:row>
      <xdr:rowOff>33866</xdr:rowOff>
    </xdr:from>
    <xdr:to>
      <xdr:col>272</xdr:col>
      <xdr:colOff>112275</xdr:colOff>
      <xdr:row>679</xdr:row>
      <xdr:rowOff>13736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B756187D-DC29-904B-B6DA-95036DC8CB6F}"/>
            </a:ext>
          </a:extLst>
        </xdr:cNvPr>
        <xdr:cNvSpPr txBox="1"/>
      </xdr:nvSpPr>
      <xdr:spPr>
        <a:xfrm>
          <a:off x="28405667" y="86139866"/>
          <a:ext cx="916608" cy="6148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3'</a:t>
          </a:r>
          <a:endParaRPr lang="en-US" sz="3200"/>
        </a:p>
      </xdr:txBody>
    </xdr:sp>
    <xdr:clientData/>
  </xdr:twoCellAnchor>
  <xdr:twoCellAnchor>
    <xdr:from>
      <xdr:col>234</xdr:col>
      <xdr:colOff>50801</xdr:colOff>
      <xdr:row>648</xdr:row>
      <xdr:rowOff>67733</xdr:rowOff>
    </xdr:from>
    <xdr:to>
      <xdr:col>244</xdr:col>
      <xdr:colOff>1</xdr:colOff>
      <xdr:row>653</xdr:row>
      <xdr:rowOff>47602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F86B0027-77AF-104C-85CA-8EDC02912662}"/>
            </a:ext>
          </a:extLst>
        </xdr:cNvPr>
        <xdr:cNvSpPr txBox="1"/>
      </xdr:nvSpPr>
      <xdr:spPr>
        <a:xfrm>
          <a:off x="29768801" y="82363733"/>
          <a:ext cx="1219200" cy="614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8'</a:t>
          </a:r>
          <a:endParaRPr lang="en-US" sz="3200"/>
        </a:p>
      </xdr:txBody>
    </xdr:sp>
    <xdr:clientData/>
  </xdr:twoCellAnchor>
  <xdr:twoCellAnchor>
    <xdr:from>
      <xdr:col>229</xdr:col>
      <xdr:colOff>93135</xdr:colOff>
      <xdr:row>574</xdr:row>
      <xdr:rowOff>2</xdr:rowOff>
    </xdr:from>
    <xdr:to>
      <xdr:col>244</xdr:col>
      <xdr:colOff>93136</xdr:colOff>
      <xdr:row>578</xdr:row>
      <xdr:rowOff>104111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8CEE8E0B-A260-4B4F-8C7C-8110235DE435}"/>
            </a:ext>
          </a:extLst>
        </xdr:cNvPr>
        <xdr:cNvSpPr txBox="1"/>
      </xdr:nvSpPr>
      <xdr:spPr>
        <a:xfrm>
          <a:off x="29303135" y="72898002"/>
          <a:ext cx="1905001" cy="6121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12'</a:t>
          </a:r>
        </a:p>
      </xdr:txBody>
    </xdr:sp>
    <xdr:clientData/>
  </xdr:twoCellAnchor>
  <xdr:twoCellAnchor>
    <xdr:from>
      <xdr:col>224</xdr:col>
      <xdr:colOff>96630</xdr:colOff>
      <xdr:row>607</xdr:row>
      <xdr:rowOff>55217</xdr:rowOff>
    </xdr:from>
    <xdr:to>
      <xdr:col>235</xdr:col>
      <xdr:colOff>69021</xdr:colOff>
      <xdr:row>612</xdr:row>
      <xdr:rowOff>35086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1FA81FC4-48A9-9649-871A-AA08D862161B}"/>
            </a:ext>
          </a:extLst>
        </xdr:cNvPr>
        <xdr:cNvSpPr txBox="1"/>
      </xdr:nvSpPr>
      <xdr:spPr>
        <a:xfrm>
          <a:off x="28671630" y="77144217"/>
          <a:ext cx="1369391" cy="614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7'</a:t>
          </a:r>
          <a:endParaRPr lang="en-US" sz="3200"/>
        </a:p>
      </xdr:txBody>
    </xdr:sp>
    <xdr:clientData/>
  </xdr:twoCellAnchor>
  <xdr:twoCellAnchor>
    <xdr:from>
      <xdr:col>187</xdr:col>
      <xdr:colOff>47681</xdr:colOff>
      <xdr:row>626</xdr:row>
      <xdr:rowOff>114523</xdr:rowOff>
    </xdr:from>
    <xdr:to>
      <xdr:col>195</xdr:col>
      <xdr:colOff>114522</xdr:colOff>
      <xdr:row>631</xdr:row>
      <xdr:rowOff>83164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15A224C4-5B7C-764A-81F1-A40422E34887}"/>
            </a:ext>
          </a:extLst>
        </xdr:cNvPr>
        <xdr:cNvSpPr txBox="1"/>
      </xdr:nvSpPr>
      <xdr:spPr>
        <a:xfrm>
          <a:off x="25180313" y="83800839"/>
          <a:ext cx="1136314" cy="6370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17'</a:t>
          </a:r>
        </a:p>
      </xdr:txBody>
    </xdr:sp>
    <xdr:clientData/>
  </xdr:twoCellAnchor>
  <xdr:twoCellAnchor>
    <xdr:from>
      <xdr:col>516</xdr:col>
      <xdr:colOff>117859</xdr:colOff>
      <xdr:row>587</xdr:row>
      <xdr:rowOff>116657</xdr:rowOff>
    </xdr:from>
    <xdr:to>
      <xdr:col>608</xdr:col>
      <xdr:colOff>79374</xdr:colOff>
      <xdr:row>693</xdr:row>
      <xdr:rowOff>78172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A1253EB9-BB6D-5BDF-E826-C4350E5FEBA6}"/>
            </a:ext>
          </a:extLst>
        </xdr:cNvPr>
        <xdr:cNvCxnSpPr/>
      </xdr:nvCxnSpPr>
      <xdr:spPr>
        <a:xfrm flipH="1">
          <a:off x="36670047" y="84174782"/>
          <a:ext cx="10915265" cy="125821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152</xdr:col>
      <xdr:colOff>33866</xdr:colOff>
      <xdr:row>865</xdr:row>
      <xdr:rowOff>101599</xdr:rowOff>
    </xdr:from>
    <xdr:to>
      <xdr:col>160</xdr:col>
      <xdr:colOff>21164</xdr:colOff>
      <xdr:row>870</xdr:row>
      <xdr:rowOff>70240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EE38B370-C611-A14A-93B1-79D860A08743}"/>
            </a:ext>
          </a:extLst>
        </xdr:cNvPr>
        <xdr:cNvSpPr txBox="1"/>
      </xdr:nvSpPr>
      <xdr:spPr>
        <a:xfrm>
          <a:off x="33688866" y="79222599"/>
          <a:ext cx="1003298" cy="6036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10'</a:t>
          </a:r>
        </a:p>
      </xdr:txBody>
    </xdr:sp>
    <xdr:clientData/>
  </xdr:twoCellAnchor>
  <xdr:twoCellAnchor>
    <xdr:from>
      <xdr:col>134</xdr:col>
      <xdr:colOff>110986</xdr:colOff>
      <xdr:row>849</xdr:row>
      <xdr:rowOff>55768</xdr:rowOff>
    </xdr:from>
    <xdr:to>
      <xdr:col>145</xdr:col>
      <xdr:colOff>83377</xdr:colOff>
      <xdr:row>854</xdr:row>
      <xdr:rowOff>35637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82B8B8C3-A26A-F84D-9761-79429D3F9F27}"/>
            </a:ext>
          </a:extLst>
        </xdr:cNvPr>
        <xdr:cNvSpPr txBox="1"/>
      </xdr:nvSpPr>
      <xdr:spPr>
        <a:xfrm>
          <a:off x="31479986" y="77144768"/>
          <a:ext cx="1369391" cy="614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4' - 6"</a:t>
          </a:r>
          <a:endParaRPr lang="en-US" sz="3200"/>
        </a:p>
      </xdr:txBody>
    </xdr:sp>
    <xdr:clientData/>
  </xdr:twoCellAnchor>
  <xdr:twoCellAnchor>
    <xdr:from>
      <xdr:col>152</xdr:col>
      <xdr:colOff>55214</xdr:colOff>
      <xdr:row>831</xdr:row>
      <xdr:rowOff>55218</xdr:rowOff>
    </xdr:from>
    <xdr:to>
      <xdr:col>159</xdr:col>
      <xdr:colOff>82823</xdr:colOff>
      <xdr:row>836</xdr:row>
      <xdr:rowOff>35088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5994A816-6E3E-524D-9CB9-53F896637B60}"/>
            </a:ext>
          </a:extLst>
        </xdr:cNvPr>
        <xdr:cNvSpPr txBox="1"/>
      </xdr:nvSpPr>
      <xdr:spPr>
        <a:xfrm>
          <a:off x="33710214" y="74858218"/>
          <a:ext cx="916609" cy="6148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5'</a:t>
          </a:r>
          <a:endParaRPr lang="en-US" sz="3200"/>
        </a:p>
      </xdr:txBody>
    </xdr:sp>
    <xdr:clientData/>
  </xdr:twoCellAnchor>
  <xdr:twoCellAnchor>
    <xdr:from>
      <xdr:col>152</xdr:col>
      <xdr:colOff>84667</xdr:colOff>
      <xdr:row>897</xdr:row>
      <xdr:rowOff>84667</xdr:rowOff>
    </xdr:from>
    <xdr:to>
      <xdr:col>159</xdr:col>
      <xdr:colOff>112276</xdr:colOff>
      <xdr:row>902</xdr:row>
      <xdr:rowOff>64536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A07412AA-8627-0A4A-8CC7-263061725935}"/>
            </a:ext>
          </a:extLst>
        </xdr:cNvPr>
        <xdr:cNvSpPr txBox="1"/>
      </xdr:nvSpPr>
      <xdr:spPr>
        <a:xfrm>
          <a:off x="33739667" y="83269667"/>
          <a:ext cx="916609" cy="614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6'</a:t>
          </a:r>
          <a:endParaRPr lang="en-US" sz="3200"/>
        </a:p>
      </xdr:txBody>
    </xdr:sp>
    <xdr:clientData/>
  </xdr:twoCellAnchor>
  <xdr:twoCellAnchor>
    <xdr:from>
      <xdr:col>152</xdr:col>
      <xdr:colOff>84667</xdr:colOff>
      <xdr:row>916</xdr:row>
      <xdr:rowOff>33866</xdr:rowOff>
    </xdr:from>
    <xdr:to>
      <xdr:col>159</xdr:col>
      <xdr:colOff>112275</xdr:colOff>
      <xdr:row>921</xdr:row>
      <xdr:rowOff>13736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E4033B94-5D5B-E748-A5E4-8F46482AD931}"/>
            </a:ext>
          </a:extLst>
        </xdr:cNvPr>
        <xdr:cNvSpPr txBox="1"/>
      </xdr:nvSpPr>
      <xdr:spPr>
        <a:xfrm>
          <a:off x="33739667" y="85631866"/>
          <a:ext cx="916608" cy="6148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3'</a:t>
          </a:r>
          <a:endParaRPr lang="en-US" sz="3200"/>
        </a:p>
      </xdr:txBody>
    </xdr:sp>
    <xdr:clientData/>
  </xdr:twoCellAnchor>
  <xdr:twoCellAnchor>
    <xdr:from>
      <xdr:col>121</xdr:col>
      <xdr:colOff>50801</xdr:colOff>
      <xdr:row>890</xdr:row>
      <xdr:rowOff>67733</xdr:rowOff>
    </xdr:from>
    <xdr:to>
      <xdr:col>131</xdr:col>
      <xdr:colOff>1</xdr:colOff>
      <xdr:row>895</xdr:row>
      <xdr:rowOff>47602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672F0E97-E2A3-C445-AA5E-D725286D08FB}"/>
            </a:ext>
          </a:extLst>
        </xdr:cNvPr>
        <xdr:cNvSpPr txBox="1"/>
      </xdr:nvSpPr>
      <xdr:spPr>
        <a:xfrm>
          <a:off x="29768801" y="82363733"/>
          <a:ext cx="1219200" cy="614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8'</a:t>
          </a:r>
          <a:endParaRPr lang="en-US" sz="3200"/>
        </a:p>
      </xdr:txBody>
    </xdr:sp>
    <xdr:clientData/>
  </xdr:twoCellAnchor>
  <xdr:twoCellAnchor>
    <xdr:from>
      <xdr:col>111</xdr:col>
      <xdr:colOff>96630</xdr:colOff>
      <xdr:row>849</xdr:row>
      <xdr:rowOff>55217</xdr:rowOff>
    </xdr:from>
    <xdr:to>
      <xdr:col>122</xdr:col>
      <xdr:colOff>69021</xdr:colOff>
      <xdr:row>854</xdr:row>
      <xdr:rowOff>35086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480615FE-703C-0D4D-B0AA-E3E167619940}"/>
            </a:ext>
          </a:extLst>
        </xdr:cNvPr>
        <xdr:cNvSpPr txBox="1"/>
      </xdr:nvSpPr>
      <xdr:spPr>
        <a:xfrm>
          <a:off x="28544630" y="77144217"/>
          <a:ext cx="1369391" cy="614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7'</a:t>
          </a:r>
          <a:endParaRPr lang="en-US" sz="3200"/>
        </a:p>
      </xdr:txBody>
    </xdr:sp>
    <xdr:clientData/>
  </xdr:twoCellAnchor>
  <xdr:twoCellAnchor>
    <xdr:from>
      <xdr:col>97</xdr:col>
      <xdr:colOff>15679</xdr:colOff>
      <xdr:row>955</xdr:row>
      <xdr:rowOff>15678</xdr:rowOff>
    </xdr:from>
    <xdr:to>
      <xdr:col>100</xdr:col>
      <xdr:colOff>4196</xdr:colOff>
      <xdr:row>958</xdr:row>
      <xdr:rowOff>3093</xdr:rowOff>
    </xdr:to>
    <xdr:sp macro="" textlink="">
      <xdr:nvSpPr>
        <xdr:cNvPr id="70" name="Oval 69">
          <a:extLst>
            <a:ext uri="{FF2B5EF4-FFF2-40B4-BE49-F238E27FC236}">
              <a16:creationId xmlns:a16="http://schemas.microsoft.com/office/drawing/2014/main" id="{C2D2A486-F59D-724D-B1EA-AEA622113A43}"/>
            </a:ext>
          </a:extLst>
        </xdr:cNvPr>
        <xdr:cNvSpPr/>
      </xdr:nvSpPr>
      <xdr:spPr>
        <a:xfrm>
          <a:off x="12182593" y="119803332"/>
          <a:ext cx="364813" cy="363712"/>
        </a:xfrm>
        <a:prstGeom prst="ellipse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26968</xdr:colOff>
      <xdr:row>955</xdr:row>
      <xdr:rowOff>42646</xdr:rowOff>
    </xdr:from>
    <xdr:to>
      <xdr:col>150</xdr:col>
      <xdr:colOff>15485</xdr:colOff>
      <xdr:row>958</xdr:row>
      <xdr:rowOff>30061</xdr:rowOff>
    </xdr:to>
    <xdr:sp macro="" textlink="">
      <xdr:nvSpPr>
        <xdr:cNvPr id="71" name="Oval 70">
          <a:extLst>
            <a:ext uri="{FF2B5EF4-FFF2-40B4-BE49-F238E27FC236}">
              <a16:creationId xmlns:a16="http://schemas.microsoft.com/office/drawing/2014/main" id="{6E6B49A8-987D-1E4D-B017-185D9CEC7823}"/>
            </a:ext>
          </a:extLst>
        </xdr:cNvPr>
        <xdr:cNvSpPr/>
      </xdr:nvSpPr>
      <xdr:spPr>
        <a:xfrm>
          <a:off x="18465487" y="119830300"/>
          <a:ext cx="364813" cy="363712"/>
        </a:xfrm>
        <a:prstGeom prst="ellipse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197</xdr:col>
      <xdr:colOff>116653</xdr:colOff>
      <xdr:row>955</xdr:row>
      <xdr:rowOff>6897</xdr:rowOff>
    </xdr:from>
    <xdr:to>
      <xdr:col>200</xdr:col>
      <xdr:colOff>105169</xdr:colOff>
      <xdr:row>957</xdr:row>
      <xdr:rowOff>119744</xdr:rowOff>
    </xdr:to>
    <xdr:sp macro="" textlink="">
      <xdr:nvSpPr>
        <xdr:cNvPr id="72" name="Oval 71">
          <a:extLst>
            <a:ext uri="{FF2B5EF4-FFF2-40B4-BE49-F238E27FC236}">
              <a16:creationId xmlns:a16="http://schemas.microsoft.com/office/drawing/2014/main" id="{4237F5A5-5240-E54F-8587-CE32A669FE90}"/>
            </a:ext>
          </a:extLst>
        </xdr:cNvPr>
        <xdr:cNvSpPr/>
      </xdr:nvSpPr>
      <xdr:spPr>
        <a:xfrm>
          <a:off x="24826776" y="119794551"/>
          <a:ext cx="364813" cy="363712"/>
        </a:xfrm>
        <a:prstGeom prst="ellipse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33866</xdr:colOff>
      <xdr:row>1055</xdr:row>
      <xdr:rowOff>101599</xdr:rowOff>
    </xdr:from>
    <xdr:to>
      <xdr:col>160</xdr:col>
      <xdr:colOff>21164</xdr:colOff>
      <xdr:row>1060</xdr:row>
      <xdr:rowOff>70240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BBB46B50-BC33-D641-A530-D702BCFE757E}"/>
            </a:ext>
          </a:extLst>
        </xdr:cNvPr>
        <xdr:cNvSpPr txBox="1"/>
      </xdr:nvSpPr>
      <xdr:spPr>
        <a:xfrm>
          <a:off x="20353866" y="115738441"/>
          <a:ext cx="1056772" cy="6370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11'</a:t>
          </a:r>
        </a:p>
      </xdr:txBody>
    </xdr:sp>
    <xdr:clientData/>
  </xdr:twoCellAnchor>
  <xdr:twoCellAnchor>
    <xdr:from>
      <xdr:col>134</xdr:col>
      <xdr:colOff>110986</xdr:colOff>
      <xdr:row>1039</xdr:row>
      <xdr:rowOff>55768</xdr:rowOff>
    </xdr:from>
    <xdr:to>
      <xdr:col>145</xdr:col>
      <xdr:colOff>83377</xdr:colOff>
      <xdr:row>1044</xdr:row>
      <xdr:rowOff>35637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09F1A5E-AD60-FE47-880D-E3CF5C30E256}"/>
            </a:ext>
          </a:extLst>
        </xdr:cNvPr>
        <xdr:cNvSpPr txBox="1"/>
      </xdr:nvSpPr>
      <xdr:spPr>
        <a:xfrm>
          <a:off x="18024670" y="113553663"/>
          <a:ext cx="1442918" cy="6482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4' - 6"</a:t>
          </a:r>
          <a:endParaRPr lang="en-US" sz="3200"/>
        </a:p>
      </xdr:txBody>
    </xdr:sp>
    <xdr:clientData/>
  </xdr:twoCellAnchor>
  <xdr:twoCellAnchor>
    <xdr:from>
      <xdr:col>152</xdr:col>
      <xdr:colOff>55214</xdr:colOff>
      <xdr:row>1021</xdr:row>
      <xdr:rowOff>55218</xdr:rowOff>
    </xdr:from>
    <xdr:to>
      <xdr:col>159</xdr:col>
      <xdr:colOff>82823</xdr:colOff>
      <xdr:row>1026</xdr:row>
      <xdr:rowOff>35088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3E4BAC0C-71D0-8D4F-838A-2B135E8D26E0}"/>
            </a:ext>
          </a:extLst>
        </xdr:cNvPr>
        <xdr:cNvSpPr txBox="1"/>
      </xdr:nvSpPr>
      <xdr:spPr>
        <a:xfrm>
          <a:off x="20375214" y="111146797"/>
          <a:ext cx="963398" cy="6482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5'</a:t>
          </a:r>
          <a:endParaRPr lang="en-US" sz="3200"/>
        </a:p>
      </xdr:txBody>
    </xdr:sp>
    <xdr:clientData/>
  </xdr:twoCellAnchor>
  <xdr:twoCellAnchor>
    <xdr:from>
      <xdr:col>111</xdr:col>
      <xdr:colOff>96630</xdr:colOff>
      <xdr:row>1039</xdr:row>
      <xdr:rowOff>55217</xdr:rowOff>
    </xdr:from>
    <xdr:to>
      <xdr:col>122</xdr:col>
      <xdr:colOff>69021</xdr:colOff>
      <xdr:row>1044</xdr:row>
      <xdr:rowOff>35086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7836B60E-8EF5-654D-BCBE-6D788381B373}"/>
            </a:ext>
          </a:extLst>
        </xdr:cNvPr>
        <xdr:cNvSpPr txBox="1"/>
      </xdr:nvSpPr>
      <xdr:spPr>
        <a:xfrm>
          <a:off x="14935577" y="113553112"/>
          <a:ext cx="1442918" cy="6482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aseline="0"/>
            <a:t>7'</a:t>
          </a:r>
          <a:endParaRPr lang="en-US" sz="3200"/>
        </a:p>
      </xdr:txBody>
    </xdr:sp>
    <xdr:clientData/>
  </xdr:twoCellAnchor>
  <xdr:twoCellAnchor>
    <xdr:from>
      <xdr:col>321</xdr:col>
      <xdr:colOff>55321</xdr:colOff>
      <xdr:row>870</xdr:row>
      <xdr:rowOff>37657</xdr:rowOff>
    </xdr:from>
    <xdr:to>
      <xdr:col>546</xdr:col>
      <xdr:colOff>54861</xdr:colOff>
      <xdr:row>875</xdr:row>
      <xdr:rowOff>30929</xdr:rowOff>
    </xdr:to>
    <xdr:sp macro="" textlink="">
      <xdr:nvSpPr>
        <xdr:cNvPr id="58" name="Parallelogram 57">
          <a:extLst>
            <a:ext uri="{FF2B5EF4-FFF2-40B4-BE49-F238E27FC236}">
              <a16:creationId xmlns:a16="http://schemas.microsoft.com/office/drawing/2014/main" id="{7A804ED6-7F5E-0ADE-D2CC-F66714C2D6AF}"/>
            </a:ext>
          </a:extLst>
        </xdr:cNvPr>
        <xdr:cNvSpPr/>
      </xdr:nvSpPr>
      <xdr:spPr>
        <a:xfrm rot="1805800" flipH="1">
          <a:off x="40822321" y="110527657"/>
          <a:ext cx="28574540" cy="628272"/>
        </a:xfrm>
        <a:prstGeom prst="parallelogram">
          <a:avLst>
            <a:gd name="adj" fmla="val 70301"/>
          </a:avLst>
        </a:prstGeom>
        <a:solidFill>
          <a:schemeClr val="bg1"/>
        </a:solidFill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151</xdr:col>
      <xdr:colOff>40792</xdr:colOff>
      <xdr:row>1098</xdr:row>
      <xdr:rowOff>85891</xdr:rowOff>
    </xdr:from>
    <xdr:to>
      <xdr:col>160</xdr:col>
      <xdr:colOff>88899</xdr:colOff>
      <xdr:row>1103</xdr:row>
      <xdr:rowOff>57418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AD591938-DFDB-FA47-86D2-3BB2C3B21BAB}"/>
            </a:ext>
          </a:extLst>
        </xdr:cNvPr>
        <xdr:cNvSpPr txBox="1"/>
      </xdr:nvSpPr>
      <xdr:spPr>
        <a:xfrm>
          <a:off x="19217792" y="139531891"/>
          <a:ext cx="1191107" cy="60652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8' 6"</a:t>
          </a:r>
        </a:p>
      </xdr:txBody>
    </xdr:sp>
    <xdr:clientData/>
  </xdr:twoCellAnchor>
  <xdr:twoCellAnchor>
    <xdr:from>
      <xdr:col>165</xdr:col>
      <xdr:colOff>67735</xdr:colOff>
      <xdr:row>998</xdr:row>
      <xdr:rowOff>2</xdr:rowOff>
    </xdr:from>
    <xdr:to>
      <xdr:col>180</xdr:col>
      <xdr:colOff>67736</xdr:colOff>
      <xdr:row>1002</xdr:row>
      <xdr:rowOff>104111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D776B508-706F-DD4D-9B4C-0FC6801D24BB}"/>
            </a:ext>
          </a:extLst>
        </xdr:cNvPr>
        <xdr:cNvSpPr txBox="1"/>
      </xdr:nvSpPr>
      <xdr:spPr>
        <a:xfrm>
          <a:off x="20889463" y="125181237"/>
          <a:ext cx="1881483" cy="6058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12'</a:t>
          </a:r>
        </a:p>
      </xdr:txBody>
    </xdr:sp>
    <xdr:clientData/>
  </xdr:twoCellAnchor>
  <xdr:twoCellAnchor>
    <xdr:from>
      <xdr:col>116</xdr:col>
      <xdr:colOff>93135</xdr:colOff>
      <xdr:row>998</xdr:row>
      <xdr:rowOff>2</xdr:rowOff>
    </xdr:from>
    <xdr:to>
      <xdr:col>131</xdr:col>
      <xdr:colOff>93136</xdr:colOff>
      <xdr:row>1002</xdr:row>
      <xdr:rowOff>104111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B62432DF-EF4E-9042-A843-54318FF71CA8}"/>
            </a:ext>
          </a:extLst>
        </xdr:cNvPr>
        <xdr:cNvSpPr txBox="1"/>
      </xdr:nvSpPr>
      <xdr:spPr>
        <a:xfrm>
          <a:off x="14768691" y="125181237"/>
          <a:ext cx="1881482" cy="6058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12'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30BC0-96C4-4C43-B896-6D3FE0436282}">
  <sheetPr codeName="Sheet1"/>
  <dimension ref="D4:U70"/>
  <sheetViews>
    <sheetView topLeftCell="N48" zoomScale="150" zoomScaleNormal="130" workbookViewId="0">
      <selection activeCell="V47" sqref="V47:V76"/>
    </sheetView>
  </sheetViews>
  <sheetFormatPr baseColWidth="10" defaultRowHeight="16"/>
  <cols>
    <col min="4" max="4" width="28.5" customWidth="1"/>
    <col min="5" max="5" width="10.33203125" customWidth="1"/>
    <col min="6" max="6" width="11.6640625" customWidth="1"/>
    <col min="19" max="19" width="11.6640625" bestFit="1" customWidth="1"/>
    <col min="22" max="22" width="29.6640625" customWidth="1"/>
  </cols>
  <sheetData>
    <row r="4" spans="4:20" ht="19">
      <c r="D4" s="99" t="s">
        <v>0</v>
      </c>
      <c r="E4" s="99"/>
      <c r="F4" s="99"/>
      <c r="G4">
        <v>47</v>
      </c>
      <c r="H4">
        <f>G4/2</f>
        <v>23.5</v>
      </c>
      <c r="I4">
        <f>H4+0.75</f>
        <v>24.25</v>
      </c>
      <c r="L4" t="s">
        <v>153</v>
      </c>
      <c r="N4">
        <v>60</v>
      </c>
      <c r="O4" s="273" t="s">
        <v>156</v>
      </c>
    </row>
    <row r="5" spans="4:20" ht="19">
      <c r="D5" s="99" t="s">
        <v>1</v>
      </c>
      <c r="E5" s="99"/>
      <c r="F5" s="99"/>
      <c r="G5">
        <v>59</v>
      </c>
      <c r="H5">
        <f>G5/2</f>
        <v>29.5</v>
      </c>
      <c r="I5">
        <f>H5+0.75</f>
        <v>30.25</v>
      </c>
      <c r="L5" t="s">
        <v>154</v>
      </c>
      <c r="N5">
        <f>150-N4</f>
        <v>90</v>
      </c>
      <c r="O5" t="s">
        <v>157</v>
      </c>
    </row>
    <row r="6" spans="4:20" ht="19">
      <c r="D6" s="99" t="s">
        <v>2</v>
      </c>
      <c r="E6" s="99"/>
      <c r="F6" s="99"/>
    </row>
    <row r="7" spans="4:20" ht="19">
      <c r="D7" s="99" t="s">
        <v>3</v>
      </c>
      <c r="E7" s="99"/>
      <c r="F7" s="99"/>
      <c r="I7">
        <v>34</v>
      </c>
      <c r="J7">
        <v>34</v>
      </c>
      <c r="L7" t="s">
        <v>158</v>
      </c>
      <c r="N7">
        <f>N5/O7-1</f>
        <v>10.25</v>
      </c>
      <c r="O7">
        <v>8</v>
      </c>
    </row>
    <row r="8" spans="4:20" ht="19">
      <c r="D8" s="99" t="s">
        <v>4</v>
      </c>
      <c r="E8" s="99"/>
      <c r="F8" s="99"/>
      <c r="I8">
        <v>44</v>
      </c>
      <c r="J8">
        <v>32</v>
      </c>
      <c r="L8" t="s">
        <v>159</v>
      </c>
      <c r="N8">
        <f>N4/O8 -1</f>
        <v>6.0588235294117645</v>
      </c>
      <c r="O8">
        <v>8.5</v>
      </c>
      <c r="Q8" t="s">
        <v>166</v>
      </c>
    </row>
    <row r="9" spans="4:20" ht="19">
      <c r="D9" s="99" t="s">
        <v>5</v>
      </c>
      <c r="E9" s="99"/>
      <c r="F9" s="99"/>
      <c r="I9">
        <f>I8*I7</f>
        <v>1496</v>
      </c>
      <c r="J9">
        <f>J8*J7</f>
        <v>1088</v>
      </c>
      <c r="Q9">
        <v>8</v>
      </c>
      <c r="R9">
        <v>4</v>
      </c>
      <c r="S9">
        <f>R9*Q9</f>
        <v>32</v>
      </c>
    </row>
    <row r="10" spans="4:20">
      <c r="Q10">
        <v>2.5</v>
      </c>
      <c r="R10">
        <v>18</v>
      </c>
      <c r="S10">
        <f t="shared" ref="S10:S12" si="0">R10*Q10</f>
        <v>45</v>
      </c>
    </row>
    <row r="11" spans="4:20">
      <c r="I11">
        <f>60*60/9</f>
        <v>400</v>
      </c>
      <c r="L11" t="s">
        <v>160</v>
      </c>
      <c r="N11">
        <v>20</v>
      </c>
      <c r="O11" t="s">
        <v>155</v>
      </c>
      <c r="Q11">
        <v>1</v>
      </c>
      <c r="R11">
        <v>12</v>
      </c>
      <c r="S11">
        <f t="shared" si="0"/>
        <v>12</v>
      </c>
    </row>
    <row r="12" spans="4:20">
      <c r="E12">
        <f>SUM(E13:E57)</f>
        <v>890</v>
      </c>
      <c r="J12">
        <v>87</v>
      </c>
      <c r="L12" t="s">
        <v>161</v>
      </c>
      <c r="N12">
        <f>N11*12</f>
        <v>240</v>
      </c>
      <c r="Q12">
        <v>1.5</v>
      </c>
      <c r="R12">
        <v>12</v>
      </c>
      <c r="S12">
        <f t="shared" si="0"/>
        <v>18</v>
      </c>
    </row>
    <row r="13" spans="4:20">
      <c r="D13" t="s">
        <v>16</v>
      </c>
      <c r="E13">
        <v>20</v>
      </c>
      <c r="J13">
        <v>158</v>
      </c>
      <c r="L13" t="s">
        <v>162</v>
      </c>
      <c r="N13">
        <v>20</v>
      </c>
      <c r="S13">
        <f>SUM(S9:S12)</f>
        <v>107</v>
      </c>
    </row>
    <row r="14" spans="4:20">
      <c r="D14" t="s">
        <v>17</v>
      </c>
      <c r="J14">
        <v>130</v>
      </c>
      <c r="L14" t="s">
        <v>163</v>
      </c>
      <c r="N14">
        <f>N12/N13</f>
        <v>12</v>
      </c>
      <c r="O14" t="s">
        <v>164</v>
      </c>
    </row>
    <row r="15" spans="4:20">
      <c r="D15" t="s">
        <v>18</v>
      </c>
      <c r="L15" t="s">
        <v>165</v>
      </c>
      <c r="N15">
        <f>N14+1</f>
        <v>13</v>
      </c>
      <c r="P15" t="s">
        <v>170</v>
      </c>
      <c r="Q15">
        <f>Q19/Q22</f>
        <v>1.7142857142857142</v>
      </c>
    </row>
    <row r="16" spans="4:20">
      <c r="D16" t="s">
        <v>19</v>
      </c>
      <c r="H16">
        <f>SUM(H17:H25)</f>
        <v>18</v>
      </c>
      <c r="P16" t="s">
        <v>169</v>
      </c>
      <c r="Q16">
        <f>12*R16</f>
        <v>120</v>
      </c>
      <c r="R16">
        <v>10</v>
      </c>
      <c r="T16">
        <v>28.25</v>
      </c>
    </row>
    <row r="17" spans="4:21">
      <c r="D17" t="s">
        <v>20</v>
      </c>
      <c r="E17">
        <v>10</v>
      </c>
      <c r="G17" t="s">
        <v>8</v>
      </c>
      <c r="H17">
        <v>6</v>
      </c>
      <c r="J17">
        <f>SQRT(J14^2 + J12^2)</f>
        <v>156.42570121306792</v>
      </c>
      <c r="P17" t="s">
        <v>167</v>
      </c>
      <c r="Q17">
        <f>Q16+6</f>
        <v>126</v>
      </c>
      <c r="R17">
        <f>Q17/12</f>
        <v>10.5</v>
      </c>
      <c r="T17">
        <v>32</v>
      </c>
      <c r="U17">
        <f>T17*T16</f>
        <v>904</v>
      </c>
    </row>
    <row r="18" spans="4:21">
      <c r="D18" t="s">
        <v>21</v>
      </c>
      <c r="E18">
        <v>10</v>
      </c>
      <c r="G18" t="s">
        <v>9</v>
      </c>
      <c r="H18">
        <v>2</v>
      </c>
      <c r="P18" t="s">
        <v>168</v>
      </c>
      <c r="Q18">
        <f>Q17*Q15</f>
        <v>216</v>
      </c>
      <c r="R18">
        <f>Q18/12</f>
        <v>18</v>
      </c>
    </row>
    <row r="19" spans="4:21">
      <c r="D19" t="s">
        <v>22</v>
      </c>
      <c r="E19">
        <v>5</v>
      </c>
      <c r="G19" t="s">
        <v>10</v>
      </c>
      <c r="H19">
        <v>2</v>
      </c>
      <c r="I19">
        <v>146</v>
      </c>
      <c r="J19">
        <f>I19/12</f>
        <v>12.166666666666666</v>
      </c>
      <c r="P19" t="s">
        <v>171</v>
      </c>
      <c r="Q19">
        <v>12</v>
      </c>
      <c r="T19">
        <v>28</v>
      </c>
    </row>
    <row r="20" spans="4:21">
      <c r="D20" t="s">
        <v>23</v>
      </c>
      <c r="E20">
        <v>5</v>
      </c>
      <c r="G20" t="s">
        <v>7</v>
      </c>
      <c r="H20">
        <v>1.5</v>
      </c>
      <c r="P20" t="s">
        <v>173</v>
      </c>
      <c r="Q20">
        <f>Q18-Q19</f>
        <v>204</v>
      </c>
      <c r="R20">
        <f>Q20/12</f>
        <v>17</v>
      </c>
      <c r="T20">
        <v>35.5</v>
      </c>
      <c r="U20">
        <f>T20*T19</f>
        <v>994</v>
      </c>
    </row>
    <row r="21" spans="4:21">
      <c r="D21" t="s">
        <v>24</v>
      </c>
      <c r="E21">
        <v>10</v>
      </c>
      <c r="G21" t="s">
        <v>11</v>
      </c>
      <c r="H21">
        <v>1.5</v>
      </c>
      <c r="P21" t="s">
        <v>172</v>
      </c>
      <c r="Q21">
        <f>Q20/Q19</f>
        <v>17</v>
      </c>
    </row>
    <row r="22" spans="4:21">
      <c r="D22" t="s">
        <v>25</v>
      </c>
      <c r="E22">
        <v>5</v>
      </c>
      <c r="G22" t="s">
        <v>12</v>
      </c>
      <c r="H22">
        <v>1</v>
      </c>
      <c r="P22" t="s">
        <v>174</v>
      </c>
      <c r="Q22">
        <v>7</v>
      </c>
      <c r="U22">
        <f>U20-U17</f>
        <v>90</v>
      </c>
    </row>
    <row r="23" spans="4:21">
      <c r="D23" t="s">
        <v>26</v>
      </c>
      <c r="E23">
        <v>5</v>
      </c>
      <c r="G23" t="s">
        <v>13</v>
      </c>
      <c r="H23">
        <v>1</v>
      </c>
      <c r="I23">
        <v>51</v>
      </c>
      <c r="J23">
        <f>I23/2</f>
        <v>25.5</v>
      </c>
      <c r="M23">
        <v>49</v>
      </c>
      <c r="N23">
        <f>M23/2</f>
        <v>24.5</v>
      </c>
      <c r="P23" t="s">
        <v>175</v>
      </c>
      <c r="Q23">
        <f>Q22*(Q21+1)</f>
        <v>126</v>
      </c>
    </row>
    <row r="24" spans="4:21">
      <c r="D24" t="s">
        <v>27</v>
      </c>
      <c r="E24">
        <v>5</v>
      </c>
      <c r="G24" t="s">
        <v>14</v>
      </c>
      <c r="H24">
        <v>1</v>
      </c>
      <c r="I24">
        <v>50</v>
      </c>
      <c r="J24">
        <f t="shared" ref="J24:J26" si="1">I24/2</f>
        <v>25</v>
      </c>
      <c r="K24">
        <f>J24*J23</f>
        <v>637.5</v>
      </c>
      <c r="M24">
        <v>56</v>
      </c>
      <c r="N24">
        <f t="shared" ref="N24" si="2">M24/2</f>
        <v>28</v>
      </c>
    </row>
    <row r="25" spans="4:21">
      <c r="G25" t="s">
        <v>15</v>
      </c>
      <c r="H25">
        <v>2</v>
      </c>
      <c r="I25">
        <v>17</v>
      </c>
      <c r="J25">
        <f t="shared" si="1"/>
        <v>8.5</v>
      </c>
      <c r="P25" t="s">
        <v>176</v>
      </c>
      <c r="Q25">
        <f>(R16-7)*Q15</f>
        <v>5.1428571428571423</v>
      </c>
    </row>
    <row r="26" spans="4:21">
      <c r="D26" t="s">
        <v>28</v>
      </c>
      <c r="E26">
        <v>20</v>
      </c>
      <c r="I26">
        <v>28</v>
      </c>
      <c r="J26">
        <f t="shared" si="1"/>
        <v>14</v>
      </c>
      <c r="K26">
        <f>J26*J25</f>
        <v>119</v>
      </c>
      <c r="M26">
        <v>54</v>
      </c>
      <c r="N26">
        <f>M26/2</f>
        <v>27</v>
      </c>
    </row>
    <row r="27" spans="4:21">
      <c r="D27" t="s">
        <v>29</v>
      </c>
      <c r="E27">
        <v>5</v>
      </c>
      <c r="M27">
        <v>47</v>
      </c>
      <c r="N27">
        <f t="shared" ref="N27" si="3">M27/2</f>
        <v>23.5</v>
      </c>
    </row>
    <row r="28" spans="4:21">
      <c r="D28" t="s">
        <v>32</v>
      </c>
      <c r="G28" t="s">
        <v>9</v>
      </c>
      <c r="H28">
        <v>2</v>
      </c>
      <c r="K28">
        <f>K26+K24</f>
        <v>756.5</v>
      </c>
    </row>
    <row r="29" spans="4:21">
      <c r="D29" t="s">
        <v>30</v>
      </c>
      <c r="E29">
        <v>10</v>
      </c>
      <c r="G29" t="s">
        <v>46</v>
      </c>
      <c r="H29">
        <v>1</v>
      </c>
      <c r="M29">
        <v>55</v>
      </c>
      <c r="N29">
        <f>M29/2</f>
        <v>27.5</v>
      </c>
    </row>
    <row r="30" spans="4:21">
      <c r="D30" t="s">
        <v>31</v>
      </c>
      <c r="E30">
        <v>5</v>
      </c>
      <c r="G30" t="s">
        <v>47</v>
      </c>
      <c r="H30">
        <v>2</v>
      </c>
      <c r="I30">
        <v>76</v>
      </c>
      <c r="J30">
        <f t="shared" ref="J30:J31" si="4">I30/2</f>
        <v>38</v>
      </c>
      <c r="M30">
        <v>65</v>
      </c>
      <c r="N30">
        <f t="shared" ref="N30" si="5">M30/2</f>
        <v>32.5</v>
      </c>
      <c r="O30">
        <f>N30*N29</f>
        <v>893.75</v>
      </c>
    </row>
    <row r="31" spans="4:21">
      <c r="D31" t="s">
        <v>33</v>
      </c>
      <c r="E31">
        <v>10</v>
      </c>
      <c r="G31" t="s">
        <v>48</v>
      </c>
      <c r="H31">
        <v>1</v>
      </c>
      <c r="I31">
        <v>50</v>
      </c>
      <c r="J31">
        <f t="shared" si="4"/>
        <v>25</v>
      </c>
      <c r="K31">
        <f>J31*J30</f>
        <v>950</v>
      </c>
    </row>
    <row r="32" spans="4:21">
      <c r="D32" t="s">
        <v>34</v>
      </c>
      <c r="E32">
        <v>50</v>
      </c>
      <c r="G32" t="s">
        <v>49</v>
      </c>
      <c r="H32">
        <v>4</v>
      </c>
    </row>
    <row r="33" spans="4:18">
      <c r="D33" t="s">
        <v>36</v>
      </c>
      <c r="E33">
        <v>5</v>
      </c>
      <c r="I33">
        <v>72</v>
      </c>
      <c r="J33">
        <f t="shared" ref="J33:J34" si="6">I33/2</f>
        <v>36</v>
      </c>
    </row>
    <row r="34" spans="4:18">
      <c r="D34" t="s">
        <v>37</v>
      </c>
      <c r="E34">
        <v>5</v>
      </c>
      <c r="I34">
        <v>64</v>
      </c>
      <c r="J34">
        <f t="shared" si="6"/>
        <v>32</v>
      </c>
      <c r="K34">
        <f>J34*J33</f>
        <v>1152</v>
      </c>
    </row>
    <row r="35" spans="4:18">
      <c r="D35" t="s">
        <v>38</v>
      </c>
    </row>
    <row r="36" spans="4:18">
      <c r="D36" t="s">
        <v>41</v>
      </c>
      <c r="I36">
        <v>85</v>
      </c>
      <c r="J36">
        <f t="shared" ref="J36:J37" si="7">I36/2</f>
        <v>42.5</v>
      </c>
    </row>
    <row r="37" spans="4:18">
      <c r="I37">
        <v>50</v>
      </c>
      <c r="J37">
        <f t="shared" si="7"/>
        <v>25</v>
      </c>
      <c r="K37">
        <f>J37*J36</f>
        <v>1062.5</v>
      </c>
    </row>
    <row r="38" spans="4:18">
      <c r="I38">
        <v>64</v>
      </c>
      <c r="J38">
        <f t="shared" ref="J38:J39" si="8">I38/2</f>
        <v>32</v>
      </c>
    </row>
    <row r="39" spans="4:18">
      <c r="D39" t="s">
        <v>39</v>
      </c>
      <c r="E39">
        <v>25</v>
      </c>
      <c r="I39">
        <v>72</v>
      </c>
      <c r="J39">
        <f t="shared" si="8"/>
        <v>36</v>
      </c>
      <c r="K39">
        <f>J39*J38</f>
        <v>1152</v>
      </c>
    </row>
    <row r="40" spans="4:18">
      <c r="D40" t="s">
        <v>40</v>
      </c>
      <c r="E40">
        <v>5</v>
      </c>
    </row>
    <row r="41" spans="4:18">
      <c r="D41" t="s">
        <v>35</v>
      </c>
      <c r="E41">
        <v>20</v>
      </c>
    </row>
    <row r="42" spans="4:18">
      <c r="D42" t="s">
        <v>44</v>
      </c>
      <c r="E42">
        <v>150</v>
      </c>
      <c r="I42">
        <v>68</v>
      </c>
      <c r="J42">
        <f t="shared" ref="J42:J43" si="9">I42/2</f>
        <v>34</v>
      </c>
    </row>
    <row r="43" spans="4:18">
      <c r="D43" t="s">
        <v>42</v>
      </c>
      <c r="E43">
        <v>5</v>
      </c>
      <c r="I43">
        <v>50</v>
      </c>
      <c r="J43">
        <f t="shared" si="9"/>
        <v>25</v>
      </c>
      <c r="K43">
        <f>J43*J42</f>
        <v>850</v>
      </c>
      <c r="N43">
        <v>53</v>
      </c>
      <c r="O43">
        <v>62</v>
      </c>
      <c r="P43">
        <f>O43*N43/4</f>
        <v>821.5</v>
      </c>
    </row>
    <row r="44" spans="4:18">
      <c r="D44" t="s">
        <v>43</v>
      </c>
      <c r="E44">
        <v>500</v>
      </c>
      <c r="N44">
        <v>27</v>
      </c>
      <c r="O44">
        <v>14</v>
      </c>
      <c r="P44">
        <f t="shared" ref="P44:P50" si="10">O44*N44/4</f>
        <v>94.5</v>
      </c>
    </row>
    <row r="45" spans="4:18">
      <c r="I45">
        <v>76</v>
      </c>
      <c r="J45">
        <f t="shared" ref="J45:J46" si="11">I45/2</f>
        <v>38</v>
      </c>
      <c r="N45">
        <v>11</v>
      </c>
      <c r="O45">
        <v>13</v>
      </c>
      <c r="P45">
        <f t="shared" si="10"/>
        <v>35.75</v>
      </c>
      <c r="Q45">
        <f>P43-P44-P45</f>
        <v>691.25</v>
      </c>
    </row>
    <row r="46" spans="4:18">
      <c r="I46">
        <v>62</v>
      </c>
      <c r="J46">
        <f t="shared" si="11"/>
        <v>31</v>
      </c>
      <c r="K46">
        <f>J46*J45</f>
        <v>1178</v>
      </c>
    </row>
    <row r="47" spans="4:18">
      <c r="N47">
        <v>24</v>
      </c>
      <c r="O47">
        <v>56</v>
      </c>
      <c r="P47">
        <f t="shared" si="10"/>
        <v>336</v>
      </c>
    </row>
    <row r="48" spans="4:18">
      <c r="I48">
        <v>72</v>
      </c>
      <c r="J48">
        <f t="shared" ref="J48:J57" si="12">I48/2</f>
        <v>36</v>
      </c>
      <c r="N48">
        <v>44</v>
      </c>
      <c r="O48">
        <v>20</v>
      </c>
      <c r="P48">
        <f t="shared" si="10"/>
        <v>220</v>
      </c>
      <c r="Q48">
        <f>P48+P47</f>
        <v>556</v>
      </c>
      <c r="R48">
        <f>Q48*1.2</f>
        <v>667.19999999999993</v>
      </c>
    </row>
    <row r="49" spans="4:19">
      <c r="D49" t="s">
        <v>51</v>
      </c>
      <c r="E49" t="s">
        <v>50</v>
      </c>
      <c r="I49">
        <v>62</v>
      </c>
      <c r="J49">
        <f t="shared" si="12"/>
        <v>31</v>
      </c>
      <c r="K49">
        <f>J49*J48</f>
        <v>1116</v>
      </c>
      <c r="L49">
        <f>K49-K51-K53</f>
        <v>948</v>
      </c>
    </row>
    <row r="50" spans="4:19">
      <c r="D50" t="s">
        <v>52</v>
      </c>
      <c r="E50" t="s">
        <v>53</v>
      </c>
      <c r="I50">
        <v>22</v>
      </c>
      <c r="J50">
        <f t="shared" si="12"/>
        <v>11</v>
      </c>
      <c r="N50">
        <v>52</v>
      </c>
      <c r="O50">
        <v>58</v>
      </c>
      <c r="P50">
        <f t="shared" si="10"/>
        <v>754</v>
      </c>
    </row>
    <row r="51" spans="4:19">
      <c r="D51" t="s">
        <v>54</v>
      </c>
      <c r="E51" t="s">
        <v>55</v>
      </c>
      <c r="I51">
        <v>15</v>
      </c>
      <c r="J51">
        <f t="shared" si="12"/>
        <v>7.5</v>
      </c>
      <c r="K51">
        <f>J51*J50</f>
        <v>82.5</v>
      </c>
    </row>
    <row r="52" spans="4:19">
      <c r="I52">
        <v>38</v>
      </c>
      <c r="J52">
        <f t="shared" si="12"/>
        <v>19</v>
      </c>
      <c r="N52">
        <v>55</v>
      </c>
      <c r="O52">
        <v>65</v>
      </c>
      <c r="P52">
        <f>O52*N52/4</f>
        <v>893.75</v>
      </c>
      <c r="Q52">
        <f>N52*12*2.54</f>
        <v>1676.4</v>
      </c>
      <c r="R52">
        <f>O52*12*2.54</f>
        <v>1981.2</v>
      </c>
    </row>
    <row r="53" spans="4:19">
      <c r="I53">
        <v>9</v>
      </c>
      <c r="J53">
        <f t="shared" si="12"/>
        <v>4.5</v>
      </c>
      <c r="K53">
        <f>J53*J52</f>
        <v>85.5</v>
      </c>
      <c r="N53">
        <v>16</v>
      </c>
      <c r="O53">
        <v>20</v>
      </c>
      <c r="P53">
        <f t="shared" ref="P53:P54" si="13">O53*N53/4</f>
        <v>80</v>
      </c>
    </row>
    <row r="54" spans="4:19">
      <c r="I54">
        <v>15</v>
      </c>
      <c r="J54">
        <f t="shared" si="12"/>
        <v>7.5</v>
      </c>
      <c r="N54">
        <v>11</v>
      </c>
      <c r="O54">
        <v>26</v>
      </c>
      <c r="P54">
        <f t="shared" si="13"/>
        <v>71.5</v>
      </c>
      <c r="Q54">
        <f>P52-P53-P54</f>
        <v>742.25</v>
      </c>
      <c r="S54">
        <f>Q54*O58</f>
        <v>68.957251749999998</v>
      </c>
    </row>
    <row r="55" spans="4:19">
      <c r="I55">
        <v>50</v>
      </c>
      <c r="J55">
        <f t="shared" si="12"/>
        <v>25</v>
      </c>
      <c r="K55">
        <f>J55*J54</f>
        <v>187.5</v>
      </c>
      <c r="L55">
        <f>K55+K57</f>
        <v>288.25</v>
      </c>
      <c r="S55">
        <f>S54*O57</f>
        <v>24824.610629999999</v>
      </c>
    </row>
    <row r="56" spans="4:19">
      <c r="I56">
        <v>31</v>
      </c>
      <c r="J56">
        <f t="shared" si="12"/>
        <v>15.5</v>
      </c>
      <c r="S56">
        <f>S55+O61</f>
        <v>25824.610629999999</v>
      </c>
    </row>
    <row r="57" spans="4:19">
      <c r="I57">
        <v>13</v>
      </c>
      <c r="J57">
        <f t="shared" si="12"/>
        <v>6.5</v>
      </c>
      <c r="K57">
        <f>J57*J56</f>
        <v>100.75</v>
      </c>
      <c r="O57" s="217">
        <v>360</v>
      </c>
      <c r="P57" t="s">
        <v>66</v>
      </c>
      <c r="S57">
        <f>S56*(1+O62)</f>
        <v>30989.532755999997</v>
      </c>
    </row>
    <row r="58" spans="4:19">
      <c r="L58">
        <f>L55+L49</f>
        <v>1236.25</v>
      </c>
      <c r="O58" s="216">
        <v>9.2902999999999999E-2</v>
      </c>
      <c r="P58" t="s">
        <v>60</v>
      </c>
    </row>
    <row r="59" spans="4:19">
      <c r="I59">
        <v>72</v>
      </c>
      <c r="J59">
        <f t="shared" ref="J59:J60" si="14">I59/2</f>
        <v>36</v>
      </c>
      <c r="P59" t="s">
        <v>59</v>
      </c>
    </row>
    <row r="60" spans="4:19">
      <c r="I60">
        <v>81</v>
      </c>
      <c r="J60">
        <f t="shared" si="14"/>
        <v>40.5</v>
      </c>
      <c r="K60">
        <f>J60*J59</f>
        <v>1458</v>
      </c>
      <c r="P60" t="s">
        <v>61</v>
      </c>
    </row>
    <row r="61" spans="4:19">
      <c r="O61">
        <v>1000</v>
      </c>
      <c r="P61" t="s">
        <v>57</v>
      </c>
      <c r="S61">
        <f>S57*9.8</f>
        <v>303697.42100879998</v>
      </c>
    </row>
    <row r="62" spans="4:19">
      <c r="I62">
        <v>80</v>
      </c>
      <c r="J62">
        <f t="shared" ref="J62:J63" si="15">I62/2</f>
        <v>40</v>
      </c>
      <c r="O62" s="215">
        <v>0.2</v>
      </c>
      <c r="P62" t="s">
        <v>56</v>
      </c>
      <c r="S62">
        <f>20*Q68*1000*1000</f>
        <v>4000000</v>
      </c>
    </row>
    <row r="63" spans="4:19">
      <c r="I63">
        <v>81</v>
      </c>
      <c r="J63">
        <f t="shared" si="15"/>
        <v>40.5</v>
      </c>
      <c r="K63">
        <f>J63*J62</f>
        <v>1620</v>
      </c>
      <c r="O63">
        <v>2900</v>
      </c>
      <c r="P63" t="s">
        <v>58</v>
      </c>
      <c r="S63">
        <f>S61/S62</f>
        <v>7.5924355252199996E-2</v>
      </c>
    </row>
    <row r="64" spans="4:19">
      <c r="S64">
        <f>S63*10.7639</f>
        <v>0.81724216749915546</v>
      </c>
    </row>
    <row r="65" spans="9:18">
      <c r="I65">
        <v>93</v>
      </c>
      <c r="J65">
        <f t="shared" ref="J65:J66" si="16">I65/2</f>
        <v>46.5</v>
      </c>
    </row>
    <row r="66" spans="9:18">
      <c r="I66">
        <v>79</v>
      </c>
      <c r="J66">
        <f t="shared" si="16"/>
        <v>39.5</v>
      </c>
      <c r="K66">
        <f>J66*J65</f>
        <v>1836.75</v>
      </c>
    </row>
    <row r="67" spans="9:18">
      <c r="R67" t="s">
        <v>62</v>
      </c>
    </row>
    <row r="68" spans="9:18">
      <c r="Q68" s="215">
        <v>0.2</v>
      </c>
      <c r="R68" t="s">
        <v>63</v>
      </c>
    </row>
    <row r="69" spans="9:18">
      <c r="R69" t="s">
        <v>64</v>
      </c>
    </row>
    <row r="70" spans="9:18">
      <c r="R70" t="s">
        <v>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253E6-BB88-704C-BDF3-6C4D2551E7C5}">
  <dimension ref="D8:H57"/>
  <sheetViews>
    <sheetView topLeftCell="A3" zoomScale="150" zoomScaleNormal="150" workbookViewId="0">
      <selection activeCell="C13" sqref="C13"/>
    </sheetView>
  </sheetViews>
  <sheetFormatPr baseColWidth="10" defaultRowHeight="16"/>
  <cols>
    <col min="7" max="7" width="29.1640625" bestFit="1" customWidth="1"/>
  </cols>
  <sheetData>
    <row r="8" spans="4:8">
      <c r="F8">
        <v>5</v>
      </c>
      <c r="G8" t="s">
        <v>229</v>
      </c>
      <c r="H8" t="s">
        <v>155</v>
      </c>
    </row>
    <row r="9" spans="4:8">
      <c r="F9">
        <v>4</v>
      </c>
      <c r="G9" t="s">
        <v>228</v>
      </c>
      <c r="H9" t="s">
        <v>155</v>
      </c>
    </row>
    <row r="10" spans="4:8">
      <c r="F10">
        <v>1.5</v>
      </c>
      <c r="G10" t="s">
        <v>227</v>
      </c>
      <c r="H10" t="s">
        <v>155</v>
      </c>
    </row>
    <row r="11" spans="4:8">
      <c r="D11">
        <v>26</v>
      </c>
      <c r="E11">
        <v>26.5</v>
      </c>
      <c r="F11">
        <f>D11*E11</f>
        <v>689</v>
      </c>
      <c r="G11" t="s">
        <v>179</v>
      </c>
      <c r="H11" t="s">
        <v>180</v>
      </c>
    </row>
    <row r="12" spans="4:8">
      <c r="D12">
        <f>3*D11</f>
        <v>78</v>
      </c>
      <c r="E12" s="217">
        <f>3*E11</f>
        <v>79.5</v>
      </c>
      <c r="F12" s="217">
        <f>E12+D12</f>
        <v>157.5</v>
      </c>
      <c r="G12" t="s">
        <v>177</v>
      </c>
      <c r="H12" t="s">
        <v>155</v>
      </c>
    </row>
    <row r="13" spans="4:8">
      <c r="D13">
        <f>D11+3</f>
        <v>29</v>
      </c>
      <c r="E13" s="217">
        <f>E11+3</f>
        <v>29.5</v>
      </c>
      <c r="F13">
        <f>D13*E13</f>
        <v>855.5</v>
      </c>
      <c r="G13" t="s">
        <v>178</v>
      </c>
      <c r="H13" t="s">
        <v>180</v>
      </c>
    </row>
    <row r="14" spans="4:8">
      <c r="D14">
        <v>2.5</v>
      </c>
      <c r="E14">
        <v>10</v>
      </c>
      <c r="F14">
        <f>9*(E14+D14)</f>
        <v>112.5</v>
      </c>
      <c r="G14" t="s">
        <v>181</v>
      </c>
      <c r="H14" t="s">
        <v>155</v>
      </c>
    </row>
    <row r="15" spans="4:8">
      <c r="D15">
        <v>12</v>
      </c>
      <c r="E15">
        <v>9</v>
      </c>
      <c r="F15">
        <f>(D15*E15)</f>
        <v>108</v>
      </c>
      <c r="G15" t="s">
        <v>183</v>
      </c>
      <c r="H15" t="s">
        <v>182</v>
      </c>
    </row>
    <row r="16" spans="4:8">
      <c r="D16">
        <v>12</v>
      </c>
      <c r="E16">
        <v>9</v>
      </c>
      <c r="F16">
        <f>(D16*E16)</f>
        <v>108</v>
      </c>
      <c r="G16" t="s">
        <v>184</v>
      </c>
      <c r="H16" t="s">
        <v>182</v>
      </c>
    </row>
    <row r="17" spans="4:8">
      <c r="F17">
        <f>0.5*F13</f>
        <v>427.75</v>
      </c>
      <c r="G17" t="s">
        <v>185</v>
      </c>
      <c r="H17" t="s">
        <v>186</v>
      </c>
    </row>
    <row r="18" spans="4:8">
      <c r="F18">
        <f>F12*F16/144</f>
        <v>118.125</v>
      </c>
      <c r="G18" t="s">
        <v>187</v>
      </c>
      <c r="H18" t="s">
        <v>186</v>
      </c>
    </row>
    <row r="19" spans="4:8">
      <c r="F19">
        <f>F14*F15/144</f>
        <v>84.375</v>
      </c>
      <c r="G19" t="s">
        <v>188</v>
      </c>
      <c r="H19" t="s">
        <v>186</v>
      </c>
    </row>
    <row r="20" spans="4:8">
      <c r="F20">
        <f>F17+F18+F19</f>
        <v>630.25</v>
      </c>
      <c r="G20" t="s">
        <v>189</v>
      </c>
      <c r="H20" t="s">
        <v>186</v>
      </c>
    </row>
    <row r="21" spans="4:8">
      <c r="F21">
        <f>(D11-0.75)*2 + (E11-0.75)*2</f>
        <v>102</v>
      </c>
      <c r="G21" t="s">
        <v>190</v>
      </c>
      <c r="H21" t="s">
        <v>155</v>
      </c>
    </row>
    <row r="22" spans="4:8">
      <c r="F22">
        <f>F21-8</f>
        <v>94</v>
      </c>
      <c r="G22" t="s">
        <v>191</v>
      </c>
      <c r="H22" t="s">
        <v>155</v>
      </c>
    </row>
    <row r="23" spans="4:8">
      <c r="F23">
        <f>F22*10</f>
        <v>940</v>
      </c>
      <c r="G23" t="s">
        <v>192</v>
      </c>
      <c r="H23" t="s">
        <v>180</v>
      </c>
    </row>
    <row r="24" spans="4:8">
      <c r="D24">
        <v>2</v>
      </c>
      <c r="E24">
        <f>6.5*3</f>
        <v>19.5</v>
      </c>
      <c r="F24">
        <f>E24*D24</f>
        <v>39</v>
      </c>
      <c r="G24" t="s">
        <v>193</v>
      </c>
      <c r="H24" t="s">
        <v>180</v>
      </c>
    </row>
    <row r="25" spans="4:8">
      <c r="D25">
        <v>6</v>
      </c>
      <c r="E25">
        <f>3*3</f>
        <v>9</v>
      </c>
      <c r="F25">
        <f>E25*D25</f>
        <v>54</v>
      </c>
      <c r="G25" t="s">
        <v>194</v>
      </c>
      <c r="H25" t="s">
        <v>180</v>
      </c>
    </row>
    <row r="26" spans="4:8">
      <c r="F26">
        <f>F23-F24-F25</f>
        <v>847</v>
      </c>
      <c r="G26" t="s">
        <v>195</v>
      </c>
      <c r="H26" t="s">
        <v>180</v>
      </c>
    </row>
    <row r="27" spans="4:8">
      <c r="F27">
        <f>F26*0.75</f>
        <v>635.25</v>
      </c>
      <c r="G27" t="s">
        <v>196</v>
      </c>
      <c r="H27" t="s">
        <v>186</v>
      </c>
    </row>
    <row r="28" spans="4:8">
      <c r="G28" t="s">
        <v>197</v>
      </c>
    </row>
    <row r="29" spans="4:8">
      <c r="G29" t="s">
        <v>198</v>
      </c>
    </row>
    <row r="30" spans="4:8">
      <c r="G30" t="s">
        <v>199</v>
      </c>
    </row>
    <row r="31" spans="4:8">
      <c r="G31" t="s">
        <v>200</v>
      </c>
    </row>
    <row r="32" spans="4:8">
      <c r="G32" t="s">
        <v>201</v>
      </c>
    </row>
    <row r="33" spans="7:7">
      <c r="G33" t="s">
        <v>202</v>
      </c>
    </row>
    <row r="34" spans="7:7">
      <c r="G34" t="s">
        <v>203</v>
      </c>
    </row>
    <row r="35" spans="7:7">
      <c r="G35" t="s">
        <v>204</v>
      </c>
    </row>
    <row r="36" spans="7:7">
      <c r="G36" t="s">
        <v>205</v>
      </c>
    </row>
    <row r="37" spans="7:7">
      <c r="G37" t="s">
        <v>206</v>
      </c>
    </row>
    <row r="38" spans="7:7">
      <c r="G38" t="s">
        <v>207</v>
      </c>
    </row>
    <row r="39" spans="7:7">
      <c r="G39" t="s">
        <v>208</v>
      </c>
    </row>
    <row r="40" spans="7:7">
      <c r="G40" t="s">
        <v>209</v>
      </c>
    </row>
    <row r="41" spans="7:7">
      <c r="G41" t="s">
        <v>210</v>
      </c>
    </row>
    <row r="42" spans="7:7">
      <c r="G42" t="s">
        <v>211</v>
      </c>
    </row>
    <row r="43" spans="7:7">
      <c r="G43" t="s">
        <v>212</v>
      </c>
    </row>
    <row r="44" spans="7:7">
      <c r="G44" t="s">
        <v>213</v>
      </c>
    </row>
    <row r="45" spans="7:7">
      <c r="G45" t="s">
        <v>214</v>
      </c>
    </row>
    <row r="46" spans="7:7">
      <c r="G46" t="s">
        <v>215</v>
      </c>
    </row>
    <row r="47" spans="7:7">
      <c r="G47" t="s">
        <v>216</v>
      </c>
    </row>
    <row r="48" spans="7:7">
      <c r="G48" s="217" t="s">
        <v>217</v>
      </c>
    </row>
    <row r="49" spans="7:7">
      <c r="G49" t="s">
        <v>218</v>
      </c>
    </row>
    <row r="50" spans="7:7">
      <c r="G50" t="s">
        <v>219</v>
      </c>
    </row>
    <row r="51" spans="7:7">
      <c r="G51" t="s">
        <v>220</v>
      </c>
    </row>
    <row r="52" spans="7:7">
      <c r="G52" t="s">
        <v>221</v>
      </c>
    </row>
    <row r="53" spans="7:7">
      <c r="G53" t="s">
        <v>222</v>
      </c>
    </row>
    <row r="54" spans="7:7">
      <c r="G54" t="s">
        <v>223</v>
      </c>
    </row>
    <row r="55" spans="7:7">
      <c r="G55" t="s">
        <v>224</v>
      </c>
    </row>
    <row r="56" spans="7:7">
      <c r="G56" t="s">
        <v>225</v>
      </c>
    </row>
    <row r="57" spans="7:7">
      <c r="G57" t="s">
        <v>226</v>
      </c>
    </row>
  </sheetData>
  <pageMargins left="0.7" right="0.7" top="0.75" bottom="0.75" header="0.3" footer="0.3"/>
  <ignoredErrors>
    <ignoredError sqref="F1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DF974-ADF1-C84B-A0DE-B35F6161B048}">
  <sheetPr codeName="Sheet2"/>
  <dimension ref="F4:ED110"/>
  <sheetViews>
    <sheetView zoomScale="50" zoomScaleNormal="68" workbookViewId="0">
      <selection activeCell="CS86" sqref="CS86"/>
    </sheetView>
  </sheetViews>
  <sheetFormatPr baseColWidth="10" defaultColWidth="3" defaultRowHeight="18" customHeight="1"/>
  <sheetData>
    <row r="4" spans="6:86" ht="18" customHeight="1" thickBot="1"/>
    <row r="5" spans="6:86" ht="18" customHeight="1" thickBot="1">
      <c r="F5" s="1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3"/>
    </row>
    <row r="6" spans="6:86" ht="18" customHeight="1">
      <c r="F6" s="4"/>
      <c r="G6" s="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3"/>
      <c r="CH6" s="5"/>
    </row>
    <row r="7" spans="6:86" ht="18" customHeight="1">
      <c r="F7" s="4"/>
      <c r="G7" s="4"/>
      <c r="BO7" s="9"/>
      <c r="BP7" s="10"/>
      <c r="BQ7" s="10"/>
      <c r="BR7" s="10"/>
      <c r="BS7" s="10"/>
      <c r="BT7" s="11"/>
      <c r="CG7" s="5"/>
      <c r="CH7" s="5"/>
    </row>
    <row r="8" spans="6:86" ht="18" customHeight="1">
      <c r="F8" s="4"/>
      <c r="G8" s="4"/>
      <c r="BO8" s="12"/>
      <c r="BT8" s="13"/>
      <c r="CG8" s="5"/>
      <c r="CH8" s="5"/>
    </row>
    <row r="9" spans="6:86" ht="18" customHeight="1">
      <c r="F9" s="4"/>
      <c r="G9" s="4"/>
      <c r="BO9" s="12"/>
      <c r="BT9" s="13"/>
      <c r="CG9" s="5"/>
      <c r="CH9" s="5"/>
    </row>
    <row r="10" spans="6:86" ht="18" customHeight="1">
      <c r="F10" s="4"/>
      <c r="G10" s="4"/>
      <c r="BO10" s="12"/>
      <c r="BT10" s="13"/>
      <c r="CG10" s="5"/>
      <c r="CH10" s="5"/>
    </row>
    <row r="11" spans="6:86" ht="18" customHeight="1">
      <c r="F11" s="4"/>
      <c r="G11" s="4"/>
      <c r="BO11" s="12"/>
      <c r="BT11" s="13"/>
      <c r="CG11" s="5"/>
      <c r="CH11" s="5"/>
    </row>
    <row r="12" spans="6:86" ht="18" customHeight="1">
      <c r="F12" s="4"/>
      <c r="G12" s="4"/>
      <c r="BO12" s="12"/>
      <c r="BT12" s="13"/>
      <c r="CG12" s="5"/>
      <c r="CH12" s="5"/>
    </row>
    <row r="13" spans="6:86" ht="18" customHeight="1">
      <c r="F13" s="4"/>
      <c r="G13" s="4"/>
      <c r="BO13" s="12"/>
      <c r="BT13" s="13"/>
      <c r="CG13" s="5"/>
      <c r="CH13" s="5"/>
    </row>
    <row r="14" spans="6:86" ht="18" customHeight="1">
      <c r="F14" s="4"/>
      <c r="G14" s="4"/>
      <c r="BO14" s="12"/>
      <c r="BT14" s="13"/>
      <c r="CG14" s="5"/>
      <c r="CH14" s="5"/>
    </row>
    <row r="15" spans="6:86" ht="18" customHeight="1">
      <c r="F15" s="4"/>
      <c r="G15" s="4"/>
      <c r="BO15" s="12"/>
      <c r="BT15" s="13"/>
      <c r="CG15" s="5"/>
      <c r="CH15" s="5"/>
    </row>
    <row r="16" spans="6:86" ht="18" customHeight="1">
      <c r="F16" s="4"/>
      <c r="G16" s="4"/>
      <c r="N16" s="9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1"/>
      <c r="AX16" s="9"/>
      <c r="AY16" s="10"/>
      <c r="AZ16" s="10"/>
      <c r="BA16" s="10"/>
      <c r="BB16" s="10"/>
      <c r="BC16" s="11"/>
      <c r="BO16" s="12"/>
      <c r="BT16" s="13"/>
      <c r="CG16" s="5"/>
      <c r="CH16" s="5"/>
    </row>
    <row r="17" spans="6:86" ht="18" customHeight="1">
      <c r="F17" s="4"/>
      <c r="G17" s="4"/>
      <c r="N17" s="12"/>
      <c r="O17" s="37"/>
      <c r="P17" s="38"/>
      <c r="Q17" s="38"/>
      <c r="R17" s="23"/>
      <c r="S17" s="40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79"/>
      <c r="AG17" s="8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1"/>
      <c r="AW17" s="13"/>
      <c r="AX17" s="12"/>
      <c r="BC17" s="13"/>
      <c r="BO17" s="12"/>
      <c r="BT17" s="13"/>
      <c r="CG17" s="5"/>
      <c r="CH17" s="5"/>
    </row>
    <row r="18" spans="6:86" ht="18" customHeight="1" thickBot="1">
      <c r="F18" s="4"/>
      <c r="G18" s="4"/>
      <c r="N18" s="12"/>
      <c r="O18" s="36"/>
      <c r="P18" s="32"/>
      <c r="Q18" s="32"/>
      <c r="R18" s="24"/>
      <c r="S18" s="42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81"/>
      <c r="AG18" s="82"/>
      <c r="AH18" s="96"/>
      <c r="AI18" s="97"/>
      <c r="AU18" s="94"/>
      <c r="AV18" s="95"/>
      <c r="AW18" s="13"/>
      <c r="AX18" s="12"/>
      <c r="BC18" s="13"/>
      <c r="BO18" s="14"/>
      <c r="BP18" s="15"/>
      <c r="BQ18" s="15"/>
      <c r="BR18" s="15"/>
      <c r="BS18" s="15"/>
      <c r="BT18" s="16"/>
      <c r="CG18" s="5"/>
      <c r="CH18" s="5"/>
    </row>
    <row r="19" spans="6:86" ht="18" customHeight="1">
      <c r="F19" s="4"/>
      <c r="G19" s="4"/>
      <c r="N19" s="12"/>
      <c r="O19" s="36"/>
      <c r="P19" s="32"/>
      <c r="Q19" s="32"/>
      <c r="R19" s="25"/>
      <c r="S19" s="42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81"/>
      <c r="AG19" s="82"/>
      <c r="AH19" s="96"/>
      <c r="AI19" s="97"/>
      <c r="AQ19" s="62"/>
      <c r="AR19" s="63"/>
      <c r="AU19" s="94"/>
      <c r="AV19" s="95"/>
      <c r="AW19" s="13"/>
      <c r="AX19" s="12"/>
      <c r="BC19" s="13"/>
      <c r="CG19" s="5"/>
      <c r="CH19" s="29"/>
    </row>
    <row r="20" spans="6:86" ht="18" customHeight="1">
      <c r="F20" s="4"/>
      <c r="G20" s="4"/>
      <c r="N20" s="12"/>
      <c r="O20" s="36"/>
      <c r="P20" s="32"/>
      <c r="Q20" s="32"/>
      <c r="R20" s="33"/>
      <c r="S20" s="42"/>
      <c r="T20" s="43"/>
      <c r="U20" s="43"/>
      <c r="V20" s="74"/>
      <c r="W20" s="85"/>
      <c r="X20" s="85"/>
      <c r="Y20" s="85"/>
      <c r="Z20" s="85"/>
      <c r="AA20" s="75"/>
      <c r="AB20" s="43"/>
      <c r="AC20" s="43"/>
      <c r="AD20" s="43"/>
      <c r="AE20" s="43"/>
      <c r="AF20" s="81"/>
      <c r="AG20" s="82"/>
      <c r="AH20" s="96"/>
      <c r="AI20" s="97"/>
      <c r="AQ20" s="64"/>
      <c r="AR20" s="65"/>
      <c r="AU20" s="94"/>
      <c r="AV20" s="95"/>
      <c r="AW20" s="13"/>
      <c r="AX20" s="12"/>
      <c r="BC20" s="13"/>
      <c r="CG20" s="5"/>
      <c r="CH20" s="30"/>
    </row>
    <row r="21" spans="6:86" ht="18" customHeight="1">
      <c r="F21" s="4"/>
      <c r="G21" s="4"/>
      <c r="N21" s="12"/>
      <c r="O21" s="36"/>
      <c r="P21" s="32"/>
      <c r="Q21" s="32"/>
      <c r="R21" s="33"/>
      <c r="S21" s="42"/>
      <c r="T21" s="43"/>
      <c r="U21" s="43"/>
      <c r="V21" s="86"/>
      <c r="W21" s="87"/>
      <c r="X21" s="87"/>
      <c r="Y21" s="87"/>
      <c r="Z21" s="87"/>
      <c r="AA21" s="88"/>
      <c r="AB21" s="43"/>
      <c r="AC21" s="43"/>
      <c r="AD21" s="43"/>
      <c r="AE21" s="43"/>
      <c r="AF21" s="81"/>
      <c r="AG21" s="82"/>
      <c r="AH21" s="96"/>
      <c r="AI21" s="97"/>
      <c r="AU21" s="94"/>
      <c r="AV21" s="95"/>
      <c r="AW21" s="13"/>
      <c r="AX21" s="12"/>
      <c r="BC21" s="13"/>
      <c r="CG21" s="5"/>
      <c r="CH21" s="30"/>
    </row>
    <row r="22" spans="6:86" ht="18" customHeight="1">
      <c r="F22" s="4"/>
      <c r="G22" s="4"/>
      <c r="N22" s="12"/>
      <c r="O22" s="36"/>
      <c r="P22" s="32"/>
      <c r="Q22" s="32"/>
      <c r="R22" s="33"/>
      <c r="S22" s="42"/>
      <c r="T22" s="43"/>
      <c r="U22" s="43"/>
      <c r="V22" s="86"/>
      <c r="W22" s="87"/>
      <c r="X22" s="87"/>
      <c r="Y22" s="87"/>
      <c r="Z22" s="87"/>
      <c r="AA22" s="88"/>
      <c r="AB22" s="43"/>
      <c r="AC22" s="43"/>
      <c r="AD22" s="43"/>
      <c r="AE22" s="43"/>
      <c r="AF22" s="83"/>
      <c r="AG22" s="84"/>
      <c r="AH22" s="96"/>
      <c r="AI22" s="97"/>
      <c r="AU22" s="68"/>
      <c r="AV22" s="69"/>
      <c r="AW22" s="13"/>
      <c r="AX22" s="12"/>
      <c r="BC22" s="13"/>
      <c r="BG22" s="99" t="s">
        <v>0</v>
      </c>
      <c r="CG22" s="5"/>
      <c r="CH22" s="30"/>
    </row>
    <row r="23" spans="6:86" ht="18" customHeight="1">
      <c r="F23" s="4"/>
      <c r="G23" s="4"/>
      <c r="N23" s="12"/>
      <c r="O23" s="36"/>
      <c r="P23" s="32"/>
      <c r="Q23" s="32"/>
      <c r="R23" s="33"/>
      <c r="S23" s="42"/>
      <c r="T23" s="43"/>
      <c r="U23" s="43"/>
      <c r="V23" s="86"/>
      <c r="W23" s="87"/>
      <c r="X23" s="87"/>
      <c r="Y23" s="87"/>
      <c r="Z23" s="87"/>
      <c r="AA23" s="88"/>
      <c r="AB23" s="43"/>
      <c r="AC23" s="43"/>
      <c r="AD23" s="43"/>
      <c r="AE23" s="43"/>
      <c r="AF23" s="43"/>
      <c r="AG23" s="45"/>
      <c r="AV23" s="13"/>
      <c r="AW23" s="13"/>
      <c r="AX23" s="12"/>
      <c r="BC23" s="13"/>
      <c r="BG23" s="99" t="s">
        <v>1</v>
      </c>
      <c r="CG23" s="5"/>
      <c r="CH23" s="30"/>
    </row>
    <row r="24" spans="6:86" ht="18" customHeight="1">
      <c r="F24" s="4"/>
      <c r="G24" s="4"/>
      <c r="N24" s="12"/>
      <c r="O24" s="36"/>
      <c r="P24" s="32"/>
      <c r="Q24" s="32"/>
      <c r="R24" s="33"/>
      <c r="S24" s="42"/>
      <c r="T24" s="43"/>
      <c r="U24" s="43"/>
      <c r="V24" s="86"/>
      <c r="W24" s="87"/>
      <c r="X24" s="87"/>
      <c r="Y24" s="87"/>
      <c r="Z24" s="87"/>
      <c r="AA24" s="88"/>
      <c r="AB24" s="43"/>
      <c r="AC24" s="43"/>
      <c r="AD24" s="43"/>
      <c r="AE24" s="43"/>
      <c r="AF24" s="43"/>
      <c r="AG24" s="45"/>
      <c r="AH24" s="12"/>
      <c r="AV24" s="13"/>
      <c r="AW24" s="71"/>
      <c r="AX24" s="12"/>
      <c r="BC24" s="13"/>
      <c r="BG24" s="99" t="s">
        <v>2</v>
      </c>
      <c r="CG24" s="5"/>
      <c r="CH24" s="30"/>
    </row>
    <row r="25" spans="6:86" ht="18" customHeight="1">
      <c r="F25" s="4"/>
      <c r="G25" s="4"/>
      <c r="N25" s="12"/>
      <c r="O25" s="36"/>
      <c r="P25" s="32"/>
      <c r="Q25" s="32"/>
      <c r="R25" s="33"/>
      <c r="S25" s="42"/>
      <c r="T25" s="43"/>
      <c r="U25" s="43"/>
      <c r="V25" s="76"/>
      <c r="W25" s="89"/>
      <c r="X25" s="89"/>
      <c r="Y25" s="89"/>
      <c r="Z25" s="89"/>
      <c r="AA25" s="77"/>
      <c r="AB25" s="43"/>
      <c r="AC25" s="43"/>
      <c r="AD25" s="47"/>
      <c r="AE25" s="26"/>
      <c r="AF25" s="27"/>
      <c r="AG25" s="28"/>
      <c r="AH25" s="12"/>
      <c r="AV25" s="13"/>
      <c r="AW25" s="90"/>
      <c r="AX25" s="12"/>
      <c r="BC25" s="13"/>
      <c r="BG25" s="99" t="s">
        <v>3</v>
      </c>
      <c r="CG25" s="5"/>
      <c r="CH25" s="30"/>
    </row>
    <row r="26" spans="6:86" ht="18" customHeight="1">
      <c r="F26" s="4"/>
      <c r="G26" s="4"/>
      <c r="N26" s="12"/>
      <c r="O26" s="79"/>
      <c r="P26" s="91"/>
      <c r="Q26" s="91"/>
      <c r="R26" s="91"/>
      <c r="S26" s="91"/>
      <c r="T26" s="80"/>
      <c r="U26" s="41"/>
      <c r="V26" s="41"/>
      <c r="W26" s="41"/>
      <c r="X26" s="41"/>
      <c r="Y26" s="23"/>
      <c r="Z26" s="10"/>
      <c r="AA26" s="10"/>
      <c r="AB26" s="10"/>
      <c r="AC26" s="10"/>
      <c r="AD26" s="10"/>
      <c r="AE26" s="10"/>
      <c r="AF26" s="10"/>
      <c r="AV26" s="13"/>
      <c r="AW26" s="73"/>
      <c r="AX26" s="12"/>
      <c r="BC26" s="13"/>
      <c r="BG26" s="99" t="s">
        <v>4</v>
      </c>
      <c r="CG26" s="5"/>
      <c r="CH26" s="30"/>
    </row>
    <row r="27" spans="6:86" ht="18" customHeight="1">
      <c r="F27" s="4"/>
      <c r="G27" s="4"/>
      <c r="N27" s="12"/>
      <c r="O27" s="83"/>
      <c r="P27" s="93"/>
      <c r="Q27" s="93"/>
      <c r="R27" s="93"/>
      <c r="S27" s="93"/>
      <c r="T27" s="84"/>
      <c r="U27" s="43"/>
      <c r="V27" s="43"/>
      <c r="W27" s="43"/>
      <c r="X27" s="43"/>
      <c r="Y27" s="24"/>
      <c r="AV27" s="13"/>
      <c r="AX27" s="12"/>
      <c r="BC27" s="13"/>
      <c r="BG27" s="99" t="s">
        <v>5</v>
      </c>
      <c r="CG27" s="5"/>
      <c r="CH27" s="30"/>
    </row>
    <row r="28" spans="6:86" ht="18" customHeight="1" thickBot="1">
      <c r="F28" s="4"/>
      <c r="G28" s="4"/>
      <c r="N28" s="12"/>
      <c r="O28" s="42"/>
      <c r="P28" s="43"/>
      <c r="Q28" s="43"/>
      <c r="R28" s="43"/>
      <c r="S28" s="43"/>
      <c r="T28" s="43"/>
      <c r="U28" s="43"/>
      <c r="V28" s="43"/>
      <c r="W28" s="43"/>
      <c r="X28" s="43"/>
      <c r="Y28" s="25"/>
      <c r="AR28" s="20"/>
      <c r="AS28" s="21"/>
      <c r="AT28" s="21"/>
      <c r="AU28" s="21"/>
      <c r="AV28" s="22"/>
      <c r="AX28" s="12"/>
      <c r="BC28" s="13"/>
      <c r="CG28" s="5"/>
      <c r="CH28" s="31"/>
    </row>
    <row r="29" spans="6:86" ht="18" customHeight="1">
      <c r="F29" s="4"/>
      <c r="G29" s="4"/>
      <c r="N29" s="12"/>
      <c r="O29" s="42"/>
      <c r="P29" s="43"/>
      <c r="Q29" s="43"/>
      <c r="R29" s="43"/>
      <c r="S29" s="43"/>
      <c r="T29" s="43"/>
      <c r="U29" s="43"/>
      <c r="V29" s="43"/>
      <c r="W29" s="43"/>
      <c r="X29" s="43"/>
      <c r="Y29" s="45"/>
      <c r="AE29" s="15"/>
      <c r="AU29" s="56"/>
      <c r="AV29" s="58"/>
      <c r="AW29" s="13"/>
      <c r="AX29" s="12"/>
      <c r="BC29" s="13"/>
      <c r="CG29" s="5"/>
      <c r="CH29" s="5"/>
    </row>
    <row r="30" spans="6:86" ht="18" customHeight="1">
      <c r="F30" s="4"/>
      <c r="G30" s="4"/>
      <c r="N30" s="12"/>
      <c r="O30" s="42"/>
      <c r="P30" s="43"/>
      <c r="Q30" s="43"/>
      <c r="R30" s="43"/>
      <c r="S30" s="43"/>
      <c r="T30" s="43"/>
      <c r="U30" s="43"/>
      <c r="V30" s="43"/>
      <c r="W30" s="43"/>
      <c r="X30" s="43"/>
      <c r="Y30" s="45"/>
      <c r="Z30" s="37"/>
      <c r="AA30" s="26"/>
      <c r="AB30" s="27"/>
      <c r="AC30" s="28"/>
      <c r="AD30" s="52"/>
      <c r="AE30" s="53"/>
      <c r="AF30" s="52"/>
      <c r="AG30" s="53"/>
      <c r="AH30" s="26"/>
      <c r="AI30" s="27"/>
      <c r="AJ30" s="28"/>
      <c r="AK30" s="74"/>
      <c r="AL30" s="75"/>
      <c r="AM30" s="49"/>
      <c r="AN30" s="49"/>
      <c r="AO30" s="49"/>
      <c r="AP30" s="49"/>
      <c r="AQ30" s="49"/>
      <c r="AR30" s="49"/>
      <c r="AS30" s="49"/>
      <c r="AT30" s="49"/>
      <c r="AU30" s="96"/>
      <c r="AV30" s="98"/>
      <c r="AW30" s="13"/>
      <c r="AX30" s="12"/>
      <c r="BC30" s="13"/>
      <c r="CG30" s="5"/>
      <c r="CH30" s="5"/>
    </row>
    <row r="31" spans="6:86" ht="18" customHeight="1">
      <c r="F31" s="4"/>
      <c r="G31" s="4"/>
      <c r="N31" s="12"/>
      <c r="O31" s="42"/>
      <c r="P31" s="43"/>
      <c r="Q31" s="43"/>
      <c r="R31" s="74"/>
      <c r="S31" s="85"/>
      <c r="T31" s="85"/>
      <c r="U31" s="75"/>
      <c r="V31" s="43"/>
      <c r="W31" s="43"/>
      <c r="X31" s="43"/>
      <c r="Y31" s="45"/>
      <c r="Z31" s="36"/>
      <c r="AA31" s="32"/>
      <c r="AB31" s="32"/>
      <c r="AC31" s="33"/>
      <c r="AD31" s="51"/>
      <c r="AE31" s="50"/>
      <c r="AF31" s="51"/>
      <c r="AG31" s="51"/>
      <c r="AH31" s="51"/>
      <c r="AI31" s="51"/>
      <c r="AJ31" s="50"/>
      <c r="AK31" s="76"/>
      <c r="AL31" s="77"/>
      <c r="AM31" s="49"/>
      <c r="AN31" s="49"/>
      <c r="AO31" s="49"/>
      <c r="AP31" s="49"/>
      <c r="AQ31" s="49"/>
      <c r="AR31" s="49"/>
      <c r="AS31" s="49"/>
      <c r="AT31" s="49"/>
      <c r="AU31" s="59"/>
      <c r="AV31" s="61"/>
      <c r="AW31" s="13"/>
      <c r="AX31" s="12"/>
      <c r="BC31" s="13"/>
      <c r="CG31" s="5"/>
      <c r="CH31" s="5"/>
    </row>
    <row r="32" spans="6:86" ht="18" customHeight="1">
      <c r="F32" s="4"/>
      <c r="G32" s="4"/>
      <c r="N32" s="12"/>
      <c r="O32" s="42"/>
      <c r="P32" s="43"/>
      <c r="Q32" s="43"/>
      <c r="R32" s="86"/>
      <c r="S32" s="87"/>
      <c r="T32" s="87"/>
      <c r="U32" s="88"/>
      <c r="V32" s="43"/>
      <c r="W32" s="43"/>
      <c r="X32" s="43"/>
      <c r="Y32" s="45"/>
      <c r="Z32" s="36"/>
      <c r="AA32" s="32"/>
      <c r="AB32" s="32"/>
      <c r="AC32" s="33"/>
      <c r="AD32" s="51"/>
      <c r="AE32" s="50"/>
      <c r="AF32" s="51"/>
      <c r="AG32" s="51"/>
      <c r="AH32" s="51"/>
      <c r="AI32" s="51"/>
      <c r="AJ32" s="50"/>
      <c r="AK32" s="96"/>
      <c r="AL32" s="98"/>
      <c r="AM32" s="49"/>
      <c r="AN32" s="49"/>
      <c r="AO32" s="49"/>
      <c r="AP32" s="49"/>
      <c r="AQ32" s="49"/>
      <c r="AR32" s="49"/>
      <c r="AS32" s="49"/>
      <c r="AT32" s="49"/>
      <c r="AU32" s="37"/>
      <c r="AV32" s="39"/>
      <c r="AW32" s="13"/>
      <c r="AX32" s="12"/>
      <c r="BC32" s="13"/>
      <c r="CG32" s="5"/>
      <c r="CH32" s="5"/>
    </row>
    <row r="33" spans="6:86" ht="18" customHeight="1">
      <c r="F33" s="4"/>
      <c r="G33" s="4"/>
      <c r="N33" s="12"/>
      <c r="O33" s="42"/>
      <c r="P33" s="43"/>
      <c r="Q33" s="43"/>
      <c r="R33" s="86"/>
      <c r="S33" s="87"/>
      <c r="T33" s="87"/>
      <c r="U33" s="88"/>
      <c r="V33" s="43"/>
      <c r="W33" s="43"/>
      <c r="X33" s="43"/>
      <c r="Y33" s="45"/>
      <c r="Z33" s="36"/>
      <c r="AA33" s="32"/>
      <c r="AB33" s="32"/>
      <c r="AC33" s="33"/>
      <c r="AD33" s="51"/>
      <c r="AE33" s="50"/>
      <c r="AF33" s="51"/>
      <c r="AG33" s="51"/>
      <c r="AH33" s="51"/>
      <c r="AI33" s="51"/>
      <c r="AJ33" s="50"/>
      <c r="AK33" s="96"/>
      <c r="AL33" s="98"/>
      <c r="AM33" s="49"/>
      <c r="AN33" s="49"/>
      <c r="AO33" s="49"/>
      <c r="AP33" s="49"/>
      <c r="AQ33" s="49"/>
      <c r="AR33" s="49"/>
      <c r="AS33" s="49"/>
      <c r="AT33" s="49"/>
      <c r="AU33" s="78"/>
      <c r="AV33" s="35"/>
      <c r="AW33" s="13"/>
      <c r="AX33" s="12"/>
      <c r="BC33" s="13"/>
      <c r="CG33" s="5"/>
      <c r="CH33" s="5"/>
    </row>
    <row r="34" spans="6:86" ht="18" customHeight="1">
      <c r="F34" s="4"/>
      <c r="G34" s="4"/>
      <c r="N34" s="12"/>
      <c r="O34" s="42"/>
      <c r="P34" s="43"/>
      <c r="Q34" s="43"/>
      <c r="R34" s="86"/>
      <c r="S34" s="87"/>
      <c r="T34" s="87"/>
      <c r="U34" s="88"/>
      <c r="V34" s="43"/>
      <c r="W34" s="43"/>
      <c r="X34" s="43"/>
      <c r="Y34" s="45"/>
      <c r="Z34" s="36"/>
      <c r="AA34" s="32"/>
      <c r="AB34" s="32"/>
      <c r="AC34" s="33"/>
      <c r="AD34" s="51"/>
      <c r="AE34" s="50"/>
      <c r="AF34" s="51"/>
      <c r="AG34" s="51"/>
      <c r="AH34" s="51"/>
      <c r="AI34" s="51"/>
      <c r="AJ34" s="50"/>
      <c r="AK34" s="96"/>
      <c r="AL34" s="98"/>
      <c r="AM34" s="49"/>
      <c r="AN34" s="49"/>
      <c r="AO34" s="49"/>
      <c r="AP34" s="49"/>
      <c r="AQ34" s="49"/>
      <c r="AR34" s="49"/>
      <c r="AS34" s="49"/>
      <c r="AT34" s="49"/>
      <c r="AU34" s="96"/>
      <c r="AV34" s="98"/>
      <c r="AW34" s="13"/>
      <c r="AX34" s="12"/>
      <c r="BC34" s="13"/>
      <c r="CG34" s="5"/>
      <c r="CH34" s="5"/>
    </row>
    <row r="35" spans="6:86" ht="18" customHeight="1">
      <c r="F35" s="4"/>
      <c r="G35" s="4"/>
      <c r="N35" s="12"/>
      <c r="O35" s="42"/>
      <c r="P35" s="43"/>
      <c r="Q35" s="43"/>
      <c r="R35" s="86"/>
      <c r="S35" s="87"/>
      <c r="T35" s="87"/>
      <c r="U35" s="88"/>
      <c r="V35" s="43"/>
      <c r="W35" s="43"/>
      <c r="X35" s="43"/>
      <c r="Y35" s="45"/>
      <c r="Z35" s="36"/>
      <c r="AA35" s="32"/>
      <c r="AB35" s="32"/>
      <c r="AC35" s="33"/>
      <c r="AD35" s="51"/>
      <c r="AE35" s="51"/>
      <c r="AF35" s="52"/>
      <c r="AG35" s="52"/>
      <c r="AH35" s="52"/>
      <c r="AI35" s="52"/>
      <c r="AJ35" s="53"/>
      <c r="AK35" s="96"/>
      <c r="AL35" s="97"/>
      <c r="AM35" s="57"/>
      <c r="AN35" s="57"/>
      <c r="AO35" s="57"/>
      <c r="AP35" s="57"/>
      <c r="AQ35" s="57"/>
      <c r="AR35" s="57"/>
      <c r="AS35" s="57"/>
      <c r="AT35" s="57"/>
      <c r="AU35" s="97"/>
      <c r="AV35" s="98"/>
      <c r="AW35" s="13"/>
      <c r="AX35" s="12"/>
      <c r="BC35" s="13"/>
      <c r="CG35" s="5"/>
      <c r="CH35" s="5"/>
    </row>
    <row r="36" spans="6:86" ht="18" customHeight="1">
      <c r="F36" s="4"/>
      <c r="G36" s="4"/>
      <c r="N36" s="12"/>
      <c r="O36" s="46"/>
      <c r="P36" s="47"/>
      <c r="Q36" s="47"/>
      <c r="R36" s="76"/>
      <c r="S36" s="89"/>
      <c r="T36" s="89"/>
      <c r="U36" s="77"/>
      <c r="V36" s="47"/>
      <c r="W36" s="47"/>
      <c r="X36" s="47"/>
      <c r="Y36" s="48"/>
      <c r="Z36" s="78"/>
      <c r="AA36" s="34"/>
      <c r="AB36" s="34"/>
      <c r="AC36" s="35"/>
      <c r="AD36" s="54"/>
      <c r="AE36" s="54"/>
      <c r="AF36" s="54"/>
      <c r="AG36" s="54"/>
      <c r="AH36" s="54"/>
      <c r="AI36" s="54"/>
      <c r="AJ36" s="55"/>
      <c r="AK36" s="59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1"/>
      <c r="AW36" s="13"/>
      <c r="AX36" s="12"/>
      <c r="BC36" s="13"/>
      <c r="CG36" s="5"/>
      <c r="CH36" s="5"/>
    </row>
    <row r="37" spans="6:86" ht="18" customHeight="1">
      <c r="F37" s="4"/>
      <c r="G37" s="4"/>
      <c r="N37" s="14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6"/>
      <c r="AX37" s="14"/>
      <c r="AY37" s="15"/>
      <c r="AZ37" s="15"/>
      <c r="BA37" s="15"/>
      <c r="BB37" s="15"/>
      <c r="BC37" s="16"/>
      <c r="CG37" s="5"/>
      <c r="CH37" s="5"/>
    </row>
    <row r="38" spans="6:86" ht="18" customHeight="1">
      <c r="F38" s="4"/>
      <c r="G38" s="4"/>
      <c r="CG38" s="5"/>
      <c r="CH38" s="5"/>
    </row>
    <row r="39" spans="6:86" ht="18" customHeight="1">
      <c r="F39" s="4"/>
      <c r="G39" s="4"/>
      <c r="CG39" s="5"/>
      <c r="CH39" s="5"/>
    </row>
    <row r="40" spans="6:86" ht="18" customHeight="1">
      <c r="F40" s="4"/>
      <c r="G40" s="4"/>
      <c r="CG40" s="5"/>
      <c r="CH40" s="5"/>
    </row>
    <row r="41" spans="6:86" ht="18" customHeight="1">
      <c r="F41" s="4"/>
      <c r="G41" s="4"/>
      <c r="CG41" s="5"/>
      <c r="CH41" s="5"/>
    </row>
    <row r="42" spans="6:86" ht="18" customHeight="1">
      <c r="F42" s="4"/>
      <c r="G42" s="4"/>
      <c r="CG42" s="5"/>
      <c r="CH42" s="5"/>
    </row>
    <row r="43" spans="6:86" ht="18" customHeight="1" thickBot="1">
      <c r="F43" s="4"/>
      <c r="G43" s="6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8"/>
      <c r="CH43" s="5"/>
    </row>
    <row r="44" spans="6:86" ht="18" customHeight="1" thickBot="1">
      <c r="F44" s="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8"/>
    </row>
    <row r="50" spans="6:134" ht="18" customHeight="1" thickBot="1"/>
    <row r="51" spans="6:134" ht="18" customHeight="1">
      <c r="F51" s="1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3"/>
      <c r="BW51" s="1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3"/>
    </row>
    <row r="52" spans="6:134" ht="18" customHeight="1">
      <c r="F52" s="4"/>
      <c r="BM52" s="5"/>
      <c r="BW52" s="4"/>
      <c r="ED52" s="5"/>
    </row>
    <row r="53" spans="6:134" ht="18" customHeight="1">
      <c r="F53" s="4"/>
      <c r="BM53" s="5"/>
      <c r="BW53" s="4"/>
      <c r="ED53" s="5"/>
    </row>
    <row r="54" spans="6:134" ht="18" customHeight="1">
      <c r="F54" s="4"/>
      <c r="BM54" s="5"/>
      <c r="BW54" s="4"/>
      <c r="ED54" s="5"/>
    </row>
    <row r="55" spans="6:134" ht="18" customHeight="1">
      <c r="F55" s="4"/>
      <c r="BM55" s="5"/>
      <c r="BW55" s="4"/>
      <c r="ED55" s="5"/>
    </row>
    <row r="56" spans="6:134" ht="18" customHeight="1">
      <c r="F56" s="4"/>
      <c r="BM56" s="5"/>
      <c r="BW56" s="4"/>
      <c r="ED56" s="5"/>
    </row>
    <row r="57" spans="6:134" ht="18" customHeight="1">
      <c r="F57" s="4"/>
      <c r="BM57" s="5"/>
      <c r="BW57" s="4"/>
      <c r="ED57" s="5"/>
    </row>
    <row r="58" spans="6:134" ht="18" customHeight="1">
      <c r="F58" s="4"/>
      <c r="BM58" s="5"/>
      <c r="BW58" s="4"/>
      <c r="ED58" s="5"/>
    </row>
    <row r="59" spans="6:134" ht="18" customHeight="1">
      <c r="F59" s="4"/>
      <c r="BM59" s="5"/>
      <c r="BW59" s="4"/>
      <c r="ED59" s="5"/>
    </row>
    <row r="60" spans="6:134" ht="18" customHeight="1">
      <c r="F60" s="4"/>
      <c r="BM60" s="5"/>
      <c r="BW60" s="4"/>
      <c r="ED60" s="5"/>
    </row>
    <row r="61" spans="6:134" ht="18" customHeight="1">
      <c r="F61" s="4"/>
      <c r="BM61" s="5"/>
      <c r="BW61" s="4"/>
      <c r="ED61" s="5"/>
    </row>
    <row r="62" spans="6:134" ht="18" customHeight="1">
      <c r="F62" s="4"/>
      <c r="K62" s="40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4"/>
      <c r="BM62" s="5"/>
      <c r="BW62" s="4"/>
      <c r="ED62" s="5"/>
    </row>
    <row r="63" spans="6:134" ht="18" customHeight="1">
      <c r="F63" s="4"/>
      <c r="K63" s="42"/>
      <c r="L63" s="9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1"/>
      <c r="X63" s="38"/>
      <c r="Y63" s="38"/>
      <c r="Z63" s="38"/>
      <c r="AA63" s="38"/>
      <c r="AB63" s="39"/>
      <c r="AC63" s="38"/>
      <c r="AD63" s="38"/>
      <c r="AE63" s="38"/>
      <c r="AF63" s="38"/>
      <c r="AG63" s="38"/>
      <c r="AH63" s="9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1"/>
      <c r="AU63" s="45"/>
      <c r="BM63" s="5"/>
      <c r="BW63" s="4"/>
      <c r="ED63" s="5"/>
    </row>
    <row r="64" spans="6:134" ht="18" customHeight="1">
      <c r="F64" s="4"/>
      <c r="K64" s="42"/>
      <c r="L64" s="12"/>
      <c r="W64" s="13"/>
      <c r="X64" s="32"/>
      <c r="Y64" s="32"/>
      <c r="Z64" s="32"/>
      <c r="AA64" s="32"/>
      <c r="AB64" s="33"/>
      <c r="AC64" s="32"/>
      <c r="AD64" s="32"/>
      <c r="AE64" s="32"/>
      <c r="AF64" s="32"/>
      <c r="AG64" s="32"/>
      <c r="AH64" s="12"/>
      <c r="AT64" s="13"/>
      <c r="AU64" s="45"/>
      <c r="BM64" s="5"/>
      <c r="BW64" s="4"/>
      <c r="CB64" s="40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41"/>
      <c r="DJ64" s="41"/>
      <c r="DK64" s="41"/>
      <c r="DL64" s="44"/>
      <c r="ED64" s="5"/>
    </row>
    <row r="65" spans="6:134" ht="18" customHeight="1">
      <c r="F65" s="4"/>
      <c r="K65" s="42"/>
      <c r="L65" s="12"/>
      <c r="W65" s="13"/>
      <c r="X65" s="32"/>
      <c r="Y65" s="32"/>
      <c r="Z65" s="32"/>
      <c r="AA65" s="32"/>
      <c r="AB65" s="33"/>
      <c r="AC65" s="32"/>
      <c r="AD65" s="32"/>
      <c r="AE65" s="32"/>
      <c r="AF65" s="32"/>
      <c r="AG65" s="32"/>
      <c r="AH65" s="12"/>
      <c r="AT65" s="13"/>
      <c r="AU65" s="45"/>
      <c r="BM65" s="5"/>
      <c r="BW65" s="4"/>
      <c r="CB65" s="42"/>
      <c r="CC65" s="9"/>
      <c r="CD65" s="10"/>
      <c r="CE65" s="10"/>
      <c r="CF65" s="10"/>
      <c r="CG65" s="10"/>
      <c r="CH65" s="10"/>
      <c r="CI65" s="10"/>
      <c r="CJ65" s="10"/>
      <c r="CK65" s="10"/>
      <c r="CL65" s="10"/>
      <c r="CM65" s="9"/>
      <c r="CN65" s="11"/>
      <c r="CO65" s="38"/>
      <c r="CP65" s="38"/>
      <c r="CQ65" s="38"/>
      <c r="CR65" s="38"/>
      <c r="CS65" s="39"/>
      <c r="CT65" s="38"/>
      <c r="CU65" s="38"/>
      <c r="CV65" s="38"/>
      <c r="CW65" s="38"/>
      <c r="CX65" s="38"/>
      <c r="CY65" s="9"/>
      <c r="CZ65" s="10"/>
      <c r="DA65" s="10"/>
      <c r="DB65" s="10"/>
      <c r="DC65" s="9"/>
      <c r="DD65" s="10"/>
      <c r="DE65" s="10"/>
      <c r="DF65" s="10"/>
      <c r="DG65" s="10"/>
      <c r="DH65" s="11"/>
      <c r="DI65" s="10"/>
      <c r="DJ65" s="10"/>
      <c r="DK65" s="11"/>
      <c r="DL65" s="45"/>
      <c r="ED65" s="5"/>
    </row>
    <row r="66" spans="6:134" ht="18" customHeight="1">
      <c r="F66" s="4"/>
      <c r="K66" s="42"/>
      <c r="L66" s="12"/>
      <c r="W66" s="13"/>
      <c r="X66" s="32"/>
      <c r="Y66" s="32"/>
      <c r="Z66" s="32"/>
      <c r="AA66" s="32"/>
      <c r="AB66" s="33"/>
      <c r="AC66" s="32"/>
      <c r="AD66" s="32"/>
      <c r="AE66" s="32"/>
      <c r="AF66" s="32"/>
      <c r="AG66" s="32"/>
      <c r="AH66" s="12"/>
      <c r="AT66" s="13"/>
      <c r="AU66" s="45"/>
      <c r="BM66" s="5"/>
      <c r="BW66" s="4"/>
      <c r="CB66" s="42"/>
      <c r="CC66" s="12"/>
      <c r="CM66" s="12"/>
      <c r="CN66" s="13"/>
      <c r="CO66" s="32"/>
      <c r="CP66" s="32"/>
      <c r="CQ66" s="32"/>
      <c r="CR66" s="32"/>
      <c r="CS66" s="33"/>
      <c r="CT66" s="32"/>
      <c r="CU66" s="32"/>
      <c r="CV66" s="32"/>
      <c r="CW66" s="32"/>
      <c r="CX66" s="32"/>
      <c r="CY66" s="12"/>
      <c r="DC66" s="12"/>
      <c r="DH66" s="13"/>
      <c r="DK66" s="13"/>
      <c r="DL66" s="45"/>
      <c r="ED66" s="5"/>
    </row>
    <row r="67" spans="6:134" ht="18" customHeight="1">
      <c r="F67" s="4"/>
      <c r="K67" s="42"/>
      <c r="L67" s="12"/>
      <c r="W67" s="13"/>
      <c r="X67" s="32"/>
      <c r="Y67" s="32"/>
      <c r="Z67" s="32"/>
      <c r="AA67" s="32"/>
      <c r="AB67" s="33"/>
      <c r="AC67" s="32"/>
      <c r="AD67" s="32"/>
      <c r="AE67" s="32"/>
      <c r="AF67" s="32"/>
      <c r="AG67" s="32"/>
      <c r="AH67" s="12"/>
      <c r="AT67" s="13"/>
      <c r="AU67" s="45"/>
      <c r="BM67" s="5"/>
      <c r="BW67" s="4"/>
      <c r="CB67" s="42"/>
      <c r="CC67" s="9"/>
      <c r="CD67" s="10"/>
      <c r="CE67" s="10"/>
      <c r="CF67" s="10"/>
      <c r="CG67" s="10"/>
      <c r="CH67" s="11"/>
      <c r="CM67" s="12"/>
      <c r="CN67" s="13"/>
      <c r="CO67" s="32"/>
      <c r="CP67" s="32"/>
      <c r="CQ67" s="32"/>
      <c r="CR67" s="32"/>
      <c r="CS67" s="33"/>
      <c r="CT67" s="32"/>
      <c r="CU67" s="32"/>
      <c r="CV67" s="32"/>
      <c r="CW67" s="32"/>
      <c r="CX67" s="32"/>
      <c r="CY67" s="12"/>
      <c r="DC67" s="12"/>
      <c r="DH67" s="13"/>
      <c r="DK67" s="13"/>
      <c r="DL67" s="45"/>
      <c r="ED67" s="5"/>
    </row>
    <row r="68" spans="6:134" ht="18" customHeight="1">
      <c r="F68" s="4"/>
      <c r="K68" s="42"/>
      <c r="L68" s="12"/>
      <c r="W68" s="13"/>
      <c r="X68" s="32"/>
      <c r="Y68" s="32"/>
      <c r="Z68" s="32"/>
      <c r="AA68" s="32"/>
      <c r="AB68" s="33"/>
      <c r="AC68" s="32"/>
      <c r="AD68" s="32"/>
      <c r="AE68" s="32"/>
      <c r="AF68" s="32"/>
      <c r="AG68" s="32"/>
      <c r="AH68" s="12"/>
      <c r="AT68" s="13"/>
      <c r="AU68" s="45"/>
      <c r="BM68" s="5"/>
      <c r="BW68" s="4"/>
      <c r="CB68" s="42"/>
      <c r="CC68" s="12"/>
      <c r="CH68" s="13"/>
      <c r="CM68" s="12"/>
      <c r="CN68" s="13"/>
      <c r="CO68" s="32"/>
      <c r="CP68" s="32"/>
      <c r="CQ68" s="32"/>
      <c r="CR68" s="32"/>
      <c r="CS68" s="33"/>
      <c r="CT68" s="32"/>
      <c r="CU68" s="32"/>
      <c r="CV68" s="32"/>
      <c r="CW68" s="32"/>
      <c r="CX68" s="32"/>
      <c r="CY68" s="12"/>
      <c r="DC68" s="12"/>
      <c r="DH68" s="13"/>
      <c r="DK68" s="13"/>
      <c r="DL68" s="45"/>
      <c r="ED68" s="5"/>
    </row>
    <row r="69" spans="6:134" ht="18" customHeight="1">
      <c r="F69" s="4"/>
      <c r="K69" s="42"/>
      <c r="L69" s="12"/>
      <c r="W69" s="13"/>
      <c r="X69" s="32"/>
      <c r="Y69" s="32"/>
      <c r="Z69" s="32"/>
      <c r="AA69" s="32"/>
      <c r="AB69" s="33"/>
      <c r="AC69" s="32"/>
      <c r="AD69" s="32"/>
      <c r="AE69" s="32"/>
      <c r="AF69" s="32"/>
      <c r="AG69" s="32"/>
      <c r="AH69" s="12"/>
      <c r="AT69" s="13"/>
      <c r="AU69" s="45"/>
      <c r="BM69" s="5"/>
      <c r="BW69" s="4"/>
      <c r="CB69" s="42"/>
      <c r="CC69" s="12"/>
      <c r="CH69" s="13"/>
      <c r="CM69" s="12"/>
      <c r="CN69" s="13"/>
      <c r="CO69" s="32"/>
      <c r="CP69" s="32"/>
      <c r="CQ69" s="32"/>
      <c r="CR69" s="32"/>
      <c r="CS69" s="33"/>
      <c r="CT69" s="32"/>
      <c r="CU69" s="32"/>
      <c r="CV69" s="32"/>
      <c r="CW69" s="32"/>
      <c r="CX69" s="32"/>
      <c r="CY69" s="12"/>
      <c r="DC69" s="12"/>
      <c r="DH69" s="13"/>
      <c r="DK69" s="13"/>
      <c r="DL69" s="45"/>
      <c r="ED69" s="5"/>
    </row>
    <row r="70" spans="6:134" ht="18" customHeight="1">
      <c r="F70" s="4"/>
      <c r="K70" s="42"/>
      <c r="L70" s="12"/>
      <c r="W70" s="13"/>
      <c r="X70" s="32"/>
      <c r="Y70" s="32"/>
      <c r="Z70" s="32"/>
      <c r="AA70" s="32"/>
      <c r="AB70" s="33"/>
      <c r="AC70" s="32"/>
      <c r="AD70" s="32"/>
      <c r="AE70" s="32"/>
      <c r="AF70" s="32"/>
      <c r="AG70" s="70"/>
      <c r="AH70" s="12"/>
      <c r="AT70" s="13"/>
      <c r="AU70" s="45"/>
      <c r="BM70" s="5"/>
      <c r="BW70" s="4"/>
      <c r="CB70" s="42"/>
      <c r="CC70" s="12"/>
      <c r="CH70" s="13"/>
      <c r="CM70" s="14"/>
      <c r="CN70" s="16"/>
      <c r="CO70" s="32"/>
      <c r="CP70" s="32"/>
      <c r="CQ70" s="32"/>
      <c r="CR70" s="32"/>
      <c r="CS70" s="33"/>
      <c r="CT70" s="32"/>
      <c r="CU70" s="32"/>
      <c r="CV70" s="32"/>
      <c r="CW70" s="32"/>
      <c r="CX70" s="70"/>
      <c r="CY70" s="12"/>
      <c r="DC70" s="14"/>
      <c r="DD70" s="15"/>
      <c r="DE70" s="15"/>
      <c r="DF70" s="15"/>
      <c r="DG70" s="15"/>
      <c r="DH70" s="16"/>
      <c r="DK70" s="13"/>
      <c r="DL70" s="45"/>
      <c r="ED70" s="5"/>
    </row>
    <row r="71" spans="6:134" ht="18" customHeight="1">
      <c r="F71" s="4"/>
      <c r="K71" s="42"/>
      <c r="L71" s="12"/>
      <c r="W71" s="13"/>
      <c r="X71" s="32"/>
      <c r="Y71" s="32"/>
      <c r="Z71" s="32"/>
      <c r="AA71" s="32"/>
      <c r="AB71" s="33"/>
      <c r="AC71" s="32"/>
      <c r="AD71" s="32"/>
      <c r="AE71" s="32"/>
      <c r="AF71" s="32"/>
      <c r="AG71" s="107"/>
      <c r="AH71" s="12"/>
      <c r="AT71" s="13"/>
      <c r="AU71" s="45"/>
      <c r="BM71" s="5"/>
      <c r="BW71" s="4"/>
      <c r="CB71" s="42"/>
      <c r="CC71" s="12"/>
      <c r="CH71" s="13"/>
      <c r="CN71" s="13"/>
      <c r="CO71" s="32"/>
      <c r="CP71" s="32"/>
      <c r="CQ71" s="32"/>
      <c r="CR71" s="32"/>
      <c r="CS71" s="33"/>
      <c r="CT71" s="32"/>
      <c r="CU71" s="32"/>
      <c r="CV71" s="32"/>
      <c r="CW71" s="32"/>
      <c r="CX71" s="107"/>
      <c r="CY71" s="12"/>
      <c r="DK71" s="13"/>
      <c r="DL71" s="45"/>
      <c r="ED71" s="5"/>
    </row>
    <row r="72" spans="6:134" ht="18" customHeight="1">
      <c r="F72" s="4"/>
      <c r="K72" s="42"/>
      <c r="L72" s="12"/>
      <c r="W72" s="13"/>
      <c r="X72" s="34"/>
      <c r="Y72" s="34"/>
      <c r="Z72" s="26"/>
      <c r="AA72" s="27"/>
      <c r="AB72" s="28"/>
      <c r="AC72" s="34"/>
      <c r="AD72" s="34"/>
      <c r="AE72" s="34"/>
      <c r="AF72" s="34"/>
      <c r="AG72" s="72"/>
      <c r="AH72" s="12"/>
      <c r="AT72" s="13"/>
      <c r="AU72" s="45"/>
      <c r="BM72" s="5"/>
      <c r="BW72" s="4"/>
      <c r="CB72" s="42"/>
      <c r="CC72" s="14"/>
      <c r="CD72" s="15"/>
      <c r="CE72" s="15"/>
      <c r="CF72" s="15"/>
      <c r="CG72" s="15"/>
      <c r="CH72" s="16"/>
      <c r="CN72" s="13"/>
      <c r="CO72" s="34"/>
      <c r="CP72" s="34"/>
      <c r="CQ72" s="26"/>
      <c r="CR72" s="27"/>
      <c r="CS72" s="28"/>
      <c r="CT72" s="34"/>
      <c r="CU72" s="34"/>
      <c r="CV72" s="34"/>
      <c r="CW72" s="34"/>
      <c r="CX72" s="72"/>
      <c r="CY72" s="12"/>
      <c r="DK72" s="13"/>
      <c r="DL72" s="45"/>
      <c r="ED72" s="5"/>
    </row>
    <row r="73" spans="6:134" ht="18" customHeight="1">
      <c r="F73" s="4"/>
      <c r="K73" s="42"/>
      <c r="L73" s="12"/>
      <c r="W73" s="23"/>
      <c r="AH73" s="12"/>
      <c r="AT73" s="13"/>
      <c r="AU73" s="45"/>
      <c r="BM73" s="5"/>
      <c r="BW73" s="4"/>
      <c r="CB73" s="42"/>
      <c r="CC73" s="12"/>
      <c r="CN73" s="23"/>
      <c r="CY73" s="12"/>
      <c r="DK73" s="13"/>
      <c r="DL73" s="45"/>
      <c r="ED73" s="5"/>
    </row>
    <row r="74" spans="6:134" ht="18" customHeight="1">
      <c r="F74" s="4"/>
      <c r="K74" s="42"/>
      <c r="L74" s="12"/>
      <c r="W74" s="24"/>
      <c r="AH74" s="12"/>
      <c r="AT74" s="13"/>
      <c r="AU74" s="45"/>
      <c r="BM74" s="5"/>
      <c r="BW74" s="4"/>
      <c r="CB74" s="42"/>
      <c r="CC74" s="12"/>
      <c r="CN74" s="24"/>
      <c r="CY74" s="23"/>
      <c r="DK74" s="13"/>
      <c r="DL74" s="45"/>
      <c r="ED74" s="5"/>
    </row>
    <row r="75" spans="6:134" ht="18" customHeight="1">
      <c r="F75" s="4"/>
      <c r="K75" s="42"/>
      <c r="L75" s="14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25"/>
      <c r="AH75" s="23"/>
      <c r="AT75" s="13"/>
      <c r="AU75" s="45"/>
      <c r="BM75" s="5"/>
      <c r="BW75" s="4"/>
      <c r="CB75" s="42"/>
      <c r="CC75" s="14"/>
      <c r="CD75" s="15"/>
      <c r="CE75" s="15"/>
      <c r="CF75" s="15"/>
      <c r="CG75" s="15"/>
      <c r="CH75" s="15"/>
      <c r="CI75" s="15"/>
      <c r="CJ75" s="15"/>
      <c r="CK75" s="15"/>
      <c r="CL75" s="15"/>
      <c r="CM75" s="15"/>
      <c r="CN75" s="25"/>
      <c r="CY75" s="24"/>
      <c r="DF75" s="9"/>
      <c r="DG75" s="10"/>
      <c r="DH75" s="10"/>
      <c r="DI75" s="10"/>
      <c r="DJ75" s="10"/>
      <c r="DK75" s="11"/>
      <c r="DL75" s="45"/>
      <c r="ED75" s="5"/>
    </row>
    <row r="76" spans="6:134" ht="18" customHeight="1">
      <c r="F76" s="4"/>
      <c r="K76" s="42"/>
      <c r="L76" s="9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23"/>
      <c r="AH76" s="24"/>
      <c r="AT76" s="13"/>
      <c r="AU76" s="108"/>
      <c r="BM76" s="5"/>
      <c r="BW76" s="4"/>
      <c r="CB76" s="42"/>
      <c r="CC76" s="9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10"/>
      <c r="CY76" s="24"/>
      <c r="DF76" s="14"/>
      <c r="DG76" s="15"/>
      <c r="DH76" s="15"/>
      <c r="DI76" s="15"/>
      <c r="DJ76" s="15"/>
      <c r="DK76" s="16"/>
      <c r="DL76" s="108"/>
      <c r="ED76" s="5"/>
    </row>
    <row r="77" spans="6:134" ht="18" customHeight="1">
      <c r="F77" s="4"/>
      <c r="K77" s="42"/>
      <c r="L77" s="12"/>
      <c r="W77" s="24"/>
      <c r="AH77" s="25"/>
      <c r="AI77" s="15"/>
      <c r="AJ77" s="15"/>
      <c r="AK77" s="15"/>
      <c r="AL77" s="40"/>
      <c r="AM77" s="109"/>
      <c r="AN77" s="109"/>
      <c r="AO77" s="109"/>
      <c r="AP77" s="109"/>
      <c r="AQ77" s="109"/>
      <c r="AR77" s="109"/>
      <c r="AS77" s="109"/>
      <c r="AT77" s="109"/>
      <c r="AU77" s="48"/>
      <c r="BM77" s="5"/>
      <c r="BW77" s="4"/>
      <c r="CB77" s="42"/>
      <c r="CC77" s="12"/>
      <c r="CN77" s="111"/>
      <c r="CU77" s="20"/>
      <c r="CV77" s="21"/>
      <c r="CW77" s="21"/>
      <c r="CX77" s="21"/>
      <c r="CY77" s="21"/>
      <c r="CZ77" s="21"/>
      <c r="DA77" s="21"/>
      <c r="DB77" s="22"/>
      <c r="DC77" s="41"/>
      <c r="DD77" s="109"/>
      <c r="DE77" s="109"/>
      <c r="DF77" s="109"/>
      <c r="DG77" s="109"/>
      <c r="DH77" s="109"/>
      <c r="DI77" s="109"/>
      <c r="DJ77" s="109"/>
      <c r="DK77" s="109"/>
      <c r="DL77" s="48"/>
      <c r="ED77" s="23"/>
    </row>
    <row r="78" spans="6:134" ht="18" customHeight="1">
      <c r="F78" s="4"/>
      <c r="K78" s="42"/>
      <c r="L78" s="12"/>
      <c r="W78" s="25"/>
      <c r="AK78" s="23"/>
      <c r="AL78" s="108"/>
      <c r="AM78" s="10"/>
      <c r="AN78" s="10"/>
      <c r="AO78" s="10"/>
      <c r="AP78" s="10"/>
      <c r="AQ78" s="10"/>
      <c r="AR78" s="10"/>
      <c r="AS78" s="10"/>
      <c r="AT78" s="10"/>
      <c r="AU78" s="11"/>
      <c r="AV78" s="11"/>
      <c r="AW78" s="17"/>
      <c r="BM78" s="5"/>
      <c r="BW78" s="4"/>
      <c r="CB78" s="42"/>
      <c r="CC78" s="12"/>
      <c r="CN78" s="112"/>
      <c r="CU78" s="121"/>
      <c r="CV78" s="119"/>
      <c r="CW78" s="119"/>
      <c r="CX78" s="119"/>
      <c r="CY78" s="119"/>
      <c r="CZ78" s="122"/>
      <c r="DC78" s="108"/>
      <c r="DD78" s="10"/>
      <c r="DE78" s="10"/>
      <c r="DF78" s="10"/>
      <c r="DG78" s="10"/>
      <c r="DH78" s="10"/>
      <c r="DI78" s="10"/>
      <c r="DJ78" s="10"/>
      <c r="DK78" s="10"/>
      <c r="DL78" s="11"/>
      <c r="ED78" s="24"/>
    </row>
    <row r="79" spans="6:134" ht="18" customHeight="1">
      <c r="F79" s="4"/>
      <c r="K79" s="42"/>
      <c r="L79" s="12"/>
      <c r="W79" s="13"/>
      <c r="AK79" s="24"/>
      <c r="AL79" s="108"/>
      <c r="AU79" s="13"/>
      <c r="AV79" s="13"/>
      <c r="AW79" s="18"/>
      <c r="BM79" s="5"/>
      <c r="BW79" s="4"/>
      <c r="CB79" s="42"/>
      <c r="CC79" s="12"/>
      <c r="CN79" s="13"/>
      <c r="CU79" s="64"/>
      <c r="CV79" s="120"/>
      <c r="CW79" s="120"/>
      <c r="CX79" s="120"/>
      <c r="CY79" s="120"/>
      <c r="CZ79" s="65"/>
      <c r="DC79" s="108"/>
      <c r="DL79" s="13"/>
      <c r="ED79" s="24"/>
    </row>
    <row r="80" spans="6:134" ht="18" customHeight="1">
      <c r="F80" s="4"/>
      <c r="K80" s="42"/>
      <c r="L80" s="12"/>
      <c r="W80" s="13"/>
      <c r="AK80" s="25"/>
      <c r="AL80" s="108"/>
      <c r="AU80" s="13"/>
      <c r="AV80" s="13"/>
      <c r="AW80" s="18"/>
      <c r="BM80" s="5"/>
      <c r="BW80" s="4"/>
      <c r="CB80" s="42"/>
      <c r="CC80" s="12"/>
      <c r="CN80" s="13"/>
      <c r="DC80" s="108"/>
      <c r="DL80" s="13"/>
      <c r="ED80" s="24"/>
    </row>
    <row r="81" spans="6:134" ht="18" customHeight="1">
      <c r="F81" s="4"/>
      <c r="K81" s="42"/>
      <c r="L81" s="12"/>
      <c r="W81" s="13"/>
      <c r="AL81" s="108"/>
      <c r="AU81" s="13"/>
      <c r="AV81" s="13"/>
      <c r="AW81" s="18"/>
      <c r="BM81" s="5"/>
      <c r="BW81" s="4"/>
      <c r="CB81" s="42"/>
      <c r="CC81" s="12"/>
      <c r="CN81" s="13"/>
      <c r="DC81" s="108"/>
      <c r="DL81" s="13"/>
      <c r="ED81" s="24"/>
    </row>
    <row r="82" spans="6:134" ht="18" customHeight="1">
      <c r="F82" s="4"/>
      <c r="K82" s="42"/>
      <c r="L82" s="12"/>
      <c r="W82" s="13"/>
      <c r="X82" s="66"/>
      <c r="Y82" s="67"/>
      <c r="AJ82" s="101"/>
      <c r="AK82" s="102"/>
      <c r="AL82" s="108"/>
      <c r="AU82" s="13"/>
      <c r="AV82" s="13"/>
      <c r="AW82" s="18"/>
      <c r="BM82" s="5"/>
      <c r="BW82" s="4"/>
      <c r="CB82" s="42"/>
      <c r="CC82" s="12"/>
      <c r="CN82" s="13"/>
      <c r="DC82" s="108"/>
      <c r="DL82" s="13"/>
      <c r="ED82" s="24"/>
    </row>
    <row r="83" spans="6:134" ht="18" customHeight="1">
      <c r="F83" s="4"/>
      <c r="K83" s="42"/>
      <c r="L83" s="12"/>
      <c r="W83" s="13"/>
      <c r="X83" s="94"/>
      <c r="Y83" s="95"/>
      <c r="AJ83" s="103"/>
      <c r="AK83" s="104"/>
      <c r="AL83" s="108"/>
      <c r="AU83" s="13"/>
      <c r="AV83" s="16"/>
      <c r="AW83" s="19"/>
      <c r="BM83" s="5"/>
      <c r="BW83" s="4"/>
      <c r="CB83" s="42"/>
      <c r="CC83" s="12"/>
      <c r="CN83" s="13"/>
      <c r="DC83" s="108"/>
      <c r="DL83" s="13"/>
      <c r="ED83" s="24"/>
    </row>
    <row r="84" spans="6:134" ht="18" customHeight="1">
      <c r="F84" s="4"/>
      <c r="K84" s="42"/>
      <c r="L84" s="12"/>
      <c r="W84" s="13"/>
      <c r="X84" s="94"/>
      <c r="Y84" s="95"/>
      <c r="AJ84" s="103"/>
      <c r="AK84" s="104"/>
      <c r="AL84" s="108"/>
      <c r="AU84" s="13"/>
      <c r="BM84" s="5"/>
      <c r="BW84" s="4"/>
      <c r="CB84" s="42"/>
      <c r="CC84" s="9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1"/>
      <c r="DC84" s="108"/>
      <c r="DL84" s="13"/>
      <c r="ED84" s="24"/>
    </row>
    <row r="85" spans="6:134" ht="18" customHeight="1">
      <c r="F85" s="4"/>
      <c r="K85" s="42"/>
      <c r="L85" s="12"/>
      <c r="W85" s="13"/>
      <c r="X85" s="94"/>
      <c r="Y85" s="95"/>
      <c r="AJ85" s="103"/>
      <c r="AK85" s="104"/>
      <c r="AL85" s="108"/>
      <c r="AU85" s="13"/>
      <c r="BM85" s="23"/>
      <c r="BW85" s="4"/>
      <c r="CB85" s="42"/>
      <c r="CC85" s="12"/>
      <c r="CE85" s="15"/>
      <c r="CF85" s="15"/>
      <c r="CG85" s="15"/>
      <c r="CH85" s="15"/>
      <c r="CI85" s="15"/>
      <c r="CJ85" s="15"/>
      <c r="CK85" s="15"/>
      <c r="CL85" s="15"/>
      <c r="CN85" s="13"/>
      <c r="DC85" s="108"/>
      <c r="DL85" s="13"/>
      <c r="ED85" s="24"/>
    </row>
    <row r="86" spans="6:134" ht="18" customHeight="1">
      <c r="F86" s="4"/>
      <c r="K86" s="42"/>
      <c r="L86" s="12"/>
      <c r="W86" s="13"/>
      <c r="X86" s="94"/>
      <c r="Y86" s="95"/>
      <c r="AJ86" s="103"/>
      <c r="AK86" s="104"/>
      <c r="AL86" s="108"/>
      <c r="AU86" s="13"/>
      <c r="BM86" s="24"/>
      <c r="BW86" s="4"/>
      <c r="CB86" s="42"/>
      <c r="CC86" s="12"/>
      <c r="CD86" s="13"/>
      <c r="CM86" s="12"/>
      <c r="CN86" s="13"/>
      <c r="DC86" s="108"/>
      <c r="DL86" s="13"/>
      <c r="ED86" s="25"/>
    </row>
    <row r="87" spans="6:134" ht="18" customHeight="1">
      <c r="F87" s="4"/>
      <c r="K87" s="42"/>
      <c r="L87" s="12"/>
      <c r="W87" s="13"/>
      <c r="X87" s="68"/>
      <c r="Y87" s="69"/>
      <c r="AJ87" s="105"/>
      <c r="AK87" s="106"/>
      <c r="AL87" s="108"/>
      <c r="AU87" s="13"/>
      <c r="AW87" s="9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1"/>
      <c r="BM87" s="24"/>
      <c r="BW87" s="4"/>
      <c r="CB87" s="42"/>
      <c r="CC87" s="12"/>
      <c r="CD87" s="13"/>
      <c r="CM87" s="12"/>
      <c r="CN87" s="13"/>
      <c r="DC87" s="108"/>
      <c r="DL87" s="13"/>
      <c r="DM87" s="11"/>
      <c r="DN87" s="17"/>
      <c r="ED87" s="5"/>
    </row>
    <row r="88" spans="6:134" ht="18" customHeight="1">
      <c r="F88" s="4"/>
      <c r="K88" s="42"/>
      <c r="L88" s="14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6"/>
      <c r="AL88" s="108"/>
      <c r="AU88" s="13"/>
      <c r="AW88" s="12"/>
      <c r="BH88" s="13"/>
      <c r="BM88" s="24"/>
      <c r="BW88" s="4"/>
      <c r="CB88" s="42"/>
      <c r="CC88" s="12"/>
      <c r="CD88" s="13"/>
      <c r="CM88" s="12"/>
      <c r="CN88" s="13"/>
      <c r="CU88" s="113"/>
      <c r="CV88" s="114"/>
      <c r="CW88" s="114"/>
      <c r="CX88" s="114"/>
      <c r="CY88" s="114"/>
      <c r="CZ88" s="115"/>
      <c r="DC88" s="108"/>
      <c r="DL88" s="13"/>
      <c r="DM88" s="13"/>
      <c r="DN88" s="18"/>
      <c r="ED88" s="5"/>
    </row>
    <row r="89" spans="6:134" ht="18" customHeight="1">
      <c r="F89" s="4"/>
      <c r="K89" s="42"/>
      <c r="L89" s="56"/>
      <c r="M89" s="57"/>
      <c r="N89" s="57"/>
      <c r="O89" s="57"/>
      <c r="P89" s="57"/>
      <c r="Q89" s="57"/>
      <c r="R89" s="57"/>
      <c r="S89" s="57"/>
      <c r="T89" s="57"/>
      <c r="U89" s="57"/>
      <c r="V89" s="85"/>
      <c r="W89" s="75"/>
      <c r="AL89" s="108"/>
      <c r="AU89" s="13"/>
      <c r="AW89" s="12"/>
      <c r="BH89" s="13"/>
      <c r="BM89" s="24"/>
      <c r="BW89" s="4"/>
      <c r="CB89" s="42"/>
      <c r="CC89" s="12"/>
      <c r="CD89" s="13"/>
      <c r="CM89" s="12"/>
      <c r="CN89" s="13"/>
      <c r="CU89" s="116"/>
      <c r="CV89" s="117"/>
      <c r="CW89" s="117"/>
      <c r="CX89" s="117"/>
      <c r="CY89" s="117"/>
      <c r="CZ89" s="118"/>
      <c r="DC89" s="108"/>
      <c r="DL89" s="13"/>
      <c r="DM89" s="13"/>
      <c r="DN89" s="18"/>
      <c r="ED89" s="5"/>
    </row>
    <row r="90" spans="6:134" ht="18" customHeight="1">
      <c r="F90" s="4"/>
      <c r="K90" s="42"/>
      <c r="L90" s="96"/>
      <c r="M90" s="97"/>
      <c r="N90" s="60"/>
      <c r="O90" s="60"/>
      <c r="P90" s="60"/>
      <c r="Q90" s="60"/>
      <c r="R90" s="60"/>
      <c r="S90" s="60"/>
      <c r="T90" s="60"/>
      <c r="U90" s="60"/>
      <c r="V90" s="89"/>
      <c r="W90" s="77"/>
      <c r="AL90" s="108"/>
      <c r="AU90" s="13"/>
      <c r="AW90" s="12"/>
      <c r="BH90" s="13"/>
      <c r="BM90" s="24"/>
      <c r="BW90" s="4"/>
      <c r="CB90" s="42"/>
      <c r="CC90" s="14"/>
      <c r="CD90" s="16"/>
      <c r="CM90" s="14"/>
      <c r="CN90" s="16"/>
      <c r="CU90" s="20"/>
      <c r="CV90" s="21"/>
      <c r="CW90" s="21"/>
      <c r="CX90" s="21"/>
      <c r="CY90" s="21"/>
      <c r="CZ90" s="21"/>
      <c r="DA90" s="21"/>
      <c r="DB90" s="22"/>
      <c r="DC90" s="108"/>
      <c r="DL90" s="13"/>
      <c r="DM90" s="13"/>
      <c r="DN90" s="18"/>
      <c r="ED90" s="5"/>
    </row>
    <row r="91" spans="6:134" ht="18" customHeight="1">
      <c r="F91" s="4"/>
      <c r="K91" s="42"/>
      <c r="L91" s="96"/>
      <c r="M91" s="98"/>
      <c r="W91" s="10"/>
      <c r="AL91" s="108"/>
      <c r="AU91" s="13"/>
      <c r="AW91" s="12"/>
      <c r="BH91" s="13"/>
      <c r="BM91" s="24"/>
      <c r="BW91" s="4"/>
      <c r="CB91" s="42"/>
      <c r="CC91" s="12"/>
      <c r="DC91" s="108"/>
      <c r="DL91" s="13"/>
      <c r="DM91" s="13"/>
      <c r="DN91" s="18"/>
      <c r="ED91" s="5"/>
    </row>
    <row r="92" spans="6:134" ht="18" customHeight="1">
      <c r="F92" s="4"/>
      <c r="K92" s="42"/>
      <c r="L92" s="96"/>
      <c r="M92" s="98"/>
      <c r="AL92" s="108"/>
      <c r="AU92" s="13"/>
      <c r="AW92" s="14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6"/>
      <c r="BM92" s="24"/>
      <c r="BW92" s="4"/>
      <c r="CB92" s="42"/>
      <c r="CC92" s="110"/>
      <c r="DB92" s="110"/>
      <c r="DC92" s="108"/>
      <c r="DL92" s="13"/>
      <c r="DM92" s="16"/>
      <c r="DN92" s="19"/>
      <c r="ED92" s="5"/>
    </row>
    <row r="93" spans="6:134" ht="18" customHeight="1">
      <c r="F93" s="4"/>
      <c r="K93" s="42"/>
      <c r="L93" s="96"/>
      <c r="M93" s="98"/>
      <c r="AC93" s="9"/>
      <c r="AD93" s="10"/>
      <c r="AE93" s="10"/>
      <c r="AF93" s="10"/>
      <c r="AG93" s="11"/>
      <c r="AL93" s="108"/>
      <c r="AU93" s="13"/>
      <c r="BM93" s="24"/>
      <c r="BW93" s="4"/>
      <c r="CB93" s="42"/>
      <c r="CC93" s="111"/>
      <c r="DB93" s="111"/>
      <c r="DC93" s="108"/>
      <c r="DL93" s="13"/>
      <c r="ED93" s="5"/>
    </row>
    <row r="94" spans="6:134" ht="18" customHeight="1">
      <c r="F94" s="4"/>
      <c r="K94" s="42"/>
      <c r="L94" s="96"/>
      <c r="M94" s="98"/>
      <c r="AC94" s="12"/>
      <c r="AG94" s="13"/>
      <c r="AL94" s="108"/>
      <c r="AU94" s="13"/>
      <c r="BM94" s="25"/>
      <c r="BW94" s="4"/>
      <c r="CB94" s="42"/>
      <c r="CC94" s="112"/>
      <c r="CD94" s="15"/>
      <c r="CE94" s="15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V94" s="15"/>
      <c r="CW94" s="15"/>
      <c r="CX94" s="15"/>
      <c r="CY94" s="15"/>
      <c r="CZ94" s="15"/>
      <c r="DA94" s="15"/>
      <c r="DB94" s="112"/>
      <c r="DC94" s="108"/>
      <c r="DD94" s="12"/>
      <c r="DL94" s="13"/>
      <c r="ED94" s="5"/>
    </row>
    <row r="95" spans="6:134" ht="18" customHeight="1">
      <c r="F95" s="4"/>
      <c r="K95" s="42"/>
      <c r="L95" s="96"/>
      <c r="M95" s="98"/>
      <c r="AC95" s="14"/>
      <c r="AD95" s="15"/>
      <c r="AE95" s="15"/>
      <c r="AF95" s="15"/>
      <c r="AG95" s="16"/>
      <c r="AL95" s="108"/>
      <c r="AU95" s="13"/>
      <c r="BM95" s="5"/>
      <c r="BW95" s="4"/>
      <c r="CB95" s="46"/>
      <c r="CC95" s="47"/>
      <c r="CD95" s="47"/>
      <c r="CE95" s="47"/>
      <c r="CF95" s="47"/>
      <c r="CG95" s="47"/>
      <c r="CH95" s="47"/>
      <c r="CI95" s="47"/>
      <c r="CJ95" s="47"/>
      <c r="CK95" s="47"/>
      <c r="CL95" s="47"/>
      <c r="CM95" s="47"/>
      <c r="CN95" s="47"/>
      <c r="CO95" s="47"/>
      <c r="CP95" s="47"/>
      <c r="CQ95" s="47"/>
      <c r="CR95" s="47"/>
      <c r="CS95" s="47"/>
      <c r="CT95" s="47"/>
      <c r="CU95" s="47"/>
      <c r="CV95" s="47"/>
      <c r="CW95" s="47"/>
      <c r="CX95" s="47"/>
      <c r="CY95" s="47"/>
      <c r="CZ95" s="47"/>
      <c r="DA95" s="47"/>
      <c r="DB95" s="47"/>
      <c r="DC95" s="48"/>
      <c r="DD95" s="15"/>
      <c r="DE95" s="15"/>
      <c r="DF95" s="15"/>
      <c r="DG95" s="15"/>
      <c r="DH95" s="15"/>
      <c r="DI95" s="15"/>
      <c r="DJ95" s="15"/>
      <c r="DK95" s="15"/>
      <c r="DL95" s="16"/>
      <c r="ED95" s="5"/>
    </row>
    <row r="96" spans="6:134" ht="18" customHeight="1">
      <c r="F96" s="4"/>
      <c r="K96" s="42"/>
      <c r="L96" s="96"/>
      <c r="M96" s="98"/>
      <c r="W96" s="15"/>
      <c r="AL96" s="108"/>
      <c r="AU96" s="13"/>
      <c r="BM96" s="5"/>
      <c r="BW96" s="4"/>
      <c r="ED96" s="5"/>
    </row>
    <row r="97" spans="6:134" ht="18" customHeight="1">
      <c r="F97" s="4"/>
      <c r="K97" s="42"/>
      <c r="L97" s="96"/>
      <c r="M97" s="97"/>
      <c r="N97" s="57"/>
      <c r="O97" s="57"/>
      <c r="P97" s="57"/>
      <c r="Q97" s="57"/>
      <c r="R97" s="57"/>
      <c r="S97" s="57"/>
      <c r="T97" s="57"/>
      <c r="U97" s="57"/>
      <c r="V97" s="57"/>
      <c r="W97" s="58"/>
      <c r="AL97" s="108"/>
      <c r="AU97" s="13"/>
      <c r="BM97" s="5"/>
      <c r="BW97" s="4"/>
      <c r="ED97" s="5"/>
    </row>
    <row r="98" spans="6:134" ht="18" customHeight="1">
      <c r="F98" s="4"/>
      <c r="K98" s="42"/>
      <c r="L98" s="59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1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08"/>
      <c r="AM98" s="12"/>
      <c r="AU98" s="13"/>
      <c r="BM98" s="5"/>
      <c r="BW98" s="4"/>
      <c r="ED98" s="5"/>
    </row>
    <row r="99" spans="6:134" ht="18" customHeight="1">
      <c r="F99" s="4"/>
      <c r="K99" s="46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8"/>
      <c r="AM99" s="15"/>
      <c r="AN99" s="15"/>
      <c r="AO99" s="15"/>
      <c r="AP99" s="15"/>
      <c r="AQ99" s="15"/>
      <c r="AR99" s="15"/>
      <c r="AS99" s="15"/>
      <c r="AT99" s="15"/>
      <c r="AU99" s="16"/>
      <c r="BM99" s="5"/>
      <c r="BW99" s="4"/>
      <c r="ED99" s="5"/>
    </row>
    <row r="100" spans="6:134" ht="18" customHeight="1">
      <c r="F100" s="4"/>
      <c r="BM100" s="5"/>
      <c r="BW100" s="4"/>
      <c r="ED100" s="5"/>
    </row>
    <row r="101" spans="6:134" ht="18" customHeight="1">
      <c r="F101" s="4"/>
      <c r="BM101" s="5"/>
      <c r="BW101" s="4"/>
      <c r="ED101" s="5"/>
    </row>
    <row r="102" spans="6:134" ht="18" customHeight="1">
      <c r="F102" s="4"/>
      <c r="BM102" s="5"/>
      <c r="BW102" s="4"/>
      <c r="ED102" s="5"/>
    </row>
    <row r="103" spans="6:134" ht="18" customHeight="1">
      <c r="F103" s="4"/>
      <c r="BM103" s="5"/>
      <c r="BW103" s="4"/>
      <c r="ED103" s="5"/>
    </row>
    <row r="104" spans="6:134" ht="18" customHeight="1">
      <c r="F104" s="4"/>
      <c r="BM104" s="5"/>
      <c r="BW104" s="4"/>
      <c r="ED104" s="5"/>
    </row>
    <row r="105" spans="6:134" ht="18" customHeight="1">
      <c r="F105" s="4"/>
      <c r="BM105" s="5"/>
      <c r="BW105" s="4"/>
      <c r="ED105" s="5"/>
    </row>
    <row r="106" spans="6:134" ht="18" customHeight="1">
      <c r="F106" s="4"/>
      <c r="BM106" s="5"/>
      <c r="BW106" s="4"/>
      <c r="ED106" s="5"/>
    </row>
    <row r="107" spans="6:134" ht="18" customHeight="1">
      <c r="F107" s="4"/>
      <c r="BM107" s="5"/>
      <c r="BW107" s="4"/>
      <c r="ED107" s="5"/>
    </row>
    <row r="108" spans="6:134" ht="18" customHeight="1">
      <c r="F108" s="4"/>
      <c r="BM108" s="5"/>
      <c r="BW108" s="4"/>
      <c r="ED108" s="5"/>
    </row>
    <row r="109" spans="6:134" ht="18" customHeight="1">
      <c r="F109" s="4"/>
      <c r="BM109" s="5"/>
      <c r="BW109" s="4"/>
      <c r="ED109" s="5"/>
    </row>
    <row r="110" spans="6:134" ht="18" customHeight="1" thickBot="1">
      <c r="F110" s="6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8"/>
      <c r="BW110" s="6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  <c r="DY110" s="7"/>
      <c r="DZ110" s="7"/>
      <c r="EA110" s="7"/>
      <c r="EB110" s="7"/>
      <c r="EC110" s="7"/>
      <c r="ED110" s="8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03557-2EDA-A547-917F-56350CBE76B8}">
  <sheetPr codeName="Sheet3"/>
  <dimension ref="G4:OD675"/>
  <sheetViews>
    <sheetView topLeftCell="H1" zoomScale="31" zoomScaleNormal="31" workbookViewId="0">
      <selection activeCell="HQ602" sqref="HQ602"/>
    </sheetView>
  </sheetViews>
  <sheetFormatPr baseColWidth="10" defaultColWidth="3" defaultRowHeight="18" customHeight="1"/>
  <cols>
    <col min="150" max="150" width="3" customWidth="1"/>
    <col min="198" max="198" width="3" customWidth="1"/>
    <col min="209" max="209" width="3" customWidth="1"/>
    <col min="235" max="235" width="3" customWidth="1"/>
  </cols>
  <sheetData>
    <row r="4" spans="19:205" ht="18" customHeight="1">
      <c r="S4" s="9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1"/>
      <c r="CQ4" s="9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1"/>
      <c r="DN4" s="9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1"/>
      <c r="GK4" s="9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1"/>
    </row>
    <row r="5" spans="19:205" ht="18" customHeight="1">
      <c r="S5" s="12"/>
      <c r="CP5" s="13"/>
      <c r="CQ5" s="9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1"/>
      <c r="DC5" s="13"/>
      <c r="DN5" s="12"/>
      <c r="GJ5" s="13"/>
      <c r="GK5" s="9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1"/>
      <c r="GW5" s="13"/>
    </row>
    <row r="6" spans="19:205" ht="18" customHeight="1">
      <c r="S6" s="12"/>
      <c r="U6" s="9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1"/>
      <c r="AQ6" s="11"/>
      <c r="AR6" s="9"/>
      <c r="AS6" s="10"/>
      <c r="AT6" s="10"/>
      <c r="AU6" s="10"/>
      <c r="AV6" s="10"/>
      <c r="AW6" s="10"/>
      <c r="AX6" s="10"/>
      <c r="AY6" s="10"/>
      <c r="AZ6" s="10"/>
      <c r="BA6" s="11"/>
      <c r="BB6" s="10"/>
      <c r="BC6" s="9"/>
      <c r="BD6" s="10"/>
      <c r="BE6" s="10"/>
      <c r="BF6" s="10"/>
      <c r="BG6" s="10"/>
      <c r="BH6" s="10"/>
      <c r="BI6" s="10"/>
      <c r="BJ6" s="10"/>
      <c r="BK6" s="10"/>
      <c r="BL6" s="11"/>
      <c r="BM6" s="9"/>
      <c r="BN6" s="9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1"/>
      <c r="CP6" s="13"/>
      <c r="CQ6" s="12"/>
      <c r="DB6" s="13"/>
      <c r="DC6" s="13"/>
      <c r="DN6" s="12"/>
      <c r="DP6" s="9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1"/>
      <c r="EL6" s="11"/>
      <c r="EM6" s="9"/>
      <c r="EN6" s="10"/>
      <c r="EO6" s="10"/>
      <c r="EP6" s="10"/>
      <c r="EQ6" s="10"/>
      <c r="ER6" s="10"/>
      <c r="ES6" s="10"/>
      <c r="ET6" s="10"/>
      <c r="EU6" s="10"/>
      <c r="EV6" s="11"/>
      <c r="EW6" s="10"/>
      <c r="EX6" s="9"/>
      <c r="EY6" s="10"/>
      <c r="EZ6" s="10"/>
      <c r="FA6" s="10"/>
      <c r="FB6" s="10"/>
      <c r="FC6" s="10"/>
      <c r="FD6" s="10"/>
      <c r="FE6" s="10"/>
      <c r="FF6" s="10"/>
      <c r="FG6" s="11"/>
      <c r="FH6" s="9"/>
      <c r="FI6" s="9"/>
      <c r="FJ6" s="10"/>
      <c r="FK6" s="10"/>
      <c r="FL6" s="10"/>
      <c r="FM6" s="10"/>
      <c r="FN6" s="10"/>
      <c r="FO6" s="10"/>
      <c r="FP6" s="10"/>
      <c r="FQ6" s="9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1"/>
      <c r="GC6" s="10"/>
      <c r="GD6" s="10"/>
      <c r="GE6" s="10"/>
      <c r="GF6" s="10"/>
      <c r="GG6" s="10"/>
      <c r="GH6" s="11"/>
      <c r="GJ6" s="13"/>
      <c r="GK6" s="12"/>
      <c r="GV6" s="13"/>
      <c r="GW6" s="13"/>
    </row>
    <row r="7" spans="19:205" ht="18" customHeight="1">
      <c r="S7" s="12"/>
      <c r="U7" s="12"/>
      <c r="AP7" s="13"/>
      <c r="AQ7" s="13"/>
      <c r="AR7" s="12"/>
      <c r="BA7" s="13"/>
      <c r="BC7" s="12"/>
      <c r="BL7" s="13"/>
      <c r="BM7" s="12"/>
      <c r="BN7" s="12"/>
      <c r="CN7" s="13"/>
      <c r="CP7" s="13"/>
      <c r="CQ7" s="12"/>
      <c r="DB7" s="13"/>
      <c r="DC7" s="13"/>
      <c r="DN7" s="12"/>
      <c r="DP7" s="12"/>
      <c r="EK7" s="13"/>
      <c r="EL7" s="13"/>
      <c r="EM7" s="12"/>
      <c r="EV7" s="13"/>
      <c r="EX7" s="12"/>
      <c r="FG7" s="13"/>
      <c r="FH7" s="12"/>
      <c r="FI7" s="12"/>
      <c r="FQ7" s="12"/>
      <c r="GB7" s="13"/>
      <c r="GH7" s="13"/>
      <c r="GJ7" s="13"/>
      <c r="GK7" s="12"/>
      <c r="GV7" s="13"/>
      <c r="GW7" s="13"/>
    </row>
    <row r="8" spans="19:205" ht="18" customHeight="1">
      <c r="S8" s="12"/>
      <c r="U8" s="12"/>
      <c r="AP8" s="13"/>
      <c r="AQ8" s="13"/>
      <c r="AR8" s="12"/>
      <c r="BA8" s="13"/>
      <c r="BC8" s="12"/>
      <c r="BL8" s="13"/>
      <c r="BM8" s="12"/>
      <c r="BN8" s="12"/>
      <c r="CN8" s="13"/>
      <c r="CP8" s="13"/>
      <c r="CQ8" s="12"/>
      <c r="DB8" s="13"/>
      <c r="DC8" s="13"/>
      <c r="DN8" s="12"/>
      <c r="DP8" s="12"/>
      <c r="EK8" s="13"/>
      <c r="EL8" s="13"/>
      <c r="EM8" s="12"/>
      <c r="EV8" s="13"/>
      <c r="EX8" s="12"/>
      <c r="FG8" s="13"/>
      <c r="FH8" s="12"/>
      <c r="FI8" s="12"/>
      <c r="FQ8" s="12"/>
      <c r="GB8" s="13"/>
      <c r="GH8" s="13"/>
      <c r="GJ8" s="13"/>
      <c r="GK8" s="12"/>
      <c r="GV8" s="13"/>
      <c r="GW8" s="13"/>
    </row>
    <row r="9" spans="19:205" ht="18" customHeight="1">
      <c r="S9" s="12"/>
      <c r="U9" s="12"/>
      <c r="AP9" s="13"/>
      <c r="AQ9" s="13"/>
      <c r="AR9" s="12"/>
      <c r="BA9" s="13"/>
      <c r="BC9" s="12"/>
      <c r="BL9" s="13"/>
      <c r="BM9" s="12"/>
      <c r="BN9" s="12"/>
      <c r="CN9" s="13"/>
      <c r="CP9" s="13"/>
      <c r="CQ9" s="12"/>
      <c r="DB9" s="13"/>
      <c r="DC9" s="13"/>
      <c r="DN9" s="12"/>
      <c r="DP9" s="12"/>
      <c r="EK9" s="13"/>
      <c r="EL9" s="13"/>
      <c r="EM9" s="12"/>
      <c r="EV9" s="13"/>
      <c r="EX9" s="12"/>
      <c r="FG9" s="13"/>
      <c r="FH9" s="12"/>
      <c r="FI9" s="12"/>
      <c r="FQ9" s="12"/>
      <c r="GB9" s="13"/>
      <c r="GH9" s="13"/>
      <c r="GJ9" s="13"/>
      <c r="GK9" s="12"/>
      <c r="GV9" s="13"/>
      <c r="GW9" s="13"/>
    </row>
    <row r="10" spans="19:205" ht="18" customHeight="1">
      <c r="S10" s="12"/>
      <c r="U10" s="12"/>
      <c r="AP10" s="13"/>
      <c r="AQ10" s="13"/>
      <c r="AR10" s="12"/>
      <c r="BA10" s="13"/>
      <c r="BC10" s="12"/>
      <c r="BL10" s="13"/>
      <c r="BM10" s="12"/>
      <c r="BN10" s="12"/>
      <c r="CN10" s="13"/>
      <c r="CP10" s="13"/>
      <c r="CQ10" s="12"/>
      <c r="DB10" s="13"/>
      <c r="DC10" s="13"/>
      <c r="DN10" s="12"/>
      <c r="DP10" s="12"/>
      <c r="EK10" s="13"/>
      <c r="EL10" s="13"/>
      <c r="EM10" s="12"/>
      <c r="EV10" s="13"/>
      <c r="EX10" s="12"/>
      <c r="FG10" s="13"/>
      <c r="FH10" s="12"/>
      <c r="FI10" s="12"/>
      <c r="FQ10" s="12"/>
      <c r="GB10" s="13"/>
      <c r="GH10" s="13"/>
      <c r="GJ10" s="13"/>
      <c r="GK10" s="12"/>
      <c r="GV10" s="13"/>
      <c r="GW10" s="13"/>
    </row>
    <row r="11" spans="19:205" ht="18" customHeight="1">
      <c r="S11" s="12"/>
      <c r="U11" s="12"/>
      <c r="AP11" s="13"/>
      <c r="AQ11" s="13"/>
      <c r="AR11" s="12"/>
      <c r="BA11" s="13"/>
      <c r="BC11" s="12"/>
      <c r="BL11" s="13"/>
      <c r="BM11" s="12"/>
      <c r="BN11" s="12"/>
      <c r="CN11" s="13"/>
      <c r="CP11" s="13"/>
      <c r="CQ11" s="12"/>
      <c r="DB11" s="13"/>
      <c r="DC11" s="13"/>
      <c r="DN11" s="12"/>
      <c r="DP11" s="12"/>
      <c r="EK11" s="13"/>
      <c r="EL11" s="13"/>
      <c r="EM11" s="12"/>
      <c r="EV11" s="13"/>
      <c r="EX11" s="12"/>
      <c r="FG11" s="13"/>
      <c r="FH11" s="12"/>
      <c r="FI11" s="12"/>
      <c r="FQ11" s="12"/>
      <c r="GB11" s="13"/>
      <c r="GH11" s="13"/>
      <c r="GJ11" s="13"/>
      <c r="GK11" s="12"/>
      <c r="GV11" s="13"/>
      <c r="GW11" s="13"/>
    </row>
    <row r="12" spans="19:205" ht="18" customHeight="1">
      <c r="S12" s="12"/>
      <c r="U12" s="12"/>
      <c r="AP12" s="13"/>
      <c r="AQ12" s="13"/>
      <c r="AR12" s="12"/>
      <c r="BA12" s="13"/>
      <c r="BC12" s="12"/>
      <c r="BL12" s="13"/>
      <c r="BM12" s="12"/>
      <c r="BN12" s="12"/>
      <c r="CN12" s="13"/>
      <c r="CP12" s="13"/>
      <c r="CQ12" s="12"/>
      <c r="DB12" s="13"/>
      <c r="DC12" s="13"/>
      <c r="DN12" s="12"/>
      <c r="DP12" s="12"/>
      <c r="EK12" s="13"/>
      <c r="EL12" s="13"/>
      <c r="EM12" s="12"/>
      <c r="EV12" s="13"/>
      <c r="EX12" s="12"/>
      <c r="FG12" s="13"/>
      <c r="FH12" s="12"/>
      <c r="FI12" s="12"/>
      <c r="FQ12" s="12"/>
      <c r="GB12" s="13"/>
      <c r="GH12" s="13"/>
      <c r="GJ12" s="13"/>
      <c r="GK12" s="12"/>
      <c r="GV12" s="13"/>
      <c r="GW12" s="13"/>
    </row>
    <row r="13" spans="19:205" ht="18" customHeight="1">
      <c r="S13" s="12"/>
      <c r="U13" s="12"/>
      <c r="AP13" s="13"/>
      <c r="AQ13" s="13"/>
      <c r="AR13" s="12"/>
      <c r="BA13" s="13"/>
      <c r="BC13" s="12"/>
      <c r="BL13" s="13"/>
      <c r="BM13" s="12"/>
      <c r="BN13" s="12"/>
      <c r="CN13" s="13"/>
      <c r="CP13" s="13"/>
      <c r="CQ13" s="12"/>
      <c r="DB13" s="13"/>
      <c r="DC13" s="13"/>
      <c r="DN13" s="12"/>
      <c r="DP13" s="12"/>
      <c r="EK13" s="13"/>
      <c r="EL13" s="13"/>
      <c r="EM13" s="14"/>
      <c r="EN13" s="15"/>
      <c r="EO13" s="15"/>
      <c r="EP13" s="15"/>
      <c r="EQ13" s="15"/>
      <c r="ER13" s="15"/>
      <c r="ES13" s="15"/>
      <c r="ET13" s="15"/>
      <c r="EU13" s="15"/>
      <c r="EV13" s="16"/>
      <c r="EX13" s="14"/>
      <c r="EY13" s="15"/>
      <c r="EZ13" s="15"/>
      <c r="FA13" s="15"/>
      <c r="FB13" s="15"/>
      <c r="FC13" s="15"/>
      <c r="FD13" s="15"/>
      <c r="FE13" s="15"/>
      <c r="FF13" s="15"/>
      <c r="FG13" s="16"/>
      <c r="FH13" s="12"/>
      <c r="FI13" s="12"/>
      <c r="FQ13" s="12"/>
      <c r="GB13" s="13"/>
      <c r="GH13" s="13"/>
      <c r="GJ13" s="13"/>
      <c r="GK13" s="12"/>
      <c r="GV13" s="13"/>
      <c r="GW13" s="13"/>
    </row>
    <row r="14" spans="19:205" ht="18" customHeight="1">
      <c r="S14" s="12"/>
      <c r="U14" s="12"/>
      <c r="AP14" s="13"/>
      <c r="AQ14" s="13"/>
      <c r="AR14" s="12"/>
      <c r="BA14" s="13"/>
      <c r="BC14" s="12"/>
      <c r="BL14" s="13"/>
      <c r="BM14" s="12"/>
      <c r="BN14" s="12"/>
      <c r="CN14" s="13"/>
      <c r="CP14" s="13"/>
      <c r="CQ14" s="12"/>
      <c r="DB14" s="13"/>
      <c r="DC14" s="13"/>
      <c r="DN14" s="12"/>
      <c r="DP14" s="12"/>
      <c r="EK14" s="13"/>
      <c r="EL14" s="13"/>
      <c r="EM14" s="12"/>
      <c r="EV14" s="13"/>
      <c r="EX14" s="12"/>
      <c r="FG14" s="13"/>
      <c r="FH14" s="12"/>
      <c r="FI14" s="12"/>
      <c r="FQ14" s="12"/>
      <c r="GB14" s="13"/>
      <c r="GH14" s="13"/>
      <c r="GJ14" s="13"/>
      <c r="GK14" s="12"/>
      <c r="GV14" s="13"/>
      <c r="GW14" s="13"/>
    </row>
    <row r="15" spans="19:205" ht="18" customHeight="1">
      <c r="S15" s="12"/>
      <c r="U15" s="12"/>
      <c r="AP15" s="13"/>
      <c r="AQ15" s="13"/>
      <c r="AR15" s="12"/>
      <c r="BA15" s="13"/>
      <c r="BC15" s="12"/>
      <c r="BL15" s="13"/>
      <c r="BM15" s="12"/>
      <c r="BN15" s="12"/>
      <c r="CN15" s="13"/>
      <c r="CP15" s="13"/>
      <c r="CQ15" s="12"/>
      <c r="DB15" s="13"/>
      <c r="DC15" s="13"/>
      <c r="DN15" s="12"/>
      <c r="DP15" s="12"/>
      <c r="EK15" s="13"/>
      <c r="EL15" s="13"/>
      <c r="EM15" s="12"/>
      <c r="EV15" s="13"/>
      <c r="EX15" s="12"/>
      <c r="FG15" s="13"/>
      <c r="FH15" s="12"/>
      <c r="FI15" s="12"/>
      <c r="FQ15" s="12"/>
      <c r="GB15" s="13"/>
      <c r="GH15" s="13"/>
      <c r="GJ15" s="13"/>
      <c r="GK15" s="12"/>
      <c r="GV15" s="13"/>
      <c r="GW15" s="13"/>
    </row>
    <row r="16" spans="19:205" ht="18" customHeight="1">
      <c r="S16" s="12"/>
      <c r="U16" s="12"/>
      <c r="AP16" s="13"/>
      <c r="AQ16" s="13"/>
      <c r="AR16" s="12"/>
      <c r="BA16" s="13"/>
      <c r="BC16" s="12"/>
      <c r="BL16" s="13"/>
      <c r="BM16" s="12"/>
      <c r="BN16" s="12"/>
      <c r="CN16" s="13"/>
      <c r="CP16" s="13"/>
      <c r="CQ16" s="12"/>
      <c r="DB16" s="13"/>
      <c r="DC16" s="13"/>
      <c r="DN16" s="12"/>
      <c r="DP16" s="12"/>
      <c r="EK16" s="13"/>
      <c r="EL16" s="13"/>
      <c r="EM16" s="12"/>
      <c r="EV16" s="13"/>
      <c r="EX16" s="12"/>
      <c r="FG16" s="13"/>
      <c r="FH16" s="12"/>
      <c r="FI16" s="12"/>
      <c r="FQ16" s="12"/>
      <c r="GB16" s="13"/>
      <c r="GH16" s="13"/>
      <c r="GJ16" s="13"/>
      <c r="GK16" s="12"/>
      <c r="GV16" s="13"/>
      <c r="GW16" s="13"/>
    </row>
    <row r="17" spans="19:205" ht="18" customHeight="1">
      <c r="S17" s="12"/>
      <c r="U17" s="12"/>
      <c r="AP17" s="13"/>
      <c r="AQ17" s="13"/>
      <c r="AR17" s="12"/>
      <c r="BA17" s="13"/>
      <c r="BC17" s="12"/>
      <c r="BL17" s="13"/>
      <c r="BM17" s="12"/>
      <c r="BN17" s="12"/>
      <c r="CN17" s="13"/>
      <c r="CP17" s="13"/>
      <c r="CQ17" s="12"/>
      <c r="DB17" s="13"/>
      <c r="DC17" s="13"/>
      <c r="DN17" s="12"/>
      <c r="DP17" s="12"/>
      <c r="EK17" s="13"/>
      <c r="EL17" s="13"/>
      <c r="EM17" s="12"/>
      <c r="EV17" s="13"/>
      <c r="EX17" s="12"/>
      <c r="FG17" s="13"/>
      <c r="FH17" s="12"/>
      <c r="FI17" s="12"/>
      <c r="FQ17" s="14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6"/>
      <c r="GH17" s="13"/>
      <c r="GJ17" s="13"/>
      <c r="GK17" s="12"/>
      <c r="GV17" s="13"/>
      <c r="GW17" s="13"/>
    </row>
    <row r="18" spans="19:205" ht="18" customHeight="1">
      <c r="S18" s="12"/>
      <c r="U18" s="12"/>
      <c r="AP18" s="13"/>
      <c r="AQ18" s="13"/>
      <c r="AR18" s="12"/>
      <c r="BA18" s="13"/>
      <c r="BC18" s="12"/>
      <c r="BL18" s="13"/>
      <c r="BM18" s="23"/>
      <c r="BN18" s="12"/>
      <c r="CN18" s="13"/>
      <c r="CP18" s="13"/>
      <c r="CQ18" s="12"/>
      <c r="DB18" s="13"/>
      <c r="DC18" s="13"/>
      <c r="DN18" s="12"/>
      <c r="DP18" s="12"/>
      <c r="EK18" s="13"/>
      <c r="EL18" s="13"/>
      <c r="EM18" s="12"/>
      <c r="EV18" s="13"/>
      <c r="EX18" s="12"/>
      <c r="FG18" s="13"/>
      <c r="FH18" s="23"/>
      <c r="FI18" s="12"/>
      <c r="GH18" s="13"/>
      <c r="GJ18" s="13"/>
      <c r="GK18" s="12"/>
      <c r="GV18" s="13"/>
      <c r="GW18" s="13"/>
    </row>
    <row r="19" spans="19:205" ht="18" customHeight="1">
      <c r="S19" s="12"/>
      <c r="U19" s="12"/>
      <c r="AP19" s="13"/>
      <c r="AQ19" s="13"/>
      <c r="AR19" s="12"/>
      <c r="BA19" s="13"/>
      <c r="BC19" s="12"/>
      <c r="BL19" s="13"/>
      <c r="BM19" s="24"/>
      <c r="BN19" s="12"/>
      <c r="CN19" s="13"/>
      <c r="CP19" s="13"/>
      <c r="CQ19" s="12"/>
      <c r="DB19" s="13"/>
      <c r="DC19" s="13"/>
      <c r="DN19" s="12"/>
      <c r="DP19" s="12"/>
      <c r="EK19" s="13"/>
      <c r="EL19" s="13"/>
      <c r="EM19" s="12"/>
      <c r="EV19" s="13"/>
      <c r="EX19" s="12"/>
      <c r="FG19" s="13"/>
      <c r="FH19" s="24"/>
      <c r="FI19" s="12"/>
      <c r="GH19" s="13"/>
      <c r="GJ19" s="13"/>
      <c r="GK19" s="12"/>
      <c r="GV19" s="13"/>
      <c r="GW19" s="13"/>
    </row>
    <row r="20" spans="19:205" ht="18" customHeight="1">
      <c r="S20" s="12"/>
      <c r="U20" s="12"/>
      <c r="AP20" s="13"/>
      <c r="AQ20" s="13"/>
      <c r="AR20" s="12"/>
      <c r="BA20" s="13"/>
      <c r="BC20" s="12"/>
      <c r="BL20" s="13"/>
      <c r="BM20" s="24"/>
      <c r="BN20" s="12"/>
      <c r="CN20" s="13"/>
      <c r="CP20" s="13"/>
      <c r="CQ20" s="12"/>
      <c r="DB20" s="13"/>
      <c r="DC20" s="13"/>
      <c r="DN20" s="12"/>
      <c r="DP20" s="12"/>
      <c r="EK20" s="13"/>
      <c r="EL20" s="13"/>
      <c r="EM20" s="12"/>
      <c r="EV20" s="13"/>
      <c r="EX20" s="12"/>
      <c r="FG20" s="13"/>
      <c r="FH20" s="24"/>
      <c r="FI20" s="12"/>
      <c r="GH20" s="13"/>
      <c r="GJ20" s="13"/>
      <c r="GK20" s="12"/>
      <c r="GV20" s="13"/>
      <c r="GW20" s="13"/>
    </row>
    <row r="21" spans="19:205" ht="18" customHeight="1">
      <c r="S21" s="12"/>
      <c r="U21" s="12"/>
      <c r="AP21" s="13"/>
      <c r="AQ21" s="13"/>
      <c r="AR21" s="12"/>
      <c r="BA21" s="13"/>
      <c r="BC21" s="12"/>
      <c r="BL21" s="13"/>
      <c r="BM21" s="24"/>
      <c r="BN21" s="12"/>
      <c r="CN21" s="13"/>
      <c r="CP21" s="13"/>
      <c r="CQ21" s="12"/>
      <c r="DB21" s="13"/>
      <c r="DC21" s="13"/>
      <c r="DN21" s="12"/>
      <c r="DP21" s="12"/>
      <c r="EK21" s="13"/>
      <c r="EL21" s="13"/>
      <c r="EM21" s="12"/>
      <c r="EV21" s="13"/>
      <c r="EX21" s="12"/>
      <c r="FG21" s="13"/>
      <c r="FH21" s="24"/>
      <c r="FI21" s="12"/>
      <c r="GH21" s="13"/>
      <c r="GJ21" s="13"/>
      <c r="GK21" s="12"/>
      <c r="GV21" s="13"/>
      <c r="GW21" s="13"/>
    </row>
    <row r="22" spans="19:205" ht="18" customHeight="1">
      <c r="S22" s="12"/>
      <c r="U22" s="12"/>
      <c r="AP22" s="13"/>
      <c r="AQ22" s="13"/>
      <c r="AR22" s="12"/>
      <c r="BA22" s="13"/>
      <c r="BC22" s="12"/>
      <c r="BL22" s="13"/>
      <c r="BM22" s="25"/>
      <c r="BN22" s="12"/>
      <c r="CN22" s="13"/>
      <c r="CP22" s="13"/>
      <c r="CQ22" s="12"/>
      <c r="DB22" s="13"/>
      <c r="DC22" s="13"/>
      <c r="DN22" s="12"/>
      <c r="DP22" s="12"/>
      <c r="EK22" s="13"/>
      <c r="EL22" s="13"/>
      <c r="EM22" s="12"/>
      <c r="EV22" s="13"/>
      <c r="EX22" s="12"/>
      <c r="FG22" s="13"/>
      <c r="FH22" s="25"/>
      <c r="FI22" s="12"/>
      <c r="GH22" s="13"/>
      <c r="GJ22" s="13"/>
      <c r="GK22" s="12"/>
      <c r="GV22" s="13"/>
      <c r="GW22" s="13"/>
    </row>
    <row r="23" spans="19:205" ht="18" customHeight="1">
      <c r="S23" s="12"/>
      <c r="U23" s="12"/>
      <c r="AP23" s="13"/>
      <c r="AQ23" s="13"/>
      <c r="AR23" s="14"/>
      <c r="AS23" s="15"/>
      <c r="AT23" s="15"/>
      <c r="AU23" s="15"/>
      <c r="AV23" s="15"/>
      <c r="AW23" s="15"/>
      <c r="AX23" s="15"/>
      <c r="AY23" s="15"/>
      <c r="AZ23" s="15"/>
      <c r="BA23" s="16"/>
      <c r="BC23" s="14"/>
      <c r="BD23" s="15"/>
      <c r="BE23" s="15"/>
      <c r="BF23" s="15"/>
      <c r="BG23" s="15"/>
      <c r="BH23" s="15"/>
      <c r="BI23" s="15"/>
      <c r="BJ23" s="15"/>
      <c r="BK23" s="15"/>
      <c r="BL23" s="16"/>
      <c r="BM23" s="12"/>
      <c r="BN23" s="12"/>
      <c r="CN23" s="13"/>
      <c r="CP23" s="13"/>
      <c r="CQ23" s="12"/>
      <c r="DB23" s="13"/>
      <c r="DC23" s="13"/>
      <c r="DN23" s="12"/>
      <c r="DP23" s="12"/>
      <c r="EK23" s="13"/>
      <c r="EL23" s="13"/>
      <c r="EM23" s="14"/>
      <c r="EN23" s="15"/>
      <c r="EO23" s="15"/>
      <c r="EP23" s="15"/>
      <c r="EQ23" s="15"/>
      <c r="ER23" s="15"/>
      <c r="ES23" s="15"/>
      <c r="ET23" s="15"/>
      <c r="EU23" s="15"/>
      <c r="EV23" s="16"/>
      <c r="EX23" s="14"/>
      <c r="EY23" s="15"/>
      <c r="EZ23" s="15"/>
      <c r="FA23" s="15"/>
      <c r="FB23" s="15"/>
      <c r="FC23" s="15"/>
      <c r="FD23" s="15"/>
      <c r="FE23" s="15"/>
      <c r="FF23" s="15"/>
      <c r="FG23" s="16"/>
      <c r="FH23" s="12"/>
      <c r="FI23" s="12"/>
      <c r="GH23" s="13"/>
      <c r="GJ23" s="13"/>
      <c r="GK23" s="12"/>
      <c r="GV23" s="13"/>
      <c r="GW23" s="13"/>
    </row>
    <row r="24" spans="19:205" ht="18" customHeight="1">
      <c r="S24" s="12"/>
      <c r="U24" s="12"/>
      <c r="AP24" s="13"/>
      <c r="AQ24" s="12"/>
      <c r="AR24" s="15"/>
      <c r="AS24" s="15"/>
      <c r="AT24" s="15"/>
      <c r="AU24" s="15"/>
      <c r="AV24" s="26"/>
      <c r="AW24" s="27"/>
      <c r="AX24" s="27"/>
      <c r="AY24" s="27"/>
      <c r="AZ24" s="28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21"/>
      <c r="BN24" s="12"/>
      <c r="CN24" s="13"/>
      <c r="CP24" s="13"/>
      <c r="CQ24" s="12"/>
      <c r="DB24" s="13"/>
      <c r="DC24" s="13"/>
      <c r="DN24" s="12"/>
      <c r="DP24" s="12"/>
      <c r="EK24" s="13"/>
      <c r="EL24" s="12"/>
      <c r="EM24" s="15"/>
      <c r="EN24" s="15"/>
      <c r="EO24" s="15"/>
      <c r="EP24" s="15"/>
      <c r="EQ24" s="26"/>
      <c r="ER24" s="27"/>
      <c r="ES24" s="27"/>
      <c r="ET24" s="27"/>
      <c r="EU24" s="28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21"/>
      <c r="FI24" s="12"/>
      <c r="GH24" s="13"/>
      <c r="GJ24" s="13"/>
      <c r="GK24" s="12"/>
      <c r="GV24" s="13"/>
      <c r="GW24" s="13"/>
    </row>
    <row r="25" spans="19:205" ht="18" customHeight="1">
      <c r="S25" s="12"/>
      <c r="U25" s="12"/>
      <c r="AP25" s="13"/>
      <c r="AQ25" s="13"/>
      <c r="BM25" s="12"/>
      <c r="BN25" s="12"/>
      <c r="CN25" s="13"/>
      <c r="CP25" s="13"/>
      <c r="CQ25" s="12"/>
      <c r="DB25" s="13"/>
      <c r="DC25" s="13"/>
      <c r="DN25" s="12"/>
      <c r="DP25" s="12"/>
      <c r="EK25" s="13"/>
      <c r="EL25" s="13"/>
      <c r="FH25" s="12"/>
      <c r="FI25" s="12"/>
      <c r="GH25" s="13"/>
      <c r="GJ25" s="13"/>
      <c r="GK25" s="12"/>
      <c r="GV25" s="13"/>
      <c r="GW25" s="13"/>
    </row>
    <row r="26" spans="19:205" ht="18" customHeight="1">
      <c r="S26" s="12"/>
      <c r="U26" s="12"/>
      <c r="AP26" s="13"/>
      <c r="AQ26" s="23"/>
      <c r="BM26" s="23"/>
      <c r="BN26" s="12"/>
      <c r="CN26" s="13"/>
      <c r="CP26" s="13"/>
      <c r="CQ26" s="12"/>
      <c r="DB26" s="13"/>
      <c r="DC26" s="13"/>
      <c r="DN26" s="12"/>
      <c r="DP26" s="12"/>
      <c r="EK26" s="13"/>
      <c r="EL26" s="23"/>
      <c r="FH26" s="23"/>
      <c r="FI26" s="12"/>
      <c r="GH26" s="13"/>
      <c r="GJ26" s="13"/>
      <c r="GK26" s="12"/>
      <c r="GV26" s="13"/>
      <c r="GW26" s="13"/>
    </row>
    <row r="27" spans="19:205" ht="18" customHeight="1">
      <c r="S27" s="12"/>
      <c r="U27" s="12"/>
      <c r="AP27" s="13"/>
      <c r="AQ27" s="24"/>
      <c r="BM27" s="24"/>
      <c r="BN27" s="12"/>
      <c r="CN27" s="13"/>
      <c r="CP27" s="13"/>
      <c r="CQ27" s="12"/>
      <c r="DB27" s="13"/>
      <c r="DC27" s="13"/>
      <c r="DN27" s="12"/>
      <c r="DP27" s="12"/>
      <c r="EK27" s="13"/>
      <c r="EL27" s="24"/>
      <c r="FH27" s="24"/>
      <c r="FI27" s="12"/>
      <c r="GH27" s="13"/>
      <c r="GJ27" s="13"/>
      <c r="GK27" s="12"/>
      <c r="GV27" s="13"/>
      <c r="GW27" s="13"/>
    </row>
    <row r="28" spans="19:205" ht="18" customHeight="1">
      <c r="S28" s="12"/>
      <c r="U28" s="12"/>
      <c r="AP28" s="13"/>
      <c r="AQ28" s="24"/>
      <c r="BM28" s="24"/>
      <c r="BN28" s="12"/>
      <c r="CN28" s="13"/>
      <c r="CP28" s="13"/>
      <c r="CQ28" s="12"/>
      <c r="DB28" s="13"/>
      <c r="DC28" s="13"/>
      <c r="DN28" s="12"/>
      <c r="DP28" s="9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1"/>
      <c r="EK28" s="13"/>
      <c r="EL28" s="24"/>
      <c r="FH28" s="24"/>
      <c r="FI28" s="12"/>
      <c r="FW28" s="9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1"/>
      <c r="GJ28" s="13"/>
      <c r="GK28" s="12"/>
      <c r="GV28" s="13"/>
      <c r="GW28" s="13"/>
    </row>
    <row r="29" spans="19:205" ht="18" customHeight="1">
      <c r="S29" s="12"/>
      <c r="U29" s="12"/>
      <c r="AP29" s="13"/>
      <c r="AQ29" s="24"/>
      <c r="BM29" s="24"/>
      <c r="BN29" s="12"/>
      <c r="CN29" s="13"/>
      <c r="CP29" s="13"/>
      <c r="CQ29" s="12"/>
      <c r="DB29" s="13"/>
      <c r="DC29" s="13"/>
      <c r="DN29" s="12"/>
      <c r="DP29" s="12"/>
      <c r="EA29" s="13"/>
      <c r="EK29" s="13"/>
      <c r="EL29" s="24"/>
      <c r="FH29" s="24"/>
      <c r="FI29" s="12"/>
      <c r="FW29" s="12"/>
      <c r="GH29" s="13"/>
      <c r="GJ29" s="13"/>
      <c r="GK29" s="12"/>
      <c r="GV29" s="13"/>
      <c r="GW29" s="13"/>
    </row>
    <row r="30" spans="19:205" ht="18" customHeight="1">
      <c r="S30" s="12"/>
      <c r="U30" s="12"/>
      <c r="AP30" s="13"/>
      <c r="AQ30" s="25"/>
      <c r="BM30" s="25"/>
      <c r="BN30" s="12"/>
      <c r="CN30" s="13"/>
      <c r="CP30" s="13"/>
      <c r="CQ30" s="12"/>
      <c r="DB30" s="13"/>
      <c r="DC30" s="13"/>
      <c r="DN30" s="12"/>
      <c r="DP30" s="12"/>
      <c r="EA30" s="13"/>
      <c r="EK30" s="13"/>
      <c r="EL30" s="25"/>
      <c r="FH30" s="25"/>
      <c r="FI30" s="12"/>
      <c r="FW30" s="12"/>
      <c r="GH30" s="13"/>
      <c r="GJ30" s="13"/>
      <c r="GK30" s="12"/>
      <c r="GV30" s="13"/>
      <c r="GW30" s="13"/>
    </row>
    <row r="31" spans="19:205" ht="18" customHeight="1">
      <c r="S31" s="12"/>
      <c r="U31" s="14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6"/>
      <c r="AQ31" s="13"/>
      <c r="BM31" s="12"/>
      <c r="BN31" s="14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6"/>
      <c r="CP31" s="13"/>
      <c r="CQ31" s="12"/>
      <c r="DB31" s="13"/>
      <c r="DC31" s="13"/>
      <c r="DN31" s="12"/>
      <c r="DP31" s="14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6"/>
      <c r="EB31" s="15"/>
      <c r="EC31" s="15"/>
      <c r="ED31" s="15"/>
      <c r="EE31" s="15"/>
      <c r="EF31" s="15"/>
      <c r="EG31" s="15"/>
      <c r="EH31" s="15"/>
      <c r="EI31" s="15"/>
      <c r="EJ31" s="15"/>
      <c r="EK31" s="16"/>
      <c r="EL31" s="13"/>
      <c r="FH31" s="12"/>
      <c r="FI31" s="14"/>
      <c r="FJ31" s="15"/>
      <c r="FK31" s="15"/>
      <c r="FL31" s="15"/>
      <c r="FM31" s="15"/>
      <c r="FN31" s="15"/>
      <c r="FO31" s="15"/>
      <c r="FP31" s="15"/>
      <c r="FQ31" s="15"/>
      <c r="FR31" s="15"/>
      <c r="FS31" s="15"/>
      <c r="FT31" s="15"/>
      <c r="FU31" s="15"/>
      <c r="FV31" s="15"/>
      <c r="FW31" s="14"/>
      <c r="FX31" s="15"/>
      <c r="FY31" s="15"/>
      <c r="FZ31" s="15"/>
      <c r="GA31" s="15"/>
      <c r="GB31" s="15"/>
      <c r="GC31" s="15"/>
      <c r="GD31" s="15"/>
      <c r="GE31" s="15"/>
      <c r="GF31" s="15"/>
      <c r="GG31" s="15"/>
      <c r="GH31" s="16"/>
      <c r="GJ31" s="13"/>
      <c r="GK31" s="12"/>
      <c r="GV31" s="13"/>
      <c r="GW31" s="13"/>
    </row>
    <row r="32" spans="19:205" ht="18" customHeight="1">
      <c r="S32" s="12"/>
      <c r="U32" s="12"/>
      <c r="AQ32" s="13"/>
      <c r="BM32" s="14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5"/>
      <c r="CM32" s="15"/>
      <c r="CN32" s="16"/>
      <c r="CP32" s="13"/>
      <c r="CQ32" s="12"/>
      <c r="DB32" s="13"/>
      <c r="DC32" s="13"/>
      <c r="DN32" s="12"/>
      <c r="DP32" s="12"/>
      <c r="EL32" s="13"/>
      <c r="FH32" s="14"/>
      <c r="FI32" s="15"/>
      <c r="FJ32" s="15"/>
      <c r="FK32" s="15"/>
      <c r="FL32" s="15"/>
      <c r="FM32" s="15"/>
      <c r="FN32" s="15"/>
      <c r="FO32" s="15"/>
      <c r="FP32" s="15"/>
      <c r="FQ32" s="15"/>
      <c r="FR32" s="15"/>
      <c r="FS32" s="15"/>
      <c r="FT32" s="15"/>
      <c r="FU32" s="15"/>
      <c r="FV32" s="15"/>
      <c r="FW32" s="15"/>
      <c r="FX32" s="15"/>
      <c r="FY32" s="15"/>
      <c r="FZ32" s="15"/>
      <c r="GA32" s="15"/>
      <c r="GB32" s="15"/>
      <c r="GC32" s="15"/>
      <c r="GD32" s="15"/>
      <c r="GE32" s="15"/>
      <c r="GF32" s="15"/>
      <c r="GG32" s="15"/>
      <c r="GH32" s="16"/>
      <c r="GJ32" s="13"/>
      <c r="GK32" s="12"/>
      <c r="GV32" s="13"/>
      <c r="GW32" s="13"/>
    </row>
    <row r="33" spans="19:205" ht="18" customHeight="1">
      <c r="S33" s="12"/>
      <c r="U33" s="9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1"/>
      <c r="AQ33" s="13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1"/>
      <c r="CP33" s="13"/>
      <c r="CQ33" s="12"/>
      <c r="DB33" s="13"/>
      <c r="DC33" s="13"/>
      <c r="DN33" s="12"/>
      <c r="DP33" s="9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1"/>
      <c r="EL33" s="13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1"/>
      <c r="GJ33" s="13"/>
      <c r="GK33" s="12"/>
      <c r="GV33" s="13"/>
      <c r="GW33" s="13"/>
    </row>
    <row r="34" spans="19:205" ht="18" customHeight="1">
      <c r="S34" s="12"/>
      <c r="U34" s="12"/>
      <c r="AP34" s="13"/>
      <c r="AQ34" s="23"/>
      <c r="CN34" s="13"/>
      <c r="CP34" s="13"/>
      <c r="CQ34" s="12"/>
      <c r="DB34" s="13"/>
      <c r="DC34" s="13"/>
      <c r="DN34" s="12"/>
      <c r="DP34" s="12"/>
      <c r="EK34" s="13"/>
      <c r="EL34" s="23"/>
      <c r="GH34" s="13"/>
      <c r="GJ34" s="13"/>
      <c r="GK34" s="12"/>
      <c r="GV34" s="13"/>
      <c r="GW34" s="13"/>
    </row>
    <row r="35" spans="19:205" ht="18" customHeight="1">
      <c r="S35" s="12"/>
      <c r="U35" s="12"/>
      <c r="AP35" s="13"/>
      <c r="AQ35" s="24"/>
      <c r="CN35" s="13"/>
      <c r="CP35" s="13"/>
      <c r="CQ35" s="12"/>
      <c r="DB35" s="13"/>
      <c r="DC35" s="13"/>
      <c r="DN35" s="12"/>
      <c r="DP35" s="12"/>
      <c r="EK35" s="13"/>
      <c r="EL35" s="24"/>
      <c r="GH35" s="13"/>
      <c r="GJ35" s="13"/>
      <c r="GK35" s="12"/>
      <c r="GV35" s="13"/>
      <c r="GW35" s="13"/>
    </row>
    <row r="36" spans="19:205" ht="18" customHeight="1">
      <c r="S36" s="12"/>
      <c r="U36" s="12"/>
      <c r="AP36" s="13"/>
      <c r="AQ36" s="24"/>
      <c r="CN36" s="13"/>
      <c r="CP36" s="13"/>
      <c r="CQ36" s="12"/>
      <c r="DB36" s="13"/>
      <c r="DC36" s="13"/>
      <c r="DN36" s="12"/>
      <c r="DP36" s="12"/>
      <c r="EK36" s="13"/>
      <c r="EL36" s="24"/>
      <c r="GH36" s="13"/>
      <c r="GJ36" s="13"/>
      <c r="GK36" s="12"/>
      <c r="GV36" s="13"/>
      <c r="GW36" s="13"/>
    </row>
    <row r="37" spans="19:205" ht="18" customHeight="1">
      <c r="S37" s="12"/>
      <c r="U37" s="12"/>
      <c r="AP37" s="13"/>
      <c r="AQ37" s="24"/>
      <c r="CN37" s="13"/>
      <c r="CP37" s="13"/>
      <c r="CQ37" s="12"/>
      <c r="DB37" s="13"/>
      <c r="DC37" s="13"/>
      <c r="DN37" s="12"/>
      <c r="DP37" s="12"/>
      <c r="EK37" s="13"/>
      <c r="EL37" s="24"/>
      <c r="GH37" s="13"/>
      <c r="GJ37" s="13"/>
      <c r="GK37" s="12"/>
      <c r="GV37" s="13"/>
      <c r="GW37" s="13"/>
    </row>
    <row r="38" spans="19:205" ht="18" customHeight="1">
      <c r="S38" s="12"/>
      <c r="U38" s="12"/>
      <c r="AP38" s="13"/>
      <c r="AQ38" s="25"/>
      <c r="CN38" s="13"/>
      <c r="CP38" s="13"/>
      <c r="CQ38" s="12"/>
      <c r="DB38" s="13"/>
      <c r="DC38" s="13"/>
      <c r="DN38" s="12"/>
      <c r="DP38" s="12"/>
      <c r="EK38" s="13"/>
      <c r="EL38" s="25"/>
      <c r="GH38" s="13"/>
      <c r="GJ38" s="13"/>
      <c r="GK38" s="12"/>
      <c r="GV38" s="13"/>
      <c r="GW38" s="13"/>
    </row>
    <row r="39" spans="19:205" ht="18" customHeight="1">
      <c r="S39" s="12"/>
      <c r="U39" s="12"/>
      <c r="AP39" s="13"/>
      <c r="AQ39" s="13"/>
      <c r="CN39" s="13"/>
      <c r="CP39" s="13"/>
      <c r="CQ39" s="12"/>
      <c r="DB39" s="13"/>
      <c r="DC39" s="13"/>
      <c r="DN39" s="12"/>
      <c r="DP39" s="12"/>
      <c r="EK39" s="13"/>
      <c r="EL39" s="13"/>
      <c r="GH39" s="13"/>
      <c r="GJ39" s="13"/>
      <c r="GK39" s="12"/>
      <c r="GV39" s="13"/>
      <c r="GW39" s="13"/>
    </row>
    <row r="40" spans="19:205" ht="18" customHeight="1">
      <c r="S40" s="12"/>
      <c r="U40" s="12"/>
      <c r="AP40" s="13"/>
      <c r="AQ40" s="13"/>
      <c r="CN40" s="13"/>
      <c r="CP40" s="13"/>
      <c r="CQ40" s="12"/>
      <c r="DB40" s="13"/>
      <c r="DC40" s="13"/>
      <c r="DN40" s="12"/>
      <c r="DP40" s="12"/>
      <c r="EK40" s="13"/>
      <c r="EL40" s="13"/>
      <c r="GH40" s="13"/>
      <c r="GJ40" s="13"/>
      <c r="GK40" s="12"/>
      <c r="GV40" s="13"/>
      <c r="GW40" s="13"/>
    </row>
    <row r="41" spans="19:205" ht="18" customHeight="1">
      <c r="S41" s="12"/>
      <c r="U41" s="12"/>
      <c r="AP41" s="13"/>
      <c r="AQ41" s="13"/>
      <c r="CN41" s="13"/>
      <c r="CP41" s="13"/>
      <c r="CQ41" s="12"/>
      <c r="DB41" s="13"/>
      <c r="DC41" s="13"/>
      <c r="DN41" s="12"/>
      <c r="DP41" s="12"/>
      <c r="EK41" s="13"/>
      <c r="EL41" s="13"/>
      <c r="GH41" s="13"/>
      <c r="GJ41" s="13"/>
      <c r="GK41" s="12"/>
      <c r="GV41" s="13"/>
      <c r="GW41" s="13"/>
    </row>
    <row r="42" spans="19:205" ht="18" customHeight="1">
      <c r="S42" s="12"/>
      <c r="U42" s="12"/>
      <c r="AP42" s="13"/>
      <c r="AQ42" s="13"/>
      <c r="CN42" s="13"/>
      <c r="CP42" s="13"/>
      <c r="CQ42" s="12"/>
      <c r="DB42" s="13"/>
      <c r="DC42" s="13"/>
      <c r="DN42" s="12"/>
      <c r="DP42" s="12"/>
      <c r="EK42" s="13"/>
      <c r="EL42" s="13"/>
      <c r="GH42" s="13"/>
      <c r="GJ42" s="13"/>
      <c r="GK42" s="12"/>
      <c r="GV42" s="13"/>
      <c r="GW42" s="13"/>
    </row>
    <row r="43" spans="19:205" ht="18" customHeight="1">
      <c r="S43" s="12"/>
      <c r="U43" s="12"/>
      <c r="AP43" s="13"/>
      <c r="AQ43" s="13"/>
      <c r="CN43" s="13"/>
      <c r="CP43" s="13"/>
      <c r="CQ43" s="12"/>
      <c r="DB43" s="13"/>
      <c r="DC43" s="13"/>
      <c r="DN43" s="12"/>
      <c r="DP43" s="12"/>
      <c r="EK43" s="13"/>
      <c r="EL43" s="13"/>
      <c r="GH43" s="13"/>
      <c r="GJ43" s="13"/>
      <c r="GK43" s="12"/>
      <c r="GV43" s="13"/>
      <c r="GW43" s="13"/>
    </row>
    <row r="44" spans="19:205" ht="18" customHeight="1">
      <c r="S44" s="12"/>
      <c r="U44" s="12"/>
      <c r="AP44" s="13"/>
      <c r="AQ44" s="13"/>
      <c r="CN44" s="13"/>
      <c r="CP44" s="13"/>
      <c r="CQ44" s="12"/>
      <c r="DB44" s="13"/>
      <c r="DC44" s="13"/>
      <c r="DN44" s="12"/>
      <c r="DP44" s="14"/>
      <c r="DQ44" s="15"/>
      <c r="DR44" s="15"/>
      <c r="DS44" s="15"/>
      <c r="DT44" s="15"/>
      <c r="DU44" s="15"/>
      <c r="DV44" s="15"/>
      <c r="DW44" s="15"/>
      <c r="DX44" s="15"/>
      <c r="DY44" s="15"/>
      <c r="DZ44" s="15"/>
      <c r="EA44" s="15"/>
      <c r="EB44" s="15"/>
      <c r="EC44" s="15"/>
      <c r="ED44" s="15"/>
      <c r="EE44" s="15"/>
      <c r="EF44" s="15"/>
      <c r="EG44" s="15"/>
      <c r="EH44" s="15"/>
      <c r="EI44" s="15"/>
      <c r="EJ44" s="15"/>
      <c r="EK44" s="16"/>
      <c r="EL44" s="13"/>
      <c r="GH44" s="13"/>
      <c r="GJ44" s="13"/>
      <c r="GK44" s="12"/>
      <c r="GV44" s="13"/>
      <c r="GW44" s="13"/>
    </row>
    <row r="45" spans="19:205" ht="18" customHeight="1">
      <c r="S45" s="12"/>
      <c r="U45" s="12"/>
      <c r="AP45" s="13"/>
      <c r="AQ45" s="13"/>
      <c r="CN45" s="13"/>
      <c r="CP45" s="13"/>
      <c r="CQ45" s="12"/>
      <c r="DB45" s="13"/>
      <c r="DC45" s="13"/>
      <c r="DN45" s="12"/>
      <c r="DR45" s="15"/>
      <c r="DS45" s="15"/>
      <c r="EB45" s="15"/>
      <c r="EC45" s="15"/>
      <c r="ED45" s="15"/>
      <c r="EE45" s="15"/>
      <c r="EF45" s="15"/>
      <c r="EG45" s="15"/>
      <c r="EH45" s="15"/>
      <c r="EI45" s="15"/>
      <c r="EJ45" s="15"/>
      <c r="EK45" s="15"/>
      <c r="EL45" s="16"/>
      <c r="GH45" s="13"/>
      <c r="GJ45" s="13"/>
      <c r="GK45" s="12"/>
      <c r="GV45" s="13"/>
      <c r="GW45" s="13"/>
    </row>
    <row r="46" spans="19:205" ht="18" customHeight="1">
      <c r="S46" s="12"/>
      <c r="U46" s="14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6"/>
      <c r="AQ46" s="13"/>
      <c r="CN46" s="13"/>
      <c r="CP46" s="13"/>
      <c r="CQ46" s="12"/>
      <c r="DB46" s="13"/>
      <c r="DC46" s="13"/>
      <c r="DN46" s="12"/>
      <c r="DP46" s="9"/>
      <c r="DQ46" s="10"/>
      <c r="DT46" s="9"/>
      <c r="DU46" s="10"/>
      <c r="DV46" s="10"/>
      <c r="DW46" s="10"/>
      <c r="DX46" s="10"/>
      <c r="DY46" s="10"/>
      <c r="DZ46" s="10"/>
      <c r="EA46" s="10"/>
      <c r="GH46" s="13"/>
      <c r="GJ46" s="13"/>
      <c r="GK46" s="12"/>
      <c r="GV46" s="13"/>
      <c r="GW46" s="13"/>
    </row>
    <row r="47" spans="19:205" ht="18" customHeight="1">
      <c r="S47" s="12"/>
      <c r="U47" s="12"/>
      <c r="AQ47" s="13"/>
      <c r="CN47" s="13"/>
      <c r="CP47" s="13"/>
      <c r="CQ47" s="12"/>
      <c r="DB47" s="13"/>
      <c r="DC47" s="13"/>
      <c r="DN47" s="12"/>
      <c r="DP47" s="12"/>
      <c r="DT47" s="12"/>
      <c r="GH47" s="13"/>
      <c r="GJ47" s="13"/>
      <c r="GK47" s="12"/>
      <c r="GV47" s="13"/>
      <c r="GW47" s="13"/>
    </row>
    <row r="48" spans="19:205" ht="18" customHeight="1">
      <c r="S48" s="12"/>
      <c r="U48" s="9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1"/>
      <c r="AQ48" s="13"/>
      <c r="CN48" s="13"/>
      <c r="CP48" s="13"/>
      <c r="CQ48" s="12"/>
      <c r="DB48" s="13"/>
      <c r="DC48" s="13"/>
      <c r="DN48" s="12"/>
      <c r="DP48" s="12"/>
      <c r="DT48" s="12"/>
      <c r="GH48" s="13"/>
      <c r="GJ48" s="13"/>
      <c r="GK48" s="12"/>
      <c r="GV48" s="13"/>
      <c r="GW48" s="13"/>
    </row>
    <row r="49" spans="19:209" ht="18" customHeight="1">
      <c r="S49" s="12"/>
      <c r="U49" s="12"/>
      <c r="AP49" s="13"/>
      <c r="AQ49" s="13"/>
      <c r="CN49" s="13"/>
      <c r="CP49" s="13"/>
      <c r="CQ49" s="12"/>
      <c r="DB49" s="13"/>
      <c r="DC49" s="13"/>
      <c r="DN49" s="12"/>
      <c r="DP49" s="12"/>
      <c r="DT49" s="12"/>
      <c r="GH49" s="13"/>
      <c r="GJ49" s="13"/>
      <c r="GK49" s="12"/>
      <c r="GV49" s="13"/>
      <c r="GW49" s="13"/>
    </row>
    <row r="50" spans="19:209" ht="18" customHeight="1">
      <c r="S50" s="12"/>
      <c r="U50" s="12"/>
      <c r="AP50" s="13"/>
      <c r="AQ50" s="13"/>
      <c r="CN50" s="13"/>
      <c r="CP50" s="13"/>
      <c r="CQ50" s="12"/>
      <c r="DB50" s="13"/>
      <c r="DC50" s="13"/>
      <c r="DN50" s="12"/>
      <c r="DP50" s="12"/>
      <c r="DT50" s="12"/>
      <c r="GH50" s="13"/>
      <c r="GJ50" s="13"/>
      <c r="GK50" s="12"/>
      <c r="GV50" s="13"/>
      <c r="GW50" s="13"/>
    </row>
    <row r="51" spans="19:209" ht="18" customHeight="1">
      <c r="S51" s="12"/>
      <c r="U51" s="12"/>
      <c r="AP51" s="13"/>
      <c r="AQ51" s="13"/>
      <c r="CN51" s="13"/>
      <c r="CP51" s="13"/>
      <c r="CQ51" s="12"/>
      <c r="DB51" s="13"/>
      <c r="DC51" s="13"/>
      <c r="DN51" s="12"/>
      <c r="DP51" s="12"/>
      <c r="DT51" s="12"/>
      <c r="GH51" s="13"/>
      <c r="GJ51" s="13"/>
      <c r="GK51" s="12"/>
      <c r="GV51" s="13"/>
      <c r="GW51" s="13"/>
    </row>
    <row r="52" spans="19:209" ht="18" customHeight="1">
      <c r="S52" s="12"/>
      <c r="U52" s="12"/>
      <c r="Y52" s="9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1"/>
      <c r="AP52" s="13"/>
      <c r="AQ52" s="13"/>
      <c r="BL52" s="15"/>
      <c r="CN52" s="13"/>
      <c r="CP52" s="13"/>
      <c r="CQ52" s="12"/>
      <c r="DB52" s="13"/>
      <c r="DC52" s="13"/>
      <c r="DN52" s="12"/>
      <c r="DP52" s="12"/>
      <c r="DT52" s="12"/>
      <c r="EB52" s="15"/>
      <c r="EC52" s="15"/>
      <c r="ED52" s="15"/>
      <c r="EE52" s="15"/>
      <c r="EM52" s="15"/>
      <c r="GH52" s="13"/>
      <c r="GJ52" s="13"/>
      <c r="GK52" s="12"/>
      <c r="GV52" s="13"/>
      <c r="GW52" s="13"/>
    </row>
    <row r="53" spans="19:209" ht="18" customHeight="1">
      <c r="S53" s="12"/>
      <c r="U53" s="12"/>
      <c r="Y53" s="12"/>
      <c r="AL53" s="13"/>
      <c r="AP53" s="13"/>
      <c r="AQ53" s="13"/>
      <c r="BE53" s="9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70"/>
      <c r="CI53" s="92"/>
      <c r="CJ53" s="92"/>
      <c r="CK53" s="92"/>
      <c r="CL53" s="92"/>
      <c r="CM53" s="71"/>
      <c r="CN53" s="10"/>
      <c r="CP53" s="13"/>
      <c r="CQ53" s="12"/>
      <c r="DB53" s="13"/>
      <c r="DC53" s="13"/>
      <c r="DN53" s="12"/>
      <c r="DP53" s="12"/>
      <c r="DT53" s="12"/>
      <c r="EA53" s="13"/>
      <c r="EE53" s="13"/>
      <c r="EF53" s="9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70"/>
      <c r="GC53" s="92"/>
      <c r="GD53" s="92"/>
      <c r="GE53" s="92"/>
      <c r="GF53" s="92"/>
      <c r="GG53" s="71"/>
      <c r="GH53" s="10"/>
      <c r="GJ53" s="13"/>
      <c r="GK53" s="12"/>
      <c r="GV53" s="13"/>
      <c r="GW53" s="13"/>
    </row>
    <row r="54" spans="19:209" ht="18" customHeight="1">
      <c r="S54" s="12"/>
      <c r="U54" s="12"/>
      <c r="Y54" s="12"/>
      <c r="AL54" s="13"/>
      <c r="AP54" s="13"/>
      <c r="AQ54" s="13"/>
      <c r="BE54" s="12"/>
      <c r="CH54" s="72"/>
      <c r="CI54" s="100"/>
      <c r="CJ54" s="100"/>
      <c r="CK54" s="100"/>
      <c r="CL54" s="100"/>
      <c r="CM54" s="73"/>
      <c r="CN54" s="15"/>
      <c r="CP54" s="13"/>
      <c r="CQ54" s="12"/>
      <c r="DB54" s="13"/>
      <c r="DC54" s="16"/>
      <c r="DN54" s="12"/>
      <c r="DP54" s="12"/>
      <c r="DT54" s="12"/>
      <c r="EA54" s="13"/>
      <c r="EE54" s="13"/>
      <c r="EF54" s="12"/>
      <c r="GB54" s="72"/>
      <c r="GC54" s="100"/>
      <c r="GD54" s="100"/>
      <c r="GE54" s="100"/>
      <c r="GF54" s="100"/>
      <c r="GG54" s="73"/>
      <c r="GH54" s="15"/>
      <c r="GJ54" s="13"/>
      <c r="GK54" s="12"/>
      <c r="GV54" s="13"/>
      <c r="GW54" s="16"/>
    </row>
    <row r="55" spans="19:209" ht="18" customHeight="1">
      <c r="S55" s="12"/>
      <c r="U55" s="12"/>
      <c r="Y55" s="12"/>
      <c r="AL55" s="13"/>
      <c r="AP55" s="13"/>
      <c r="AQ55" s="13"/>
      <c r="BE55" s="12"/>
      <c r="BG55" s="9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DC55" s="11"/>
      <c r="DD55" s="17"/>
      <c r="DE55" s="17"/>
      <c r="DN55" s="12"/>
      <c r="DP55" s="12"/>
      <c r="DT55" s="12"/>
      <c r="EA55" s="13"/>
      <c r="EE55" s="13"/>
      <c r="EF55" s="12"/>
      <c r="EH55" s="9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W55" s="10"/>
      <c r="GX55" s="9"/>
      <c r="GY55" s="11"/>
      <c r="GZ55" s="9"/>
      <c r="HA55" s="11"/>
    </row>
    <row r="56" spans="19:209" ht="18" customHeight="1">
      <c r="S56" s="12"/>
      <c r="U56" s="12"/>
      <c r="Y56" s="12"/>
      <c r="AL56" s="13"/>
      <c r="AP56" s="13"/>
      <c r="AQ56" s="13"/>
      <c r="BE56" s="12"/>
      <c r="BG56" s="12"/>
      <c r="DC56" s="13"/>
      <c r="DD56" s="18"/>
      <c r="DE56" s="18"/>
      <c r="DN56" s="12"/>
      <c r="DP56" s="12"/>
      <c r="DT56" s="12"/>
      <c r="EA56" s="13"/>
      <c r="EE56" s="13"/>
      <c r="EF56" s="12"/>
      <c r="EH56" s="12"/>
      <c r="GX56" s="12"/>
      <c r="GY56" s="13"/>
      <c r="GZ56" s="12"/>
      <c r="HA56" s="13"/>
    </row>
    <row r="57" spans="19:209" ht="18" customHeight="1">
      <c r="S57" s="12"/>
      <c r="U57" s="12"/>
      <c r="Y57" s="12"/>
      <c r="AL57" s="13"/>
      <c r="AP57" s="13"/>
      <c r="AQ57" s="13"/>
      <c r="BE57" s="12"/>
      <c r="BG57" s="12"/>
      <c r="DC57" s="13"/>
      <c r="DD57" s="18"/>
      <c r="DE57" s="18"/>
      <c r="DN57" s="12"/>
      <c r="DP57" s="12"/>
      <c r="DT57" s="12"/>
      <c r="EA57" s="13"/>
      <c r="EE57" s="13"/>
      <c r="EF57" s="12"/>
      <c r="EH57" s="12"/>
      <c r="GX57" s="12"/>
      <c r="GY57" s="13"/>
      <c r="GZ57" s="12"/>
      <c r="HA57" s="13"/>
    </row>
    <row r="58" spans="19:209" ht="18" customHeight="1">
      <c r="S58" s="12"/>
      <c r="U58" s="12"/>
      <c r="Y58" s="12"/>
      <c r="AL58" s="13"/>
      <c r="AP58" s="13"/>
      <c r="AQ58" s="13"/>
      <c r="BE58" s="12"/>
      <c r="BG58" s="12"/>
      <c r="DC58" s="13"/>
      <c r="DD58" s="18"/>
      <c r="DE58" s="18"/>
      <c r="DN58" s="12"/>
      <c r="DP58" s="12"/>
      <c r="DT58" s="12"/>
      <c r="EA58" s="13"/>
      <c r="EE58" s="13"/>
      <c r="EF58" s="12"/>
      <c r="EH58" s="12"/>
      <c r="GX58" s="12"/>
      <c r="GY58" s="13"/>
      <c r="GZ58" s="12"/>
      <c r="HA58" s="13"/>
    </row>
    <row r="59" spans="19:209" ht="18" customHeight="1">
      <c r="S59" s="12"/>
      <c r="U59" s="12"/>
      <c r="Y59" s="12"/>
      <c r="AL59" s="13"/>
      <c r="AP59" s="13"/>
      <c r="AQ59" s="13"/>
      <c r="BE59" s="12"/>
      <c r="BG59" s="12"/>
      <c r="DC59" s="13"/>
      <c r="DD59" s="18"/>
      <c r="DE59" s="18"/>
      <c r="DN59" s="12"/>
      <c r="DP59" s="12"/>
      <c r="DT59" s="12"/>
      <c r="EA59" s="13"/>
      <c r="EE59" s="13"/>
      <c r="EF59" s="12"/>
      <c r="EH59" s="12"/>
      <c r="GX59" s="12"/>
      <c r="GY59" s="13"/>
      <c r="GZ59" s="12"/>
      <c r="HA59" s="13"/>
    </row>
    <row r="60" spans="19:209" ht="18" customHeight="1">
      <c r="S60" s="12"/>
      <c r="U60" s="12"/>
      <c r="Y60" s="12"/>
      <c r="AL60" s="13"/>
      <c r="AP60" s="13"/>
      <c r="AQ60" s="13"/>
      <c r="BE60" s="12"/>
      <c r="BG60" s="12"/>
      <c r="DC60" s="13"/>
      <c r="DD60" s="18"/>
      <c r="DE60" s="18"/>
      <c r="DN60" s="12"/>
      <c r="DP60" s="12"/>
      <c r="DT60" s="12"/>
      <c r="EA60" s="13"/>
      <c r="EE60" s="13"/>
      <c r="EF60" s="12"/>
      <c r="EH60" s="12"/>
      <c r="GX60" s="12"/>
      <c r="GY60" s="13"/>
      <c r="GZ60" s="12"/>
      <c r="HA60" s="13"/>
    </row>
    <row r="61" spans="19:209" ht="18" customHeight="1">
      <c r="S61" s="12"/>
      <c r="U61" s="14"/>
      <c r="V61" s="15"/>
      <c r="W61" s="15"/>
      <c r="X61" s="15"/>
      <c r="Y61" s="12"/>
      <c r="AL61" s="13"/>
      <c r="AM61" s="15"/>
      <c r="AN61" s="15"/>
      <c r="AO61" s="15"/>
      <c r="AP61" s="16"/>
      <c r="AQ61" s="16"/>
      <c r="BE61" s="12"/>
      <c r="BG61" s="12"/>
      <c r="DC61" s="13"/>
      <c r="DD61" s="18"/>
      <c r="DE61" s="18"/>
      <c r="DN61" s="12"/>
      <c r="DO61" s="13"/>
      <c r="DT61" s="12"/>
      <c r="EA61" s="13"/>
      <c r="EF61" s="12"/>
      <c r="EH61" s="12"/>
      <c r="GX61" s="12"/>
      <c r="GY61" s="13"/>
      <c r="GZ61" s="12"/>
      <c r="HA61" s="13"/>
    </row>
    <row r="62" spans="19:209" ht="18" customHeight="1">
      <c r="S62" s="12"/>
      <c r="U62" s="12"/>
      <c r="BE62" s="12"/>
      <c r="BG62" s="12"/>
      <c r="DC62" s="16"/>
      <c r="DD62" s="19"/>
      <c r="DE62" s="19"/>
      <c r="DN62" s="12"/>
      <c r="DO62" s="13"/>
      <c r="DT62" s="12"/>
      <c r="EA62" s="13"/>
      <c r="EF62" s="12"/>
      <c r="EH62" s="12"/>
      <c r="GW62" s="15"/>
      <c r="GX62" s="14"/>
      <c r="GY62" s="16"/>
      <c r="GZ62" s="14"/>
      <c r="HA62" s="16"/>
    </row>
    <row r="63" spans="19:209" ht="18" customHeight="1">
      <c r="S63" s="12"/>
      <c r="U63" s="12"/>
      <c r="BE63" s="12"/>
      <c r="BG63" s="12"/>
      <c r="DB63" s="13"/>
      <c r="DC63" s="13"/>
      <c r="DN63" s="12"/>
      <c r="DO63" s="13"/>
      <c r="DT63" s="12"/>
      <c r="EA63" s="13"/>
      <c r="EF63" s="12"/>
      <c r="EH63" s="12"/>
      <c r="GV63" s="13"/>
      <c r="GW63" s="13"/>
    </row>
    <row r="64" spans="19:209" ht="18" customHeight="1">
      <c r="S64" s="12"/>
      <c r="U64" s="12"/>
      <c r="BE64" s="12"/>
      <c r="BG64" s="12"/>
      <c r="DB64" s="13"/>
      <c r="DC64" s="13"/>
      <c r="DN64" s="12"/>
      <c r="DO64" s="13"/>
      <c r="DT64" s="12"/>
      <c r="EA64" s="13"/>
      <c r="EF64" s="12"/>
      <c r="EH64" s="12"/>
      <c r="GV64" s="13"/>
      <c r="GW64" s="13"/>
    </row>
    <row r="65" spans="7:205" ht="18" customHeight="1">
      <c r="S65" s="12"/>
      <c r="U65" s="12"/>
      <c r="BE65" s="12"/>
      <c r="BG65" s="12"/>
      <c r="DB65" s="13"/>
      <c r="DC65" s="13"/>
      <c r="DN65" s="12"/>
      <c r="DP65" s="12"/>
      <c r="DT65" s="14"/>
      <c r="DU65" s="15"/>
      <c r="DV65" s="15"/>
      <c r="DW65" s="15"/>
      <c r="DX65" s="15"/>
      <c r="DY65" s="15"/>
      <c r="DZ65" s="15"/>
      <c r="EA65" s="16"/>
      <c r="EF65" s="12"/>
      <c r="EH65" s="12"/>
      <c r="GV65" s="13"/>
      <c r="GW65" s="13"/>
    </row>
    <row r="66" spans="7:205" ht="18" customHeight="1">
      <c r="S66" s="12"/>
      <c r="U66" s="12"/>
      <c r="BE66" s="12"/>
      <c r="BG66" s="12"/>
      <c r="DB66" s="13"/>
      <c r="DC66" s="13"/>
      <c r="DN66" s="12"/>
      <c r="DP66" s="12"/>
      <c r="EF66" s="12"/>
      <c r="EH66" s="12"/>
      <c r="GV66" s="13"/>
      <c r="GW66" s="13"/>
    </row>
    <row r="67" spans="7:205" ht="18" customHeight="1">
      <c r="S67" s="12"/>
      <c r="U67" s="12"/>
      <c r="BE67" s="12"/>
      <c r="BG67" s="12"/>
      <c r="DB67" s="13"/>
      <c r="DC67" s="13"/>
      <c r="DN67" s="12"/>
      <c r="DP67" s="12"/>
      <c r="EF67" s="12"/>
      <c r="EH67" s="12"/>
      <c r="GV67" s="13"/>
      <c r="GW67" s="13"/>
    </row>
    <row r="68" spans="7:205" ht="18" customHeight="1">
      <c r="S68" s="12"/>
      <c r="U68" s="12"/>
      <c r="BE68" s="12"/>
      <c r="BG68" s="12"/>
      <c r="DB68" s="13"/>
      <c r="DC68" s="13"/>
      <c r="DN68" s="12"/>
      <c r="DP68" s="12"/>
      <c r="EF68" s="12"/>
      <c r="EH68" s="12"/>
      <c r="GV68" s="13"/>
      <c r="GW68" s="13"/>
    </row>
    <row r="69" spans="7:205" ht="18" customHeight="1">
      <c r="S69" s="12"/>
      <c r="U69" s="14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2"/>
      <c r="BF69" s="13"/>
      <c r="BG69" s="12"/>
      <c r="DB69" s="13"/>
      <c r="DC69" s="13"/>
      <c r="DN69" s="12"/>
      <c r="DP69" s="14"/>
      <c r="DQ69" s="15"/>
      <c r="DR69" s="15"/>
      <c r="DS69" s="15"/>
      <c r="DT69" s="15"/>
      <c r="DU69" s="15"/>
      <c r="DV69" s="15"/>
      <c r="DW69" s="15"/>
      <c r="DX69" s="15"/>
      <c r="DY69" s="15"/>
      <c r="DZ69" s="15"/>
      <c r="EA69" s="15"/>
      <c r="EB69" s="15"/>
      <c r="EC69" s="15"/>
      <c r="ED69" s="15"/>
      <c r="EE69" s="15"/>
      <c r="EF69" s="12"/>
      <c r="EG69" s="13"/>
      <c r="EH69" s="12"/>
      <c r="GV69" s="13"/>
      <c r="GW69" s="13"/>
    </row>
    <row r="70" spans="7:205" ht="18" customHeight="1">
      <c r="S70" s="12"/>
      <c r="BG70" s="14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5"/>
      <c r="CM70" s="15"/>
      <c r="CN70" s="15"/>
      <c r="CO70" s="15"/>
      <c r="CP70" s="15"/>
      <c r="CQ70" s="15"/>
      <c r="CR70" s="15"/>
      <c r="CS70" s="15"/>
      <c r="CT70" s="15"/>
      <c r="CU70" s="15"/>
      <c r="CV70" s="15"/>
      <c r="CW70" s="15"/>
      <c r="CX70" s="15"/>
      <c r="CY70" s="15"/>
      <c r="CZ70" s="15"/>
      <c r="DA70" s="15"/>
      <c r="DB70" s="16"/>
      <c r="DC70" s="13"/>
      <c r="DN70" s="12"/>
      <c r="EH70" s="14"/>
      <c r="EI70" s="15"/>
      <c r="EJ70" s="15"/>
      <c r="EK70" s="15"/>
      <c r="EL70" s="15"/>
      <c r="EM70" s="15"/>
      <c r="EN70" s="15"/>
      <c r="EO70" s="15"/>
      <c r="EP70" s="15"/>
      <c r="EQ70" s="15"/>
      <c r="ER70" s="15"/>
      <c r="ES70" s="15"/>
      <c r="ET70" s="15"/>
      <c r="EU70" s="15"/>
      <c r="EV70" s="15"/>
      <c r="EW70" s="15"/>
      <c r="EX70" s="15"/>
      <c r="EY70" s="15"/>
      <c r="EZ70" s="15"/>
      <c r="FA70" s="15"/>
      <c r="FB70" s="15"/>
      <c r="FC70" s="15"/>
      <c r="FD70" s="15"/>
      <c r="FE70" s="15"/>
      <c r="FF70" s="15"/>
      <c r="FG70" s="15"/>
      <c r="FH70" s="15"/>
      <c r="FI70" s="15"/>
      <c r="FJ70" s="15"/>
      <c r="FK70" s="15"/>
      <c r="FL70" s="15"/>
      <c r="FM70" s="15"/>
      <c r="FN70" s="15"/>
      <c r="FO70" s="15"/>
      <c r="FP70" s="15"/>
      <c r="FQ70" s="15"/>
      <c r="FR70" s="15"/>
      <c r="FS70" s="15"/>
      <c r="FT70" s="15"/>
      <c r="FU70" s="15"/>
      <c r="FV70" s="15"/>
      <c r="FW70" s="15"/>
      <c r="FX70" s="15"/>
      <c r="FY70" s="15"/>
      <c r="FZ70" s="15"/>
      <c r="GA70" s="15"/>
      <c r="GB70" s="15"/>
      <c r="GC70" s="15"/>
      <c r="GD70" s="15"/>
      <c r="GE70" s="15"/>
      <c r="GF70" s="15"/>
      <c r="GG70" s="15"/>
      <c r="GH70" s="15"/>
      <c r="GI70" s="15"/>
      <c r="GJ70" s="15"/>
      <c r="GK70" s="15"/>
      <c r="GL70" s="15"/>
      <c r="GM70" s="15"/>
      <c r="GN70" s="15"/>
      <c r="GO70" s="15"/>
      <c r="GP70" s="15"/>
      <c r="GQ70" s="15"/>
      <c r="GR70" s="15"/>
      <c r="GS70" s="15"/>
      <c r="GT70" s="15"/>
      <c r="GU70" s="15"/>
      <c r="GV70" s="16"/>
      <c r="GW70" s="13"/>
    </row>
    <row r="71" spans="7:205" ht="18" customHeight="1">
      <c r="S71" s="14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4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  <c r="CA71" s="15"/>
      <c r="CB71" s="15"/>
      <c r="CC71" s="15"/>
      <c r="CD71" s="15"/>
      <c r="CE71" s="15"/>
      <c r="CF71" s="15"/>
      <c r="CG71" s="15"/>
      <c r="CH71" s="15"/>
      <c r="CI71" s="15"/>
      <c r="CJ71" s="15"/>
      <c r="CK71" s="15"/>
      <c r="CL71" s="15"/>
      <c r="CM71" s="15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Y71" s="15"/>
      <c r="CZ71" s="15"/>
      <c r="DA71" s="15"/>
      <c r="DB71" s="15"/>
      <c r="DC71" s="16"/>
      <c r="DN71" s="14"/>
      <c r="DO71" s="15"/>
      <c r="DP71" s="15"/>
      <c r="DQ71" s="15"/>
      <c r="DR71" s="15"/>
      <c r="DS71" s="15"/>
      <c r="DT71" s="15"/>
      <c r="DU71" s="15"/>
      <c r="DV71" s="15"/>
      <c r="DW71" s="15"/>
      <c r="DX71" s="15"/>
      <c r="DY71" s="15"/>
      <c r="DZ71" s="15"/>
      <c r="EA71" s="15"/>
      <c r="EB71" s="15"/>
      <c r="EC71" s="15"/>
      <c r="ED71" s="15"/>
      <c r="EE71" s="15"/>
      <c r="EF71" s="15"/>
      <c r="EG71" s="15"/>
      <c r="EH71" s="14"/>
      <c r="EI71" s="15"/>
      <c r="EJ71" s="15"/>
      <c r="EK71" s="15"/>
      <c r="EL71" s="15"/>
      <c r="EM71" s="15"/>
      <c r="EN71" s="15"/>
      <c r="EO71" s="15"/>
      <c r="EP71" s="15"/>
      <c r="EQ71" s="15"/>
      <c r="ER71" s="15"/>
      <c r="ES71" s="15"/>
      <c r="ET71" s="15"/>
      <c r="EU71" s="15"/>
      <c r="EV71" s="15"/>
      <c r="EW71" s="15"/>
      <c r="EX71" s="15"/>
      <c r="EY71" s="15"/>
      <c r="EZ71" s="15"/>
      <c r="FA71" s="15"/>
      <c r="FB71" s="15"/>
      <c r="FC71" s="15"/>
      <c r="FD71" s="15"/>
      <c r="FE71" s="15"/>
      <c r="FF71" s="15"/>
      <c r="FG71" s="15"/>
      <c r="FH71" s="15"/>
      <c r="FI71" s="15"/>
      <c r="FJ71" s="15"/>
      <c r="FK71" s="15"/>
      <c r="FL71" s="15"/>
      <c r="FM71" s="15"/>
      <c r="FN71" s="15"/>
      <c r="FO71" s="15"/>
      <c r="FP71" s="15"/>
      <c r="FQ71" s="15"/>
      <c r="FR71" s="15"/>
      <c r="FS71" s="15"/>
      <c r="FT71" s="15"/>
      <c r="FU71" s="15"/>
      <c r="FV71" s="15"/>
      <c r="FW71" s="15"/>
      <c r="FX71" s="15"/>
      <c r="FY71" s="15"/>
      <c r="FZ71" s="15"/>
      <c r="GA71" s="15"/>
      <c r="GB71" s="15"/>
      <c r="GC71" s="15"/>
      <c r="GD71" s="15"/>
      <c r="GE71" s="15"/>
      <c r="GF71" s="15"/>
      <c r="GG71" s="15"/>
      <c r="GH71" s="15"/>
      <c r="GI71" s="15"/>
      <c r="GJ71" s="15"/>
      <c r="GK71" s="15"/>
      <c r="GL71" s="15"/>
      <c r="GM71" s="15"/>
      <c r="GN71" s="15"/>
      <c r="GO71" s="15"/>
      <c r="GP71" s="15"/>
      <c r="GQ71" s="15"/>
      <c r="GR71" s="15"/>
      <c r="GS71" s="15"/>
      <c r="GT71" s="15"/>
      <c r="GU71" s="15"/>
      <c r="GV71" s="15"/>
      <c r="GW71" s="16"/>
    </row>
    <row r="76" spans="7:205" ht="18" customHeight="1" thickBot="1"/>
    <row r="77" spans="7:205" ht="18" customHeight="1">
      <c r="G77" s="1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</row>
    <row r="78" spans="7:205" ht="18" customHeight="1">
      <c r="G78" s="4"/>
    </row>
    <row r="79" spans="7:205" ht="18" customHeight="1">
      <c r="G79" s="4"/>
    </row>
    <row r="80" spans="7:205" ht="18" customHeight="1">
      <c r="G80" s="4"/>
    </row>
    <row r="81" spans="7:7" ht="18" customHeight="1">
      <c r="G81" s="4"/>
    </row>
    <row r="82" spans="7:7" ht="18" customHeight="1">
      <c r="G82" s="4"/>
    </row>
    <row r="83" spans="7:7" ht="18" customHeight="1">
      <c r="G83" s="4"/>
    </row>
    <row r="84" spans="7:7" ht="18" customHeight="1">
      <c r="G84" s="4"/>
    </row>
    <row r="85" spans="7:7" ht="18" customHeight="1">
      <c r="G85" s="4"/>
    </row>
    <row r="86" spans="7:7" ht="18" customHeight="1">
      <c r="G86" s="4"/>
    </row>
    <row r="87" spans="7:7" ht="18" customHeight="1">
      <c r="G87" s="4"/>
    </row>
    <row r="88" spans="7:7" ht="18" customHeight="1">
      <c r="G88" s="4"/>
    </row>
    <row r="89" spans="7:7" ht="18" customHeight="1">
      <c r="G89" s="4"/>
    </row>
    <row r="90" spans="7:7" ht="18" customHeight="1">
      <c r="G90" s="4"/>
    </row>
    <row r="91" spans="7:7" ht="18" customHeight="1">
      <c r="G91" s="4"/>
    </row>
    <row r="92" spans="7:7" ht="18" customHeight="1">
      <c r="G92" s="4"/>
    </row>
    <row r="93" spans="7:7" ht="18" customHeight="1">
      <c r="G93" s="4"/>
    </row>
    <row r="94" spans="7:7" ht="18" customHeight="1">
      <c r="G94" s="4"/>
    </row>
    <row r="95" spans="7:7" ht="18" customHeight="1">
      <c r="G95" s="4"/>
    </row>
    <row r="96" spans="7:7" ht="18" customHeight="1">
      <c r="G96" s="4"/>
    </row>
    <row r="97" spans="7:324" ht="18" customHeight="1">
      <c r="G97" s="4"/>
    </row>
    <row r="98" spans="7:324" ht="18" customHeight="1">
      <c r="G98" s="4"/>
    </row>
    <row r="99" spans="7:324" ht="18" customHeight="1">
      <c r="G99" s="4"/>
    </row>
    <row r="100" spans="7:324" ht="18" customHeight="1">
      <c r="G100" s="4"/>
    </row>
    <row r="101" spans="7:324" ht="18" customHeight="1">
      <c r="G101" s="4"/>
    </row>
    <row r="102" spans="7:324" ht="18" customHeight="1">
      <c r="G102" s="4"/>
    </row>
    <row r="103" spans="7:324" ht="18" customHeight="1">
      <c r="G103" s="4"/>
    </row>
    <row r="104" spans="7:324" ht="18" customHeight="1">
      <c r="G104" s="4"/>
    </row>
    <row r="105" spans="7:324" ht="18" customHeight="1">
      <c r="G105" s="4"/>
    </row>
    <row r="106" spans="7:324" ht="18" customHeight="1">
      <c r="G106" s="4"/>
    </row>
    <row r="107" spans="7:324" ht="18" customHeight="1">
      <c r="G107" s="4"/>
    </row>
    <row r="108" spans="7:324" ht="18" customHeight="1">
      <c r="G108" s="4"/>
    </row>
    <row r="109" spans="7:324" ht="18" customHeight="1">
      <c r="G109" s="4"/>
    </row>
    <row r="110" spans="7:324" ht="18" customHeight="1">
      <c r="G110" s="4"/>
      <c r="S110" s="40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0"/>
      <c r="AK110" s="41"/>
      <c r="AL110" s="41"/>
      <c r="AM110" s="41"/>
      <c r="AN110" s="44"/>
      <c r="AO110" s="41"/>
      <c r="AP110" s="41"/>
      <c r="AQ110" s="41"/>
      <c r="AR110" s="41"/>
      <c r="AS110" s="41"/>
      <c r="AT110" s="41"/>
      <c r="AU110" s="41"/>
      <c r="AV110" s="41"/>
      <c r="AW110" s="40"/>
      <c r="AX110" s="41"/>
      <c r="AY110" s="41"/>
      <c r="AZ110" s="44"/>
      <c r="BA110" s="41"/>
      <c r="BB110" s="41"/>
      <c r="BC110" s="41"/>
      <c r="BD110" s="41"/>
      <c r="BE110" s="41"/>
      <c r="BF110" s="41"/>
      <c r="BG110" s="41"/>
      <c r="BH110" s="40"/>
      <c r="BI110" s="41"/>
      <c r="BJ110" s="41"/>
      <c r="BK110" s="44"/>
      <c r="BL110" s="41"/>
      <c r="BM110" s="41"/>
      <c r="BN110" s="41"/>
      <c r="BO110" s="41"/>
      <c r="BP110" s="44"/>
      <c r="BQ110" s="20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11"/>
      <c r="CW110" s="40"/>
      <c r="CX110" s="41"/>
      <c r="CY110" s="41"/>
      <c r="CZ110" s="41"/>
      <c r="DA110" s="41"/>
      <c r="DB110" s="41"/>
      <c r="DC110" s="41"/>
      <c r="DD110" s="41"/>
      <c r="DE110" s="41"/>
      <c r="DF110" s="41"/>
      <c r="DG110" s="41"/>
      <c r="DH110" s="41"/>
      <c r="DI110" s="41"/>
      <c r="DJ110" s="41"/>
      <c r="DK110" s="41"/>
      <c r="DL110" s="41"/>
      <c r="DM110" s="41"/>
      <c r="DN110" s="41"/>
      <c r="DO110" s="41"/>
      <c r="DP110" s="41"/>
      <c r="DQ110" s="41"/>
      <c r="DR110" s="41"/>
      <c r="DS110" s="41"/>
      <c r="DT110" s="41"/>
      <c r="DU110" s="41"/>
      <c r="DV110" s="41"/>
      <c r="DW110" s="41"/>
      <c r="DX110" s="41"/>
      <c r="DY110" s="41"/>
      <c r="DZ110" s="41"/>
      <c r="EA110" s="41"/>
      <c r="EB110" s="41"/>
      <c r="EC110" s="41"/>
      <c r="ED110" s="41"/>
      <c r="EE110" s="41"/>
      <c r="EF110" s="41"/>
      <c r="EG110" s="41"/>
      <c r="EH110" s="41"/>
      <c r="EI110" s="41"/>
      <c r="EJ110" s="41"/>
      <c r="EK110" s="41"/>
      <c r="EL110" s="41"/>
      <c r="EM110" s="41"/>
      <c r="EN110" s="41"/>
      <c r="EO110" s="41"/>
      <c r="EP110" s="41"/>
      <c r="EQ110" s="41"/>
      <c r="ER110" s="41"/>
      <c r="ES110" s="41"/>
      <c r="ET110" s="44"/>
      <c r="FH110" s="40"/>
      <c r="FI110" s="41"/>
      <c r="FJ110" s="41"/>
      <c r="FK110" s="41"/>
      <c r="FL110" s="41"/>
      <c r="FM110" s="41"/>
      <c r="FN110" s="41"/>
      <c r="FO110" s="41"/>
      <c r="FP110" s="41"/>
      <c r="FQ110" s="41"/>
      <c r="FR110" s="41"/>
      <c r="FS110" s="41"/>
      <c r="FT110" s="41"/>
      <c r="FU110" s="41"/>
      <c r="FV110" s="41"/>
      <c r="FW110" s="41"/>
      <c r="FX110" s="41"/>
      <c r="FY110" s="41"/>
      <c r="FZ110" s="41"/>
      <c r="GA110" s="41"/>
      <c r="GB110" s="41"/>
      <c r="GC110" s="41"/>
      <c r="GD110" s="41"/>
      <c r="GE110" s="41"/>
      <c r="GF110" s="41"/>
      <c r="GG110" s="41"/>
      <c r="GH110" s="41"/>
      <c r="GI110" s="41"/>
      <c r="GJ110" s="41"/>
      <c r="GK110" s="41"/>
      <c r="GL110" s="41"/>
      <c r="GM110" s="41"/>
      <c r="GN110" s="41"/>
      <c r="GO110" s="41"/>
      <c r="GP110" s="41"/>
      <c r="GQ110" s="41"/>
      <c r="GR110" s="41"/>
      <c r="GS110" s="41"/>
      <c r="GT110" s="41"/>
      <c r="GU110" s="41"/>
      <c r="GV110" s="41"/>
      <c r="GW110" s="41"/>
      <c r="GX110" s="41"/>
      <c r="GY110" s="41"/>
      <c r="GZ110" s="41"/>
      <c r="HA110" s="41"/>
      <c r="HB110" s="41"/>
      <c r="HC110" s="41"/>
      <c r="HD110" s="41"/>
      <c r="HE110" s="41"/>
      <c r="HF110" s="41"/>
      <c r="HG110" s="41"/>
      <c r="HH110" s="41"/>
      <c r="HI110" s="41"/>
      <c r="HJ110" s="41"/>
      <c r="HK110" s="41"/>
      <c r="HL110" s="41"/>
      <c r="HM110" s="41"/>
      <c r="HN110" s="41"/>
      <c r="HO110" s="41"/>
      <c r="HP110" s="41"/>
      <c r="HQ110" s="41"/>
      <c r="HR110" s="41"/>
      <c r="HS110" s="41"/>
      <c r="HT110" s="41"/>
      <c r="HU110" s="41"/>
      <c r="HV110" s="41"/>
      <c r="HW110" s="41"/>
      <c r="HX110" s="41"/>
      <c r="HY110" s="41"/>
      <c r="HZ110" s="41"/>
      <c r="IA110" s="44"/>
      <c r="IQ110" s="40"/>
      <c r="IR110" s="41"/>
      <c r="IS110" s="41"/>
      <c r="IT110" s="41"/>
      <c r="IU110" s="41"/>
      <c r="IV110" s="41"/>
      <c r="IW110" s="41"/>
      <c r="IX110" s="41"/>
      <c r="IY110" s="41"/>
      <c r="IZ110" s="41"/>
      <c r="JA110" s="41"/>
      <c r="JB110" s="41"/>
      <c r="JC110" s="41"/>
      <c r="JD110" s="41"/>
      <c r="JE110" s="41"/>
      <c r="JF110" s="41"/>
      <c r="JG110" s="41"/>
      <c r="JH110" s="41"/>
      <c r="JI110" s="41"/>
      <c r="JJ110" s="41"/>
      <c r="JK110" s="41"/>
      <c r="JL110" s="41"/>
      <c r="JM110" s="41"/>
      <c r="JN110" s="41"/>
      <c r="JO110" s="41"/>
      <c r="JP110" s="41"/>
      <c r="JQ110" s="41"/>
      <c r="JR110" s="41"/>
      <c r="JS110" s="41"/>
      <c r="JT110" s="41"/>
      <c r="JU110" s="41"/>
      <c r="JV110" s="41"/>
      <c r="JW110" s="41"/>
      <c r="JX110" s="41"/>
      <c r="JY110" s="41"/>
      <c r="JZ110" s="41"/>
      <c r="KA110" s="41"/>
      <c r="KB110" s="41"/>
      <c r="KC110" s="41"/>
      <c r="KD110" s="41"/>
      <c r="KE110" s="41"/>
      <c r="KF110" s="41"/>
      <c r="KG110" s="41"/>
      <c r="KH110" s="41"/>
      <c r="KI110" s="41"/>
      <c r="KJ110" s="41"/>
      <c r="KK110" s="41"/>
      <c r="KL110" s="41"/>
      <c r="KM110" s="41"/>
      <c r="KN110" s="41"/>
      <c r="KO110" s="41"/>
      <c r="KP110" s="41"/>
      <c r="KQ110" s="41"/>
      <c r="KR110" s="41"/>
      <c r="KS110" s="41"/>
      <c r="KT110" s="41"/>
      <c r="KU110" s="41"/>
      <c r="KV110" s="41"/>
      <c r="KW110" s="41"/>
      <c r="KX110" s="41"/>
      <c r="KY110" s="41"/>
      <c r="KZ110" s="41"/>
      <c r="LA110" s="41"/>
      <c r="LB110" s="41"/>
      <c r="LC110" s="41"/>
      <c r="LD110" s="41"/>
      <c r="LE110" s="41"/>
      <c r="LF110" s="41"/>
      <c r="LG110" s="41"/>
      <c r="LH110" s="41"/>
      <c r="LI110" s="41"/>
      <c r="LJ110" s="41"/>
      <c r="LK110" s="41"/>
      <c r="LL110" s="44"/>
    </row>
    <row r="111" spans="7:324" ht="18" customHeight="1">
      <c r="G111" s="4"/>
      <c r="S111" s="42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123"/>
      <c r="AK111" s="109"/>
      <c r="AL111" s="109"/>
      <c r="AM111" s="109"/>
      <c r="AN111" s="124"/>
      <c r="AO111" s="43"/>
      <c r="AP111" s="43"/>
      <c r="AQ111" s="43"/>
      <c r="AR111" s="43"/>
      <c r="AS111" s="43"/>
      <c r="AT111" s="43"/>
      <c r="AU111" s="43"/>
      <c r="AV111" s="43"/>
      <c r="AW111" s="123"/>
      <c r="AX111" s="109"/>
      <c r="AY111" s="109"/>
      <c r="AZ111" s="124"/>
      <c r="BA111" s="43"/>
      <c r="BB111" s="43"/>
      <c r="BC111" s="43"/>
      <c r="BD111" s="43"/>
      <c r="BE111" s="43"/>
      <c r="BF111" s="43"/>
      <c r="BG111" s="43"/>
      <c r="BH111" s="123"/>
      <c r="BI111" s="109"/>
      <c r="BJ111" s="109"/>
      <c r="BK111" s="124"/>
      <c r="BL111" s="43"/>
      <c r="BM111" s="43"/>
      <c r="BN111" s="43"/>
      <c r="BO111" s="43"/>
      <c r="BP111" s="45"/>
      <c r="CC111" s="13"/>
      <c r="CD111" s="13"/>
      <c r="CW111" s="42"/>
      <c r="CX111" s="43"/>
      <c r="CY111" s="43"/>
      <c r="CZ111" s="43"/>
      <c r="DA111" s="43"/>
      <c r="DB111" s="43"/>
      <c r="DC111" s="43"/>
      <c r="DD111" s="43"/>
      <c r="DE111" s="43"/>
      <c r="DF111" s="43"/>
      <c r="DG111" s="43"/>
      <c r="DH111" s="43"/>
      <c r="DI111" s="43"/>
      <c r="DJ111" s="43"/>
      <c r="DK111" s="43"/>
      <c r="DL111" s="43"/>
      <c r="DM111" s="43"/>
      <c r="DN111" s="43"/>
      <c r="DO111" s="43"/>
      <c r="DP111" s="43"/>
      <c r="DQ111" s="43"/>
      <c r="DR111" s="43"/>
      <c r="DS111" s="43"/>
      <c r="DT111" s="43"/>
      <c r="DU111" s="43"/>
      <c r="DV111" s="43"/>
      <c r="DW111" s="43"/>
      <c r="DX111" s="43"/>
      <c r="DY111" s="43"/>
      <c r="DZ111" s="43"/>
      <c r="EA111" s="43"/>
      <c r="EB111" s="43"/>
      <c r="EC111" s="43"/>
      <c r="ED111" s="43"/>
      <c r="EE111" s="43"/>
      <c r="EF111" s="43"/>
      <c r="EG111" s="43"/>
      <c r="EH111" s="43"/>
      <c r="EI111" s="43"/>
      <c r="EJ111" s="43"/>
      <c r="EK111" s="43"/>
      <c r="EL111" s="43"/>
      <c r="EM111" s="43"/>
      <c r="EN111" s="43"/>
      <c r="EO111" s="43"/>
      <c r="EP111" s="43"/>
      <c r="EQ111" s="43"/>
      <c r="ER111" s="43"/>
      <c r="ES111" s="43"/>
      <c r="ET111" s="45"/>
      <c r="FH111" s="42"/>
      <c r="FI111" s="43"/>
      <c r="FJ111" s="43"/>
      <c r="FK111" s="43"/>
      <c r="FL111" s="43"/>
      <c r="FM111" s="43"/>
      <c r="FN111" s="43"/>
      <c r="FO111" s="43"/>
      <c r="FP111" s="43"/>
      <c r="FQ111" s="43"/>
      <c r="FR111" s="43"/>
      <c r="FS111" s="43"/>
      <c r="FT111" s="43"/>
      <c r="FU111" s="43"/>
      <c r="FV111" s="43"/>
      <c r="FW111" s="43"/>
      <c r="FX111" s="43"/>
      <c r="FY111" s="43"/>
      <c r="FZ111" s="43"/>
      <c r="GA111" s="43"/>
      <c r="GB111" s="43"/>
      <c r="GC111" s="43"/>
      <c r="GD111" s="43"/>
      <c r="GE111" s="43"/>
      <c r="GF111" s="43"/>
      <c r="GG111" s="43"/>
      <c r="GH111" s="43"/>
      <c r="GI111" s="43"/>
      <c r="GJ111" s="43"/>
      <c r="GK111" s="43"/>
      <c r="GL111" s="43"/>
      <c r="GM111" s="43"/>
      <c r="GN111" s="43"/>
      <c r="GO111" s="43"/>
      <c r="GP111" s="43"/>
      <c r="GQ111" s="43"/>
      <c r="GR111" s="43"/>
      <c r="GS111" s="43"/>
      <c r="GT111" s="43"/>
      <c r="GU111" s="43"/>
      <c r="GV111" s="43"/>
      <c r="GW111" s="43"/>
      <c r="GX111" s="43"/>
      <c r="GY111" s="43"/>
      <c r="GZ111" s="43"/>
      <c r="HA111" s="43"/>
      <c r="HB111" s="43"/>
      <c r="HC111" s="43"/>
      <c r="HD111" s="43"/>
      <c r="HE111" s="43"/>
      <c r="HF111" s="43"/>
      <c r="HG111" s="43"/>
      <c r="HH111" s="43"/>
      <c r="HI111" s="43"/>
      <c r="HJ111" s="43"/>
      <c r="HK111" s="43"/>
      <c r="HL111" s="43"/>
      <c r="HM111" s="43"/>
      <c r="HN111" s="43"/>
      <c r="HO111" s="43"/>
      <c r="HP111" s="43"/>
      <c r="HQ111" s="43"/>
      <c r="HR111" s="43"/>
      <c r="HS111" s="43"/>
      <c r="HT111" s="43"/>
      <c r="HU111" s="43"/>
      <c r="HV111" s="43"/>
      <c r="HW111" s="43"/>
      <c r="HX111" s="43"/>
      <c r="HY111" s="43"/>
      <c r="HZ111" s="43"/>
      <c r="IA111" s="45"/>
      <c r="IQ111" s="42"/>
      <c r="IR111" s="43"/>
      <c r="IS111" s="43"/>
      <c r="IT111" s="43"/>
      <c r="IU111" s="43"/>
      <c r="IV111" s="43"/>
      <c r="IW111" s="43"/>
      <c r="IX111" s="43"/>
      <c r="IY111" s="43"/>
      <c r="IZ111" s="43"/>
      <c r="JA111" s="43"/>
      <c r="JB111" s="43"/>
      <c r="JC111" s="43"/>
      <c r="JD111" s="43"/>
      <c r="JE111" s="43"/>
      <c r="JF111" s="43"/>
      <c r="JG111" s="43"/>
      <c r="JH111" s="43"/>
      <c r="JI111" s="43"/>
      <c r="JJ111" s="43"/>
      <c r="JK111" s="43"/>
      <c r="JL111" s="43"/>
      <c r="JM111" s="43"/>
      <c r="JN111" s="43"/>
      <c r="JO111" s="43"/>
      <c r="JP111" s="43"/>
      <c r="JQ111" s="43"/>
      <c r="JR111" s="43"/>
      <c r="JS111" s="43"/>
      <c r="JT111" s="43"/>
      <c r="JU111" s="43"/>
      <c r="JV111" s="43"/>
      <c r="JW111" s="43"/>
      <c r="JX111" s="43"/>
      <c r="JY111" s="43"/>
      <c r="JZ111" s="43"/>
      <c r="KA111" s="43"/>
      <c r="KB111" s="43"/>
      <c r="KC111" s="43"/>
      <c r="KD111" s="43"/>
      <c r="KE111" s="43"/>
      <c r="KF111" s="43"/>
      <c r="KG111" s="43"/>
      <c r="KH111" s="43"/>
      <c r="KI111" s="43"/>
      <c r="KJ111" s="43"/>
      <c r="KK111" s="43"/>
      <c r="KL111" s="43"/>
      <c r="KM111" s="43"/>
      <c r="KN111" s="43"/>
      <c r="KO111" s="43"/>
      <c r="KP111" s="43"/>
      <c r="KQ111" s="43"/>
      <c r="KR111" s="43"/>
      <c r="KS111" s="43"/>
      <c r="KT111" s="43"/>
      <c r="KU111" s="43"/>
      <c r="KV111" s="43"/>
      <c r="KW111" s="43"/>
      <c r="KX111" s="43"/>
      <c r="KY111" s="43"/>
      <c r="KZ111" s="43"/>
      <c r="LA111" s="43"/>
      <c r="LB111" s="43"/>
      <c r="LC111" s="43"/>
      <c r="LD111" s="43"/>
      <c r="LE111" s="43"/>
      <c r="LF111" s="43"/>
      <c r="LG111" s="43"/>
      <c r="LH111" s="43"/>
      <c r="LI111" s="43"/>
      <c r="LJ111" s="43"/>
      <c r="LK111" s="43"/>
      <c r="LL111" s="45"/>
    </row>
    <row r="112" spans="7:324" ht="18" customHeight="1">
      <c r="G112" s="4"/>
      <c r="S112" s="42"/>
      <c r="T112" s="43"/>
      <c r="U112" s="9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O112" s="10"/>
      <c r="AP112" s="10"/>
      <c r="AQ112" s="10"/>
      <c r="AR112" s="11"/>
      <c r="AS112" s="11"/>
      <c r="AT112" s="9"/>
      <c r="AU112" s="10"/>
      <c r="AV112" s="10"/>
      <c r="BA112" s="10"/>
      <c r="BB112" s="10"/>
      <c r="BC112" s="11"/>
      <c r="BD112" s="10"/>
      <c r="BE112" s="9"/>
      <c r="BF112" s="10"/>
      <c r="BG112" s="10"/>
      <c r="BL112" s="10"/>
      <c r="BM112" s="10"/>
      <c r="BN112" s="11"/>
      <c r="BO112" s="43"/>
      <c r="BP112" s="45"/>
      <c r="CC112" s="13"/>
      <c r="CD112" s="13"/>
      <c r="CW112" s="42"/>
      <c r="CX112" s="43"/>
      <c r="CY112" s="9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/>
      <c r="DN112" s="10"/>
      <c r="DO112" s="10"/>
      <c r="DP112" s="10"/>
      <c r="DQ112" s="10"/>
      <c r="DR112" s="10"/>
      <c r="DS112" s="10"/>
      <c r="DT112" s="10"/>
      <c r="DU112" s="10"/>
      <c r="DV112" s="10"/>
      <c r="DW112" s="17"/>
      <c r="DX112" s="9"/>
      <c r="DY112" s="10"/>
      <c r="DZ112" s="10"/>
      <c r="EA112" s="10"/>
      <c r="EB112" s="10"/>
      <c r="EC112" s="10"/>
      <c r="ED112" s="10"/>
      <c r="EE112" s="10"/>
      <c r="EF112" s="10"/>
      <c r="EG112" s="11"/>
      <c r="EH112" s="10"/>
      <c r="EI112" s="9"/>
      <c r="EJ112" s="10"/>
      <c r="EK112" s="10"/>
      <c r="EL112" s="10"/>
      <c r="EM112" s="10"/>
      <c r="EN112" s="10"/>
      <c r="EO112" s="10"/>
      <c r="EP112" s="10"/>
      <c r="EQ112" s="10"/>
      <c r="ER112" s="11"/>
      <c r="ES112" s="43"/>
      <c r="ET112" s="45"/>
      <c r="FH112" s="42"/>
      <c r="FI112" s="43"/>
      <c r="FJ112" s="9"/>
      <c r="FK112" s="10"/>
      <c r="FL112" s="10"/>
      <c r="FM112" s="10"/>
      <c r="FN112" s="10"/>
      <c r="FO112" s="10"/>
      <c r="FP112" s="10"/>
      <c r="FQ112" s="10"/>
      <c r="FR112" s="10"/>
      <c r="FS112" s="10"/>
      <c r="FT112" s="10"/>
      <c r="FU112" s="10"/>
      <c r="FV112" s="10"/>
      <c r="FW112" s="10"/>
      <c r="FX112" s="10"/>
      <c r="FY112" s="10"/>
      <c r="FZ112" s="10"/>
      <c r="GA112" s="10"/>
      <c r="GB112" s="10"/>
      <c r="GC112" s="10"/>
      <c r="GD112" s="10"/>
      <c r="GE112" s="10"/>
      <c r="GF112" s="10"/>
      <c r="GG112" s="10"/>
      <c r="GH112" s="17"/>
      <c r="GI112" s="9"/>
      <c r="GJ112" s="10"/>
      <c r="GK112" s="10"/>
      <c r="GL112" s="10"/>
      <c r="GM112" s="10"/>
      <c r="GN112" s="10"/>
      <c r="GO112" s="10"/>
      <c r="GP112" s="10"/>
      <c r="GQ112" s="10"/>
      <c r="GR112" s="11"/>
      <c r="GS112" s="10"/>
      <c r="GT112" s="9"/>
      <c r="GU112" s="10"/>
      <c r="GV112" s="10"/>
      <c r="GW112" s="10"/>
      <c r="GX112" s="10"/>
      <c r="GY112" s="10"/>
      <c r="GZ112" s="10"/>
      <c r="HA112" s="10"/>
      <c r="HB112" s="10"/>
      <c r="HC112" s="11"/>
      <c r="HD112" s="9"/>
      <c r="HE112" s="9"/>
      <c r="HF112" s="10"/>
      <c r="HG112" s="10"/>
      <c r="HH112" s="10"/>
      <c r="HI112" s="10"/>
      <c r="HJ112" s="10"/>
      <c r="HK112" s="10"/>
      <c r="HL112" s="10"/>
      <c r="HM112" s="10"/>
      <c r="HN112" s="10"/>
      <c r="HO112" s="10"/>
      <c r="HP112" s="10"/>
      <c r="HQ112" s="10"/>
      <c r="HR112" s="10"/>
      <c r="HS112" s="10"/>
      <c r="HT112" s="10"/>
      <c r="HU112" s="10"/>
      <c r="HV112" s="10"/>
      <c r="HW112" s="10"/>
      <c r="HX112" s="10"/>
      <c r="HY112" s="11"/>
      <c r="HZ112" s="43"/>
      <c r="IA112" s="45"/>
      <c r="IQ112" s="42"/>
      <c r="IR112" s="43"/>
      <c r="IS112" s="9"/>
      <c r="IT112" s="10"/>
      <c r="IU112" s="10"/>
      <c r="IV112" s="10"/>
      <c r="IW112" s="10"/>
      <c r="IX112" s="10"/>
      <c r="IY112" s="10"/>
      <c r="IZ112" s="10"/>
      <c r="JA112" s="10"/>
      <c r="JB112" s="10"/>
      <c r="JC112" s="10"/>
      <c r="JD112" s="10"/>
      <c r="JE112" s="10"/>
      <c r="JF112" s="10"/>
      <c r="JG112" s="10"/>
      <c r="JH112" s="10"/>
      <c r="JI112" s="10"/>
      <c r="JJ112" s="10"/>
      <c r="JK112" s="10"/>
      <c r="JL112" s="10"/>
      <c r="JM112" s="10"/>
      <c r="JN112" s="10"/>
      <c r="JO112" s="10"/>
      <c r="JP112" s="11"/>
      <c r="JQ112" s="10"/>
      <c r="JR112" s="9"/>
      <c r="JS112" s="10"/>
      <c r="JT112" s="10"/>
      <c r="JU112" s="10"/>
      <c r="JV112" s="10"/>
      <c r="JW112" s="10"/>
      <c r="JX112" s="10"/>
      <c r="JY112" s="10"/>
      <c r="JZ112" s="10"/>
      <c r="KA112" s="10"/>
      <c r="KB112" s="10"/>
      <c r="KC112" s="10"/>
      <c r="KD112" s="10"/>
      <c r="KE112" s="10"/>
      <c r="KF112" s="10"/>
      <c r="KG112" s="10"/>
      <c r="KH112" s="10"/>
      <c r="KI112" s="11"/>
      <c r="KJ112" s="10"/>
      <c r="KK112" s="9"/>
      <c r="KL112" s="10"/>
      <c r="KM112" s="10"/>
      <c r="KN112" s="10"/>
      <c r="KO112" s="10"/>
      <c r="KP112" s="10"/>
      <c r="KQ112" s="10"/>
      <c r="KR112" s="10"/>
      <c r="KS112" s="10"/>
      <c r="KT112" s="10"/>
      <c r="KU112" s="10"/>
      <c r="KV112" s="10"/>
      <c r="KW112" s="10"/>
      <c r="KX112" s="10"/>
      <c r="KY112" s="10"/>
      <c r="KZ112" s="10"/>
      <c r="LA112" s="10"/>
      <c r="LB112" s="10"/>
      <c r="LC112" s="10"/>
      <c r="LD112" s="10"/>
      <c r="LE112" s="10"/>
      <c r="LF112" s="10"/>
      <c r="LG112" s="10"/>
      <c r="LH112" s="10"/>
      <c r="LI112" s="10"/>
      <c r="LJ112" s="11"/>
      <c r="LK112" s="43"/>
      <c r="LL112" s="45"/>
    </row>
    <row r="113" spans="7:324" ht="18" customHeight="1">
      <c r="G113" s="4"/>
      <c r="S113" s="42"/>
      <c r="T113" s="43"/>
      <c r="U113" s="12"/>
      <c r="AR113" s="13"/>
      <c r="AS113" s="13"/>
      <c r="AT113" s="12"/>
      <c r="BC113" s="13"/>
      <c r="BE113" s="12"/>
      <c r="BN113" s="13"/>
      <c r="BO113" s="43"/>
      <c r="BP113" s="45"/>
      <c r="CC113" s="13"/>
      <c r="CD113" s="13"/>
      <c r="CW113" s="42"/>
      <c r="CX113" s="43"/>
      <c r="CY113" s="12"/>
      <c r="DW113" s="18"/>
      <c r="DX113" s="12"/>
      <c r="EG113" s="13"/>
      <c r="EI113" s="12"/>
      <c r="ER113" s="13"/>
      <c r="ES113" s="43"/>
      <c r="ET113" s="45"/>
      <c r="FH113" s="42"/>
      <c r="FI113" s="43"/>
      <c r="FJ113" s="12"/>
      <c r="GH113" s="18"/>
      <c r="GI113" s="12"/>
      <c r="GR113" s="13"/>
      <c r="GT113" s="12"/>
      <c r="HC113" s="13"/>
      <c r="HD113" s="12"/>
      <c r="HE113" s="12"/>
      <c r="HY113" s="13"/>
      <c r="HZ113" s="43"/>
      <c r="IA113" s="45"/>
      <c r="IQ113" s="42"/>
      <c r="IR113" s="43"/>
      <c r="IS113" s="12"/>
      <c r="JP113" s="13"/>
      <c r="JQ113" s="127"/>
      <c r="JR113" s="12"/>
      <c r="KI113" s="13"/>
      <c r="KK113" s="12"/>
      <c r="LJ113" s="13"/>
      <c r="LK113" s="43"/>
      <c r="LL113" s="45"/>
    </row>
    <row r="114" spans="7:324" ht="18" customHeight="1">
      <c r="G114" s="4"/>
      <c r="S114" s="42"/>
      <c r="T114" s="43"/>
      <c r="U114" s="12"/>
      <c r="AR114" s="13"/>
      <c r="AS114" s="13"/>
      <c r="AT114" s="12"/>
      <c r="BC114" s="13"/>
      <c r="BE114" s="12"/>
      <c r="BN114" s="13"/>
      <c r="BO114" s="43"/>
      <c r="BP114" s="45"/>
      <c r="CC114" s="13"/>
      <c r="CD114" s="13"/>
      <c r="CW114" s="42"/>
      <c r="CX114" s="43"/>
      <c r="CY114" s="12"/>
      <c r="DW114" s="18"/>
      <c r="DX114" s="12"/>
      <c r="EG114" s="13"/>
      <c r="EI114" s="12"/>
      <c r="ER114" s="13"/>
      <c r="ES114" s="43"/>
      <c r="ET114" s="45"/>
      <c r="FH114" s="42"/>
      <c r="FI114" s="43"/>
      <c r="FJ114" s="12"/>
      <c r="GH114" s="18"/>
      <c r="GI114" s="12"/>
      <c r="GR114" s="13"/>
      <c r="GT114" s="12"/>
      <c r="HC114" s="13"/>
      <c r="HD114" s="12"/>
      <c r="HE114" s="12"/>
      <c r="HY114" s="13"/>
      <c r="HZ114" s="43"/>
      <c r="IA114" s="45"/>
      <c r="IQ114" s="42"/>
      <c r="IR114" s="43"/>
      <c r="IS114" s="12"/>
      <c r="JP114" s="13"/>
      <c r="JQ114" s="127"/>
      <c r="JR114" s="12"/>
      <c r="KI114" s="13"/>
      <c r="KK114" s="12"/>
      <c r="LJ114" s="13"/>
      <c r="LK114" s="43"/>
      <c r="LL114" s="45"/>
    </row>
    <row r="115" spans="7:324" ht="18" customHeight="1">
      <c r="G115" s="4"/>
      <c r="S115" s="42"/>
      <c r="T115" s="43"/>
      <c r="U115" s="12"/>
      <c r="AR115" s="13"/>
      <c r="AS115" s="13"/>
      <c r="AT115" s="12"/>
      <c r="BC115" s="13"/>
      <c r="BE115" s="12"/>
      <c r="BN115" s="13"/>
      <c r="BO115" s="43"/>
      <c r="BP115" s="45"/>
      <c r="CC115" s="13"/>
      <c r="CD115" s="13"/>
      <c r="CW115" s="42"/>
      <c r="CX115" s="43"/>
      <c r="CY115" s="12"/>
      <c r="DW115" s="18"/>
      <c r="DX115" s="12"/>
      <c r="EG115" s="13"/>
      <c r="EI115" s="12"/>
      <c r="ER115" s="13"/>
      <c r="ES115" s="43"/>
      <c r="ET115" s="45"/>
      <c r="FH115" s="42"/>
      <c r="FI115" s="43"/>
      <c r="FJ115" s="12"/>
      <c r="GH115" s="18"/>
      <c r="GI115" s="12"/>
      <c r="GR115" s="13"/>
      <c r="GT115" s="12"/>
      <c r="HC115" s="13"/>
      <c r="HD115" s="12"/>
      <c r="HE115" s="12"/>
      <c r="HY115" s="13"/>
      <c r="HZ115" s="43"/>
      <c r="IA115" s="45"/>
      <c r="IQ115" s="42"/>
      <c r="IR115" s="43"/>
      <c r="IS115" s="12"/>
      <c r="JP115" s="13"/>
      <c r="JQ115" s="127"/>
      <c r="JR115" s="12"/>
      <c r="KI115" s="13"/>
      <c r="KK115" s="12"/>
      <c r="LJ115" s="13"/>
      <c r="LK115" s="43"/>
      <c r="LL115" s="45"/>
    </row>
    <row r="116" spans="7:324" ht="18" customHeight="1">
      <c r="G116" s="4"/>
      <c r="S116" s="42"/>
      <c r="T116" s="43"/>
      <c r="U116" s="12"/>
      <c r="AR116" s="13"/>
      <c r="AS116" s="13"/>
      <c r="AT116" s="12"/>
      <c r="BC116" s="13"/>
      <c r="BE116" s="12"/>
      <c r="BN116" s="13"/>
      <c r="BO116" s="43"/>
      <c r="BP116" s="45"/>
      <c r="CC116" s="13"/>
      <c r="CD116" s="13"/>
      <c r="CW116" s="42"/>
      <c r="CX116" s="43"/>
      <c r="CY116" s="12"/>
      <c r="DW116" s="18"/>
      <c r="DX116" s="12"/>
      <c r="EG116" s="13"/>
      <c r="EI116" s="12"/>
      <c r="ER116" s="13"/>
      <c r="ES116" s="43"/>
      <c r="ET116" s="45"/>
      <c r="FH116" s="42"/>
      <c r="FI116" s="43"/>
      <c r="FJ116" s="12"/>
      <c r="GH116" s="18"/>
      <c r="GI116" s="12"/>
      <c r="GR116" s="13"/>
      <c r="GT116" s="12"/>
      <c r="HC116" s="13"/>
      <c r="HD116" s="12"/>
      <c r="HE116" s="12"/>
      <c r="HY116" s="13"/>
      <c r="HZ116" s="43"/>
      <c r="IA116" s="45"/>
      <c r="IQ116" s="42"/>
      <c r="IR116" s="43"/>
      <c r="IS116" s="12"/>
      <c r="JP116" s="13"/>
      <c r="JQ116" s="127"/>
      <c r="JR116" s="12"/>
      <c r="KI116" s="13"/>
      <c r="KK116" s="12"/>
      <c r="LJ116" s="13"/>
      <c r="LK116" s="43"/>
      <c r="LL116" s="45"/>
    </row>
    <row r="117" spans="7:324" ht="18" customHeight="1">
      <c r="G117" s="4"/>
      <c r="S117" s="42"/>
      <c r="T117" s="43"/>
      <c r="U117" s="12"/>
      <c r="AR117" s="13"/>
      <c r="AS117" s="13"/>
      <c r="AT117" s="12"/>
      <c r="BC117" s="13"/>
      <c r="BE117" s="12"/>
      <c r="BN117" s="13"/>
      <c r="BO117" s="43"/>
      <c r="BP117" s="45"/>
      <c r="CC117" s="13"/>
      <c r="CD117" s="13"/>
      <c r="CW117" s="42"/>
      <c r="CX117" s="43"/>
      <c r="CY117" s="12"/>
      <c r="DW117" s="18"/>
      <c r="DX117" s="12"/>
      <c r="EG117" s="13"/>
      <c r="EI117" s="12"/>
      <c r="ER117" s="13"/>
      <c r="ES117" s="43"/>
      <c r="ET117" s="45"/>
      <c r="FH117" s="42"/>
      <c r="FI117" s="43"/>
      <c r="FJ117" s="12"/>
      <c r="GH117" s="18"/>
      <c r="GI117" s="12"/>
      <c r="GR117" s="13"/>
      <c r="GT117" s="12"/>
      <c r="HC117" s="13"/>
      <c r="HD117" s="12"/>
      <c r="HE117" s="12"/>
      <c r="HY117" s="13"/>
      <c r="HZ117" s="43"/>
      <c r="IA117" s="45"/>
      <c r="IQ117" s="42"/>
      <c r="IR117" s="43"/>
      <c r="IS117" s="12"/>
      <c r="JP117" s="13"/>
      <c r="JQ117" s="127"/>
      <c r="JR117" s="12"/>
      <c r="KI117" s="13"/>
      <c r="KK117" s="12"/>
      <c r="LJ117" s="13"/>
      <c r="LK117" s="43"/>
      <c r="LL117" s="45"/>
    </row>
    <row r="118" spans="7:324" ht="18" customHeight="1">
      <c r="G118" s="4"/>
      <c r="S118" s="42"/>
      <c r="T118" s="43"/>
      <c r="U118" s="12"/>
      <c r="AR118" s="13"/>
      <c r="AS118" s="13"/>
      <c r="AT118" s="12"/>
      <c r="BC118" s="13"/>
      <c r="BE118" s="12"/>
      <c r="BN118" s="13"/>
      <c r="BO118" s="43"/>
      <c r="BP118" s="45"/>
      <c r="CC118" s="13"/>
      <c r="CD118" s="13"/>
      <c r="CW118" s="42"/>
      <c r="CX118" s="43"/>
      <c r="CY118" s="12"/>
      <c r="DW118" s="18"/>
      <c r="DX118" s="12"/>
      <c r="EG118" s="13"/>
      <c r="EI118" s="12"/>
      <c r="ER118" s="13"/>
      <c r="ES118" s="43"/>
      <c r="ET118" s="45"/>
      <c r="FH118" s="42"/>
      <c r="FI118" s="43"/>
      <c r="FJ118" s="9"/>
      <c r="FK118" s="10"/>
      <c r="FL118" s="10"/>
      <c r="FM118" s="10"/>
      <c r="FN118" s="10"/>
      <c r="FO118" s="10"/>
      <c r="FP118" s="10"/>
      <c r="FQ118" s="10"/>
      <c r="FR118" s="10"/>
      <c r="FS118" s="10"/>
      <c r="FT118" s="10"/>
      <c r="FU118" s="11"/>
      <c r="GH118" s="18"/>
      <c r="GI118" s="12"/>
      <c r="GR118" s="13"/>
      <c r="GT118" s="12"/>
      <c r="HC118" s="13"/>
      <c r="HD118" s="12"/>
      <c r="HE118" s="12"/>
      <c r="HY118" s="13"/>
      <c r="HZ118" s="43"/>
      <c r="IA118" s="45"/>
      <c r="IQ118" s="42"/>
      <c r="IR118" s="43"/>
      <c r="IS118" s="12"/>
      <c r="JP118" s="13"/>
      <c r="JR118" s="12"/>
      <c r="KI118" s="13"/>
      <c r="KK118" s="12"/>
      <c r="LJ118" s="13"/>
      <c r="LK118" s="43"/>
      <c r="LL118" s="45"/>
    </row>
    <row r="119" spans="7:324" ht="18" customHeight="1">
      <c r="G119" s="4"/>
      <c r="S119" s="42"/>
      <c r="T119" s="43"/>
      <c r="U119" s="12"/>
      <c r="AR119" s="13"/>
      <c r="AS119" s="13"/>
      <c r="AT119" s="14"/>
      <c r="AU119" s="15"/>
      <c r="AV119" s="15"/>
      <c r="AW119" s="15"/>
      <c r="AX119" s="15"/>
      <c r="AY119" s="15"/>
      <c r="AZ119" s="15"/>
      <c r="BA119" s="15"/>
      <c r="BB119" s="15"/>
      <c r="BC119" s="16"/>
      <c r="BE119" s="14"/>
      <c r="BF119" s="15"/>
      <c r="BG119" s="15"/>
      <c r="BH119" s="15"/>
      <c r="BI119" s="15"/>
      <c r="BJ119" s="15"/>
      <c r="BK119" s="15"/>
      <c r="BL119" s="15"/>
      <c r="BM119" s="15"/>
      <c r="BN119" s="16"/>
      <c r="BO119" s="43"/>
      <c r="BP119" s="45"/>
      <c r="CC119" s="13"/>
      <c r="CD119" s="13"/>
      <c r="CW119" s="42"/>
      <c r="CX119" s="43"/>
      <c r="CY119" s="12"/>
      <c r="DW119" s="18"/>
      <c r="DX119" s="14"/>
      <c r="DY119" s="15"/>
      <c r="DZ119" s="15"/>
      <c r="EA119" s="15"/>
      <c r="EB119" s="15"/>
      <c r="EC119" s="15"/>
      <c r="ED119" s="15"/>
      <c r="EE119" s="15"/>
      <c r="EF119" s="15"/>
      <c r="EG119" s="16"/>
      <c r="EI119" s="14"/>
      <c r="EJ119" s="15"/>
      <c r="EK119" s="15"/>
      <c r="EL119" s="15"/>
      <c r="EM119" s="15"/>
      <c r="EN119" s="15"/>
      <c r="EO119" s="15"/>
      <c r="EP119" s="15"/>
      <c r="EQ119" s="15"/>
      <c r="ER119" s="16"/>
      <c r="ES119" s="43"/>
      <c r="ET119" s="45"/>
      <c r="FH119" s="42"/>
      <c r="FI119" s="43"/>
      <c r="FJ119" s="12"/>
      <c r="FU119" s="13"/>
      <c r="GH119" s="18"/>
      <c r="GI119" s="14"/>
      <c r="GJ119" s="15"/>
      <c r="GK119" s="15"/>
      <c r="GL119" s="15"/>
      <c r="GM119" s="15"/>
      <c r="GN119" s="15"/>
      <c r="GO119" s="15"/>
      <c r="GP119" s="15"/>
      <c r="GQ119" s="15"/>
      <c r="GR119" s="16"/>
      <c r="GT119" s="14"/>
      <c r="GU119" s="15"/>
      <c r="GV119" s="15"/>
      <c r="GW119" s="15"/>
      <c r="GX119" s="15"/>
      <c r="GY119" s="15"/>
      <c r="GZ119" s="15"/>
      <c r="HA119" s="15"/>
      <c r="HB119" s="15"/>
      <c r="HC119" s="16"/>
      <c r="HD119" s="12"/>
      <c r="HE119" s="12"/>
      <c r="HY119" s="13"/>
      <c r="HZ119" s="43"/>
      <c r="IA119" s="45"/>
      <c r="IQ119" s="42"/>
      <c r="IR119" s="43"/>
      <c r="IS119" s="12"/>
      <c r="JP119" s="13"/>
      <c r="JR119" s="12"/>
      <c r="KI119" s="13"/>
      <c r="KK119" s="12"/>
      <c r="LJ119" s="13"/>
      <c r="LK119" s="43"/>
      <c r="LL119" s="45"/>
    </row>
    <row r="120" spans="7:324" ht="18" customHeight="1">
      <c r="G120" s="4"/>
      <c r="S120" s="42"/>
      <c r="T120" s="43"/>
      <c r="U120" s="12"/>
      <c r="AR120" s="13"/>
      <c r="AS120" s="13"/>
      <c r="AT120" s="12"/>
      <c r="AY120" s="9"/>
      <c r="AZ120" s="10"/>
      <c r="BA120" s="10"/>
      <c r="BB120" s="10"/>
      <c r="BC120" s="11"/>
      <c r="BE120" s="9"/>
      <c r="BF120" s="10"/>
      <c r="BG120" s="10"/>
      <c r="BH120" s="10"/>
      <c r="BI120" s="11"/>
      <c r="BN120" s="13"/>
      <c r="BO120" s="43"/>
      <c r="BP120" s="45"/>
      <c r="CC120" s="13"/>
      <c r="CD120" s="13"/>
      <c r="CW120" s="42"/>
      <c r="CX120" s="43"/>
      <c r="CY120" s="12"/>
      <c r="DW120" s="18"/>
      <c r="EC120" s="9"/>
      <c r="ED120" s="10"/>
      <c r="EE120" s="10"/>
      <c r="EF120" s="10"/>
      <c r="EG120" s="11"/>
      <c r="EI120" s="9"/>
      <c r="EJ120" s="10"/>
      <c r="EK120" s="10"/>
      <c r="EL120" s="10"/>
      <c r="EM120" s="11"/>
      <c r="ER120" s="13"/>
      <c r="ES120" s="43"/>
      <c r="ET120" s="45"/>
      <c r="FH120" s="42"/>
      <c r="FI120" s="43"/>
      <c r="FJ120" s="12"/>
      <c r="FU120" s="13"/>
      <c r="GH120" s="18"/>
      <c r="GN120" s="9"/>
      <c r="GO120" s="10"/>
      <c r="GP120" s="10"/>
      <c r="GQ120" s="10"/>
      <c r="GR120" s="11"/>
      <c r="GT120" s="9"/>
      <c r="GU120" s="10"/>
      <c r="GV120" s="10"/>
      <c r="GW120" s="10"/>
      <c r="GX120" s="11"/>
      <c r="HC120" s="13"/>
      <c r="HD120" s="12"/>
      <c r="HE120" s="12"/>
      <c r="HY120" s="13"/>
      <c r="HZ120" s="43"/>
      <c r="IA120" s="45"/>
      <c r="IQ120" s="42"/>
      <c r="IR120" s="43"/>
      <c r="IS120" s="12"/>
      <c r="JP120" s="13"/>
      <c r="JR120" s="12"/>
      <c r="KI120" s="13"/>
      <c r="KK120" s="12"/>
      <c r="LJ120" s="13"/>
      <c r="LK120" s="43"/>
      <c r="LL120" s="45"/>
    </row>
    <row r="121" spans="7:324" ht="18" customHeight="1">
      <c r="G121" s="4"/>
      <c r="S121" s="42"/>
      <c r="T121" s="43"/>
      <c r="U121" s="12"/>
      <c r="AR121" s="13"/>
      <c r="AS121" s="13"/>
      <c r="AT121" s="12"/>
      <c r="AY121" s="12"/>
      <c r="BC121" s="13"/>
      <c r="BE121" s="12"/>
      <c r="BI121" s="13"/>
      <c r="BN121" s="13"/>
      <c r="BO121" s="43"/>
      <c r="BP121" s="45"/>
      <c r="CC121" s="13"/>
      <c r="CD121" s="13"/>
      <c r="CW121" s="42"/>
      <c r="CX121" s="43"/>
      <c r="CY121" s="12"/>
      <c r="DW121" s="18"/>
      <c r="EC121" s="12"/>
      <c r="EG121" s="13"/>
      <c r="EI121" s="12"/>
      <c r="EM121" s="13"/>
      <c r="ER121" s="13"/>
      <c r="ES121" s="43"/>
      <c r="ET121" s="45"/>
      <c r="FH121" s="42"/>
      <c r="FI121" s="43"/>
      <c r="FJ121" s="12"/>
      <c r="FU121" s="13"/>
      <c r="GH121" s="18"/>
      <c r="GN121" s="12"/>
      <c r="GR121" s="13"/>
      <c r="GT121" s="12"/>
      <c r="GX121" s="13"/>
      <c r="HC121" s="13"/>
      <c r="HD121" s="12"/>
      <c r="HE121" s="12"/>
      <c r="HY121" s="13"/>
      <c r="HZ121" s="43"/>
      <c r="IA121" s="45"/>
      <c r="IQ121" s="42"/>
      <c r="IR121" s="43"/>
      <c r="IS121" s="12"/>
      <c r="JP121" s="13"/>
      <c r="JR121" s="12"/>
      <c r="KI121" s="13"/>
      <c r="KK121" s="12"/>
      <c r="LJ121" s="13"/>
      <c r="LK121" s="43"/>
      <c r="LL121" s="45"/>
    </row>
    <row r="122" spans="7:324" ht="18" customHeight="1">
      <c r="G122" s="4"/>
      <c r="S122" s="42"/>
      <c r="T122" s="43"/>
      <c r="U122" s="12"/>
      <c r="AR122" s="13"/>
      <c r="AS122" s="13"/>
      <c r="AT122" s="12"/>
      <c r="AY122" s="12"/>
      <c r="BC122" s="13"/>
      <c r="BE122" s="12"/>
      <c r="BI122" s="13"/>
      <c r="BN122" s="13"/>
      <c r="BO122" s="43"/>
      <c r="BP122" s="45"/>
      <c r="CC122" s="13"/>
      <c r="CD122" s="13"/>
      <c r="CW122" s="42"/>
      <c r="CX122" s="43"/>
      <c r="CY122" s="12"/>
      <c r="DW122" s="18"/>
      <c r="EC122" s="12"/>
      <c r="EG122" s="13"/>
      <c r="EI122" s="12"/>
      <c r="EM122" s="13"/>
      <c r="ER122" s="13"/>
      <c r="ES122" s="43"/>
      <c r="ET122" s="45"/>
      <c r="FH122" s="42"/>
      <c r="FI122" s="43"/>
      <c r="FJ122" s="12"/>
      <c r="FU122" s="13"/>
      <c r="GH122" s="18"/>
      <c r="GN122" s="12"/>
      <c r="GR122" s="13"/>
      <c r="GT122" s="12"/>
      <c r="GX122" s="13"/>
      <c r="HC122" s="13"/>
      <c r="HD122" s="12"/>
      <c r="HE122" s="12"/>
      <c r="HY122" s="13"/>
      <c r="HZ122" s="43"/>
      <c r="IA122" s="45"/>
      <c r="IQ122" s="42"/>
      <c r="IR122" s="43"/>
      <c r="IS122" s="12"/>
      <c r="JP122" s="13"/>
      <c r="JR122" s="12"/>
      <c r="KI122" s="13"/>
      <c r="KK122" s="12"/>
      <c r="LJ122" s="13"/>
      <c r="LK122" s="43"/>
      <c r="LL122" s="45"/>
    </row>
    <row r="123" spans="7:324" ht="18" customHeight="1">
      <c r="G123" s="4"/>
      <c r="S123" s="42"/>
      <c r="T123" s="43"/>
      <c r="U123" s="12"/>
      <c r="AR123" s="13"/>
      <c r="AS123" s="13"/>
      <c r="AT123" s="12"/>
      <c r="AY123" s="12"/>
      <c r="BC123" s="13"/>
      <c r="BE123" s="12"/>
      <c r="BI123" s="13"/>
      <c r="BN123" s="13"/>
      <c r="BO123" s="43"/>
      <c r="BP123" s="45"/>
      <c r="CC123" s="13"/>
      <c r="CD123" s="13"/>
      <c r="CW123" s="42"/>
      <c r="CX123" s="43"/>
      <c r="CY123" s="12"/>
      <c r="DW123" s="18"/>
      <c r="EC123" s="12"/>
      <c r="EG123" s="13"/>
      <c r="EI123" s="12"/>
      <c r="EM123" s="13"/>
      <c r="ER123" s="13"/>
      <c r="ES123" s="43"/>
      <c r="ET123" s="45"/>
      <c r="FH123" s="42"/>
      <c r="FI123" s="43"/>
      <c r="FJ123" s="12"/>
      <c r="FU123" s="13"/>
      <c r="GH123" s="18"/>
      <c r="GN123" s="12"/>
      <c r="GR123" s="13"/>
      <c r="GT123" s="12"/>
      <c r="GX123" s="13"/>
      <c r="HC123" s="13"/>
      <c r="HD123" s="12"/>
      <c r="HE123" s="12"/>
      <c r="HY123" s="13"/>
      <c r="HZ123" s="43"/>
      <c r="IA123" s="45"/>
      <c r="IQ123" s="42"/>
      <c r="IR123" s="43"/>
      <c r="IS123" s="12"/>
      <c r="JP123" s="13"/>
      <c r="JR123" s="12"/>
      <c r="KI123" s="13"/>
      <c r="KK123" s="12"/>
      <c r="LJ123" s="13"/>
      <c r="LK123" s="43"/>
      <c r="LL123" s="45"/>
    </row>
    <row r="124" spans="7:324" ht="18" customHeight="1">
      <c r="G124" s="4"/>
      <c r="S124" s="42"/>
      <c r="T124" s="43"/>
      <c r="U124" s="12"/>
      <c r="AR124" s="13"/>
      <c r="AS124" s="23"/>
      <c r="AT124" s="12"/>
      <c r="AY124" s="14"/>
      <c r="AZ124" s="15"/>
      <c r="BA124" s="15"/>
      <c r="BB124" s="15"/>
      <c r="BC124" s="16"/>
      <c r="BE124" s="14"/>
      <c r="BF124" s="15"/>
      <c r="BG124" s="15"/>
      <c r="BH124" s="15"/>
      <c r="BI124" s="16"/>
      <c r="BN124" s="13"/>
      <c r="BO124" s="43"/>
      <c r="BP124" s="45"/>
      <c r="CC124" s="13"/>
      <c r="CD124" s="13"/>
      <c r="CW124" s="42"/>
      <c r="CX124" s="43"/>
      <c r="CY124" s="12"/>
      <c r="DW124" s="23"/>
      <c r="EC124" s="14"/>
      <c r="ED124" s="15"/>
      <c r="EE124" s="15"/>
      <c r="EF124" s="15"/>
      <c r="EG124" s="16"/>
      <c r="EI124" s="14"/>
      <c r="EJ124" s="15"/>
      <c r="EK124" s="15"/>
      <c r="EL124" s="15"/>
      <c r="EM124" s="16"/>
      <c r="ER124" s="13"/>
      <c r="ES124" s="43"/>
      <c r="ET124" s="45"/>
      <c r="FH124" s="42"/>
      <c r="FI124" s="43"/>
      <c r="FJ124" s="12"/>
      <c r="FU124" s="13"/>
      <c r="GH124" s="23"/>
      <c r="GN124" s="14"/>
      <c r="GO124" s="15"/>
      <c r="GP124" s="15"/>
      <c r="GQ124" s="15"/>
      <c r="GR124" s="16"/>
      <c r="GT124" s="14"/>
      <c r="GU124" s="15"/>
      <c r="GV124" s="15"/>
      <c r="GW124" s="15"/>
      <c r="GX124" s="16"/>
      <c r="HC124" s="13"/>
      <c r="HD124" s="12"/>
      <c r="HE124" s="12"/>
      <c r="HY124" s="13"/>
      <c r="HZ124" s="43"/>
      <c r="IA124" s="45"/>
      <c r="IQ124" s="42"/>
      <c r="IR124" s="43"/>
      <c r="IS124" s="12"/>
      <c r="JP124" s="13"/>
      <c r="JR124" s="12"/>
      <c r="KI124" s="13"/>
      <c r="KK124" s="12"/>
      <c r="LJ124" s="13"/>
      <c r="LK124" s="43"/>
      <c r="LL124" s="45"/>
    </row>
    <row r="125" spans="7:324" ht="18" customHeight="1">
      <c r="G125" s="4"/>
      <c r="S125" s="42"/>
      <c r="T125" s="43"/>
      <c r="U125" s="12"/>
      <c r="AR125" s="13"/>
      <c r="AS125" s="24"/>
      <c r="AT125" s="12"/>
      <c r="AY125" s="12"/>
      <c r="BC125" s="13"/>
      <c r="BE125" s="12"/>
      <c r="BI125" s="13"/>
      <c r="BN125" s="13"/>
      <c r="BO125" s="43"/>
      <c r="BP125" s="45"/>
      <c r="CC125" s="13"/>
      <c r="CD125" s="13"/>
      <c r="CW125" s="42"/>
      <c r="CX125" s="43"/>
      <c r="CY125" s="12"/>
      <c r="DW125" s="24"/>
      <c r="EC125" s="12"/>
      <c r="EG125" s="13"/>
      <c r="EI125" s="12"/>
      <c r="EM125" s="13"/>
      <c r="ER125" s="13"/>
      <c r="ES125" s="43"/>
      <c r="ET125" s="45"/>
      <c r="FH125" s="42"/>
      <c r="FI125" s="43"/>
      <c r="FJ125" s="12"/>
      <c r="FU125" s="13"/>
      <c r="GH125" s="24"/>
      <c r="GN125" s="12"/>
      <c r="GR125" s="13"/>
      <c r="GT125" s="12"/>
      <c r="GX125" s="13"/>
      <c r="HC125" s="13"/>
      <c r="HD125" s="12"/>
      <c r="HE125" s="12"/>
      <c r="HY125" s="13"/>
      <c r="HZ125" s="43"/>
      <c r="IA125" s="45"/>
      <c r="IQ125" s="42"/>
      <c r="IR125" s="43"/>
      <c r="IS125" s="12"/>
      <c r="JP125" s="13"/>
      <c r="JR125" s="12"/>
      <c r="KI125" s="13"/>
      <c r="KK125" s="12"/>
      <c r="LJ125" s="13"/>
      <c r="LK125" s="43"/>
      <c r="LL125" s="45"/>
    </row>
    <row r="126" spans="7:324" ht="18" customHeight="1">
      <c r="G126" s="4"/>
      <c r="S126" s="42"/>
      <c r="T126" s="43"/>
      <c r="U126" s="12"/>
      <c r="AR126" s="13"/>
      <c r="AS126" s="24"/>
      <c r="AT126" s="12"/>
      <c r="AY126" s="12"/>
      <c r="BC126" s="13"/>
      <c r="BE126" s="12"/>
      <c r="BI126" s="13"/>
      <c r="BN126" s="13"/>
      <c r="BO126" s="43"/>
      <c r="BP126" s="45"/>
      <c r="CC126" s="13"/>
      <c r="CD126" s="13"/>
      <c r="CW126" s="42"/>
      <c r="CX126" s="43"/>
      <c r="CY126" s="12"/>
      <c r="DW126" s="24"/>
      <c r="EC126" s="12"/>
      <c r="EG126" s="13"/>
      <c r="EI126" s="12"/>
      <c r="EM126" s="13"/>
      <c r="ER126" s="13"/>
      <c r="ES126" s="43"/>
      <c r="ET126" s="45"/>
      <c r="FH126" s="42"/>
      <c r="FI126" s="43"/>
      <c r="FJ126" s="12"/>
      <c r="FU126" s="13"/>
      <c r="GH126" s="24"/>
      <c r="GN126" s="12"/>
      <c r="GR126" s="13"/>
      <c r="GT126" s="12"/>
      <c r="GX126" s="13"/>
      <c r="HC126" s="13"/>
      <c r="HD126" s="12"/>
      <c r="HE126" s="12"/>
      <c r="HY126" s="13"/>
      <c r="HZ126" s="43"/>
      <c r="IA126" s="45"/>
      <c r="IQ126" s="42"/>
      <c r="IR126" s="43"/>
      <c r="IS126" s="12"/>
      <c r="JP126" s="13"/>
      <c r="JR126" s="12"/>
      <c r="KI126" s="13"/>
      <c r="KK126" s="12"/>
      <c r="LJ126" s="13"/>
      <c r="LK126" s="43"/>
      <c r="LL126" s="45"/>
    </row>
    <row r="127" spans="7:324" ht="18" customHeight="1">
      <c r="G127" s="4"/>
      <c r="S127" s="42"/>
      <c r="T127" s="43"/>
      <c r="U127" s="12"/>
      <c r="AR127" s="13"/>
      <c r="AS127" s="24"/>
      <c r="AT127" s="12"/>
      <c r="AY127" s="12"/>
      <c r="BC127" s="13"/>
      <c r="BE127" s="12"/>
      <c r="BI127" s="13"/>
      <c r="BN127" s="13"/>
      <c r="BO127" s="43"/>
      <c r="BP127" s="45"/>
      <c r="CC127" s="13"/>
      <c r="CD127" s="13"/>
      <c r="CW127" s="42"/>
      <c r="CX127" s="43"/>
      <c r="CY127" s="12"/>
      <c r="DW127" s="24"/>
      <c r="EC127" s="12"/>
      <c r="EG127" s="13"/>
      <c r="EI127" s="12"/>
      <c r="EM127" s="13"/>
      <c r="ER127" s="13"/>
      <c r="ES127" s="43"/>
      <c r="ET127" s="45"/>
      <c r="FH127" s="42"/>
      <c r="FI127" s="43"/>
      <c r="FJ127" s="12"/>
      <c r="FU127" s="13"/>
      <c r="GH127" s="24"/>
      <c r="GN127" s="12"/>
      <c r="GR127" s="13"/>
      <c r="GT127" s="12"/>
      <c r="GX127" s="13"/>
      <c r="HC127" s="13"/>
      <c r="HD127" s="12"/>
      <c r="HE127" s="12"/>
      <c r="HY127" s="13"/>
      <c r="HZ127" s="43"/>
      <c r="IA127" s="45"/>
      <c r="IQ127" s="42"/>
      <c r="IR127" s="43"/>
      <c r="IS127" s="12"/>
      <c r="JP127" s="13"/>
      <c r="JR127" s="12"/>
      <c r="KI127" s="13"/>
      <c r="KK127" s="12"/>
      <c r="LJ127" s="13"/>
      <c r="LK127" s="43"/>
      <c r="LL127" s="45"/>
    </row>
    <row r="128" spans="7:324" ht="18" customHeight="1">
      <c r="G128" s="4"/>
      <c r="S128" s="42"/>
      <c r="T128" s="43"/>
      <c r="U128" s="12"/>
      <c r="AR128" s="13"/>
      <c r="AS128" s="25"/>
      <c r="AT128" s="12"/>
      <c r="AY128" s="12"/>
      <c r="BC128" s="13"/>
      <c r="BE128" s="12"/>
      <c r="BI128" s="13"/>
      <c r="BN128" s="13"/>
      <c r="BO128" s="43"/>
      <c r="BP128" s="45"/>
      <c r="CC128" s="13"/>
      <c r="CD128" s="13"/>
      <c r="CW128" s="42"/>
      <c r="CX128" s="43"/>
      <c r="CY128" s="12"/>
      <c r="DW128" s="25"/>
      <c r="EC128" s="12"/>
      <c r="EG128" s="13"/>
      <c r="EI128" s="12"/>
      <c r="EM128" s="13"/>
      <c r="ER128" s="13"/>
      <c r="ES128" s="43"/>
      <c r="ET128" s="45"/>
      <c r="FH128" s="42"/>
      <c r="FI128" s="43"/>
      <c r="FJ128" s="12"/>
      <c r="FU128" s="13"/>
      <c r="GH128" s="25"/>
      <c r="GN128" s="12"/>
      <c r="GR128" s="13"/>
      <c r="GT128" s="12"/>
      <c r="GX128" s="13"/>
      <c r="HC128" s="13"/>
      <c r="HD128" s="12"/>
      <c r="HE128" s="12"/>
      <c r="HY128" s="13"/>
      <c r="HZ128" s="43"/>
      <c r="IA128" s="45"/>
      <c r="IQ128" s="42"/>
      <c r="IR128" s="43"/>
      <c r="IS128" s="12"/>
      <c r="JP128" s="13"/>
      <c r="JR128" s="12"/>
      <c r="KI128" s="13"/>
      <c r="KK128" s="12"/>
      <c r="LJ128" s="13"/>
      <c r="LK128" s="43"/>
      <c r="LL128" s="45"/>
    </row>
    <row r="129" spans="7:324" ht="18" customHeight="1">
      <c r="G129" s="4"/>
      <c r="S129" s="42"/>
      <c r="T129" s="43"/>
      <c r="U129" s="12"/>
      <c r="AR129" s="13"/>
      <c r="AS129" s="13"/>
      <c r="AT129" s="14"/>
      <c r="AU129" s="15"/>
      <c r="AV129" s="15"/>
      <c r="AW129" s="15"/>
      <c r="AX129" s="15"/>
      <c r="AY129" s="14"/>
      <c r="AZ129" s="15"/>
      <c r="BA129" s="15"/>
      <c r="BB129" s="15"/>
      <c r="BC129" s="16"/>
      <c r="BE129" s="14"/>
      <c r="BF129" s="15"/>
      <c r="BG129" s="15"/>
      <c r="BH129" s="15"/>
      <c r="BI129" s="16"/>
      <c r="BJ129" s="15"/>
      <c r="BK129" s="15"/>
      <c r="BL129" s="15"/>
      <c r="BM129" s="15"/>
      <c r="BN129" s="16"/>
      <c r="BO129" s="43"/>
      <c r="BP129" s="45"/>
      <c r="CC129" s="13"/>
      <c r="CD129" s="13"/>
      <c r="CW129" s="42"/>
      <c r="CX129" s="43"/>
      <c r="CY129" s="12"/>
      <c r="DW129" s="18"/>
      <c r="DX129" s="15"/>
      <c r="DY129" s="15"/>
      <c r="DZ129" s="15"/>
      <c r="EA129" s="15"/>
      <c r="EB129" s="15"/>
      <c r="EC129" s="14"/>
      <c r="ED129" s="15"/>
      <c r="EE129" s="15"/>
      <c r="EF129" s="15"/>
      <c r="EG129" s="16"/>
      <c r="EI129" s="14"/>
      <c r="EJ129" s="15"/>
      <c r="EK129" s="15"/>
      <c r="EL129" s="15"/>
      <c r="EM129" s="16"/>
      <c r="EN129" s="15"/>
      <c r="EO129" s="15"/>
      <c r="EP129" s="15"/>
      <c r="EQ129" s="15"/>
      <c r="ER129" s="16"/>
      <c r="ES129" s="43"/>
      <c r="ET129" s="45"/>
      <c r="FH129" s="42"/>
      <c r="FI129" s="43"/>
      <c r="FJ129" s="14"/>
      <c r="FK129" s="15"/>
      <c r="FL129" s="15"/>
      <c r="FM129" s="15"/>
      <c r="FN129" s="15"/>
      <c r="FO129" s="15"/>
      <c r="FP129" s="15"/>
      <c r="FQ129" s="15"/>
      <c r="FR129" s="15"/>
      <c r="FS129" s="15"/>
      <c r="FT129" s="15"/>
      <c r="FU129" s="16"/>
      <c r="GH129" s="18"/>
      <c r="GI129" s="15"/>
      <c r="GJ129" s="15"/>
      <c r="GK129" s="15"/>
      <c r="GL129" s="15"/>
      <c r="GM129" s="15"/>
      <c r="GN129" s="14"/>
      <c r="GO129" s="15"/>
      <c r="GP129" s="15"/>
      <c r="GQ129" s="15"/>
      <c r="GR129" s="16"/>
      <c r="GT129" s="14"/>
      <c r="GU129" s="15"/>
      <c r="GV129" s="15"/>
      <c r="GW129" s="15"/>
      <c r="GX129" s="16"/>
      <c r="GY129" s="15"/>
      <c r="GZ129" s="15"/>
      <c r="HA129" s="15"/>
      <c r="HB129" s="15"/>
      <c r="HC129" s="16"/>
      <c r="HD129" s="12"/>
      <c r="HE129" s="14"/>
      <c r="HF129" s="15"/>
      <c r="HG129" s="15"/>
      <c r="HH129" s="15"/>
      <c r="HI129" s="15"/>
      <c r="HJ129" s="15"/>
      <c r="HK129" s="15"/>
      <c r="HL129" s="15"/>
      <c r="HM129" s="15"/>
      <c r="HN129" s="15"/>
      <c r="HO129" s="15"/>
      <c r="HP129" s="15"/>
      <c r="HQ129" s="15"/>
      <c r="HR129" s="15"/>
      <c r="HS129" s="15"/>
      <c r="HT129" s="15"/>
      <c r="HU129" s="15"/>
      <c r="HV129" s="15"/>
      <c r="HW129" s="15"/>
      <c r="HX129" s="15"/>
      <c r="HY129" s="16"/>
      <c r="HZ129" s="43"/>
      <c r="IA129" s="45"/>
      <c r="IQ129" s="42"/>
      <c r="IR129" s="43"/>
      <c r="IS129" s="12"/>
      <c r="JP129" s="13"/>
      <c r="JR129" s="12"/>
      <c r="KI129" s="13"/>
      <c r="KK129" s="12"/>
      <c r="LJ129" s="13"/>
      <c r="LK129" s="43"/>
      <c r="LL129" s="45"/>
    </row>
    <row r="130" spans="7:324" ht="18" customHeight="1">
      <c r="G130" s="4"/>
      <c r="S130" s="40"/>
      <c r="T130" s="125"/>
      <c r="AR130" s="13"/>
      <c r="AS130" s="12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26"/>
      <c r="BJ130" s="27"/>
      <c r="BK130" s="27"/>
      <c r="BL130" s="27"/>
      <c r="BM130" s="28"/>
      <c r="BN130" s="22"/>
      <c r="BO130" s="43"/>
      <c r="BP130" s="45"/>
      <c r="CC130" s="13"/>
      <c r="CD130" s="13"/>
      <c r="CW130" s="42"/>
      <c r="CX130" s="43"/>
      <c r="CY130" s="12"/>
      <c r="DW130" s="18"/>
      <c r="DX130" s="15"/>
      <c r="DY130" s="15"/>
      <c r="DZ130" s="15"/>
      <c r="EA130" s="15"/>
      <c r="EB130" s="15"/>
      <c r="EC130" s="15"/>
      <c r="ED130" s="15"/>
      <c r="EE130" s="15"/>
      <c r="EF130" s="15"/>
      <c r="EG130" s="15"/>
      <c r="EH130" s="15"/>
      <c r="EI130" s="15"/>
      <c r="EJ130" s="15"/>
      <c r="EK130" s="15"/>
      <c r="EL130" s="15"/>
      <c r="EM130" s="26"/>
      <c r="EN130" s="27"/>
      <c r="EO130" s="27"/>
      <c r="EP130" s="27"/>
      <c r="EQ130" s="28"/>
      <c r="ER130" s="22"/>
      <c r="ES130" s="43"/>
      <c r="ET130" s="45"/>
      <c r="FH130" s="42"/>
      <c r="FI130" s="43"/>
      <c r="FJ130" s="12"/>
      <c r="GH130" s="18"/>
      <c r="GI130" s="15"/>
      <c r="GJ130" s="15"/>
      <c r="GK130" s="15"/>
      <c r="GL130" s="15"/>
      <c r="GM130" s="15"/>
      <c r="GN130" s="15"/>
      <c r="GO130" s="15"/>
      <c r="GP130" s="15"/>
      <c r="GQ130" s="15"/>
      <c r="GR130" s="15"/>
      <c r="GS130" s="15"/>
      <c r="GT130" s="15"/>
      <c r="GU130" s="15"/>
      <c r="GV130" s="15"/>
      <c r="GW130" s="15"/>
      <c r="GX130" s="26"/>
      <c r="GY130" s="27"/>
      <c r="GZ130" s="27"/>
      <c r="HA130" s="27"/>
      <c r="HB130" s="28"/>
      <c r="HC130" s="22"/>
      <c r="HD130" s="18"/>
      <c r="HE130" s="15"/>
      <c r="HF130" s="15"/>
      <c r="HG130" s="15"/>
      <c r="HH130" s="15"/>
      <c r="HI130" s="15"/>
      <c r="HJ130" s="15"/>
      <c r="HK130" s="15"/>
      <c r="HL130" s="15"/>
      <c r="HM130" s="15"/>
      <c r="HN130" s="15"/>
      <c r="HO130" s="15"/>
      <c r="HP130" s="15"/>
      <c r="HQ130" s="15"/>
      <c r="HR130" s="15"/>
      <c r="HS130" s="15"/>
      <c r="HT130" s="72"/>
      <c r="HU130" s="100"/>
      <c r="HV130" s="100"/>
      <c r="HW130" s="100"/>
      <c r="HX130" s="73"/>
      <c r="HY130" s="16"/>
      <c r="HZ130" s="43"/>
      <c r="IA130" s="45"/>
      <c r="IQ130" s="42"/>
      <c r="IR130" s="43"/>
      <c r="IS130" s="12"/>
      <c r="JP130" s="13"/>
      <c r="JR130" s="12"/>
      <c r="KI130" s="13"/>
      <c r="KK130" s="12"/>
      <c r="LJ130" s="13"/>
      <c r="LK130" s="43"/>
      <c r="LL130" s="45"/>
    </row>
    <row r="131" spans="7:324" ht="18" customHeight="1">
      <c r="G131" s="4"/>
      <c r="S131" s="42"/>
      <c r="T131" s="108"/>
      <c r="AR131" s="13"/>
      <c r="AT131" s="9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1"/>
      <c r="BO131" s="43"/>
      <c r="BP131" s="45"/>
      <c r="CC131" s="13"/>
      <c r="CD131" s="13"/>
      <c r="CW131" s="42"/>
      <c r="CX131" s="43"/>
      <c r="CY131" s="12"/>
      <c r="DW131" s="18"/>
      <c r="DX131" s="10"/>
      <c r="DY131" s="10"/>
      <c r="DZ131" s="10"/>
      <c r="EA131" s="10"/>
      <c r="EB131" s="10"/>
      <c r="EC131" s="10"/>
      <c r="ED131" s="10"/>
      <c r="EE131" s="10"/>
      <c r="EF131" s="10"/>
      <c r="EG131" s="10"/>
      <c r="EH131" s="10"/>
      <c r="EI131" s="10"/>
      <c r="EJ131" s="10"/>
      <c r="EK131" s="10"/>
      <c r="EL131" s="10"/>
      <c r="EM131" s="10"/>
      <c r="EN131" s="10"/>
      <c r="EO131" s="10"/>
      <c r="EP131" s="10"/>
      <c r="EQ131" s="10"/>
      <c r="ER131" s="11"/>
      <c r="ES131" s="43"/>
      <c r="ET131" s="45"/>
      <c r="FH131" s="42"/>
      <c r="FI131" s="43"/>
      <c r="FJ131" s="12"/>
      <c r="GH131" s="18"/>
      <c r="GI131" s="10"/>
      <c r="GJ131" s="10"/>
      <c r="GK131" s="10"/>
      <c r="GL131" s="10"/>
      <c r="GM131" s="10"/>
      <c r="GN131" s="10"/>
      <c r="GO131" s="10"/>
      <c r="GP131" s="10"/>
      <c r="GQ131" s="10"/>
      <c r="GR131" s="10"/>
      <c r="GS131" s="10"/>
      <c r="GT131" s="10"/>
      <c r="GU131" s="10"/>
      <c r="GV131" s="10"/>
      <c r="GW131" s="10"/>
      <c r="GX131" s="10"/>
      <c r="GY131" s="10"/>
      <c r="GZ131" s="10"/>
      <c r="HA131" s="10"/>
      <c r="HB131" s="10"/>
      <c r="HC131" s="10"/>
      <c r="HD131" s="10"/>
      <c r="HE131" s="10"/>
      <c r="HF131" s="10"/>
      <c r="HG131" s="10"/>
      <c r="HH131" s="10"/>
      <c r="HI131" s="10"/>
      <c r="HJ131" s="10"/>
      <c r="HK131" s="10"/>
      <c r="HL131" s="10"/>
      <c r="HM131" s="10"/>
      <c r="HN131" s="10"/>
      <c r="HO131" s="10"/>
      <c r="HP131" s="10"/>
      <c r="HQ131" s="10"/>
      <c r="HR131" s="10"/>
      <c r="HS131" s="10"/>
      <c r="HT131" s="10"/>
      <c r="HU131" s="10"/>
      <c r="HV131" s="10"/>
      <c r="HW131" s="10"/>
      <c r="HX131" s="10"/>
      <c r="HY131" s="11"/>
      <c r="HZ131" s="43"/>
      <c r="IA131" s="45"/>
      <c r="IQ131" s="42"/>
      <c r="IR131" s="43"/>
      <c r="IS131" s="12"/>
      <c r="JP131" s="13"/>
      <c r="JR131" s="12"/>
      <c r="KI131" s="13"/>
      <c r="KK131" s="12"/>
      <c r="LJ131" s="13"/>
      <c r="LK131" s="43"/>
      <c r="LL131" s="45"/>
    </row>
    <row r="132" spans="7:324" ht="18" customHeight="1">
      <c r="G132" s="4"/>
      <c r="S132" s="42"/>
      <c r="T132" s="108"/>
      <c r="AR132" s="13"/>
      <c r="AT132" s="12"/>
      <c r="BO132" s="125"/>
      <c r="BP132" s="44"/>
      <c r="CC132" s="13"/>
      <c r="CD132" s="13"/>
      <c r="CW132" s="42"/>
      <c r="CX132" s="43"/>
      <c r="CY132" s="12"/>
      <c r="DW132" s="23"/>
      <c r="ER132" s="13"/>
      <c r="ES132" s="43"/>
      <c r="ET132" s="45"/>
      <c r="FH132" s="42"/>
      <c r="FI132" s="43"/>
      <c r="FJ132" s="12"/>
      <c r="GH132" s="23"/>
      <c r="HY132" s="13"/>
      <c r="HZ132" s="43"/>
      <c r="IA132" s="45"/>
      <c r="IQ132" s="42"/>
      <c r="IR132" s="43"/>
      <c r="IS132" s="12"/>
      <c r="JP132" s="13"/>
      <c r="JR132" s="14"/>
      <c r="JS132" s="15"/>
      <c r="JT132" s="15"/>
      <c r="JU132" s="15"/>
      <c r="JV132" s="15"/>
      <c r="JW132" s="15"/>
      <c r="JX132" s="15"/>
      <c r="JY132" s="15"/>
      <c r="JZ132" s="15"/>
      <c r="KA132" s="15"/>
      <c r="KB132" s="15"/>
      <c r="KC132" s="15"/>
      <c r="KD132" s="15"/>
      <c r="KE132" s="15"/>
      <c r="KF132" s="15"/>
      <c r="KG132" s="15"/>
      <c r="KH132" s="15"/>
      <c r="KI132" s="16"/>
      <c r="KK132" s="14"/>
      <c r="KL132" s="15"/>
      <c r="KM132" s="15"/>
      <c r="KN132" s="15"/>
      <c r="KO132" s="15"/>
      <c r="KP132" s="15"/>
      <c r="KQ132" s="15"/>
      <c r="KR132" s="15"/>
      <c r="KS132" s="15"/>
      <c r="KT132" s="15"/>
      <c r="KU132" s="15"/>
      <c r="KV132" s="15"/>
      <c r="KW132" s="15"/>
      <c r="KX132" s="15"/>
      <c r="KY132" s="15"/>
      <c r="KZ132" s="15"/>
      <c r="LA132" s="15"/>
      <c r="LB132" s="15"/>
      <c r="LC132" s="15"/>
      <c r="LD132" s="15"/>
      <c r="LE132" s="15"/>
      <c r="LF132" s="15"/>
      <c r="LG132" s="15"/>
      <c r="LH132" s="15"/>
      <c r="LI132" s="15"/>
      <c r="LJ132" s="16"/>
      <c r="LK132" s="43"/>
      <c r="LL132" s="45"/>
    </row>
    <row r="133" spans="7:324" ht="18" customHeight="1">
      <c r="G133" s="4"/>
      <c r="S133" s="42"/>
      <c r="T133" s="108"/>
      <c r="AR133" s="13"/>
      <c r="AS133" s="23"/>
      <c r="AT133" s="12"/>
      <c r="BO133" s="108"/>
      <c r="BP133" s="45"/>
      <c r="CC133" s="13"/>
      <c r="CD133" s="13"/>
      <c r="CW133" s="42"/>
      <c r="CX133" s="43"/>
      <c r="CY133" s="12"/>
      <c r="DW133" s="24"/>
      <c r="ER133" s="13"/>
      <c r="ES133" s="43"/>
      <c r="ET133" s="45"/>
      <c r="FH133" s="42"/>
      <c r="FI133" s="43"/>
      <c r="FJ133" s="12"/>
      <c r="GH133" s="24"/>
      <c r="HY133" s="13"/>
      <c r="HZ133" s="43"/>
      <c r="IA133" s="45"/>
      <c r="IQ133" s="42"/>
      <c r="IR133" s="43"/>
      <c r="IS133" s="12"/>
      <c r="JP133" s="13"/>
      <c r="JR133" s="14"/>
      <c r="JS133" s="100"/>
      <c r="JT133" s="100"/>
      <c r="JU133" s="100"/>
      <c r="JV133" s="100"/>
      <c r="JW133" s="100"/>
      <c r="JX133" s="15"/>
      <c r="JY133" s="15"/>
      <c r="JZ133" s="15"/>
      <c r="KA133" s="15"/>
      <c r="KB133" s="15"/>
      <c r="KC133" s="15"/>
      <c r="KD133" s="15"/>
      <c r="KE133" s="15"/>
      <c r="KF133" s="15"/>
      <c r="KG133" s="15"/>
      <c r="KH133" s="15"/>
      <c r="KI133" s="15"/>
      <c r="KJ133" s="15"/>
      <c r="KK133" s="14"/>
      <c r="KL133" s="15"/>
      <c r="KM133" s="15"/>
      <c r="KN133" s="15"/>
      <c r="KO133" s="15"/>
      <c r="KP133" s="15"/>
      <c r="KQ133" s="15"/>
      <c r="KR133" s="15"/>
      <c r="KS133" s="15"/>
      <c r="KT133" s="15"/>
      <c r="KU133" s="15"/>
      <c r="KV133" s="15"/>
      <c r="KW133" s="15"/>
      <c r="KX133" s="15"/>
      <c r="KY133" s="15"/>
      <c r="KZ133" s="15"/>
      <c r="LA133" s="15"/>
      <c r="LB133" s="15"/>
      <c r="LC133" s="15"/>
      <c r="LD133" s="15"/>
      <c r="LE133" s="100"/>
      <c r="LF133" s="100"/>
      <c r="LG133" s="100"/>
      <c r="LH133" s="100"/>
      <c r="LI133" s="100"/>
      <c r="LJ133" s="16"/>
      <c r="LK133" s="43"/>
      <c r="LL133" s="45"/>
    </row>
    <row r="134" spans="7:324" ht="18" customHeight="1">
      <c r="G134" s="4"/>
      <c r="S134" s="42"/>
      <c r="T134" s="108"/>
      <c r="AR134" s="13"/>
      <c r="AS134" s="24"/>
      <c r="AT134" s="12"/>
      <c r="BO134" s="108"/>
      <c r="BP134" s="45"/>
      <c r="CC134" s="13"/>
      <c r="CD134" s="13"/>
      <c r="CW134" s="42"/>
      <c r="CX134" s="43"/>
      <c r="CY134" s="12"/>
      <c r="DW134" s="24"/>
      <c r="ER134" s="13"/>
      <c r="ES134" s="125"/>
      <c r="ET134" s="125"/>
      <c r="FH134" s="42"/>
      <c r="FI134" s="43"/>
      <c r="FJ134" s="12"/>
      <c r="GH134" s="24"/>
      <c r="HY134" s="13"/>
      <c r="HZ134" s="43"/>
      <c r="IA134" s="45"/>
      <c r="IQ134" s="42"/>
      <c r="IR134" s="43"/>
      <c r="IS134" s="12"/>
      <c r="JP134" s="13"/>
      <c r="JR134" s="9"/>
      <c r="JS134" s="10"/>
      <c r="JT134" s="10"/>
      <c r="JU134" s="10"/>
      <c r="JV134" s="10"/>
      <c r="JW134" s="10"/>
      <c r="JX134" s="10"/>
      <c r="JY134" s="10"/>
      <c r="JZ134" s="10"/>
      <c r="KA134" s="10"/>
      <c r="KB134" s="10"/>
      <c r="KC134" s="10"/>
      <c r="KD134" s="10"/>
      <c r="KE134" s="10"/>
      <c r="KF134" s="10"/>
      <c r="KG134" s="10"/>
      <c r="KH134" s="10"/>
      <c r="KI134" s="10"/>
      <c r="KJ134" s="10"/>
      <c r="KK134" s="10"/>
      <c r="KL134" s="10"/>
      <c r="KM134" s="10"/>
      <c r="KN134" s="10"/>
      <c r="KO134" s="10"/>
      <c r="KP134" s="10"/>
      <c r="KQ134" s="10"/>
      <c r="KR134" s="10"/>
      <c r="KS134" s="10"/>
      <c r="KT134" s="10"/>
      <c r="KU134" s="10"/>
      <c r="KV134" s="10"/>
      <c r="KW134" s="10"/>
      <c r="KX134" s="10"/>
      <c r="KY134" s="10"/>
      <c r="KZ134" s="10"/>
      <c r="LA134" s="10"/>
      <c r="LB134" s="10"/>
      <c r="LC134" s="10"/>
      <c r="LD134" s="10"/>
      <c r="LE134" s="10"/>
      <c r="LF134" s="10"/>
      <c r="LG134" s="10"/>
      <c r="LH134" s="10"/>
      <c r="LI134" s="10"/>
      <c r="LJ134" s="11"/>
      <c r="LK134" s="43"/>
      <c r="LL134" s="45"/>
    </row>
    <row r="135" spans="7:324" ht="18" customHeight="1">
      <c r="G135" s="4"/>
      <c r="S135" s="46"/>
      <c r="T135" s="126"/>
      <c r="AR135" s="13"/>
      <c r="AS135" s="24"/>
      <c r="AT135" s="12"/>
      <c r="BO135" s="108"/>
      <c r="BP135" s="45"/>
      <c r="CC135" s="13"/>
      <c r="CD135" s="13"/>
      <c r="CW135" s="42"/>
      <c r="CX135" s="43"/>
      <c r="CY135" s="12"/>
      <c r="DW135" s="24"/>
      <c r="ER135" s="13"/>
      <c r="ES135" s="108"/>
      <c r="ET135" s="108"/>
      <c r="FH135" s="42"/>
      <c r="FI135" s="43"/>
      <c r="FJ135" s="12"/>
      <c r="GH135" s="24"/>
      <c r="HY135" s="13"/>
      <c r="HZ135" s="43"/>
      <c r="IA135" s="45"/>
      <c r="IQ135" s="42"/>
      <c r="IR135" s="43"/>
      <c r="IS135" s="12"/>
      <c r="JP135" s="13"/>
      <c r="JQ135" s="127"/>
      <c r="JR135" s="12"/>
      <c r="LJ135" s="13"/>
      <c r="LK135" s="43"/>
      <c r="LL135" s="45"/>
    </row>
    <row r="136" spans="7:324" ht="18" customHeight="1">
      <c r="G136" s="4"/>
      <c r="S136" s="42"/>
      <c r="T136" s="43"/>
      <c r="U136" s="12"/>
      <c r="AR136" s="13"/>
      <c r="AS136" s="24"/>
      <c r="AT136" s="12"/>
      <c r="BO136" s="126"/>
      <c r="BP136" s="48"/>
      <c r="CC136" s="13"/>
      <c r="CD136" s="13"/>
      <c r="CW136" s="42"/>
      <c r="CX136" s="43"/>
      <c r="CY136" s="12"/>
      <c r="DW136" s="25"/>
      <c r="ER136" s="13"/>
      <c r="ES136" s="108"/>
      <c r="ET136" s="108"/>
      <c r="FH136" s="42"/>
      <c r="FI136" s="43"/>
      <c r="FJ136" s="12"/>
      <c r="GH136" s="25"/>
      <c r="HY136" s="13"/>
      <c r="HZ136" s="43"/>
      <c r="IA136" s="45"/>
      <c r="IQ136" s="42"/>
      <c r="IR136" s="43"/>
      <c r="IS136" s="12"/>
      <c r="JP136" s="13"/>
      <c r="JQ136" s="127"/>
      <c r="JR136" s="12"/>
      <c r="LJ136" s="13"/>
      <c r="LK136" s="43"/>
      <c r="LL136" s="45"/>
    </row>
    <row r="137" spans="7:324" ht="18" customHeight="1">
      <c r="G137" s="4"/>
      <c r="S137" s="42"/>
      <c r="T137" s="43"/>
      <c r="U137" s="12"/>
      <c r="AR137" s="13"/>
      <c r="AS137" s="24"/>
      <c r="AT137" s="12"/>
      <c r="BN137" s="13"/>
      <c r="BO137" s="43"/>
      <c r="BP137" s="45"/>
      <c r="CC137" s="13"/>
      <c r="CD137" s="13"/>
      <c r="CW137" s="42"/>
      <c r="CX137" s="43"/>
      <c r="CY137" s="14"/>
      <c r="CZ137" s="15"/>
      <c r="DA137" s="15"/>
      <c r="DB137" s="15"/>
      <c r="DC137" s="15"/>
      <c r="DD137" s="15"/>
      <c r="DE137" s="15"/>
      <c r="DF137" s="15"/>
      <c r="DG137" s="15"/>
      <c r="DH137" s="15"/>
      <c r="DI137" s="15"/>
      <c r="DJ137" s="15"/>
      <c r="DK137" s="15"/>
      <c r="DL137" s="15"/>
      <c r="DM137" s="15"/>
      <c r="DN137" s="15"/>
      <c r="DO137" s="15"/>
      <c r="DP137" s="15"/>
      <c r="DQ137" s="15"/>
      <c r="DR137" s="15"/>
      <c r="DS137" s="15"/>
      <c r="DT137" s="15"/>
      <c r="DU137" s="15"/>
      <c r="DV137" s="15"/>
      <c r="DW137" s="18"/>
      <c r="ER137" s="13"/>
      <c r="ES137" s="108"/>
      <c r="ET137" s="108"/>
      <c r="FH137" s="42"/>
      <c r="FI137" s="43"/>
      <c r="FJ137" s="14"/>
      <c r="FK137" s="15"/>
      <c r="FL137" s="15"/>
      <c r="FM137" s="15"/>
      <c r="FN137" s="15"/>
      <c r="FO137" s="15"/>
      <c r="FP137" s="15"/>
      <c r="FQ137" s="15"/>
      <c r="FR137" s="15"/>
      <c r="FS137" s="15"/>
      <c r="FT137" s="15"/>
      <c r="FU137" s="15"/>
      <c r="FV137" s="15"/>
      <c r="FW137" s="15"/>
      <c r="FX137" s="15"/>
      <c r="FY137" s="15"/>
      <c r="FZ137" s="15"/>
      <c r="GA137" s="15"/>
      <c r="GB137" s="15"/>
      <c r="GC137" s="15"/>
      <c r="GD137" s="15"/>
      <c r="GE137" s="15"/>
      <c r="GF137" s="15"/>
      <c r="GG137" s="15"/>
      <c r="GH137" s="18"/>
      <c r="HY137" s="13"/>
      <c r="HZ137" s="43"/>
      <c r="IA137" s="45"/>
      <c r="IQ137" s="42"/>
      <c r="IR137" s="43"/>
      <c r="IS137" s="12"/>
      <c r="JP137" s="13"/>
      <c r="JQ137" s="127"/>
      <c r="JR137" s="12"/>
      <c r="LJ137" s="13"/>
      <c r="LK137" s="43"/>
      <c r="LL137" s="45"/>
    </row>
    <row r="138" spans="7:324" ht="18" customHeight="1">
      <c r="G138" s="4"/>
      <c r="S138" s="42"/>
      <c r="T138" s="43"/>
      <c r="U138" s="12"/>
      <c r="AR138" s="13"/>
      <c r="AS138" s="25"/>
      <c r="BN138" s="13"/>
      <c r="BO138" s="43" t="s">
        <v>6</v>
      </c>
      <c r="BP138" s="45"/>
      <c r="CC138" s="13"/>
      <c r="CD138" s="13"/>
      <c r="CW138" s="42"/>
      <c r="CX138" s="43"/>
      <c r="DW138" s="18"/>
      <c r="ER138" s="13"/>
      <c r="ES138" s="108"/>
      <c r="ET138" s="108"/>
      <c r="FH138" s="42"/>
      <c r="FI138" s="43"/>
      <c r="FJ138" s="12"/>
      <c r="FU138" s="21"/>
      <c r="FW138" s="21"/>
      <c r="GG138" s="21"/>
      <c r="GH138" s="18"/>
      <c r="HY138" s="13"/>
      <c r="HZ138" s="43"/>
      <c r="IA138" s="45"/>
      <c r="IQ138" s="42"/>
      <c r="IR138" s="43"/>
      <c r="IS138" s="12"/>
      <c r="JP138" s="13"/>
      <c r="JQ138" s="127"/>
      <c r="JR138" s="12"/>
      <c r="LJ138" s="13"/>
      <c r="LK138" s="43"/>
      <c r="LL138" s="45"/>
    </row>
    <row r="139" spans="7:324" ht="18" customHeight="1">
      <c r="G139" s="4"/>
      <c r="S139" s="42"/>
      <c r="T139" s="43"/>
      <c r="U139" s="14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6"/>
      <c r="AS139" s="13"/>
      <c r="BN139" s="13"/>
      <c r="BO139" s="43"/>
      <c r="BP139" s="45"/>
      <c r="CC139" s="13"/>
      <c r="CD139" s="13"/>
      <c r="CW139" s="42"/>
      <c r="CX139" s="43"/>
      <c r="CY139" s="9"/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0"/>
      <c r="DL139" s="10"/>
      <c r="DM139" s="10"/>
      <c r="DN139" s="10"/>
      <c r="DO139" s="10"/>
      <c r="DP139" s="10"/>
      <c r="DQ139" s="10"/>
      <c r="DR139" s="10"/>
      <c r="DS139" s="10"/>
      <c r="DT139" s="10"/>
      <c r="DU139" s="10"/>
      <c r="DV139" s="10"/>
      <c r="DW139" s="18"/>
      <c r="ER139" s="13"/>
      <c r="ES139" s="126"/>
      <c r="ET139" s="126"/>
      <c r="FH139" s="42"/>
      <c r="FI139" s="43"/>
      <c r="FJ139" s="9"/>
      <c r="FK139" s="10"/>
      <c r="FL139" s="10"/>
      <c r="FM139" s="11"/>
      <c r="FN139" s="10"/>
      <c r="FO139" s="10"/>
      <c r="FP139" s="10"/>
      <c r="FQ139" s="10"/>
      <c r="FR139" s="9"/>
      <c r="FS139" s="10"/>
      <c r="FT139" s="10"/>
      <c r="FU139" s="11"/>
      <c r="FV139" s="10"/>
      <c r="FW139" s="10"/>
      <c r="FX139" s="10"/>
      <c r="FY139" s="10"/>
      <c r="FZ139" s="9"/>
      <c r="GA139" s="10"/>
      <c r="GB139" s="10"/>
      <c r="GC139" s="11"/>
      <c r="GD139" s="10"/>
      <c r="GE139" s="10"/>
      <c r="GF139" s="10"/>
      <c r="GG139" s="10"/>
      <c r="GH139" s="18"/>
      <c r="HY139" s="13"/>
      <c r="HZ139" s="43"/>
      <c r="IA139" s="45"/>
      <c r="IQ139" s="42"/>
      <c r="IR139" s="43"/>
      <c r="IS139" s="12"/>
      <c r="JP139" s="13"/>
      <c r="JQ139" s="127"/>
      <c r="JR139" s="12"/>
      <c r="LJ139" s="13"/>
      <c r="LK139" s="43"/>
      <c r="LL139" s="45"/>
    </row>
    <row r="140" spans="7:324" ht="18" customHeight="1">
      <c r="G140" s="4"/>
      <c r="S140" s="42"/>
      <c r="T140" s="43"/>
      <c r="U140" s="12"/>
      <c r="AF140" s="21"/>
      <c r="AH140" s="21"/>
      <c r="AR140" s="21"/>
      <c r="AS140" s="13"/>
      <c r="BN140" s="13"/>
      <c r="BO140" s="43"/>
      <c r="BP140" s="45"/>
      <c r="CC140" s="13"/>
      <c r="CD140" s="13"/>
      <c r="CW140" s="42"/>
      <c r="CX140" s="43"/>
      <c r="CY140" s="12"/>
      <c r="DW140" s="23"/>
      <c r="ER140" s="13"/>
      <c r="ES140" s="43"/>
      <c r="ET140" s="45"/>
      <c r="FH140" s="42"/>
      <c r="FI140" s="43"/>
      <c r="FJ140" s="12"/>
      <c r="FM140" s="13"/>
      <c r="FR140" s="12"/>
      <c r="FU140" s="13"/>
      <c r="FZ140" s="12"/>
      <c r="GC140" s="13"/>
      <c r="GH140" s="18"/>
      <c r="HY140" s="13"/>
      <c r="HZ140" s="43"/>
      <c r="IA140" s="45"/>
      <c r="IQ140" s="42"/>
      <c r="IR140" s="43"/>
      <c r="IS140" s="14"/>
      <c r="IT140" s="15"/>
      <c r="IU140" s="15"/>
      <c r="IV140" s="15"/>
      <c r="IW140" s="15"/>
      <c r="IX140" s="15"/>
      <c r="IY140" s="15"/>
      <c r="IZ140" s="15"/>
      <c r="JA140" s="15"/>
      <c r="JB140" s="15"/>
      <c r="JC140" s="15"/>
      <c r="JD140" s="15"/>
      <c r="JE140" s="15"/>
      <c r="JF140" s="15"/>
      <c r="JG140" s="15"/>
      <c r="JH140" s="15"/>
      <c r="JI140" s="15"/>
      <c r="JJ140" s="15"/>
      <c r="JK140" s="15"/>
      <c r="JL140" s="15"/>
      <c r="JM140" s="15"/>
      <c r="JN140" s="15"/>
      <c r="JO140" s="15"/>
      <c r="JP140" s="16"/>
      <c r="JR140" s="12"/>
      <c r="LJ140" s="13"/>
      <c r="LK140" s="43"/>
      <c r="LL140" s="45"/>
    </row>
    <row r="141" spans="7:324" ht="18" customHeight="1">
      <c r="G141" s="4"/>
      <c r="S141" s="42"/>
      <c r="T141" s="43"/>
      <c r="U141" s="9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1"/>
      <c r="AS141" s="13"/>
      <c r="BN141" s="13"/>
      <c r="BO141" s="43"/>
      <c r="BP141" s="45"/>
      <c r="CC141" s="13"/>
      <c r="CD141" s="13"/>
      <c r="CW141" s="42"/>
      <c r="CX141" s="43"/>
      <c r="CY141" s="12"/>
      <c r="DW141" s="24"/>
      <c r="ER141" s="13"/>
      <c r="ES141" s="43"/>
      <c r="ET141" s="45"/>
      <c r="FH141" s="42"/>
      <c r="FI141" s="43"/>
      <c r="FJ141" s="12"/>
      <c r="FM141" s="13"/>
      <c r="FR141" s="12"/>
      <c r="FU141" s="13"/>
      <c r="FZ141" s="12"/>
      <c r="GC141" s="13"/>
      <c r="GH141" s="18"/>
      <c r="HY141" s="13"/>
      <c r="HZ141" s="43"/>
      <c r="IA141" s="45"/>
      <c r="IQ141" s="42"/>
      <c r="IR141" s="43"/>
      <c r="IS141" s="12"/>
      <c r="JQ141" s="12"/>
      <c r="JR141" s="12"/>
      <c r="LJ141" s="13"/>
      <c r="LK141" s="43"/>
      <c r="LL141" s="45"/>
    </row>
    <row r="142" spans="7:324" ht="18" customHeight="1">
      <c r="G142" s="4"/>
      <c r="S142" s="42"/>
      <c r="T142" s="43"/>
      <c r="U142" s="12"/>
      <c r="AR142" s="13"/>
      <c r="AS142" s="13"/>
      <c r="BN142" s="13"/>
      <c r="BO142" s="43"/>
      <c r="BP142" s="45"/>
      <c r="CC142" s="13"/>
      <c r="CD142" s="13"/>
      <c r="CW142" s="42"/>
      <c r="CX142" s="43"/>
      <c r="CY142" s="12"/>
      <c r="DW142" s="24"/>
      <c r="ER142" s="13"/>
      <c r="ES142" s="43"/>
      <c r="ET142" s="45"/>
      <c r="FH142" s="42"/>
      <c r="FI142" s="43"/>
      <c r="FJ142" s="14"/>
      <c r="FK142" s="15"/>
      <c r="FL142" s="15"/>
      <c r="FM142" s="16"/>
      <c r="FR142" s="14"/>
      <c r="FS142" s="15"/>
      <c r="FT142" s="15"/>
      <c r="FU142" s="16"/>
      <c r="FZ142" s="14"/>
      <c r="GA142" s="15"/>
      <c r="GB142" s="15"/>
      <c r="GC142" s="16"/>
      <c r="GH142" s="19"/>
      <c r="HY142" s="13"/>
      <c r="HZ142" s="43"/>
      <c r="IA142" s="45"/>
      <c r="IQ142" s="42"/>
      <c r="IR142" s="43"/>
      <c r="IS142" s="9"/>
      <c r="IT142" s="10"/>
      <c r="IU142" s="10"/>
      <c r="IV142" s="10"/>
      <c r="IW142" s="10"/>
      <c r="IX142" s="10"/>
      <c r="IY142" s="10"/>
      <c r="IZ142" s="10"/>
      <c r="JA142" s="10"/>
      <c r="JB142" s="10"/>
      <c r="JC142" s="10"/>
      <c r="JD142" s="10"/>
      <c r="JE142" s="10"/>
      <c r="JF142" s="10"/>
      <c r="JG142" s="10"/>
      <c r="JH142" s="10"/>
      <c r="JI142" s="10"/>
      <c r="JJ142" s="10"/>
      <c r="JK142" s="10"/>
      <c r="JL142" s="10"/>
      <c r="JM142" s="10"/>
      <c r="JN142" s="10"/>
      <c r="JO142" s="10"/>
      <c r="JP142" s="11"/>
      <c r="JQ142" s="12"/>
      <c r="JR142" s="12"/>
      <c r="LJ142" s="13"/>
      <c r="LK142" s="43"/>
      <c r="LL142" s="45"/>
    </row>
    <row r="143" spans="7:324" ht="18" customHeight="1">
      <c r="G143" s="4"/>
      <c r="S143" s="42"/>
      <c r="T143" s="43"/>
      <c r="U143" s="12"/>
      <c r="AR143" s="13"/>
      <c r="AS143" s="13"/>
      <c r="BN143" s="13"/>
      <c r="BO143" s="43"/>
      <c r="BP143" s="45"/>
      <c r="CC143" s="13"/>
      <c r="CD143" s="13"/>
      <c r="CW143" s="42"/>
      <c r="CX143" s="43"/>
      <c r="CY143" s="12"/>
      <c r="DW143" s="24"/>
      <c r="ER143" s="13"/>
      <c r="ES143" s="43"/>
      <c r="ET143" s="45"/>
      <c r="FH143" s="42"/>
      <c r="FI143" s="43"/>
      <c r="FJ143" s="9"/>
      <c r="FK143" s="10"/>
      <c r="FL143" s="10"/>
      <c r="FM143" s="11"/>
      <c r="FN143" s="9"/>
      <c r="FO143" s="10"/>
      <c r="FP143" s="10"/>
      <c r="FQ143" s="10"/>
      <c r="FR143" s="10"/>
      <c r="FS143" s="10"/>
      <c r="FT143" s="10"/>
      <c r="FU143" s="10"/>
      <c r="FV143" s="10"/>
      <c r="FW143" s="10"/>
      <c r="FX143" s="10"/>
      <c r="FY143" s="10"/>
      <c r="FZ143" s="10"/>
      <c r="GA143" s="10"/>
      <c r="GB143" s="10"/>
      <c r="GC143" s="10"/>
      <c r="GD143" s="9"/>
      <c r="GE143" s="10"/>
      <c r="GF143" s="10"/>
      <c r="GG143" s="11"/>
      <c r="GH143" s="18"/>
      <c r="HY143" s="13"/>
      <c r="HZ143" s="43"/>
      <c r="IA143" s="45"/>
      <c r="IQ143" s="42"/>
      <c r="IR143" s="43"/>
      <c r="IS143" s="12"/>
      <c r="JP143" s="13"/>
      <c r="JQ143" s="12"/>
      <c r="JR143" s="12"/>
      <c r="LJ143" s="13"/>
      <c r="LK143" s="43"/>
      <c r="LL143" s="45"/>
    </row>
    <row r="144" spans="7:324" ht="18" customHeight="1">
      <c r="G144" s="4"/>
      <c r="S144" s="42"/>
      <c r="T144" s="43"/>
      <c r="U144" s="12"/>
      <c r="AR144" s="13"/>
      <c r="AS144" s="13"/>
      <c r="BN144" s="13"/>
      <c r="BO144" s="43"/>
      <c r="BP144" s="45"/>
      <c r="CC144" s="13"/>
      <c r="CD144" s="13"/>
      <c r="CW144" s="42"/>
      <c r="CX144" s="43"/>
      <c r="CY144" s="12"/>
      <c r="DW144" s="25"/>
      <c r="ER144" s="13"/>
      <c r="ES144" s="43"/>
      <c r="ET144" s="45"/>
      <c r="FH144" s="42"/>
      <c r="FI144" s="43"/>
      <c r="FJ144" s="12"/>
      <c r="FM144" s="13"/>
      <c r="FN144" s="12"/>
      <c r="GD144" s="12"/>
      <c r="GG144" s="13"/>
      <c r="GH144" s="18"/>
      <c r="HY144" s="13"/>
      <c r="HZ144" s="43"/>
      <c r="IA144" s="45"/>
      <c r="IQ144" s="42"/>
      <c r="IR144" s="43"/>
      <c r="IS144" s="12"/>
      <c r="JP144" s="13"/>
      <c r="JQ144" s="12"/>
      <c r="JR144" s="12"/>
      <c r="LJ144" s="13"/>
      <c r="LK144" s="43"/>
      <c r="LL144" s="45"/>
    </row>
    <row r="145" spans="7:324" ht="18" customHeight="1">
      <c r="G145" s="4"/>
      <c r="S145" s="42"/>
      <c r="T145" s="43"/>
      <c r="U145" s="12"/>
      <c r="Y145" s="9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1"/>
      <c r="AR145" s="13"/>
      <c r="AS145" s="13"/>
      <c r="BN145" s="13"/>
      <c r="BO145" s="43"/>
      <c r="BP145" s="45"/>
      <c r="CC145" s="13"/>
      <c r="CD145" s="13"/>
      <c r="CW145" s="42"/>
      <c r="CX145" s="43"/>
      <c r="CY145" s="12"/>
      <c r="DW145" s="18"/>
      <c r="DX145" s="12"/>
      <c r="ER145" s="13"/>
      <c r="ES145" s="43"/>
      <c r="ET145" s="45"/>
      <c r="FH145" s="42"/>
      <c r="FI145" s="43"/>
      <c r="FJ145" s="12"/>
      <c r="FM145" s="13"/>
      <c r="FN145" s="12"/>
      <c r="GD145" s="12"/>
      <c r="GG145" s="13"/>
      <c r="GH145" s="18"/>
      <c r="HY145" s="13"/>
      <c r="HZ145" s="43"/>
      <c r="IA145" s="45"/>
      <c r="IQ145" s="42"/>
      <c r="IR145" s="43"/>
      <c r="IS145" s="12"/>
      <c r="JP145" s="13"/>
      <c r="JQ145" s="12"/>
      <c r="JR145" s="12"/>
      <c r="LJ145" s="13"/>
      <c r="LK145" s="43"/>
      <c r="LL145" s="45"/>
    </row>
    <row r="146" spans="7:324" ht="18" customHeight="1">
      <c r="G146" s="4"/>
      <c r="S146" s="40"/>
      <c r="T146" s="125"/>
      <c r="Y146" s="12"/>
      <c r="AN146" s="13"/>
      <c r="AR146" s="13"/>
      <c r="AS146" s="13"/>
      <c r="BN146" s="13"/>
      <c r="BO146" s="43"/>
      <c r="BP146" s="45"/>
      <c r="CC146" s="13"/>
      <c r="CD146" s="13"/>
      <c r="CW146" s="42"/>
      <c r="CX146" s="43"/>
      <c r="CY146" s="12"/>
      <c r="DW146" s="18"/>
      <c r="DX146" s="12"/>
      <c r="ER146" s="13"/>
      <c r="ES146" s="43"/>
      <c r="ET146" s="45"/>
      <c r="FH146" s="42"/>
      <c r="FI146" s="43"/>
      <c r="FJ146" s="14"/>
      <c r="FK146" s="15"/>
      <c r="FL146" s="15"/>
      <c r="FM146" s="16"/>
      <c r="FN146" s="12"/>
      <c r="GD146" s="14"/>
      <c r="GE146" s="15"/>
      <c r="GF146" s="15"/>
      <c r="GG146" s="16"/>
      <c r="GH146" s="19"/>
      <c r="HY146" s="13"/>
      <c r="HZ146" s="43"/>
      <c r="IA146" s="45"/>
      <c r="IQ146" s="42"/>
      <c r="IR146" s="43"/>
      <c r="IS146" s="12"/>
      <c r="IW146" s="9"/>
      <c r="IX146" s="10"/>
      <c r="IY146" s="10"/>
      <c r="IZ146" s="10"/>
      <c r="JA146" s="10"/>
      <c r="JB146" s="10"/>
      <c r="JC146" s="10"/>
      <c r="JD146" s="10"/>
      <c r="JE146" s="10"/>
      <c r="JF146" s="10"/>
      <c r="JG146" s="10"/>
      <c r="JH146" s="10"/>
      <c r="JI146" s="10"/>
      <c r="JJ146" s="10"/>
      <c r="JK146" s="10"/>
      <c r="JL146" s="10"/>
      <c r="JM146" s="10"/>
      <c r="JN146" s="10"/>
      <c r="JO146" s="10"/>
      <c r="JP146" s="11"/>
      <c r="JQ146" s="12"/>
      <c r="JR146" s="12"/>
      <c r="LJ146" s="13"/>
      <c r="LK146" s="43"/>
      <c r="LL146" s="45"/>
    </row>
    <row r="147" spans="7:324" ht="18" customHeight="1">
      <c r="G147" s="4"/>
      <c r="S147" s="42"/>
      <c r="T147" s="108"/>
      <c r="Y147" s="12"/>
      <c r="AN147" s="13"/>
      <c r="AR147" s="13"/>
      <c r="AS147" s="13"/>
      <c r="BN147" s="13"/>
      <c r="BO147" s="43"/>
      <c r="BP147" s="45"/>
      <c r="CC147" s="13"/>
      <c r="CD147" s="13"/>
      <c r="CW147" s="42"/>
      <c r="CX147" s="43"/>
      <c r="CY147" s="12"/>
      <c r="DW147" s="18"/>
      <c r="DX147" s="12"/>
      <c r="ER147" s="13"/>
      <c r="ES147" s="43"/>
      <c r="ET147" s="45"/>
      <c r="FH147" s="42"/>
      <c r="FI147" s="43"/>
      <c r="FJ147" s="9"/>
      <c r="FK147" s="10"/>
      <c r="FL147" s="10"/>
      <c r="FM147" s="11"/>
      <c r="FN147" s="12"/>
      <c r="HY147" s="13"/>
      <c r="HZ147" s="43"/>
      <c r="IA147" s="45"/>
      <c r="IQ147" s="42"/>
      <c r="IR147" s="43"/>
      <c r="IS147" s="12"/>
      <c r="IW147" s="12"/>
      <c r="JP147" s="13"/>
      <c r="JQ147" s="12"/>
      <c r="JR147" s="12"/>
      <c r="LJ147" s="13"/>
      <c r="LK147" s="43"/>
      <c r="LL147" s="45"/>
    </row>
    <row r="148" spans="7:324" ht="18" customHeight="1">
      <c r="G148" s="4"/>
      <c r="S148" s="42"/>
      <c r="T148" s="108"/>
      <c r="Y148" s="12"/>
      <c r="AN148" s="13"/>
      <c r="AR148" s="13"/>
      <c r="AS148" s="13"/>
      <c r="BN148" s="13"/>
      <c r="BO148" s="43"/>
      <c r="BP148" s="45"/>
      <c r="CC148" s="13"/>
      <c r="CD148" s="13"/>
      <c r="CW148" s="42"/>
      <c r="CX148" s="43"/>
      <c r="CY148" s="12"/>
      <c r="DW148" s="18"/>
      <c r="DX148" s="12"/>
      <c r="ER148" s="13"/>
      <c r="ES148" s="43"/>
      <c r="ET148" s="45"/>
      <c r="FH148" s="42"/>
      <c r="FI148" s="43"/>
      <c r="FJ148" s="12"/>
      <c r="FM148" s="13"/>
      <c r="FN148" s="12"/>
      <c r="HY148" s="13"/>
      <c r="HZ148" s="43"/>
      <c r="IA148" s="45"/>
      <c r="IQ148" s="42"/>
      <c r="IR148" s="43"/>
      <c r="IS148" s="12"/>
      <c r="IW148" s="12"/>
      <c r="JP148" s="13"/>
      <c r="JQ148" s="12"/>
      <c r="JR148" s="12"/>
      <c r="LJ148" s="13"/>
      <c r="LK148" s="43"/>
      <c r="LL148" s="45"/>
    </row>
    <row r="149" spans="7:324" ht="18" customHeight="1">
      <c r="G149" s="4"/>
      <c r="S149" s="42"/>
      <c r="T149" s="108"/>
      <c r="Y149" s="12"/>
      <c r="AN149" s="13"/>
      <c r="AR149" s="13"/>
      <c r="AS149" s="13"/>
      <c r="BN149" s="13"/>
      <c r="BO149" s="43"/>
      <c r="BP149" s="45"/>
      <c r="CC149" s="13"/>
      <c r="CD149" s="13"/>
      <c r="CW149" s="42"/>
      <c r="CX149" s="43"/>
      <c r="CY149" s="12"/>
      <c r="DW149" s="18"/>
      <c r="DX149" s="12"/>
      <c r="ER149" s="13"/>
      <c r="ES149" s="43"/>
      <c r="ET149" s="45"/>
      <c r="FH149" s="42"/>
      <c r="FI149" s="43"/>
      <c r="FJ149" s="12"/>
      <c r="FM149" s="13"/>
      <c r="FN149" s="12"/>
      <c r="HY149" s="13"/>
      <c r="HZ149" s="43"/>
      <c r="IA149" s="45"/>
      <c r="IQ149" s="42"/>
      <c r="IR149" s="43"/>
      <c r="IS149" s="12"/>
      <c r="IW149" s="12"/>
      <c r="JP149" s="13"/>
      <c r="JQ149" s="12"/>
      <c r="JR149" s="12"/>
      <c r="LJ149" s="13"/>
      <c r="LK149" s="43"/>
      <c r="LL149" s="45"/>
    </row>
    <row r="150" spans="7:324" ht="18" customHeight="1">
      <c r="G150" s="4"/>
      <c r="S150" s="42"/>
      <c r="T150" s="108"/>
      <c r="Y150" s="12"/>
      <c r="AN150" s="13"/>
      <c r="AR150" s="13"/>
      <c r="AS150" s="16"/>
      <c r="BN150" s="13"/>
      <c r="BO150" s="43"/>
      <c r="BP150" s="45"/>
      <c r="CC150" s="13"/>
      <c r="CD150" s="13"/>
      <c r="CW150" s="42"/>
      <c r="CX150" s="43"/>
      <c r="CY150" s="12"/>
      <c r="DW150" s="18"/>
      <c r="DX150" s="12"/>
      <c r="ER150" s="13"/>
      <c r="ES150" s="43"/>
      <c r="ET150" s="45"/>
      <c r="FH150" s="42"/>
      <c r="FI150" s="43"/>
      <c r="FJ150" s="14"/>
      <c r="FK150" s="15"/>
      <c r="FL150" s="15"/>
      <c r="FM150" s="16"/>
      <c r="FN150" s="12"/>
      <c r="HY150" s="13"/>
      <c r="HZ150" s="43"/>
      <c r="IA150" s="45"/>
      <c r="IQ150" s="42"/>
      <c r="IR150" s="43"/>
      <c r="IS150" s="12"/>
      <c r="IW150" s="12"/>
      <c r="JP150" s="13"/>
      <c r="JQ150" s="12"/>
      <c r="JR150" s="12"/>
      <c r="LJ150" s="13"/>
      <c r="LK150" s="43"/>
      <c r="LL150" s="45"/>
    </row>
    <row r="151" spans="7:324" ht="18" customHeight="1">
      <c r="G151" s="4"/>
      <c r="S151" s="46"/>
      <c r="T151" s="126"/>
      <c r="Y151" s="12"/>
      <c r="AO151" s="10"/>
      <c r="AP151" s="10"/>
      <c r="AQ151" s="10"/>
      <c r="AR151" s="10"/>
      <c r="BN151" s="13"/>
      <c r="BO151" s="43"/>
      <c r="BP151" s="45"/>
      <c r="CC151" s="13"/>
      <c r="CD151" s="13"/>
      <c r="CW151" s="42"/>
      <c r="CX151" s="43"/>
      <c r="CY151" s="12"/>
      <c r="DW151" s="18"/>
      <c r="DX151" s="12"/>
      <c r="ER151" s="13"/>
      <c r="ES151" s="43"/>
      <c r="ET151" s="45"/>
      <c r="FH151" s="42"/>
      <c r="FI151" s="43"/>
      <c r="FJ151" s="9"/>
      <c r="FK151" s="10"/>
      <c r="FL151" s="10"/>
      <c r="FM151" s="11"/>
      <c r="FN151" s="12"/>
      <c r="HY151" s="13"/>
      <c r="HZ151" s="43"/>
      <c r="IA151" s="45"/>
      <c r="IQ151" s="42"/>
      <c r="IR151" s="43"/>
      <c r="IS151" s="12"/>
      <c r="IW151" s="12"/>
      <c r="JP151" s="13"/>
      <c r="JQ151" s="12"/>
      <c r="JR151" s="12"/>
      <c r="LJ151" s="13"/>
      <c r="LK151" s="43"/>
      <c r="LL151" s="45"/>
    </row>
    <row r="152" spans="7:324" ht="18" customHeight="1">
      <c r="G152" s="4"/>
      <c r="S152" s="42"/>
      <c r="T152" s="43"/>
      <c r="U152" s="12"/>
      <c r="Y152" s="12"/>
      <c r="BN152" s="13"/>
      <c r="BO152" s="43"/>
      <c r="BP152" s="45"/>
      <c r="CC152" s="13"/>
      <c r="CD152" s="13"/>
      <c r="CW152" s="42"/>
      <c r="CX152" s="43"/>
      <c r="CY152" s="12"/>
      <c r="DW152" s="18"/>
      <c r="DX152" s="12"/>
      <c r="ER152" s="13"/>
      <c r="ES152" s="43"/>
      <c r="ET152" s="45"/>
      <c r="FH152" s="42"/>
      <c r="FI152" s="43"/>
      <c r="FJ152" s="12"/>
      <c r="FM152" s="13"/>
      <c r="FN152" s="12"/>
      <c r="HY152" s="13"/>
      <c r="HZ152" s="43"/>
      <c r="IA152" s="45"/>
      <c r="IQ152" s="42"/>
      <c r="IR152" s="43"/>
      <c r="IS152" s="12"/>
      <c r="IW152" s="12"/>
      <c r="JP152" s="13"/>
      <c r="JQ152" s="12"/>
      <c r="JR152" s="12"/>
      <c r="LJ152" s="13"/>
      <c r="LK152" s="43"/>
      <c r="LL152" s="45"/>
    </row>
    <row r="153" spans="7:324" ht="18" customHeight="1">
      <c r="G153" s="4"/>
      <c r="S153" s="42"/>
      <c r="T153" s="43"/>
      <c r="U153" s="12"/>
      <c r="Y153" s="12"/>
      <c r="BN153" s="13"/>
      <c r="BO153" s="43"/>
      <c r="BP153" s="45"/>
      <c r="CC153" s="13"/>
      <c r="CD153" s="13"/>
      <c r="CW153" s="42"/>
      <c r="CX153" s="43"/>
      <c r="CY153" s="12"/>
      <c r="DW153" s="18"/>
      <c r="DX153" s="12"/>
      <c r="ER153" s="13"/>
      <c r="ES153" s="43"/>
      <c r="ET153" s="45"/>
      <c r="FH153" s="42"/>
      <c r="FI153" s="43"/>
      <c r="FJ153" s="12"/>
      <c r="FM153" s="13"/>
      <c r="FN153" s="12"/>
      <c r="HY153" s="13"/>
      <c r="HZ153" s="43"/>
      <c r="IA153" s="45"/>
      <c r="IQ153" s="42"/>
      <c r="IR153" s="43"/>
      <c r="IS153" s="12"/>
      <c r="IW153" s="14"/>
      <c r="IX153" s="15"/>
      <c r="IY153" s="15"/>
      <c r="IZ153" s="15"/>
      <c r="JA153" s="15"/>
      <c r="JB153" s="15"/>
      <c r="JC153" s="15"/>
      <c r="JD153" s="15"/>
      <c r="JE153" s="15"/>
      <c r="JF153" s="15"/>
      <c r="JG153" s="15"/>
      <c r="JH153" s="15"/>
      <c r="JI153" s="15"/>
      <c r="JJ153" s="15"/>
      <c r="JK153" s="15"/>
      <c r="JL153" s="15"/>
      <c r="JM153" s="15"/>
      <c r="JN153" s="15"/>
      <c r="JO153" s="15"/>
      <c r="JP153" s="16"/>
      <c r="JQ153" s="12"/>
      <c r="JR153" s="12"/>
      <c r="LJ153" s="13"/>
      <c r="LK153" s="43"/>
      <c r="LL153" s="45"/>
    </row>
    <row r="154" spans="7:324" ht="18" customHeight="1">
      <c r="G154" s="4"/>
      <c r="S154" s="42"/>
      <c r="T154" s="43"/>
      <c r="U154" s="12"/>
      <c r="Y154" s="12"/>
      <c r="BN154" s="13"/>
      <c r="BO154" s="43"/>
      <c r="BP154" s="45"/>
      <c r="CC154" s="13"/>
      <c r="CD154" s="13"/>
      <c r="CW154" s="42"/>
      <c r="CX154" s="43"/>
      <c r="CY154" s="12"/>
      <c r="DW154" s="18"/>
      <c r="DX154" s="12"/>
      <c r="ER154" s="13"/>
      <c r="ES154" s="43"/>
      <c r="ET154" s="45"/>
      <c r="FH154" s="42"/>
      <c r="FI154" s="43"/>
      <c r="FJ154" s="14"/>
      <c r="FK154" s="15"/>
      <c r="FL154" s="15"/>
      <c r="FM154" s="16"/>
      <c r="FN154" s="14"/>
      <c r="FO154" s="15"/>
      <c r="FP154" s="15"/>
      <c r="FQ154" s="15"/>
      <c r="FR154" s="15"/>
      <c r="FS154" s="15"/>
      <c r="FT154" s="15"/>
      <c r="FU154" s="15"/>
      <c r="FV154" s="15"/>
      <c r="FW154" s="15"/>
      <c r="FX154" s="15"/>
      <c r="FY154" s="15"/>
      <c r="FZ154" s="15"/>
      <c r="GA154" s="15"/>
      <c r="GB154" s="15"/>
      <c r="GC154" s="15"/>
      <c r="GD154" s="15"/>
      <c r="GE154" s="15"/>
      <c r="GF154" s="15"/>
      <c r="GG154" s="15"/>
      <c r="GH154" s="15"/>
      <c r="GI154" s="15"/>
      <c r="GJ154" s="15"/>
      <c r="GK154" s="15"/>
      <c r="GL154" s="15"/>
      <c r="GS154" s="15"/>
      <c r="GT154" s="15"/>
      <c r="GU154" s="15"/>
      <c r="GV154" s="15"/>
      <c r="GW154" s="15"/>
      <c r="GX154" s="15"/>
      <c r="GY154" s="15"/>
      <c r="GZ154" s="15"/>
      <c r="HA154" s="15"/>
      <c r="HB154" s="15"/>
      <c r="HC154" s="15"/>
      <c r="HH154" s="15"/>
      <c r="HO154" s="15"/>
      <c r="HP154" s="15"/>
      <c r="HQ154" s="15"/>
      <c r="HR154" s="15"/>
      <c r="HS154" s="15"/>
      <c r="HT154" s="15"/>
      <c r="HU154" s="15"/>
      <c r="HV154" s="15"/>
      <c r="HW154" s="15"/>
      <c r="HX154" s="15"/>
      <c r="HY154" s="16"/>
      <c r="HZ154" s="43"/>
      <c r="IA154" s="45"/>
      <c r="IQ154" s="42"/>
      <c r="IR154" s="43"/>
      <c r="IS154" s="12"/>
      <c r="JP154" s="13"/>
      <c r="JR154" s="12"/>
      <c r="LJ154" s="13"/>
      <c r="LK154" s="43"/>
      <c r="LL154" s="45"/>
    </row>
    <row r="155" spans="7:324" ht="18" customHeight="1">
      <c r="G155" s="4"/>
      <c r="S155" s="42"/>
      <c r="T155" s="43"/>
      <c r="U155" s="12"/>
      <c r="Y155" s="12"/>
      <c r="BN155" s="13"/>
      <c r="BO155" s="43"/>
      <c r="BP155" s="45"/>
      <c r="CC155" s="13"/>
      <c r="CD155" s="13"/>
      <c r="CW155" s="42"/>
      <c r="CX155" s="43"/>
      <c r="CY155" s="12"/>
      <c r="DW155" s="18"/>
      <c r="DX155" s="12"/>
      <c r="ER155" s="13"/>
      <c r="ES155" s="43"/>
      <c r="ET155" s="45"/>
      <c r="FH155" s="42"/>
      <c r="FI155" s="43"/>
      <c r="FJ155" s="41"/>
      <c r="FK155" s="41"/>
      <c r="FL155" s="41"/>
      <c r="FM155" s="41"/>
      <c r="FN155" s="41"/>
      <c r="FO155" s="41"/>
      <c r="FP155" s="41"/>
      <c r="FQ155" s="41"/>
      <c r="FR155" s="41"/>
      <c r="FS155" s="41"/>
      <c r="FT155" s="41"/>
      <c r="FU155" s="41"/>
      <c r="FV155" s="41"/>
      <c r="FW155" s="41"/>
      <c r="FX155" s="41"/>
      <c r="FY155" s="41"/>
      <c r="FZ155" s="41"/>
      <c r="GA155" s="41"/>
      <c r="GB155" s="41"/>
      <c r="GC155" s="41"/>
      <c r="GD155" s="41"/>
      <c r="GE155" s="41"/>
      <c r="GF155" s="41"/>
      <c r="GG155" s="41"/>
      <c r="GH155" s="41"/>
      <c r="GI155" s="41"/>
      <c r="GJ155" s="41"/>
      <c r="GK155" s="41"/>
      <c r="GL155" s="41"/>
      <c r="GM155" s="41"/>
      <c r="GN155" s="41"/>
      <c r="GO155" s="41"/>
      <c r="GP155" s="41"/>
      <c r="GQ155" s="41"/>
      <c r="GR155" s="41"/>
      <c r="GS155" s="41"/>
      <c r="GT155" s="43"/>
      <c r="GU155" s="41"/>
      <c r="GV155" s="41"/>
      <c r="GW155" s="41"/>
      <c r="GX155" s="41"/>
      <c r="GY155" s="41"/>
      <c r="GZ155" s="41"/>
      <c r="HA155" s="41"/>
      <c r="HB155" s="41"/>
      <c r="HC155" s="41"/>
      <c r="HD155" s="41"/>
      <c r="HE155" s="41"/>
      <c r="HF155" s="41"/>
      <c r="HG155" s="41"/>
      <c r="HH155" s="41"/>
      <c r="HI155" s="41"/>
      <c r="HJ155" s="41"/>
      <c r="HK155" s="41"/>
      <c r="HL155" s="41"/>
      <c r="HM155" s="41"/>
      <c r="HN155" s="41"/>
      <c r="HO155" s="41"/>
      <c r="HP155" s="43"/>
      <c r="HQ155" s="43"/>
      <c r="HR155" s="43"/>
      <c r="HS155" s="70"/>
      <c r="HT155" s="92"/>
      <c r="HU155" s="92"/>
      <c r="HV155" s="92"/>
      <c r="HW155" s="92"/>
      <c r="HX155" s="71"/>
      <c r="HY155" s="43"/>
      <c r="HZ155" s="43"/>
      <c r="IA155" s="45"/>
      <c r="IQ155" s="42"/>
      <c r="IR155" s="43"/>
      <c r="IS155" s="12"/>
      <c r="JP155" s="13"/>
      <c r="JR155" s="12"/>
      <c r="LJ155" s="13"/>
      <c r="LK155" s="43"/>
      <c r="LL155" s="45"/>
    </row>
    <row r="156" spans="7:324" ht="18" customHeight="1">
      <c r="G156" s="4"/>
      <c r="S156" s="42"/>
      <c r="T156" s="43"/>
      <c r="U156" s="12"/>
      <c r="Y156" s="12"/>
      <c r="BN156" s="13"/>
      <c r="BO156" s="43"/>
      <c r="BP156" s="45"/>
      <c r="CC156" s="13"/>
      <c r="CD156" s="13"/>
      <c r="CW156" s="42"/>
      <c r="CX156" s="43"/>
      <c r="CY156" s="12"/>
      <c r="DW156" s="18"/>
      <c r="DX156" s="12"/>
      <c r="ER156" s="13"/>
      <c r="ES156" s="43"/>
      <c r="ET156" s="45"/>
      <c r="FH156" s="42"/>
      <c r="FI156" s="43"/>
      <c r="FJ156" s="43"/>
      <c r="FK156" s="43"/>
      <c r="FL156" s="43"/>
      <c r="FM156" s="43"/>
      <c r="FN156" s="43"/>
      <c r="FO156" s="43"/>
      <c r="FP156" s="43"/>
      <c r="FQ156" s="43"/>
      <c r="FR156" s="43"/>
      <c r="FS156" s="43"/>
      <c r="FT156" s="43"/>
      <c r="FU156" s="43"/>
      <c r="FV156" s="43"/>
      <c r="FW156" s="43"/>
      <c r="FX156" s="43"/>
      <c r="FY156" s="43"/>
      <c r="FZ156" s="43"/>
      <c r="GA156" s="43"/>
      <c r="GB156" s="43"/>
      <c r="GC156" s="43"/>
      <c r="GD156" s="43"/>
      <c r="GE156" s="43"/>
      <c r="GF156" s="43"/>
      <c r="GG156" s="43"/>
      <c r="GH156" s="43"/>
      <c r="GI156" s="43"/>
      <c r="GJ156" s="43"/>
      <c r="GK156" s="43"/>
      <c r="GL156" s="43"/>
      <c r="GM156" s="43"/>
      <c r="GN156" s="43"/>
      <c r="GO156" s="43"/>
      <c r="GP156" s="43"/>
      <c r="GQ156" s="43"/>
      <c r="GR156" s="43"/>
      <c r="GS156" s="43"/>
      <c r="GT156" s="43"/>
      <c r="GU156" s="43"/>
      <c r="GV156" s="43"/>
      <c r="GW156" s="43"/>
      <c r="GX156" s="43"/>
      <c r="GY156" s="43"/>
      <c r="GZ156" s="43"/>
      <c r="HA156" s="43"/>
      <c r="HB156" s="43"/>
      <c r="HC156" s="43"/>
      <c r="HD156" s="43"/>
      <c r="HE156" s="43"/>
      <c r="HF156" s="43"/>
      <c r="HG156" s="43"/>
      <c r="HH156" s="43"/>
      <c r="HI156" s="43"/>
      <c r="HJ156" s="43"/>
      <c r="HK156" s="43"/>
      <c r="HL156" s="43"/>
      <c r="HM156" s="43"/>
      <c r="HN156" s="43"/>
      <c r="HO156" s="43"/>
      <c r="HP156" s="43"/>
      <c r="HQ156" s="43"/>
      <c r="HR156" s="43"/>
      <c r="HS156" s="107"/>
      <c r="HT156" s="127"/>
      <c r="HU156" s="127"/>
      <c r="HV156" s="127"/>
      <c r="HW156" s="127"/>
      <c r="HX156" s="90"/>
      <c r="HY156" s="43"/>
      <c r="HZ156" s="43"/>
      <c r="IA156" s="45"/>
      <c r="IQ156" s="42"/>
      <c r="IR156" s="43"/>
      <c r="IS156" s="12"/>
      <c r="JP156" s="13"/>
      <c r="JR156" s="12"/>
      <c r="LJ156" s="13"/>
      <c r="LK156" s="43"/>
      <c r="LL156" s="45"/>
    </row>
    <row r="157" spans="7:324" ht="18" customHeight="1">
      <c r="G157" s="4"/>
      <c r="S157" s="42"/>
      <c r="T157" s="43"/>
      <c r="U157" s="12"/>
      <c r="Y157" s="12"/>
      <c r="BN157" s="13"/>
      <c r="BO157" s="43"/>
      <c r="BP157" s="45"/>
      <c r="CC157" s="13"/>
      <c r="CD157" s="13"/>
      <c r="CW157" s="42"/>
      <c r="CX157" s="43"/>
      <c r="CY157" s="12"/>
      <c r="DW157" s="18"/>
      <c r="DX157" s="12"/>
      <c r="ER157" s="13"/>
      <c r="ES157" s="43"/>
      <c r="ET157" s="45"/>
      <c r="FH157" s="9"/>
      <c r="FI157" s="9"/>
      <c r="FJ157" s="10"/>
      <c r="FK157" s="10"/>
      <c r="FL157" s="10"/>
      <c r="FM157" s="10"/>
      <c r="FN157" s="10"/>
      <c r="FO157" s="10"/>
      <c r="FP157" s="10"/>
      <c r="FQ157" s="10"/>
      <c r="FR157" s="10"/>
      <c r="FS157" s="10"/>
      <c r="FT157" s="10"/>
      <c r="FU157" s="10"/>
      <c r="FV157" s="10"/>
      <c r="FW157" s="10"/>
      <c r="FX157" s="10"/>
      <c r="FY157" s="10"/>
      <c r="FZ157" s="10"/>
      <c r="GA157" s="10"/>
      <c r="GB157" s="10"/>
      <c r="GC157" s="10"/>
      <c r="GD157" s="10"/>
      <c r="GE157" s="10"/>
      <c r="GF157" s="10"/>
      <c r="GG157" s="10"/>
      <c r="GH157" s="10"/>
      <c r="GI157" s="10"/>
      <c r="GJ157" s="10"/>
      <c r="GK157" s="10"/>
      <c r="GL157" s="10"/>
      <c r="GM157" s="10"/>
      <c r="GN157" s="10"/>
      <c r="GO157" s="10"/>
      <c r="GP157" s="10"/>
      <c r="GQ157" s="10"/>
      <c r="GR157" s="10"/>
      <c r="GS157" s="10"/>
      <c r="GT157" s="10"/>
      <c r="GU157" s="10"/>
      <c r="GV157" s="10"/>
      <c r="GW157" s="10"/>
      <c r="GX157" s="10"/>
      <c r="GY157" s="10"/>
      <c r="GZ157" s="10"/>
      <c r="HA157" s="10"/>
      <c r="HB157" s="10"/>
      <c r="HC157" s="10"/>
      <c r="HD157" s="10"/>
      <c r="HE157" s="10"/>
      <c r="HF157" s="10"/>
      <c r="HG157" s="10"/>
      <c r="HH157" s="10"/>
      <c r="HI157" s="10"/>
      <c r="HJ157" s="10"/>
      <c r="HK157" s="10"/>
      <c r="HL157" s="10"/>
      <c r="HM157" s="10"/>
      <c r="HN157" s="10"/>
      <c r="HO157" s="10"/>
      <c r="HP157" s="10"/>
      <c r="HQ157" s="10"/>
      <c r="HR157" s="10"/>
      <c r="HS157" s="10"/>
      <c r="HT157" s="10"/>
      <c r="HU157" s="10"/>
      <c r="HV157" s="10"/>
      <c r="HW157" s="10"/>
      <c r="HX157" s="10"/>
      <c r="HY157" s="10"/>
      <c r="HZ157" s="11"/>
      <c r="IA157" s="11"/>
      <c r="IQ157" s="42"/>
      <c r="IR157" s="43"/>
      <c r="IS157" s="14"/>
      <c r="IT157" s="15"/>
      <c r="IU157" s="15"/>
      <c r="IV157" s="15"/>
      <c r="IW157" s="15"/>
      <c r="IX157" s="15"/>
      <c r="IY157" s="15"/>
      <c r="IZ157" s="15"/>
      <c r="JA157" s="15"/>
      <c r="JB157" s="15"/>
      <c r="JC157" s="15"/>
      <c r="JD157" s="15"/>
      <c r="JE157" s="15"/>
      <c r="JF157" s="15"/>
      <c r="JG157" s="15"/>
      <c r="JH157" s="15"/>
      <c r="JI157" s="15"/>
      <c r="JJ157" s="15"/>
      <c r="JK157" s="15"/>
      <c r="JL157" s="15"/>
      <c r="JM157" s="15"/>
      <c r="JN157" s="15"/>
      <c r="JO157" s="15"/>
      <c r="JP157" s="16"/>
      <c r="JQ157" s="15"/>
      <c r="JR157" s="14"/>
      <c r="JS157" s="15"/>
      <c r="JT157" s="15"/>
      <c r="JU157" s="15"/>
      <c r="JV157" s="15"/>
      <c r="JW157" s="15"/>
      <c r="JX157" s="15"/>
      <c r="JY157" s="15"/>
      <c r="JZ157" s="15"/>
      <c r="KA157" s="15"/>
      <c r="KB157" s="15"/>
      <c r="KC157" s="15"/>
      <c r="KD157" s="15"/>
      <c r="KE157" s="15"/>
      <c r="KF157" s="15"/>
      <c r="KG157" s="15"/>
      <c r="KH157" s="15"/>
      <c r="KI157" s="15"/>
      <c r="KJ157" s="15"/>
      <c r="KK157" s="15"/>
      <c r="KL157" s="15"/>
      <c r="KM157" s="15"/>
      <c r="KN157" s="15"/>
      <c r="KO157" s="15"/>
      <c r="KP157" s="15"/>
      <c r="KQ157" s="15"/>
      <c r="KR157" s="15"/>
      <c r="KS157" s="15"/>
      <c r="KT157" s="15"/>
      <c r="KU157" s="15"/>
      <c r="KV157" s="15"/>
      <c r="KW157" s="15"/>
      <c r="KX157" s="15"/>
      <c r="KY157" s="15"/>
      <c r="KZ157" s="15"/>
      <c r="LA157" s="15"/>
      <c r="LB157" s="15"/>
      <c r="LC157" s="15"/>
      <c r="LD157" s="15"/>
      <c r="LE157" s="15"/>
      <c r="LF157" s="15"/>
      <c r="LG157" s="15"/>
      <c r="LH157" s="15"/>
      <c r="LI157" s="15"/>
      <c r="LJ157" s="16"/>
      <c r="LK157" s="43"/>
      <c r="LL157" s="45"/>
    </row>
    <row r="158" spans="7:324" ht="18" customHeight="1">
      <c r="G158" s="4"/>
      <c r="S158" s="42"/>
      <c r="T158" s="43"/>
      <c r="U158" s="14"/>
      <c r="V158" s="15"/>
      <c r="W158" s="15"/>
      <c r="X158" s="15"/>
      <c r="Y158" s="14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6"/>
      <c r="BO158" s="43"/>
      <c r="BP158" s="45"/>
      <c r="CC158" s="13"/>
      <c r="CD158" s="13"/>
      <c r="CW158" s="42"/>
      <c r="CX158" s="43"/>
      <c r="CY158" s="14"/>
      <c r="CZ158" s="15"/>
      <c r="DA158" s="15"/>
      <c r="DB158" s="15"/>
      <c r="DC158" s="15"/>
      <c r="DD158" s="15"/>
      <c r="DE158" s="15"/>
      <c r="DF158" s="15"/>
      <c r="DG158" s="15"/>
      <c r="DH158" s="15"/>
      <c r="DI158" s="15"/>
      <c r="DJ158" s="15"/>
      <c r="DK158" s="15"/>
      <c r="DL158" s="15"/>
      <c r="DM158" s="15"/>
      <c r="DN158" s="15"/>
      <c r="DO158" s="15"/>
      <c r="DP158" s="15"/>
      <c r="DQ158" s="15"/>
      <c r="DR158" s="15"/>
      <c r="DS158" s="15"/>
      <c r="DT158" s="15"/>
      <c r="DU158" s="15"/>
      <c r="DV158" s="15"/>
      <c r="DW158" s="18"/>
      <c r="DX158" s="12"/>
      <c r="ER158" s="13"/>
      <c r="ES158" s="43"/>
      <c r="ET158" s="45"/>
      <c r="FH158" s="12"/>
      <c r="FI158" s="12"/>
      <c r="HZ158" s="13"/>
      <c r="IA158" s="13"/>
      <c r="IQ158" s="42"/>
      <c r="IR158" s="43"/>
      <c r="IS158" s="43"/>
      <c r="IT158" s="43"/>
      <c r="IU158" s="43"/>
      <c r="IV158" s="43"/>
      <c r="IW158" s="43"/>
      <c r="IX158" s="43"/>
      <c r="IY158" s="43"/>
      <c r="IZ158" s="43"/>
      <c r="JA158" s="43"/>
      <c r="JB158" s="43"/>
      <c r="JC158" s="43"/>
      <c r="JD158" s="43"/>
      <c r="JE158" s="43"/>
      <c r="JF158" s="43"/>
      <c r="JG158" s="43"/>
      <c r="JH158" s="43"/>
      <c r="JI158" s="43"/>
      <c r="JJ158" s="43"/>
      <c r="JK158" s="43"/>
      <c r="JL158" s="43"/>
      <c r="JM158" s="43"/>
      <c r="JN158" s="43"/>
      <c r="JO158" s="43"/>
      <c r="JP158" s="43"/>
      <c r="JQ158" s="41"/>
      <c r="JR158" s="41"/>
      <c r="JS158" s="41"/>
      <c r="JT158" s="41"/>
      <c r="JU158" s="41"/>
      <c r="JV158" s="41"/>
      <c r="JW158" s="41"/>
      <c r="JX158" s="41"/>
      <c r="JY158" s="41"/>
      <c r="JZ158" s="41"/>
      <c r="KA158" s="41"/>
      <c r="KB158" s="41"/>
      <c r="KC158" s="43"/>
      <c r="KD158" s="41"/>
      <c r="KE158" s="41"/>
      <c r="KF158" s="41"/>
      <c r="KG158" s="41"/>
      <c r="KH158" s="41"/>
      <c r="KI158" s="41"/>
      <c r="KJ158" s="41"/>
      <c r="KK158" s="41"/>
      <c r="KL158" s="41"/>
      <c r="KM158" s="41"/>
      <c r="KN158" s="41"/>
      <c r="KO158" s="41"/>
      <c r="KP158" s="41"/>
      <c r="KQ158" s="41"/>
      <c r="KR158" s="41"/>
      <c r="KS158" s="41"/>
      <c r="KT158" s="41"/>
      <c r="KU158" s="41"/>
      <c r="KV158" s="41"/>
      <c r="KW158" s="41"/>
      <c r="KX158" s="41"/>
      <c r="KY158" s="41"/>
      <c r="KZ158" s="41"/>
      <c r="LA158" s="43"/>
      <c r="LB158" s="43"/>
      <c r="LC158" s="43"/>
      <c r="LD158" s="70"/>
      <c r="LE158" s="92"/>
      <c r="LF158" s="92"/>
      <c r="LG158" s="92"/>
      <c r="LH158" s="92"/>
      <c r="LI158" s="71"/>
      <c r="LJ158" s="43"/>
      <c r="LK158" s="43"/>
      <c r="LL158" s="45"/>
    </row>
    <row r="159" spans="7:324" ht="18" customHeight="1">
      <c r="G159" s="4"/>
      <c r="S159" s="42"/>
      <c r="T159" s="43"/>
      <c r="AL159" s="26"/>
      <c r="AM159" s="27"/>
      <c r="AN159" s="27"/>
      <c r="AO159" s="27"/>
      <c r="AP159" s="27"/>
      <c r="AQ159" s="28"/>
      <c r="AS159" s="40"/>
      <c r="AT159" s="43"/>
      <c r="AU159" s="43"/>
      <c r="AV159" s="43"/>
      <c r="AW159" s="43"/>
      <c r="AX159" s="123"/>
      <c r="AY159" s="109"/>
      <c r="AZ159" s="109"/>
      <c r="BA159" s="109"/>
      <c r="BB159" s="109"/>
      <c r="BC159" s="124"/>
      <c r="BD159" s="43"/>
      <c r="BE159" s="43"/>
      <c r="BF159" s="43"/>
      <c r="BG159" s="43"/>
      <c r="BH159" s="70"/>
      <c r="BI159" s="92"/>
      <c r="BJ159" s="92"/>
      <c r="BK159" s="92"/>
      <c r="BL159" s="92"/>
      <c r="BM159" s="71"/>
      <c r="BN159" s="43"/>
      <c r="BO159" s="43"/>
      <c r="BP159" s="45"/>
      <c r="CC159" s="13"/>
      <c r="CD159" s="13"/>
      <c r="CW159" s="42"/>
      <c r="CX159" s="43"/>
      <c r="CY159" s="12"/>
      <c r="DJ159" s="21"/>
      <c r="DL159" s="21"/>
      <c r="DV159" s="21"/>
      <c r="DW159" s="18"/>
      <c r="DX159" s="12"/>
      <c r="ER159" s="13"/>
      <c r="ES159" s="43"/>
      <c r="ET159" s="45"/>
      <c r="FH159" s="12"/>
      <c r="FI159" s="12"/>
      <c r="HZ159" s="13"/>
      <c r="IA159" s="13"/>
      <c r="IQ159" s="46"/>
      <c r="IR159" s="47"/>
      <c r="IS159" s="47"/>
      <c r="IT159" s="47"/>
      <c r="IU159" s="47"/>
      <c r="IV159" s="47"/>
      <c r="IW159" s="47"/>
      <c r="IX159" s="47"/>
      <c r="IY159" s="47"/>
      <c r="IZ159" s="47"/>
      <c r="JA159" s="47"/>
      <c r="JB159" s="47"/>
      <c r="JC159" s="47"/>
      <c r="JD159" s="47"/>
      <c r="JE159" s="47"/>
      <c r="JF159" s="47"/>
      <c r="JG159" s="47"/>
      <c r="JH159" s="47"/>
      <c r="JI159" s="47"/>
      <c r="JJ159" s="47"/>
      <c r="JK159" s="47"/>
      <c r="JL159" s="47"/>
      <c r="JM159" s="47"/>
      <c r="JN159" s="47"/>
      <c r="JO159" s="47"/>
      <c r="JP159" s="47"/>
      <c r="JQ159" s="47"/>
      <c r="JR159" s="47"/>
      <c r="JS159" s="47"/>
      <c r="JT159" s="47"/>
      <c r="JU159" s="47"/>
      <c r="JV159" s="47"/>
      <c r="JW159" s="47"/>
      <c r="JX159" s="47"/>
      <c r="JY159" s="47"/>
      <c r="JZ159" s="47"/>
      <c r="KA159" s="47"/>
      <c r="KB159" s="47"/>
      <c r="KC159" s="47"/>
      <c r="KD159" s="47"/>
      <c r="KE159" s="47"/>
      <c r="KF159" s="47"/>
      <c r="KG159" s="47"/>
      <c r="KH159" s="47"/>
      <c r="KI159" s="47"/>
      <c r="KJ159" s="47"/>
      <c r="KK159" s="47"/>
      <c r="KL159" s="47"/>
      <c r="KM159" s="47"/>
      <c r="KN159" s="47"/>
      <c r="KO159" s="47"/>
      <c r="KP159" s="47"/>
      <c r="KQ159" s="47"/>
      <c r="KR159" s="47"/>
      <c r="KS159" s="47"/>
      <c r="KT159" s="47"/>
      <c r="KU159" s="47"/>
      <c r="KV159" s="47"/>
      <c r="KW159" s="47"/>
      <c r="KX159" s="47"/>
      <c r="KY159" s="47"/>
      <c r="KZ159" s="47"/>
      <c r="LA159" s="47"/>
      <c r="LB159" s="47"/>
      <c r="LC159" s="47"/>
      <c r="LD159" s="72"/>
      <c r="LE159" s="100"/>
      <c r="LF159" s="100"/>
      <c r="LG159" s="100"/>
      <c r="LH159" s="100"/>
      <c r="LI159" s="73"/>
      <c r="LJ159" s="47"/>
      <c r="LK159" s="47"/>
      <c r="LL159" s="48"/>
    </row>
    <row r="160" spans="7:324" ht="18" customHeight="1">
      <c r="G160" s="4"/>
      <c r="S160" s="42"/>
      <c r="T160" s="45"/>
      <c r="U160" s="9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1"/>
      <c r="AS160" s="42"/>
      <c r="AT160" s="43"/>
      <c r="AU160" s="47"/>
      <c r="AV160" s="47"/>
      <c r="AW160" s="47"/>
      <c r="AX160" s="46"/>
      <c r="AY160" s="47"/>
      <c r="AZ160" s="47"/>
      <c r="BA160" s="47"/>
      <c r="BB160" s="47"/>
      <c r="BC160" s="48"/>
      <c r="BD160" s="47"/>
      <c r="BE160" s="47"/>
      <c r="BF160" s="47"/>
      <c r="BG160" s="47"/>
      <c r="BH160" s="72"/>
      <c r="BI160" s="100"/>
      <c r="BJ160" s="100"/>
      <c r="BK160" s="100"/>
      <c r="BL160" s="100"/>
      <c r="BM160" s="73"/>
      <c r="BN160" s="47"/>
      <c r="BO160" s="47"/>
      <c r="BP160" s="48"/>
      <c r="CC160" s="13"/>
      <c r="CD160" s="13"/>
      <c r="CW160" s="42"/>
      <c r="CX160" s="43"/>
      <c r="CY160" s="9"/>
      <c r="CZ160" s="10"/>
      <c r="DA160" s="10"/>
      <c r="DB160" s="11"/>
      <c r="DC160" s="10"/>
      <c r="DD160" s="10"/>
      <c r="DE160" s="10"/>
      <c r="DF160" s="10"/>
      <c r="DG160" s="9"/>
      <c r="DH160" s="10"/>
      <c r="DI160" s="10"/>
      <c r="DJ160" s="11"/>
      <c r="DK160" s="10"/>
      <c r="DL160" s="10"/>
      <c r="DM160" s="10"/>
      <c r="DN160" s="10"/>
      <c r="DO160" s="9"/>
      <c r="DP160" s="10"/>
      <c r="DQ160" s="10"/>
      <c r="DR160" s="11"/>
      <c r="DS160" s="10"/>
      <c r="DT160" s="10"/>
      <c r="DU160" s="10"/>
      <c r="DV160" s="10"/>
      <c r="DW160" s="18"/>
      <c r="DX160" s="12"/>
      <c r="ER160" s="13"/>
      <c r="ES160" s="43"/>
      <c r="ET160" s="45"/>
      <c r="FH160" s="12"/>
      <c r="FI160" s="12"/>
      <c r="HZ160" s="13"/>
      <c r="IA160" s="13"/>
    </row>
    <row r="161" spans="7:235" ht="18" customHeight="1">
      <c r="G161" s="4"/>
      <c r="S161" s="42"/>
      <c r="T161" s="43"/>
      <c r="U161" s="12"/>
      <c r="AR161" s="13"/>
      <c r="AS161" s="43"/>
      <c r="AT161" s="45"/>
      <c r="CC161" s="13"/>
      <c r="CD161" s="13"/>
      <c r="CW161" s="42"/>
      <c r="CX161" s="43"/>
      <c r="CY161" s="12"/>
      <c r="DB161" s="13"/>
      <c r="DC161" s="128"/>
      <c r="DD161" s="99"/>
      <c r="DG161" s="12"/>
      <c r="DH161" s="129"/>
      <c r="DJ161" s="13"/>
      <c r="DL161" s="128"/>
      <c r="DN161" s="13"/>
      <c r="DR161" s="13"/>
      <c r="DT161" s="128"/>
      <c r="DW161" s="18"/>
      <c r="DX161" s="12"/>
      <c r="ER161" s="13"/>
      <c r="ES161" s="43"/>
      <c r="ET161" s="45"/>
      <c r="FH161" s="12"/>
      <c r="FI161" s="12"/>
      <c r="HZ161" s="13"/>
      <c r="IA161" s="13"/>
    </row>
    <row r="162" spans="7:235" ht="18" customHeight="1">
      <c r="G162" s="4"/>
      <c r="S162" s="42"/>
      <c r="T162" s="43"/>
      <c r="U162" s="12"/>
      <c r="AR162" s="13"/>
      <c r="AS162" s="43"/>
      <c r="AT162" s="45"/>
      <c r="CC162" s="13"/>
      <c r="CD162" s="16"/>
      <c r="CW162" s="42"/>
      <c r="CX162" s="43"/>
      <c r="CY162" s="12"/>
      <c r="DB162" s="13"/>
      <c r="DG162" s="12"/>
      <c r="DJ162" s="13"/>
      <c r="DN162" s="13"/>
      <c r="DR162" s="13"/>
      <c r="DW162" s="18"/>
      <c r="DX162" s="12"/>
      <c r="ER162" s="13"/>
      <c r="ES162" s="43"/>
      <c r="ET162" s="45"/>
      <c r="FH162" s="12"/>
      <c r="FI162" s="12"/>
      <c r="HZ162" s="13"/>
      <c r="IA162" s="13"/>
    </row>
    <row r="163" spans="7:235" ht="18" customHeight="1">
      <c r="G163" s="4"/>
      <c r="S163" s="42"/>
      <c r="T163" s="43"/>
      <c r="U163" s="12"/>
      <c r="AR163" s="13"/>
      <c r="AS163" s="43"/>
      <c r="AT163" s="45"/>
      <c r="CD163" s="10"/>
      <c r="CE163" s="9"/>
      <c r="CF163" s="11"/>
      <c r="CG163" s="9"/>
      <c r="CH163" s="11"/>
      <c r="CW163" s="42"/>
      <c r="CX163" s="43"/>
      <c r="CY163" s="14"/>
      <c r="CZ163" s="15"/>
      <c r="DA163" s="15"/>
      <c r="DB163" s="16"/>
      <c r="DG163" s="14"/>
      <c r="DH163" s="15"/>
      <c r="DI163" s="15"/>
      <c r="DJ163" s="16"/>
      <c r="DO163" s="14"/>
      <c r="DP163" s="15"/>
      <c r="DQ163" s="15"/>
      <c r="DR163" s="16"/>
      <c r="DW163" s="19"/>
      <c r="DX163" s="12"/>
      <c r="ER163" s="13"/>
      <c r="ES163" s="43"/>
      <c r="ET163" s="45"/>
      <c r="FH163" s="12"/>
      <c r="FI163" s="12"/>
      <c r="HZ163" s="13"/>
      <c r="IA163" s="13"/>
    </row>
    <row r="164" spans="7:235" ht="18" customHeight="1">
      <c r="G164" s="4"/>
      <c r="S164" s="42"/>
      <c r="T164" s="43"/>
      <c r="U164" s="12"/>
      <c r="AR164" s="13"/>
      <c r="AS164" s="43"/>
      <c r="AT164" s="45"/>
      <c r="CE164" s="12"/>
      <c r="CF164" s="13"/>
      <c r="CG164" s="12"/>
      <c r="CH164" s="13"/>
      <c r="CW164" s="42"/>
      <c r="CX164" s="43"/>
      <c r="CY164" s="9"/>
      <c r="CZ164" s="10"/>
      <c r="DA164" s="10"/>
      <c r="DB164" s="11"/>
      <c r="DC164" s="9"/>
      <c r="DD164" s="10"/>
      <c r="DE164" s="10"/>
      <c r="DF164" s="10"/>
      <c r="DG164" s="10"/>
      <c r="DH164" s="10"/>
      <c r="DI164" s="10"/>
      <c r="DJ164" s="10"/>
      <c r="DK164" s="10"/>
      <c r="DL164" s="10"/>
      <c r="DM164" s="10"/>
      <c r="DN164" s="10"/>
      <c r="DO164" s="10"/>
      <c r="DP164" s="10"/>
      <c r="DQ164" s="10"/>
      <c r="DR164" s="10"/>
      <c r="DS164" s="10"/>
      <c r="DT164" s="10"/>
      <c r="DU164" s="10"/>
      <c r="DV164" s="10"/>
      <c r="DW164" s="10"/>
      <c r="ER164" s="13"/>
      <c r="ES164" s="43"/>
      <c r="ET164" s="45"/>
      <c r="FH164" s="12"/>
      <c r="FI164" s="12"/>
      <c r="HZ164" s="13"/>
      <c r="IA164" s="13"/>
    </row>
    <row r="165" spans="7:235" ht="18" customHeight="1">
      <c r="G165" s="4"/>
      <c r="S165" s="42"/>
      <c r="T165" s="43"/>
      <c r="U165" s="12"/>
      <c r="AR165" s="13"/>
      <c r="AS165" s="43"/>
      <c r="AT165" s="45"/>
      <c r="CE165" s="12"/>
      <c r="CF165" s="13"/>
      <c r="CG165" s="12"/>
      <c r="CH165" s="13"/>
      <c r="CW165" s="42"/>
      <c r="CX165" s="43"/>
      <c r="CY165" s="12"/>
      <c r="DB165" s="13"/>
      <c r="DC165" s="12"/>
      <c r="DD165" s="129"/>
      <c r="DH165" s="129"/>
      <c r="DL165" s="129"/>
      <c r="DP165" s="129"/>
      <c r="ER165" s="13"/>
      <c r="ES165" s="43"/>
      <c r="ET165" s="45"/>
      <c r="FH165" s="12"/>
      <c r="FI165" s="12"/>
      <c r="HZ165" s="13"/>
      <c r="IA165" s="13"/>
    </row>
    <row r="166" spans="7:235" ht="18" customHeight="1">
      <c r="G166" s="4"/>
      <c r="S166" s="42"/>
      <c r="T166" s="43"/>
      <c r="U166" s="12"/>
      <c r="AR166" s="13"/>
      <c r="AS166" s="43"/>
      <c r="AT166" s="45"/>
      <c r="CE166" s="12"/>
      <c r="CF166" s="13"/>
      <c r="CG166" s="12"/>
      <c r="CH166" s="13"/>
      <c r="CW166" s="42"/>
      <c r="CX166" s="43"/>
      <c r="CY166" s="12"/>
      <c r="CZ166" s="128"/>
      <c r="DB166" s="13"/>
      <c r="DC166" s="12"/>
      <c r="DD166" s="129"/>
      <c r="DH166" s="129"/>
      <c r="DL166" s="129"/>
      <c r="DP166" s="129"/>
      <c r="ER166" s="13"/>
      <c r="ES166" s="43"/>
      <c r="ET166" s="45"/>
      <c r="FH166" s="12"/>
      <c r="FI166" s="12"/>
      <c r="HZ166" s="13"/>
      <c r="IA166" s="13"/>
    </row>
    <row r="167" spans="7:235" ht="18" customHeight="1">
      <c r="G167" s="4"/>
      <c r="S167" s="42"/>
      <c r="T167" s="43"/>
      <c r="U167" s="12"/>
      <c r="AR167" s="13"/>
      <c r="AS167" s="43"/>
      <c r="AT167" s="45"/>
      <c r="CE167" s="12"/>
      <c r="CF167" s="13"/>
      <c r="CG167" s="12"/>
      <c r="CH167" s="13"/>
      <c r="CW167" s="42"/>
      <c r="CX167" s="43"/>
      <c r="CY167" s="14"/>
      <c r="CZ167" s="15"/>
      <c r="DA167" s="15"/>
      <c r="DB167" s="16"/>
      <c r="DC167" s="12"/>
      <c r="ER167" s="13"/>
      <c r="ES167" s="43"/>
      <c r="ET167" s="45"/>
      <c r="FH167" s="12"/>
      <c r="FI167" s="12"/>
      <c r="HZ167" s="13"/>
      <c r="IA167" s="13"/>
    </row>
    <row r="168" spans="7:235" ht="18" customHeight="1">
      <c r="G168" s="4"/>
      <c r="S168" s="42"/>
      <c r="T168" s="43"/>
      <c r="U168" s="12"/>
      <c r="AR168" s="13"/>
      <c r="AS168" s="43"/>
      <c r="AT168" s="45"/>
      <c r="CE168" s="12"/>
      <c r="CF168" s="13"/>
      <c r="CG168" s="12"/>
      <c r="CH168" s="13"/>
      <c r="CW168" s="42"/>
      <c r="CX168" s="43"/>
      <c r="CY168" s="9"/>
      <c r="CZ168" s="10"/>
      <c r="DA168" s="10"/>
      <c r="DB168" s="11"/>
      <c r="DC168" s="12"/>
      <c r="ER168" s="13"/>
      <c r="ES168" s="43"/>
      <c r="ET168" s="45"/>
      <c r="FH168" s="12"/>
      <c r="FI168" s="12"/>
      <c r="HZ168" s="13"/>
      <c r="IA168" s="13"/>
    </row>
    <row r="169" spans="7:235" ht="18" customHeight="1">
      <c r="G169" s="4"/>
      <c r="S169" s="42"/>
      <c r="T169" s="43"/>
      <c r="U169" s="12"/>
      <c r="AR169" s="13"/>
      <c r="AS169" s="43"/>
      <c r="AT169" s="45"/>
      <c r="CE169" s="12"/>
      <c r="CF169" s="13"/>
      <c r="CG169" s="12"/>
      <c r="CH169" s="13"/>
      <c r="CW169" s="42"/>
      <c r="CX169" s="43"/>
      <c r="CY169" s="12"/>
      <c r="DB169" s="13"/>
      <c r="DC169" s="12"/>
      <c r="ER169" s="13"/>
      <c r="ES169" s="43"/>
      <c r="ET169" s="45"/>
      <c r="FH169" s="12"/>
      <c r="FI169" s="12"/>
      <c r="HZ169" s="13"/>
      <c r="IA169" s="13"/>
    </row>
    <row r="170" spans="7:235" ht="18" customHeight="1">
      <c r="G170" s="4"/>
      <c r="S170" s="42"/>
      <c r="T170" s="43"/>
      <c r="U170" s="12"/>
      <c r="AR170" s="13"/>
      <c r="AS170" s="43"/>
      <c r="AT170" s="45"/>
      <c r="CD170" s="15"/>
      <c r="CE170" s="14"/>
      <c r="CF170" s="16"/>
      <c r="CG170" s="14"/>
      <c r="CH170" s="16"/>
      <c r="CW170" s="42"/>
      <c r="CX170" s="43"/>
      <c r="CY170" s="12"/>
      <c r="CZ170" s="128"/>
      <c r="DB170" s="13"/>
      <c r="DC170" s="12"/>
      <c r="ER170" s="13"/>
      <c r="ES170" s="43"/>
      <c r="ET170" s="45"/>
      <c r="FH170" s="12"/>
      <c r="FI170" s="12"/>
      <c r="HZ170" s="13"/>
      <c r="IA170" s="13"/>
    </row>
    <row r="171" spans="7:235" ht="18" customHeight="1">
      <c r="G171" s="4"/>
      <c r="S171" s="42"/>
      <c r="T171" s="43"/>
      <c r="U171" s="12"/>
      <c r="AR171" s="13"/>
      <c r="AS171" s="43"/>
      <c r="AT171" s="45"/>
      <c r="CC171" s="13"/>
      <c r="CD171" s="13"/>
      <c r="CW171" s="42"/>
      <c r="CX171" s="43"/>
      <c r="CY171" s="14"/>
      <c r="CZ171" s="15"/>
      <c r="DA171" s="15"/>
      <c r="DB171" s="16"/>
      <c r="DC171" s="12"/>
      <c r="ER171" s="13"/>
      <c r="ES171" s="43"/>
      <c r="ET171" s="45"/>
      <c r="FH171" s="12"/>
      <c r="FI171" s="12"/>
      <c r="HZ171" s="13"/>
      <c r="IA171" s="13"/>
    </row>
    <row r="172" spans="7:235" ht="18" customHeight="1">
      <c r="G172" s="4"/>
      <c r="S172" s="42"/>
      <c r="T172" s="43"/>
      <c r="U172" s="12"/>
      <c r="AR172" s="13"/>
      <c r="AS172" s="43"/>
      <c r="AT172" s="45"/>
      <c r="CC172" s="13"/>
      <c r="CD172" s="13"/>
      <c r="CW172" s="42"/>
      <c r="CX172" s="43"/>
      <c r="CY172" s="9"/>
      <c r="CZ172" s="10"/>
      <c r="DA172" s="10"/>
      <c r="DB172" s="11"/>
      <c r="DC172" s="10"/>
      <c r="DD172" s="10"/>
      <c r="DE172" s="10"/>
      <c r="DF172" s="10"/>
      <c r="DG172" s="9"/>
      <c r="DH172" s="10"/>
      <c r="DI172" s="10"/>
      <c r="DJ172" s="10"/>
      <c r="DK172" s="9"/>
      <c r="DL172" s="10"/>
      <c r="DM172" s="10"/>
      <c r="DN172" s="11"/>
      <c r="ER172" s="13"/>
      <c r="ES172" s="43"/>
      <c r="ET172" s="45"/>
      <c r="FH172" s="12"/>
      <c r="FI172" s="14"/>
      <c r="FJ172" s="15"/>
      <c r="FK172" s="15"/>
      <c r="FL172" s="15"/>
      <c r="FM172" s="15"/>
      <c r="FN172" s="15"/>
      <c r="FO172" s="15"/>
      <c r="FP172" s="15"/>
      <c r="FQ172" s="15"/>
      <c r="FR172" s="15"/>
      <c r="FS172" s="15"/>
      <c r="FT172" s="15"/>
      <c r="FU172" s="15"/>
      <c r="FV172" s="15"/>
      <c r="FW172" s="15"/>
      <c r="FX172" s="15"/>
      <c r="FY172" s="15"/>
      <c r="FZ172" s="15"/>
      <c r="GA172" s="15"/>
      <c r="GB172" s="15"/>
      <c r="GC172" s="15"/>
      <c r="GD172" s="15"/>
      <c r="GE172" s="15"/>
      <c r="GF172" s="15"/>
      <c r="GG172" s="15"/>
      <c r="GH172" s="15"/>
      <c r="GI172" s="15"/>
      <c r="GJ172" s="15"/>
      <c r="GK172" s="15"/>
      <c r="GL172" s="15"/>
      <c r="GM172" s="15"/>
      <c r="GN172" s="15"/>
      <c r="GO172" s="15"/>
      <c r="GP172" s="15"/>
      <c r="GQ172" s="15"/>
      <c r="GR172" s="15"/>
      <c r="GS172" s="15"/>
      <c r="GT172" s="15"/>
      <c r="GU172" s="15"/>
      <c r="GV172" s="15"/>
      <c r="GW172" s="15"/>
      <c r="GX172" s="15"/>
      <c r="GY172" s="15"/>
      <c r="GZ172" s="15"/>
      <c r="HA172" s="15"/>
      <c r="HB172" s="15"/>
      <c r="HC172" s="15"/>
      <c r="HD172" s="15"/>
      <c r="HE172" s="15"/>
      <c r="HF172" s="15"/>
      <c r="HG172" s="15"/>
      <c r="HH172" s="15"/>
      <c r="HI172" s="15"/>
      <c r="HJ172" s="15"/>
      <c r="HK172" s="15"/>
      <c r="HL172" s="15"/>
      <c r="HM172" s="15"/>
      <c r="HN172" s="15"/>
      <c r="HO172" s="15"/>
      <c r="HP172" s="15"/>
      <c r="HQ172" s="15"/>
      <c r="HR172" s="15"/>
      <c r="HS172" s="15"/>
      <c r="HT172" s="15"/>
      <c r="HU172" s="15"/>
      <c r="HV172" s="15"/>
      <c r="HW172" s="15"/>
      <c r="HX172" s="15"/>
      <c r="HY172" s="15"/>
      <c r="HZ172" s="16"/>
      <c r="IA172" s="13"/>
    </row>
    <row r="173" spans="7:235" ht="18" customHeight="1">
      <c r="G173" s="4"/>
      <c r="S173" s="42"/>
      <c r="T173" s="43"/>
      <c r="U173" s="12"/>
      <c r="AR173" s="13"/>
      <c r="AS173" s="43"/>
      <c r="AT173" s="45"/>
      <c r="CC173" s="13"/>
      <c r="CD173" s="13"/>
      <c r="CW173" s="42"/>
      <c r="CX173" s="43"/>
      <c r="CY173" s="12"/>
      <c r="DB173" s="13"/>
      <c r="DC173" s="128"/>
      <c r="DD173" s="99"/>
      <c r="DG173" s="12"/>
      <c r="DH173" s="129"/>
      <c r="DK173" s="12"/>
      <c r="DL173" s="129"/>
      <c r="DN173" s="13"/>
      <c r="ER173" s="13"/>
      <c r="ES173" s="43"/>
      <c r="ET173" s="45"/>
      <c r="FH173" s="14"/>
      <c r="FI173" s="15"/>
      <c r="FJ173" s="15"/>
      <c r="FK173" s="15"/>
      <c r="FL173" s="15"/>
      <c r="FM173" s="15"/>
      <c r="FN173" s="15"/>
      <c r="FO173" s="15"/>
      <c r="FP173" s="15"/>
      <c r="FQ173" s="15"/>
      <c r="FR173" s="15"/>
      <c r="FS173" s="15"/>
      <c r="FT173" s="15"/>
      <c r="FU173" s="15"/>
      <c r="FV173" s="15"/>
      <c r="FW173" s="15"/>
      <c r="FX173" s="15"/>
      <c r="FY173" s="15"/>
      <c r="FZ173" s="15"/>
      <c r="GA173" s="15"/>
      <c r="GB173" s="15"/>
      <c r="GC173" s="15"/>
      <c r="GD173" s="15"/>
      <c r="GE173" s="15"/>
      <c r="GF173" s="15"/>
      <c r="GG173" s="15"/>
      <c r="GH173" s="15"/>
      <c r="GI173" s="15"/>
      <c r="GJ173" s="15"/>
      <c r="GK173" s="15"/>
      <c r="GL173" s="15"/>
      <c r="GM173" s="15"/>
      <c r="GN173" s="15"/>
      <c r="GO173" s="15"/>
      <c r="GP173" s="15"/>
      <c r="GQ173" s="15"/>
      <c r="GR173" s="15"/>
      <c r="GS173" s="15"/>
      <c r="GT173" s="15"/>
      <c r="GU173" s="15"/>
      <c r="GV173" s="15"/>
      <c r="GW173" s="15"/>
      <c r="GX173" s="15"/>
      <c r="GY173" s="15"/>
      <c r="GZ173" s="15"/>
      <c r="HA173" s="15"/>
      <c r="HB173" s="15"/>
      <c r="HC173" s="15"/>
      <c r="HD173" s="15"/>
      <c r="HE173" s="15"/>
      <c r="HF173" s="15"/>
      <c r="HG173" s="15"/>
      <c r="HH173" s="15"/>
      <c r="HI173" s="15"/>
      <c r="HJ173" s="15"/>
      <c r="HK173" s="15"/>
      <c r="HL173" s="15"/>
      <c r="HM173" s="15"/>
      <c r="HN173" s="15"/>
      <c r="HO173" s="15"/>
      <c r="HP173" s="15"/>
      <c r="HQ173" s="15"/>
      <c r="HR173" s="15"/>
      <c r="HS173" s="15"/>
      <c r="HT173" s="15"/>
      <c r="HU173" s="15"/>
      <c r="HV173" s="15"/>
      <c r="HW173" s="15"/>
      <c r="HX173" s="15"/>
      <c r="HY173" s="15"/>
      <c r="HZ173" s="15"/>
      <c r="IA173" s="16"/>
    </row>
    <row r="174" spans="7:235" ht="18" customHeight="1">
      <c r="G174" s="4"/>
      <c r="S174" s="42"/>
      <c r="T174" s="43"/>
      <c r="U174" s="12"/>
      <c r="AR174" s="13"/>
      <c r="AS174" s="43"/>
      <c r="AT174" s="45"/>
      <c r="CC174" s="13"/>
      <c r="CD174" s="13"/>
      <c r="CW174" s="42"/>
      <c r="CX174" s="43"/>
      <c r="CY174" s="12"/>
      <c r="DB174" s="13"/>
      <c r="DG174" s="12"/>
      <c r="DK174" s="12"/>
      <c r="DN174" s="13"/>
      <c r="ER174" s="13"/>
      <c r="ES174" s="43"/>
      <c r="ET174" s="45"/>
    </row>
    <row r="175" spans="7:235" ht="18" customHeight="1">
      <c r="G175" s="4"/>
      <c r="S175" s="42"/>
      <c r="T175" s="43"/>
      <c r="U175" s="12"/>
      <c r="AR175" s="13"/>
      <c r="AS175" s="42"/>
      <c r="AT175" s="45"/>
      <c r="CC175" s="13"/>
      <c r="CD175" s="13"/>
      <c r="CW175" s="42"/>
      <c r="CX175" s="43"/>
      <c r="CY175" s="14"/>
      <c r="CZ175" s="15"/>
      <c r="DA175" s="15"/>
      <c r="DB175" s="16"/>
      <c r="DG175" s="14"/>
      <c r="DH175" s="15"/>
      <c r="DI175" s="15"/>
      <c r="DK175" s="14"/>
      <c r="DL175" s="15"/>
      <c r="DM175" s="15"/>
      <c r="DN175" s="16"/>
      <c r="DO175" s="15"/>
      <c r="DP175" s="15"/>
      <c r="DQ175" s="15"/>
      <c r="DR175" s="15"/>
      <c r="DS175" s="15"/>
      <c r="DT175" s="15"/>
      <c r="DU175" s="15"/>
      <c r="DV175" s="15"/>
      <c r="DW175" s="15"/>
      <c r="DX175" s="15"/>
      <c r="DY175" s="15"/>
      <c r="DZ175" s="15"/>
      <c r="EA175" s="15"/>
      <c r="EH175" s="15"/>
      <c r="EI175" s="15"/>
      <c r="EJ175" s="15"/>
      <c r="EK175" s="15"/>
      <c r="EL175" s="15"/>
      <c r="EM175" s="15"/>
      <c r="EN175" s="15"/>
      <c r="EO175" s="15"/>
      <c r="EP175" s="15"/>
      <c r="EQ175" s="15"/>
      <c r="ER175" s="16"/>
      <c r="ES175" s="43"/>
      <c r="ET175" s="45"/>
    </row>
    <row r="176" spans="7:235" ht="18" customHeight="1">
      <c r="G176" s="4"/>
      <c r="S176" s="42"/>
      <c r="T176" s="43"/>
      <c r="U176" s="41"/>
      <c r="V176" s="41"/>
      <c r="W176" s="41"/>
      <c r="X176" s="41"/>
      <c r="Y176" s="123"/>
      <c r="Z176" s="109"/>
      <c r="AA176" s="109"/>
      <c r="AB176" s="109"/>
      <c r="AC176" s="124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3"/>
      <c r="AT176" s="4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  <c r="BZ176" s="15"/>
      <c r="CA176" s="15"/>
      <c r="CB176" s="15"/>
      <c r="CC176" s="16"/>
      <c r="CD176" s="13"/>
      <c r="CW176" s="42"/>
      <c r="CX176" s="43"/>
      <c r="CY176" s="41"/>
      <c r="CZ176" s="41"/>
      <c r="DA176" s="41"/>
      <c r="DB176" s="41"/>
      <c r="DC176" s="41"/>
      <c r="DD176" s="41"/>
      <c r="DE176" s="41"/>
      <c r="DF176" s="41"/>
      <c r="DG176" s="41"/>
      <c r="DH176" s="41"/>
      <c r="DI176" s="41"/>
      <c r="DJ176" s="41"/>
      <c r="DK176" s="41"/>
      <c r="DL176" s="41"/>
      <c r="DM176" s="41"/>
      <c r="DN176" s="41"/>
      <c r="DO176" s="41"/>
      <c r="DP176" s="41"/>
      <c r="DQ176" s="41"/>
      <c r="DR176" s="41"/>
      <c r="DS176" s="41"/>
      <c r="DT176" s="41"/>
      <c r="DU176" s="41"/>
      <c r="DV176" s="41"/>
      <c r="DW176" s="41"/>
      <c r="DX176" s="41"/>
      <c r="DY176" s="41"/>
      <c r="DZ176" s="41"/>
      <c r="EA176" s="41"/>
      <c r="EB176" s="41"/>
      <c r="EC176" s="41"/>
      <c r="ED176" s="41"/>
      <c r="EE176" s="41"/>
      <c r="EF176" s="41"/>
      <c r="EG176" s="41"/>
      <c r="EH176" s="41"/>
      <c r="EI176" s="43"/>
      <c r="EJ176" s="43"/>
      <c r="EK176" s="43"/>
      <c r="EL176" s="70"/>
      <c r="EM176" s="92"/>
      <c r="EN176" s="92"/>
      <c r="EO176" s="92"/>
      <c r="EP176" s="92"/>
      <c r="EQ176" s="71"/>
      <c r="ER176" s="43"/>
      <c r="ES176" s="43"/>
      <c r="ET176" s="45"/>
    </row>
    <row r="177" spans="7:154" ht="18" customHeight="1">
      <c r="G177" s="4"/>
      <c r="S177" s="46"/>
      <c r="T177" s="47"/>
      <c r="U177" s="47"/>
      <c r="V177" s="47"/>
      <c r="W177" s="47"/>
      <c r="X177" s="47"/>
      <c r="Y177" s="46"/>
      <c r="Z177" s="47"/>
      <c r="AA177" s="47"/>
      <c r="AB177" s="47"/>
      <c r="AC177" s="48"/>
      <c r="AD177" s="47"/>
      <c r="AE177" s="47"/>
      <c r="AF177" s="47"/>
      <c r="AG177" s="47"/>
      <c r="AH177" s="47"/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8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/>
      <c r="CA177" s="15"/>
      <c r="CB177" s="15"/>
      <c r="CC177" s="15"/>
      <c r="CD177" s="16"/>
      <c r="CW177" s="42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  <c r="EA177" s="43"/>
      <c r="EB177" s="43"/>
      <c r="EC177" s="43"/>
      <c r="ED177" s="43"/>
      <c r="EE177" s="43"/>
      <c r="EF177" s="43"/>
      <c r="EG177" s="43"/>
      <c r="EH177" s="43"/>
      <c r="EI177" s="43"/>
      <c r="EJ177" s="43"/>
      <c r="EK177" s="43"/>
      <c r="EL177" s="107"/>
      <c r="EM177" s="127"/>
      <c r="EN177" s="127"/>
      <c r="EO177" s="127"/>
      <c r="EP177" s="127"/>
      <c r="EQ177" s="90"/>
      <c r="ER177" s="43"/>
      <c r="ES177" s="43"/>
      <c r="ET177" s="45"/>
    </row>
    <row r="178" spans="7:154" ht="18" customHeight="1">
      <c r="G178" s="4"/>
      <c r="CW178" s="9"/>
      <c r="CX178" s="9"/>
      <c r="CY178" s="10"/>
      <c r="CZ178" s="10"/>
      <c r="DA178" s="10"/>
      <c r="DB178" s="10"/>
      <c r="DC178" s="10"/>
      <c r="DD178" s="10"/>
      <c r="DE178" s="10"/>
      <c r="DF178" s="10"/>
      <c r="DG178" s="10"/>
      <c r="DH178" s="10"/>
      <c r="DI178" s="10"/>
      <c r="DJ178" s="10"/>
      <c r="DK178" s="10"/>
      <c r="DL178" s="10"/>
      <c r="DM178" s="10"/>
      <c r="DN178" s="10"/>
      <c r="DO178" s="10"/>
      <c r="DP178" s="10"/>
      <c r="DQ178" s="10"/>
      <c r="DR178" s="10"/>
      <c r="DS178" s="10"/>
      <c r="DT178" s="10"/>
      <c r="DU178" s="10"/>
      <c r="DV178" s="10"/>
      <c r="DW178" s="10"/>
      <c r="DX178" s="10"/>
      <c r="DY178" s="10"/>
      <c r="DZ178" s="10"/>
      <c r="EA178" s="10"/>
      <c r="EB178" s="10"/>
      <c r="EC178" s="10"/>
      <c r="ED178" s="10"/>
      <c r="EE178" s="10"/>
      <c r="EF178" s="10"/>
      <c r="EG178" s="10"/>
      <c r="EH178" s="10"/>
      <c r="EI178" s="10"/>
      <c r="EJ178" s="10"/>
      <c r="EK178" s="10"/>
      <c r="EL178" s="10"/>
      <c r="EM178" s="10"/>
      <c r="EN178" s="10"/>
      <c r="EO178" s="10"/>
      <c r="EP178" s="10"/>
      <c r="EQ178" s="10"/>
      <c r="ER178" s="10"/>
      <c r="ES178" s="11"/>
      <c r="ET178" s="11"/>
    </row>
    <row r="179" spans="7:154" ht="18" customHeight="1">
      <c r="G179" s="4"/>
      <c r="CW179" s="12"/>
      <c r="CX179" s="12"/>
      <c r="ES179" s="13"/>
      <c r="ET179" s="13"/>
    </row>
    <row r="180" spans="7:154" ht="18" customHeight="1">
      <c r="G180" s="4"/>
      <c r="CW180" s="12"/>
      <c r="CX180" s="12"/>
      <c r="ES180" s="13"/>
      <c r="ET180" s="13"/>
    </row>
    <row r="181" spans="7:154" ht="18" customHeight="1">
      <c r="G181" s="4"/>
      <c r="CW181" s="12"/>
      <c r="CX181" s="12"/>
      <c r="ES181" s="13"/>
      <c r="ET181" s="16"/>
    </row>
    <row r="182" spans="7:154" ht="18" customHeight="1">
      <c r="G182" s="4"/>
      <c r="CW182" s="12"/>
      <c r="CX182" s="12"/>
      <c r="ET182" s="10"/>
      <c r="EU182" s="9"/>
      <c r="EV182" s="11"/>
      <c r="EW182" s="9"/>
      <c r="EX182" s="11"/>
    </row>
    <row r="183" spans="7:154" ht="18" customHeight="1">
      <c r="G183" s="4"/>
      <c r="CW183" s="12"/>
      <c r="CX183" s="12"/>
      <c r="EU183" s="12"/>
      <c r="EV183" s="13"/>
      <c r="EW183" s="12"/>
      <c r="EX183" s="13"/>
    </row>
    <row r="184" spans="7:154" ht="18" customHeight="1">
      <c r="G184" s="4"/>
      <c r="CW184" s="12"/>
      <c r="CX184" s="12"/>
      <c r="EU184" s="12"/>
      <c r="EV184" s="13"/>
      <c r="EW184" s="12"/>
      <c r="EX184" s="13"/>
    </row>
    <row r="185" spans="7:154" ht="18" customHeight="1">
      <c r="G185" s="4"/>
      <c r="CW185" s="12"/>
      <c r="CX185" s="12"/>
      <c r="EU185" s="12"/>
      <c r="EV185" s="13"/>
      <c r="EW185" s="12"/>
      <c r="EX185" s="13"/>
    </row>
    <row r="186" spans="7:154" ht="18" customHeight="1">
      <c r="G186" s="4"/>
      <c r="CW186" s="12"/>
      <c r="CX186" s="12"/>
      <c r="EU186" s="12"/>
      <c r="EV186" s="13"/>
      <c r="EW186" s="12"/>
      <c r="EX186" s="13"/>
    </row>
    <row r="187" spans="7:154" ht="18" customHeight="1">
      <c r="G187" s="4"/>
      <c r="CW187" s="12"/>
      <c r="CX187" s="12"/>
      <c r="EU187" s="12"/>
      <c r="EV187" s="13"/>
      <c r="EW187" s="12"/>
      <c r="EX187" s="13"/>
    </row>
    <row r="188" spans="7:154" ht="18" customHeight="1">
      <c r="G188" s="4"/>
      <c r="CW188" s="12"/>
      <c r="CX188" s="12"/>
      <c r="EU188" s="12"/>
      <c r="EV188" s="13"/>
      <c r="EW188" s="12"/>
      <c r="EX188" s="13"/>
    </row>
    <row r="189" spans="7:154" ht="18" customHeight="1">
      <c r="G189" s="4"/>
      <c r="CW189" s="12"/>
      <c r="CX189" s="12"/>
      <c r="ET189" s="15"/>
      <c r="EU189" s="14"/>
      <c r="EV189" s="16"/>
      <c r="EW189" s="14"/>
      <c r="EX189" s="16"/>
    </row>
    <row r="190" spans="7:154" ht="18" customHeight="1">
      <c r="G190" s="4"/>
      <c r="CW190" s="12"/>
      <c r="CX190" s="12"/>
      <c r="ES190" s="13"/>
      <c r="ET190" s="13"/>
    </row>
    <row r="191" spans="7:154" ht="18" customHeight="1">
      <c r="G191" s="4"/>
      <c r="CW191" s="12"/>
      <c r="CX191" s="12"/>
      <c r="ES191" s="13"/>
      <c r="ET191" s="13"/>
    </row>
    <row r="192" spans="7:154" ht="18" customHeight="1">
      <c r="G192" s="4"/>
      <c r="CW192" s="12"/>
      <c r="CX192" s="12"/>
      <c r="ES192" s="13"/>
      <c r="ET192" s="13"/>
    </row>
    <row r="193" spans="7:150" ht="18" customHeight="1">
      <c r="G193" s="4"/>
      <c r="CW193" s="12"/>
      <c r="CX193" s="14"/>
      <c r="CY193" s="15"/>
      <c r="CZ193" s="15"/>
      <c r="DA193" s="15"/>
      <c r="DB193" s="15"/>
      <c r="DC193" s="15"/>
      <c r="DD193" s="15"/>
      <c r="DE193" s="15"/>
      <c r="DF193" s="15"/>
      <c r="DG193" s="15"/>
      <c r="DH193" s="15"/>
      <c r="DI193" s="15"/>
      <c r="DJ193" s="15"/>
      <c r="DK193" s="15"/>
      <c r="DL193" s="15"/>
      <c r="DM193" s="15"/>
      <c r="DN193" s="15"/>
      <c r="DO193" s="15"/>
      <c r="DP193" s="15"/>
      <c r="DQ193" s="15"/>
      <c r="DR193" s="15"/>
      <c r="DS193" s="15"/>
      <c r="DT193" s="15"/>
      <c r="DU193" s="15"/>
      <c r="DV193" s="15"/>
      <c r="DW193" s="15"/>
      <c r="DX193" s="15"/>
      <c r="DY193" s="15"/>
      <c r="DZ193" s="15"/>
      <c r="EA193" s="15"/>
      <c r="EB193" s="15"/>
      <c r="EC193" s="15"/>
      <c r="ED193" s="15"/>
      <c r="EE193" s="15"/>
      <c r="EF193" s="15"/>
      <c r="EG193" s="15"/>
      <c r="EH193" s="15"/>
      <c r="EI193" s="15"/>
      <c r="EJ193" s="15"/>
      <c r="EK193" s="15"/>
      <c r="EL193" s="15"/>
      <c r="EM193" s="15"/>
      <c r="EN193" s="15"/>
      <c r="EO193" s="15"/>
      <c r="EP193" s="15"/>
      <c r="EQ193" s="15"/>
      <c r="ER193" s="15"/>
      <c r="ES193" s="16"/>
      <c r="ET193" s="13"/>
    </row>
    <row r="194" spans="7:150" ht="18" customHeight="1">
      <c r="G194" s="4"/>
      <c r="CW194" s="14"/>
      <c r="CX194" s="15"/>
      <c r="CY194" s="15"/>
      <c r="CZ194" s="15"/>
      <c r="DA194" s="15"/>
      <c r="DB194" s="15"/>
      <c r="DC194" s="15"/>
      <c r="DD194" s="15"/>
      <c r="DE194" s="15"/>
      <c r="DF194" s="15"/>
      <c r="DG194" s="15"/>
      <c r="DH194" s="15"/>
      <c r="DI194" s="15"/>
      <c r="DJ194" s="15"/>
      <c r="DK194" s="15"/>
      <c r="DL194" s="15"/>
      <c r="DM194" s="15"/>
      <c r="DN194" s="15"/>
      <c r="DO194" s="15"/>
      <c r="DP194" s="15"/>
      <c r="DQ194" s="15"/>
      <c r="DR194" s="15"/>
      <c r="DS194" s="15"/>
      <c r="DT194" s="15"/>
      <c r="DU194" s="15"/>
      <c r="DV194" s="15"/>
      <c r="DW194" s="15"/>
      <c r="DX194" s="15"/>
      <c r="DY194" s="15"/>
      <c r="DZ194" s="15"/>
      <c r="EA194" s="15"/>
      <c r="EB194" s="15"/>
      <c r="EC194" s="15"/>
      <c r="ED194" s="15"/>
      <c r="EE194" s="15"/>
      <c r="EF194" s="15"/>
      <c r="EG194" s="15"/>
      <c r="EH194" s="15"/>
      <c r="EI194" s="15"/>
      <c r="EJ194" s="15"/>
      <c r="EK194" s="15"/>
      <c r="EL194" s="15"/>
      <c r="EM194" s="15"/>
      <c r="EN194" s="15"/>
      <c r="EO194" s="15"/>
      <c r="EP194" s="15"/>
      <c r="EQ194" s="15"/>
      <c r="ER194" s="15"/>
      <c r="ES194" s="15"/>
      <c r="ET194" s="16"/>
    </row>
    <row r="195" spans="7:150" ht="18" customHeight="1">
      <c r="G195" s="4"/>
    </row>
    <row r="196" spans="7:150" ht="18" customHeight="1" thickBot="1">
      <c r="G196" s="6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7"/>
      <c r="BV196" s="7"/>
      <c r="BW196" s="7"/>
      <c r="BX196" s="7"/>
      <c r="BY196" s="7"/>
      <c r="BZ196" s="7"/>
      <c r="CA196" s="7"/>
      <c r="CB196" s="7"/>
      <c r="CC196" s="7"/>
      <c r="CD196" s="7"/>
      <c r="CE196" s="7"/>
      <c r="CF196" s="7"/>
      <c r="CG196" s="7"/>
      <c r="CH196" s="7"/>
      <c r="CI196" s="7"/>
      <c r="CJ196" s="7"/>
      <c r="CK196" s="7"/>
      <c r="CL196" s="7"/>
      <c r="CM196" s="7"/>
      <c r="CN196" s="7"/>
      <c r="CO196" s="7"/>
      <c r="CP196" s="7"/>
      <c r="CQ196" s="7"/>
      <c r="CR196" s="7"/>
    </row>
    <row r="212" spans="17:247" ht="18" customHeight="1">
      <c r="GP212" s="40"/>
      <c r="GQ212" s="41"/>
      <c r="GR212" s="41"/>
      <c r="GS212" s="41"/>
      <c r="GT212" s="41"/>
      <c r="GU212" s="41"/>
      <c r="GV212" s="41"/>
      <c r="GW212" s="41"/>
      <c r="GX212" s="41"/>
      <c r="GY212" s="41"/>
      <c r="GZ212" s="41"/>
      <c r="HA212" s="41"/>
      <c r="HB212" s="41"/>
      <c r="HC212" s="41"/>
      <c r="HD212" s="41"/>
      <c r="HE212" s="41"/>
      <c r="HF212" s="41"/>
      <c r="HG212" s="40"/>
      <c r="HH212" s="41"/>
      <c r="HI212" s="41"/>
      <c r="HJ212" s="41"/>
      <c r="HK212" s="44"/>
      <c r="HL212" s="41"/>
      <c r="HM212" s="41"/>
      <c r="HN212" s="41"/>
      <c r="HO212" s="41"/>
      <c r="HP212" s="41"/>
      <c r="HQ212" s="41"/>
      <c r="HR212" s="41"/>
      <c r="HS212" s="41"/>
      <c r="HT212" s="40"/>
      <c r="HU212" s="41"/>
      <c r="HV212" s="41"/>
      <c r="HW212" s="44"/>
      <c r="HX212" s="41"/>
      <c r="HY212" s="41"/>
      <c r="HZ212" s="41"/>
      <c r="IA212" s="41"/>
      <c r="IB212" s="41"/>
      <c r="IC212" s="41"/>
      <c r="ID212" s="41"/>
      <c r="IE212" s="40"/>
      <c r="IF212" s="41"/>
      <c r="IG212" s="41"/>
      <c r="IH212" s="44"/>
      <c r="II212" s="41"/>
      <c r="IJ212" s="41"/>
      <c r="IK212" s="41"/>
      <c r="IL212" s="41"/>
      <c r="IM212" s="44"/>
    </row>
    <row r="213" spans="17:247" ht="18" customHeight="1">
      <c r="Q213" s="9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  <c r="BB213" s="10"/>
      <c r="BC213" s="10"/>
      <c r="BD213" s="10"/>
      <c r="BE213" s="10"/>
      <c r="BF213" s="10"/>
      <c r="BG213" s="10"/>
      <c r="BH213" s="10"/>
      <c r="BI213" s="10"/>
      <c r="BJ213" s="10"/>
      <c r="BK213" s="10"/>
      <c r="BL213" s="10"/>
      <c r="BM213" s="10"/>
      <c r="BN213" s="10"/>
      <c r="BO213" s="11"/>
      <c r="CV213" s="40"/>
      <c r="CW213" s="41"/>
      <c r="CX213" s="41"/>
      <c r="CY213" s="41"/>
      <c r="CZ213" s="41"/>
      <c r="DA213" s="41"/>
      <c r="DB213" s="41"/>
      <c r="DC213" s="41"/>
      <c r="DD213" s="41"/>
      <c r="DE213" s="41"/>
      <c r="DF213" s="41"/>
      <c r="DG213" s="41"/>
      <c r="DH213" s="41"/>
      <c r="DI213" s="41"/>
      <c r="DJ213" s="41"/>
      <c r="DK213" s="41"/>
      <c r="DL213" s="41"/>
      <c r="DM213" s="41"/>
      <c r="DN213" s="41"/>
      <c r="DO213" s="41"/>
      <c r="DP213" s="41"/>
      <c r="DQ213" s="41"/>
      <c r="DR213" s="41"/>
      <c r="DS213" s="41"/>
      <c r="DT213" s="41"/>
      <c r="DU213" s="41"/>
      <c r="DV213" s="41"/>
      <c r="DW213" s="41"/>
      <c r="DX213" s="41"/>
      <c r="DY213" s="41"/>
      <c r="DZ213" s="41"/>
      <c r="EA213" s="41"/>
      <c r="EB213" s="41"/>
      <c r="EC213" s="41"/>
      <c r="ED213" s="41"/>
      <c r="EE213" s="41"/>
      <c r="EF213" s="41"/>
      <c r="EG213" s="41"/>
      <c r="EH213" s="41"/>
      <c r="EI213" s="41"/>
      <c r="EJ213" s="41"/>
      <c r="EK213" s="41"/>
      <c r="EL213" s="41"/>
      <c r="EM213" s="41"/>
      <c r="EN213" s="41"/>
      <c r="EO213" s="41"/>
      <c r="EP213" s="41"/>
      <c r="EQ213" s="41"/>
      <c r="ER213" s="41"/>
      <c r="ES213" s="44"/>
      <c r="GP213" s="42"/>
      <c r="GQ213" s="43"/>
      <c r="GR213" s="43"/>
      <c r="GS213" s="43"/>
      <c r="GT213" s="43"/>
      <c r="GU213" s="43"/>
      <c r="GV213" s="43"/>
      <c r="GW213" s="43"/>
      <c r="GX213" s="43"/>
      <c r="GY213" s="43"/>
      <c r="GZ213" s="43"/>
      <c r="HA213" s="43"/>
      <c r="HB213" s="43"/>
      <c r="HC213" s="43"/>
      <c r="HD213" s="43"/>
      <c r="HE213" s="43"/>
      <c r="HF213" s="43"/>
      <c r="HG213" s="40"/>
      <c r="HH213" s="41"/>
      <c r="HI213" s="41"/>
      <c r="HJ213" s="41"/>
      <c r="HK213" s="44"/>
      <c r="HL213" s="43"/>
      <c r="HM213" s="43"/>
      <c r="HN213" s="43"/>
      <c r="HO213" s="43"/>
      <c r="HP213" s="43"/>
      <c r="HQ213" s="43"/>
      <c r="HR213" s="43"/>
      <c r="HS213" s="43"/>
      <c r="HT213" s="123"/>
      <c r="HU213" s="109"/>
      <c r="HV213" s="109"/>
      <c r="HW213" s="124"/>
      <c r="HX213" s="43"/>
      <c r="HY213" s="43"/>
      <c r="HZ213" s="43"/>
      <c r="IA213" s="43"/>
      <c r="IB213" s="43"/>
      <c r="IC213" s="43"/>
      <c r="ID213" s="43"/>
      <c r="IE213" s="123"/>
      <c r="IF213" s="109"/>
      <c r="IG213" s="109"/>
      <c r="IH213" s="124"/>
      <c r="II213" s="43"/>
      <c r="IJ213" s="43"/>
      <c r="IK213" s="43"/>
      <c r="IL213" s="43"/>
      <c r="IM213" s="45"/>
    </row>
    <row r="214" spans="17:247" ht="18" customHeight="1">
      <c r="Q214" s="12"/>
      <c r="BO214" s="13"/>
      <c r="CV214" s="42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  <c r="EA214" s="43"/>
      <c r="EB214" s="43"/>
      <c r="EC214" s="43"/>
      <c r="ED214" s="43"/>
      <c r="EE214" s="43"/>
      <c r="EF214" s="43"/>
      <c r="EG214" s="43"/>
      <c r="EH214" s="43"/>
      <c r="EI214" s="43"/>
      <c r="EJ214" s="43"/>
      <c r="EK214" s="43"/>
      <c r="EL214" s="43"/>
      <c r="EM214" s="43"/>
      <c r="EN214" s="43"/>
      <c r="EO214" s="43"/>
      <c r="EP214" s="43"/>
      <c r="EQ214" s="43"/>
      <c r="ER214" s="43"/>
      <c r="ES214" s="45"/>
      <c r="GP214" s="42"/>
      <c r="GQ214" s="43"/>
      <c r="GR214" s="9"/>
      <c r="GS214" s="10"/>
      <c r="GT214" s="10"/>
      <c r="GU214" s="10"/>
      <c r="GV214" s="10"/>
      <c r="GW214" s="10"/>
      <c r="GX214" s="10"/>
      <c r="GY214" s="10"/>
      <c r="GZ214" s="10"/>
      <c r="HA214" s="10"/>
      <c r="HB214" s="10"/>
      <c r="HC214" s="10"/>
      <c r="HD214" s="10"/>
      <c r="HE214" s="10"/>
      <c r="HF214" s="10"/>
      <c r="HG214" s="10"/>
      <c r="HH214" s="10"/>
      <c r="HI214" s="10"/>
      <c r="HJ214" s="10"/>
      <c r="HK214" s="10"/>
      <c r="HL214" s="10"/>
      <c r="HM214" s="10"/>
      <c r="HN214" s="10"/>
      <c r="HO214" s="10"/>
      <c r="HP214" s="17"/>
      <c r="HQ214" s="10"/>
      <c r="HR214" s="10"/>
      <c r="HS214" s="10"/>
      <c r="HT214" s="10"/>
      <c r="HU214" s="10"/>
      <c r="HV214" s="10"/>
      <c r="HW214" s="10"/>
      <c r="HX214" s="10"/>
      <c r="HY214" s="10"/>
      <c r="HZ214" s="11"/>
      <c r="IA214" s="10"/>
      <c r="IB214" s="9"/>
      <c r="IC214" s="10"/>
      <c r="ID214" s="10"/>
      <c r="IE214" s="10"/>
      <c r="IF214" s="10"/>
      <c r="IG214" s="10"/>
      <c r="IH214" s="10"/>
      <c r="II214" s="10"/>
      <c r="IJ214" s="10"/>
      <c r="IK214" s="11"/>
      <c r="IL214" s="43"/>
      <c r="IM214" s="45"/>
    </row>
    <row r="215" spans="17:247" ht="18" customHeight="1">
      <c r="Q215" s="12"/>
      <c r="S215" s="9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7"/>
      <c r="AT215" s="9"/>
      <c r="AU215" s="10"/>
      <c r="AV215" s="10"/>
      <c r="AW215" s="10"/>
      <c r="AX215" s="10"/>
      <c r="AY215" s="10"/>
      <c r="AZ215" s="10"/>
      <c r="BA215" s="10"/>
      <c r="BB215" s="10"/>
      <c r="BC215" s="10"/>
      <c r="BD215" s="10"/>
      <c r="BE215" s="10"/>
      <c r="BF215" s="10"/>
      <c r="BG215" s="10"/>
      <c r="BH215" s="10"/>
      <c r="BI215" s="10"/>
      <c r="BJ215" s="10"/>
      <c r="BK215" s="10"/>
      <c r="BL215" s="10"/>
      <c r="BM215" s="11"/>
      <c r="BO215" s="13"/>
      <c r="CV215" s="42"/>
      <c r="CW215" s="43"/>
      <c r="CX215" s="9"/>
      <c r="CY215" s="10"/>
      <c r="CZ215" s="10"/>
      <c r="DA215" s="10"/>
      <c r="DB215" s="10"/>
      <c r="DC215" s="10"/>
      <c r="DD215" s="10"/>
      <c r="DE215" s="10"/>
      <c r="DF215" s="10"/>
      <c r="DG215" s="10"/>
      <c r="DH215" s="10"/>
      <c r="DI215" s="10"/>
      <c r="DJ215" s="10"/>
      <c r="DK215" s="10"/>
      <c r="DL215" s="10"/>
      <c r="DM215" s="10"/>
      <c r="DN215" s="10"/>
      <c r="DO215" s="10"/>
      <c r="DP215" s="10"/>
      <c r="DQ215" s="10"/>
      <c r="DR215" s="10"/>
      <c r="DS215" s="10"/>
      <c r="DT215" s="10"/>
      <c r="DU215" s="10"/>
      <c r="DV215" s="17"/>
      <c r="DW215" s="10"/>
      <c r="DX215" s="10"/>
      <c r="DY215" s="10"/>
      <c r="DZ215" s="10"/>
      <c r="EA215" s="10"/>
      <c r="EB215" s="10"/>
      <c r="EC215" s="10"/>
      <c r="ED215" s="10"/>
      <c r="EE215" s="10"/>
      <c r="EF215" s="11"/>
      <c r="EG215" s="17"/>
      <c r="EH215" s="9"/>
      <c r="EI215" s="10"/>
      <c r="EJ215" s="10"/>
      <c r="EK215" s="10"/>
      <c r="EL215" s="10"/>
      <c r="EM215" s="10"/>
      <c r="EN215" s="10"/>
      <c r="EO215" s="10"/>
      <c r="EP215" s="10"/>
      <c r="EQ215" s="11"/>
      <c r="ER215" s="43"/>
      <c r="ES215" s="45"/>
      <c r="GP215" s="42"/>
      <c r="GQ215" s="43"/>
      <c r="GR215" s="12"/>
      <c r="HP215" s="18"/>
      <c r="HZ215" s="13"/>
      <c r="IB215" s="12"/>
      <c r="IK215" s="13"/>
      <c r="IL215" s="43"/>
      <c r="IM215" s="45"/>
    </row>
    <row r="216" spans="17:247" ht="18" customHeight="1">
      <c r="Q216" s="12"/>
      <c r="S216" s="12"/>
      <c r="AS216" s="18"/>
      <c r="AT216" s="12"/>
      <c r="BM216" s="13"/>
      <c r="BO216" s="13"/>
      <c r="CV216" s="42"/>
      <c r="CW216" s="43"/>
      <c r="CX216" s="12"/>
      <c r="DS216" s="9"/>
      <c r="DT216" s="10"/>
      <c r="DU216" s="11"/>
      <c r="DV216" s="18"/>
      <c r="EF216" s="13"/>
      <c r="EG216" s="18"/>
      <c r="EH216" s="12"/>
      <c r="EQ216" s="13"/>
      <c r="ER216" s="43"/>
      <c r="ES216" s="45"/>
      <c r="GP216" s="42"/>
      <c r="GQ216" s="43"/>
      <c r="GR216" s="12"/>
      <c r="HP216" s="18"/>
      <c r="HZ216" s="13"/>
      <c r="IB216" s="12"/>
      <c r="IK216" s="13"/>
      <c r="IL216" s="43"/>
      <c r="IM216" s="45"/>
    </row>
    <row r="217" spans="17:247" ht="18" customHeight="1">
      <c r="Q217" s="12"/>
      <c r="S217" s="12"/>
      <c r="AS217" s="18"/>
      <c r="AT217" s="12"/>
      <c r="BM217" s="13"/>
      <c r="BO217" s="13"/>
      <c r="CV217" s="42"/>
      <c r="CW217" s="43"/>
      <c r="CX217" s="12"/>
      <c r="DS217" s="12"/>
      <c r="DU217" s="13"/>
      <c r="DV217" s="18"/>
      <c r="EF217" s="13"/>
      <c r="EG217" s="18"/>
      <c r="EH217" s="12"/>
      <c r="EQ217" s="13"/>
      <c r="ER217" s="43"/>
      <c r="ES217" s="45"/>
      <c r="GP217" s="42"/>
      <c r="GQ217" s="43"/>
      <c r="GR217" s="12"/>
      <c r="HP217" s="18"/>
      <c r="HZ217" s="13"/>
      <c r="IB217" s="12"/>
      <c r="IK217" s="13"/>
      <c r="IL217" s="43"/>
      <c r="IM217" s="45"/>
    </row>
    <row r="218" spans="17:247" ht="18" customHeight="1">
      <c r="Q218" s="12"/>
      <c r="S218" s="12"/>
      <c r="AS218" s="18"/>
      <c r="AT218" s="12"/>
      <c r="BM218" s="13"/>
      <c r="BO218" s="13"/>
      <c r="CV218" s="42"/>
      <c r="CW218" s="43"/>
      <c r="CX218" s="9"/>
      <c r="CY218" s="11"/>
      <c r="DS218" s="12"/>
      <c r="DU218" s="13"/>
      <c r="DV218" s="18"/>
      <c r="EF218" s="13"/>
      <c r="EG218" s="18"/>
      <c r="EH218" s="12"/>
      <c r="EQ218" s="13"/>
      <c r="ER218" s="43"/>
      <c r="ES218" s="45"/>
      <c r="GP218" s="42"/>
      <c r="GQ218" s="43"/>
      <c r="GR218" s="12"/>
      <c r="HP218" s="18"/>
      <c r="HZ218" s="13"/>
      <c r="IB218" s="12"/>
      <c r="IK218" s="13"/>
      <c r="IL218" s="43"/>
      <c r="IM218" s="45"/>
    </row>
    <row r="219" spans="17:247" ht="18" customHeight="1">
      <c r="Q219" s="12"/>
      <c r="S219" s="12"/>
      <c r="AS219" s="18"/>
      <c r="AT219" s="12"/>
      <c r="BM219" s="13"/>
      <c r="BO219" s="13"/>
      <c r="CV219" s="42"/>
      <c r="CW219" s="43"/>
      <c r="CX219" s="12"/>
      <c r="CY219" s="13"/>
      <c r="DS219" s="12"/>
      <c r="DU219" s="13"/>
      <c r="DV219" s="18"/>
      <c r="EF219" s="13"/>
      <c r="EG219" s="18"/>
      <c r="EH219" s="12"/>
      <c r="EQ219" s="13"/>
      <c r="ER219" s="43"/>
      <c r="ES219" s="45"/>
      <c r="GP219" s="42"/>
      <c r="GQ219" s="43"/>
      <c r="GR219" s="12"/>
      <c r="HP219" s="18"/>
      <c r="HZ219" s="13"/>
      <c r="IB219" s="12"/>
      <c r="IK219" s="13"/>
      <c r="IL219" s="43"/>
      <c r="IM219" s="45"/>
    </row>
    <row r="220" spans="17:247" ht="18" customHeight="1">
      <c r="Q220" s="12"/>
      <c r="S220" s="12"/>
      <c r="AS220" s="18"/>
      <c r="AT220" s="12"/>
      <c r="BM220" s="13"/>
      <c r="BO220" s="13"/>
      <c r="CV220" s="42"/>
      <c r="CW220" s="43"/>
      <c r="CX220" s="14"/>
      <c r="CY220" s="16"/>
      <c r="DS220" s="12"/>
      <c r="DU220" s="13"/>
      <c r="DV220" s="18"/>
      <c r="EF220" s="13"/>
      <c r="EG220" s="18"/>
      <c r="EH220" s="12"/>
      <c r="EQ220" s="13"/>
      <c r="ER220" s="43"/>
      <c r="ES220" s="45"/>
      <c r="GP220" s="42"/>
      <c r="GQ220" s="43"/>
      <c r="GR220" s="12"/>
      <c r="HP220" s="18"/>
      <c r="HZ220" s="13"/>
      <c r="IB220" s="12"/>
      <c r="IK220" s="13"/>
      <c r="IL220" s="43"/>
      <c r="IM220" s="45"/>
    </row>
    <row r="221" spans="17:247" ht="18" customHeight="1">
      <c r="Q221" s="12"/>
      <c r="S221" s="12"/>
      <c r="AS221" s="18"/>
      <c r="AT221" s="12"/>
      <c r="BM221" s="13"/>
      <c r="BO221" s="13"/>
      <c r="CV221" s="42"/>
      <c r="CW221" s="43"/>
      <c r="CX221" s="9"/>
      <c r="CY221" s="10"/>
      <c r="CZ221" s="10"/>
      <c r="DA221" s="10"/>
      <c r="DB221" s="10"/>
      <c r="DC221" s="10"/>
      <c r="DD221" s="10"/>
      <c r="DE221" s="10"/>
      <c r="DF221" s="10"/>
      <c r="DG221" s="10"/>
      <c r="DH221" s="10"/>
      <c r="DI221" s="11"/>
      <c r="DS221" s="12"/>
      <c r="DU221" s="13"/>
      <c r="DV221" s="18"/>
      <c r="EF221" s="13"/>
      <c r="EG221" s="18"/>
      <c r="EH221" s="12"/>
      <c r="EQ221" s="13"/>
      <c r="ER221" s="43"/>
      <c r="ES221" s="45"/>
      <c r="GP221" s="42"/>
      <c r="GQ221" s="43"/>
      <c r="GR221" s="12"/>
      <c r="HP221" s="18"/>
      <c r="HQ221" s="15"/>
      <c r="HR221" s="15"/>
      <c r="HS221" s="15"/>
      <c r="HT221" s="15"/>
      <c r="HU221" s="15"/>
      <c r="HV221" s="15"/>
      <c r="HW221" s="15"/>
      <c r="HX221" s="15"/>
      <c r="HY221" s="15"/>
      <c r="HZ221" s="16"/>
      <c r="IB221" s="14"/>
      <c r="IC221" s="15"/>
      <c r="ID221" s="15"/>
      <c r="IE221" s="15"/>
      <c r="IF221" s="15"/>
      <c r="IG221" s="15"/>
      <c r="IH221" s="15"/>
      <c r="II221" s="15"/>
      <c r="IJ221" s="15"/>
      <c r="IK221" s="16"/>
      <c r="IL221" s="43"/>
      <c r="IM221" s="45"/>
    </row>
    <row r="222" spans="17:247" ht="18" customHeight="1">
      <c r="Q222" s="12"/>
      <c r="S222" s="12"/>
      <c r="AS222" s="18"/>
      <c r="AT222" s="12"/>
      <c r="BM222" s="13"/>
      <c r="BO222" s="13"/>
      <c r="CV222" s="42"/>
      <c r="CW222" s="43"/>
      <c r="CX222" s="12"/>
      <c r="DI222" s="13"/>
      <c r="DS222" s="12"/>
      <c r="DU222" s="13"/>
      <c r="DV222" s="18"/>
      <c r="DW222" s="15"/>
      <c r="DX222" s="15"/>
      <c r="DY222" s="15"/>
      <c r="DZ222" s="15"/>
      <c r="EA222" s="15"/>
      <c r="EB222" s="15"/>
      <c r="EC222" s="15"/>
      <c r="ED222" s="15"/>
      <c r="EE222" s="15"/>
      <c r="EF222" s="16"/>
      <c r="EG222" s="18"/>
      <c r="EH222" s="14"/>
      <c r="EI222" s="15"/>
      <c r="EJ222" s="15"/>
      <c r="EK222" s="15"/>
      <c r="EL222" s="15"/>
      <c r="EM222" s="15"/>
      <c r="EN222" s="15"/>
      <c r="EO222" s="15"/>
      <c r="EP222" s="15"/>
      <c r="EQ222" s="16"/>
      <c r="ER222" s="43"/>
      <c r="ES222" s="45"/>
      <c r="GP222" s="42"/>
      <c r="GQ222" s="43"/>
      <c r="GR222" s="12"/>
      <c r="HP222" s="18"/>
      <c r="HV222" s="9"/>
      <c r="HW222" s="10"/>
      <c r="HX222" s="10"/>
      <c r="HY222" s="10"/>
      <c r="HZ222" s="11"/>
      <c r="IB222" s="9"/>
      <c r="IC222" s="10"/>
      <c r="ID222" s="10"/>
      <c r="IE222" s="10"/>
      <c r="IF222" s="11"/>
      <c r="IK222" s="13"/>
      <c r="IL222" s="43"/>
      <c r="IM222" s="45"/>
    </row>
    <row r="223" spans="17:247" ht="18" customHeight="1">
      <c r="Q223" s="12"/>
      <c r="S223" s="12"/>
      <c r="AS223" s="18"/>
      <c r="AT223" s="12"/>
      <c r="BM223" s="13"/>
      <c r="BO223" s="13"/>
      <c r="CV223" s="42"/>
      <c r="CW223" s="43"/>
      <c r="CX223" s="12"/>
      <c r="DI223" s="13"/>
      <c r="DS223" s="12"/>
      <c r="DU223" s="13"/>
      <c r="DV223" s="18"/>
      <c r="EB223" s="9"/>
      <c r="EC223" s="10"/>
      <c r="ED223" s="10"/>
      <c r="EE223" s="10"/>
      <c r="EF223" s="11"/>
      <c r="EG223" s="18"/>
      <c r="EH223" s="9"/>
      <c r="EI223" s="10"/>
      <c r="EJ223" s="10"/>
      <c r="EK223" s="10"/>
      <c r="EL223" s="11"/>
      <c r="EQ223" s="13"/>
      <c r="ER223" s="43"/>
      <c r="ES223" s="45"/>
      <c r="GP223" s="42"/>
      <c r="GQ223" s="43"/>
      <c r="GR223" s="12"/>
      <c r="HP223" s="18"/>
      <c r="HV223" s="12"/>
      <c r="HZ223" s="13"/>
      <c r="IB223" s="12"/>
      <c r="IF223" s="13"/>
      <c r="IK223" s="13"/>
      <c r="IL223" s="43"/>
      <c r="IM223" s="45"/>
    </row>
    <row r="224" spans="17:247" ht="18" customHeight="1">
      <c r="Q224" s="12"/>
      <c r="S224" s="12"/>
      <c r="AS224" s="18"/>
      <c r="AT224" s="12"/>
      <c r="BM224" s="13"/>
      <c r="BO224" s="13"/>
      <c r="CV224" s="42"/>
      <c r="CW224" s="43"/>
      <c r="CX224" s="12"/>
      <c r="DI224" s="13"/>
      <c r="DS224" s="12"/>
      <c r="DU224" s="13"/>
      <c r="DV224" s="18"/>
      <c r="EB224" s="12"/>
      <c r="EF224" s="13"/>
      <c r="EG224" s="18"/>
      <c r="EH224" s="12"/>
      <c r="EL224" s="13"/>
      <c r="EQ224" s="13"/>
      <c r="ER224" s="43"/>
      <c r="ES224" s="45"/>
      <c r="GP224" s="42"/>
      <c r="GQ224" s="43"/>
      <c r="GR224" s="12"/>
      <c r="HP224" s="18"/>
      <c r="HV224" s="12"/>
      <c r="HZ224" s="13"/>
      <c r="IB224" s="12"/>
      <c r="IF224" s="13"/>
      <c r="IK224" s="13"/>
      <c r="IL224" s="43"/>
      <c r="IM224" s="45"/>
    </row>
    <row r="225" spans="17:247" ht="18" customHeight="1">
      <c r="Q225" s="12"/>
      <c r="S225" s="12"/>
      <c r="AS225" s="18"/>
      <c r="AT225" s="12"/>
      <c r="BM225" s="13"/>
      <c r="BO225" s="13"/>
      <c r="CV225" s="42"/>
      <c r="CW225" s="43"/>
      <c r="CX225" s="12"/>
      <c r="DI225" s="13"/>
      <c r="DS225" s="14"/>
      <c r="DT225" s="15"/>
      <c r="DU225" s="16"/>
      <c r="DV225" s="18"/>
      <c r="EB225" s="12"/>
      <c r="EF225" s="13"/>
      <c r="EG225" s="18"/>
      <c r="EH225" s="12"/>
      <c r="EL225" s="13"/>
      <c r="EQ225" s="13"/>
      <c r="ER225" s="43"/>
      <c r="ES225" s="45"/>
      <c r="GP225" s="42"/>
      <c r="GQ225" s="43"/>
      <c r="GR225" s="12"/>
      <c r="HP225" s="18"/>
      <c r="HV225" s="12"/>
      <c r="HZ225" s="13"/>
      <c r="IB225" s="12"/>
      <c r="IF225" s="13"/>
      <c r="IK225" s="13"/>
      <c r="IL225" s="43"/>
      <c r="IM225" s="45"/>
    </row>
    <row r="226" spans="17:247" ht="18" customHeight="1">
      <c r="Q226" s="12"/>
      <c r="S226" s="12"/>
      <c r="AS226" s="18"/>
      <c r="AT226" s="12"/>
      <c r="BM226" s="13"/>
      <c r="BO226" s="13"/>
      <c r="CV226" s="42"/>
      <c r="CW226" s="43"/>
      <c r="CX226" s="12"/>
      <c r="DI226" s="13"/>
      <c r="DV226" s="18"/>
      <c r="EB226" s="12"/>
      <c r="EF226" s="13"/>
      <c r="EG226" s="18"/>
      <c r="EH226" s="12"/>
      <c r="EL226" s="13"/>
      <c r="EQ226" s="13"/>
      <c r="ER226" s="43"/>
      <c r="ES226" s="45"/>
      <c r="GP226" s="42"/>
      <c r="GQ226" s="43"/>
      <c r="GR226" s="12"/>
      <c r="HP226" s="18"/>
      <c r="HV226" s="14"/>
      <c r="HW226" s="15"/>
      <c r="HX226" s="15"/>
      <c r="HY226" s="15"/>
      <c r="HZ226" s="16"/>
      <c r="IB226" s="14"/>
      <c r="IC226" s="15"/>
      <c r="ID226" s="15"/>
      <c r="IE226" s="15"/>
      <c r="IF226" s="16"/>
      <c r="IK226" s="13"/>
      <c r="IL226" s="43"/>
      <c r="IM226" s="45"/>
    </row>
    <row r="227" spans="17:247" ht="18" customHeight="1">
      <c r="Q227" s="12"/>
      <c r="S227" s="12"/>
      <c r="AS227" s="18"/>
      <c r="AT227" s="12"/>
      <c r="BM227" s="13"/>
      <c r="BO227" s="13"/>
      <c r="CV227" s="42"/>
      <c r="CW227" s="43"/>
      <c r="CX227" s="12"/>
      <c r="DI227" s="13"/>
      <c r="DV227" s="24"/>
      <c r="EB227" s="14"/>
      <c r="EC227" s="15"/>
      <c r="ED227" s="15"/>
      <c r="EE227" s="15"/>
      <c r="EF227" s="16"/>
      <c r="EG227" s="18"/>
      <c r="EH227" s="14"/>
      <c r="EI227" s="15"/>
      <c r="EJ227" s="15"/>
      <c r="EK227" s="15"/>
      <c r="EL227" s="16"/>
      <c r="EQ227" s="13"/>
      <c r="ER227" s="43"/>
      <c r="ES227" s="45"/>
      <c r="GP227" s="42"/>
      <c r="GQ227" s="43"/>
      <c r="GR227" s="12"/>
      <c r="HP227" s="18"/>
      <c r="HV227" s="12"/>
      <c r="HZ227" s="13"/>
      <c r="IB227" s="12"/>
      <c r="IF227" s="13"/>
      <c r="IK227" s="13"/>
      <c r="IL227" s="43"/>
      <c r="IM227" s="45"/>
    </row>
    <row r="228" spans="17:247" ht="18" customHeight="1">
      <c r="Q228" s="12"/>
      <c r="S228" s="12"/>
      <c r="AS228" s="18"/>
      <c r="AT228" s="12"/>
      <c r="BM228" s="13"/>
      <c r="BO228" s="13"/>
      <c r="CV228" s="42"/>
      <c r="CW228" s="43"/>
      <c r="CX228" s="12"/>
      <c r="DI228" s="13"/>
      <c r="DV228" s="24"/>
      <c r="EB228" s="12"/>
      <c r="EF228" s="13"/>
      <c r="EG228" s="18"/>
      <c r="EH228" s="12"/>
      <c r="EL228" s="13"/>
      <c r="EQ228" s="13"/>
      <c r="ER228" s="43"/>
      <c r="ES228" s="45"/>
      <c r="GP228" s="42"/>
      <c r="GQ228" s="43"/>
      <c r="GR228" s="12"/>
      <c r="HP228" s="18"/>
      <c r="HV228" s="12"/>
      <c r="HZ228" s="13"/>
      <c r="IB228" s="12"/>
      <c r="IF228" s="13"/>
      <c r="IK228" s="13"/>
      <c r="IL228" s="43"/>
      <c r="IM228" s="45"/>
    </row>
    <row r="229" spans="17:247" ht="18" customHeight="1">
      <c r="Q229" s="12"/>
      <c r="S229" s="12"/>
      <c r="AS229" s="18"/>
      <c r="AT229" s="12"/>
      <c r="BM229" s="13"/>
      <c r="BO229" s="13"/>
      <c r="CV229" s="42"/>
      <c r="CW229" s="43"/>
      <c r="CX229" s="12"/>
      <c r="DI229" s="13"/>
      <c r="DV229" s="24"/>
      <c r="EB229" s="12"/>
      <c r="EC229" s="32"/>
      <c r="ED229" s="32"/>
      <c r="EF229" s="13"/>
      <c r="EG229" s="18"/>
      <c r="EH229" s="12"/>
      <c r="EJ229" s="32"/>
      <c r="EK229" s="32"/>
      <c r="EL229" s="13"/>
      <c r="EQ229" s="13"/>
      <c r="ER229" s="43"/>
      <c r="ES229" s="45"/>
      <c r="GP229" s="42"/>
      <c r="GQ229" s="43"/>
      <c r="GR229" s="12"/>
      <c r="HP229" s="18"/>
      <c r="HV229" s="12"/>
      <c r="HZ229" s="13"/>
      <c r="IB229" s="12"/>
      <c r="IF229" s="13"/>
      <c r="IK229" s="13"/>
      <c r="IL229" s="43"/>
      <c r="IM229" s="45"/>
    </row>
    <row r="230" spans="17:247" ht="18" customHeight="1">
      <c r="Q230" s="12"/>
      <c r="S230" s="12"/>
      <c r="AS230" s="18"/>
      <c r="AT230" s="12"/>
      <c r="BM230" s="13"/>
      <c r="BO230" s="13"/>
      <c r="CV230" s="42"/>
      <c r="CW230" s="43"/>
      <c r="CX230" s="12"/>
      <c r="DI230" s="13"/>
      <c r="DV230" s="24"/>
      <c r="EB230" s="12"/>
      <c r="EC230" s="32"/>
      <c r="ED230" s="32"/>
      <c r="EF230" s="13"/>
      <c r="EG230" s="18"/>
      <c r="EH230" s="12"/>
      <c r="EJ230" s="32"/>
      <c r="EK230" s="32"/>
      <c r="EL230" s="13"/>
      <c r="EQ230" s="13"/>
      <c r="ER230" s="43"/>
      <c r="ES230" s="45"/>
      <c r="GP230" s="42"/>
      <c r="GQ230" s="43"/>
      <c r="GR230" s="12"/>
      <c r="HP230" s="18"/>
      <c r="HV230" s="12"/>
      <c r="HZ230" s="13"/>
      <c r="IB230" s="12"/>
      <c r="IF230" s="13"/>
      <c r="IK230" s="13"/>
      <c r="IL230" s="43"/>
      <c r="IM230" s="45"/>
    </row>
    <row r="231" spans="17:247" ht="18" customHeight="1">
      <c r="Q231" s="12"/>
      <c r="S231" s="12"/>
      <c r="AS231" s="18"/>
      <c r="AT231" s="12"/>
      <c r="BM231" s="13"/>
      <c r="BO231" s="13"/>
      <c r="CV231" s="42"/>
      <c r="CW231" s="43"/>
      <c r="CX231" s="12"/>
      <c r="DI231" s="13"/>
      <c r="DV231" s="24"/>
      <c r="EB231" s="12"/>
      <c r="EC231" s="32"/>
      <c r="ED231" s="32"/>
      <c r="EF231" s="13"/>
      <c r="EG231" s="18"/>
      <c r="EH231" s="12"/>
      <c r="EJ231" s="32"/>
      <c r="EK231" s="32"/>
      <c r="EL231" s="13"/>
      <c r="EQ231" s="13"/>
      <c r="ER231" s="43"/>
      <c r="ES231" s="45"/>
      <c r="GP231" s="42"/>
      <c r="GQ231" s="43"/>
      <c r="GR231" s="12"/>
      <c r="HP231" s="18"/>
      <c r="HQ231" s="15"/>
      <c r="HR231" s="15"/>
      <c r="HS231" s="15"/>
      <c r="HT231" s="15"/>
      <c r="HU231" s="15"/>
      <c r="HV231" s="14"/>
      <c r="HW231" s="15"/>
      <c r="HX231" s="15"/>
      <c r="HY231" s="15"/>
      <c r="HZ231" s="16"/>
      <c r="IB231" s="14"/>
      <c r="IC231" s="15"/>
      <c r="ID231" s="15"/>
      <c r="IE231" s="15"/>
      <c r="IF231" s="16"/>
      <c r="IG231" s="15"/>
      <c r="IH231" s="15"/>
      <c r="II231" s="15"/>
      <c r="IJ231" s="15"/>
      <c r="IK231" s="16"/>
      <c r="IL231" s="43"/>
      <c r="IM231" s="45"/>
    </row>
    <row r="232" spans="17:247" ht="18" customHeight="1">
      <c r="Q232" s="12"/>
      <c r="S232" s="12"/>
      <c r="AS232" s="18"/>
      <c r="AT232" s="12"/>
      <c r="BM232" s="13"/>
      <c r="BO232" s="13"/>
      <c r="CV232" s="42"/>
      <c r="CW232" s="43"/>
      <c r="CX232" s="14"/>
      <c r="CY232" s="15"/>
      <c r="CZ232" s="15"/>
      <c r="DA232" s="15"/>
      <c r="DB232" s="15"/>
      <c r="DC232" s="15"/>
      <c r="DD232" s="15"/>
      <c r="DE232" s="15"/>
      <c r="DF232" s="15"/>
      <c r="DG232" s="15"/>
      <c r="DH232" s="15"/>
      <c r="DI232" s="16"/>
      <c r="DV232" s="18"/>
      <c r="DW232" s="15"/>
      <c r="DX232" s="15"/>
      <c r="DY232" s="15"/>
      <c r="DZ232" s="15"/>
      <c r="EA232" s="15"/>
      <c r="EB232" s="14"/>
      <c r="EC232" s="15"/>
      <c r="ED232" s="15"/>
      <c r="EE232" s="15"/>
      <c r="EF232" s="16"/>
      <c r="EG232" s="19"/>
      <c r="EH232" s="14"/>
      <c r="EI232" s="15"/>
      <c r="EJ232" s="15"/>
      <c r="EK232" s="15"/>
      <c r="EL232" s="16"/>
      <c r="EM232" s="15"/>
      <c r="EN232" s="15"/>
      <c r="EO232" s="15"/>
      <c r="EP232" s="15"/>
      <c r="EQ232" s="16"/>
      <c r="ER232" s="43"/>
      <c r="ES232" s="45"/>
      <c r="GP232" s="40"/>
      <c r="GQ232" s="40"/>
      <c r="GR232" s="12"/>
      <c r="HG232" s="9"/>
      <c r="HH232" s="10"/>
      <c r="HI232" s="10"/>
      <c r="HJ232" s="10"/>
      <c r="HK232" s="10"/>
      <c r="HL232" s="10"/>
      <c r="HM232" s="10"/>
      <c r="HN232" s="10"/>
      <c r="HO232" s="11"/>
      <c r="HP232" s="18"/>
      <c r="HQ232" s="15"/>
      <c r="HR232" s="15"/>
      <c r="HS232" s="15"/>
      <c r="HT232" s="15"/>
      <c r="HU232" s="15"/>
      <c r="HV232" s="15"/>
      <c r="HW232" s="15"/>
      <c r="HX232" s="15"/>
      <c r="HY232" s="15"/>
      <c r="HZ232" s="15"/>
      <c r="IA232" s="15"/>
      <c r="IB232" s="15"/>
      <c r="IC232" s="15"/>
      <c r="ID232" s="15"/>
      <c r="IE232" s="15"/>
      <c r="IF232" s="15"/>
      <c r="IG232" s="15"/>
      <c r="IH232" s="15"/>
      <c r="II232" s="15"/>
      <c r="IJ232" s="15"/>
      <c r="IK232" s="22"/>
      <c r="IL232" s="43"/>
      <c r="IM232" s="45"/>
    </row>
    <row r="233" spans="17:247" ht="18" customHeight="1">
      <c r="Q233" s="12"/>
      <c r="S233" s="12"/>
      <c r="AS233" s="18"/>
      <c r="AT233" s="12"/>
      <c r="BM233" s="13"/>
      <c r="BO233" s="13"/>
      <c r="CV233" s="42"/>
      <c r="CW233" s="43"/>
      <c r="CX233" s="9"/>
      <c r="CY233" s="11"/>
      <c r="DV233" s="18"/>
      <c r="DW233" s="15"/>
      <c r="DX233" s="15"/>
      <c r="DY233" s="15"/>
      <c r="DZ233" s="15"/>
      <c r="EA233" s="15"/>
      <c r="EB233" s="15"/>
      <c r="EC233" s="15"/>
      <c r="ED233" s="15"/>
      <c r="EE233" s="15"/>
      <c r="EF233" s="15"/>
      <c r="EG233" s="15"/>
      <c r="EH233" s="15"/>
      <c r="EI233" s="15"/>
      <c r="EJ233" s="15"/>
      <c r="EK233" s="15"/>
      <c r="EL233" s="100"/>
      <c r="EM233" s="100"/>
      <c r="EN233" s="100"/>
      <c r="EO233" s="100"/>
      <c r="EP233" s="100"/>
      <c r="EQ233" s="22"/>
      <c r="ER233" s="43"/>
      <c r="ES233" s="45"/>
      <c r="GP233" s="42"/>
      <c r="GQ233" s="42"/>
      <c r="GR233" s="12"/>
      <c r="HG233" s="12"/>
      <c r="HH233" s="9"/>
      <c r="HI233" s="10"/>
      <c r="HJ233" s="10"/>
      <c r="HK233" s="10"/>
      <c r="HL233" s="10"/>
      <c r="HM233" s="10"/>
      <c r="HN233" s="10"/>
      <c r="HO233" s="11"/>
      <c r="HP233" s="18"/>
      <c r="HQ233" s="10"/>
      <c r="HR233" s="10"/>
      <c r="HS233" s="10"/>
      <c r="HT233" s="10"/>
      <c r="HU233" s="10"/>
      <c r="HV233" s="10"/>
      <c r="HW233" s="10"/>
      <c r="HX233" s="10"/>
      <c r="HY233" s="10"/>
      <c r="HZ233" s="10"/>
      <c r="IA233" s="10"/>
      <c r="IB233" s="10"/>
      <c r="IC233" s="10"/>
      <c r="ID233" s="10"/>
      <c r="IE233" s="10"/>
      <c r="IF233" s="10"/>
      <c r="IG233" s="10"/>
      <c r="IH233" s="10"/>
      <c r="II233" s="10"/>
      <c r="IJ233" s="10"/>
      <c r="IK233" s="11"/>
      <c r="IL233" s="43"/>
      <c r="IM233" s="45"/>
    </row>
    <row r="234" spans="17:247" ht="18" customHeight="1">
      <c r="Q234" s="12"/>
      <c r="S234" s="12"/>
      <c r="AS234" s="18"/>
      <c r="AT234" s="12"/>
      <c r="BM234" s="13"/>
      <c r="BO234" s="13"/>
      <c r="CV234" s="42"/>
      <c r="CW234" s="43"/>
      <c r="CX234" s="12"/>
      <c r="CY234" s="13"/>
      <c r="DV234" s="18"/>
      <c r="DW234" s="10"/>
      <c r="DX234" s="10"/>
      <c r="DY234" s="10"/>
      <c r="DZ234" s="10"/>
      <c r="EA234" s="10"/>
      <c r="EB234" s="10"/>
      <c r="EC234" s="10"/>
      <c r="ED234" s="9"/>
      <c r="EE234" s="38"/>
      <c r="EF234" s="38"/>
      <c r="EG234" s="11"/>
      <c r="EH234" s="10"/>
      <c r="EI234" s="10"/>
      <c r="EJ234" s="10"/>
      <c r="EK234" s="10"/>
      <c r="EL234" s="10"/>
      <c r="EM234" s="10"/>
      <c r="EN234" s="10"/>
      <c r="EO234" s="10"/>
      <c r="EP234" s="10"/>
      <c r="EQ234" s="11"/>
      <c r="ER234" s="43"/>
      <c r="ES234" s="45"/>
      <c r="GP234" s="42"/>
      <c r="GQ234" s="42"/>
      <c r="GR234" s="12"/>
      <c r="HG234" s="12"/>
      <c r="HH234" s="12"/>
      <c r="HO234" s="13"/>
      <c r="HP234" s="18"/>
      <c r="IK234" s="13"/>
      <c r="IL234" s="44"/>
      <c r="IM234" s="44"/>
    </row>
    <row r="235" spans="17:247" ht="18" customHeight="1">
      <c r="Q235" s="12"/>
      <c r="S235" s="12"/>
      <c r="AS235" s="18"/>
      <c r="AT235" s="12"/>
      <c r="BM235" s="13"/>
      <c r="BO235" s="13"/>
      <c r="CV235" s="42"/>
      <c r="CW235" s="43"/>
      <c r="CX235" s="14"/>
      <c r="CY235" s="16"/>
      <c r="DV235" s="24"/>
      <c r="ED235" s="12"/>
      <c r="EE235" s="32"/>
      <c r="EF235" s="32"/>
      <c r="EG235" s="13"/>
      <c r="EQ235" s="13"/>
      <c r="ER235" s="43"/>
      <c r="ES235" s="45"/>
      <c r="GP235" s="42"/>
      <c r="GQ235" s="42"/>
      <c r="GR235" s="12"/>
      <c r="HG235" s="12"/>
      <c r="HH235" s="12"/>
      <c r="HO235" s="13"/>
      <c r="HP235" s="18"/>
      <c r="IK235" s="13"/>
      <c r="IL235" s="45"/>
      <c r="IM235" s="45"/>
    </row>
    <row r="236" spans="17:247" ht="18" customHeight="1">
      <c r="Q236" s="12"/>
      <c r="S236" s="12"/>
      <c r="AS236" s="18"/>
      <c r="AT236" s="12"/>
      <c r="BM236" s="13"/>
      <c r="BO236" s="13"/>
      <c r="CV236" s="42"/>
      <c r="CW236" s="43"/>
      <c r="CX236" s="12"/>
      <c r="DV236" s="24"/>
      <c r="ED236" s="14"/>
      <c r="EE236" s="15"/>
      <c r="EF236" s="15"/>
      <c r="EG236" s="16"/>
      <c r="EQ236" s="13"/>
      <c r="ER236" s="43"/>
      <c r="ES236" s="45"/>
      <c r="GP236" s="42"/>
      <c r="GQ236" s="42"/>
      <c r="GR236" s="12"/>
      <c r="HG236" s="12"/>
      <c r="HH236" s="12"/>
      <c r="HO236" s="13"/>
      <c r="HP236" s="18"/>
      <c r="IK236" s="13"/>
      <c r="IL236" s="45"/>
      <c r="IM236" s="45"/>
    </row>
    <row r="237" spans="17:247" ht="18" customHeight="1">
      <c r="Q237" s="12"/>
      <c r="S237" s="12"/>
      <c r="AS237" s="18"/>
      <c r="AT237" s="12"/>
      <c r="BM237" s="13"/>
      <c r="BO237" s="13"/>
      <c r="CV237" s="42"/>
      <c r="CW237" s="43"/>
      <c r="CX237" s="12"/>
      <c r="DV237" s="24"/>
      <c r="EQ237" s="13"/>
      <c r="ER237" s="125"/>
      <c r="ES237" s="125"/>
      <c r="GP237" s="46"/>
      <c r="GQ237" s="46"/>
      <c r="GR237" s="12"/>
      <c r="HG237" s="12"/>
      <c r="HH237" s="12"/>
      <c r="HO237" s="13"/>
      <c r="HP237" s="18"/>
      <c r="IK237" s="13"/>
      <c r="IL237" s="45"/>
      <c r="IM237" s="45"/>
    </row>
    <row r="238" spans="17:247" ht="18" customHeight="1">
      <c r="Q238" s="12"/>
      <c r="S238" s="12"/>
      <c r="AS238" s="18"/>
      <c r="AT238" s="12"/>
      <c r="BM238" s="13"/>
      <c r="BO238" s="13"/>
      <c r="CV238" s="42"/>
      <c r="CW238" s="43"/>
      <c r="CX238" s="12"/>
      <c r="DV238" s="24"/>
      <c r="EQ238" s="13"/>
      <c r="ER238" s="108"/>
      <c r="ES238" s="108"/>
      <c r="GP238" s="42"/>
      <c r="GQ238" s="43"/>
      <c r="GR238" s="12"/>
      <c r="HG238" s="12"/>
      <c r="HH238" s="12"/>
      <c r="HO238" s="13"/>
      <c r="HP238" s="18"/>
      <c r="IK238" s="13"/>
      <c r="IL238" s="48"/>
      <c r="IM238" s="48"/>
    </row>
    <row r="239" spans="17:247" ht="18" customHeight="1">
      <c r="Q239" s="12"/>
      <c r="S239" s="20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7"/>
      <c r="AF239" s="27"/>
      <c r="AG239" s="27"/>
      <c r="AH239" s="27"/>
      <c r="AI239" s="27"/>
      <c r="AJ239" s="21"/>
      <c r="AK239" s="10"/>
      <c r="AL239" s="21"/>
      <c r="AM239" s="27"/>
      <c r="AN239" s="27"/>
      <c r="AO239" s="27"/>
      <c r="AP239" s="27"/>
      <c r="AQ239" s="27"/>
      <c r="AR239" s="21"/>
      <c r="AS239" s="131"/>
      <c r="AT239" s="20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7"/>
      <c r="BI239" s="27"/>
      <c r="BJ239" s="27"/>
      <c r="BK239" s="27"/>
      <c r="BL239" s="27"/>
      <c r="BM239" s="22"/>
      <c r="BO239" s="13"/>
      <c r="CV239" s="42"/>
      <c r="CW239" s="43"/>
      <c r="CX239" s="12"/>
      <c r="DV239" s="24"/>
      <c r="EQ239" s="13"/>
      <c r="ER239" s="108"/>
      <c r="ES239" s="108"/>
      <c r="GP239" s="42"/>
      <c r="GQ239" s="42"/>
      <c r="GR239" s="12"/>
      <c r="HG239" s="12"/>
      <c r="HH239" s="12"/>
      <c r="HO239" s="13"/>
      <c r="HP239" s="18"/>
      <c r="IK239" s="13"/>
      <c r="IL239" s="43"/>
      <c r="IM239" s="45"/>
    </row>
    <row r="240" spans="17:247" ht="18" customHeight="1">
      <c r="Q240" s="12"/>
      <c r="S240" s="12"/>
      <c r="AK240" s="17"/>
      <c r="BM240" s="13"/>
      <c r="BO240" s="13"/>
      <c r="CV240" s="42"/>
      <c r="CW240" s="43"/>
      <c r="CX240" s="14"/>
      <c r="CY240" s="15"/>
      <c r="CZ240" s="15"/>
      <c r="DA240" s="15"/>
      <c r="DB240" s="15"/>
      <c r="DC240" s="15"/>
      <c r="DD240" s="15"/>
      <c r="DE240" s="15"/>
      <c r="DF240" s="15"/>
      <c r="DG240" s="15"/>
      <c r="DH240" s="15"/>
      <c r="DI240" s="15"/>
      <c r="DJ240" s="15"/>
      <c r="DK240" s="15"/>
      <c r="DL240" s="15"/>
      <c r="DM240" s="15"/>
      <c r="DN240" s="15"/>
      <c r="DO240" s="15"/>
      <c r="DP240" s="15"/>
      <c r="DQ240" s="15"/>
      <c r="DR240" s="15"/>
      <c r="DS240" s="15"/>
      <c r="DT240" s="15"/>
      <c r="DU240" s="15"/>
      <c r="DV240" s="18"/>
      <c r="EQ240" s="13"/>
      <c r="ER240" s="108"/>
      <c r="ES240" s="108"/>
      <c r="GP240" s="42"/>
      <c r="GQ240" s="42"/>
      <c r="GR240" s="14"/>
      <c r="GS240" s="15"/>
      <c r="GT240" s="15"/>
      <c r="GU240" s="15"/>
      <c r="GV240" s="15"/>
      <c r="GW240" s="15"/>
      <c r="GX240" s="15"/>
      <c r="GY240" s="15"/>
      <c r="GZ240" s="15"/>
      <c r="HA240" s="15"/>
      <c r="HB240" s="15"/>
      <c r="HC240" s="15"/>
      <c r="HD240" s="15"/>
      <c r="HE240" s="15"/>
      <c r="HF240" s="15"/>
      <c r="HG240" s="14"/>
      <c r="HH240" s="14"/>
      <c r="HI240" s="15"/>
      <c r="HJ240" s="15"/>
      <c r="HK240" s="15"/>
      <c r="HL240" s="15"/>
      <c r="HM240" s="15"/>
      <c r="HN240" s="15"/>
      <c r="HO240" s="16"/>
      <c r="HP240" s="18"/>
      <c r="HQ240" s="15"/>
      <c r="HR240" s="15"/>
      <c r="IK240" s="13"/>
      <c r="IL240" s="43" t="s">
        <v>6</v>
      </c>
      <c r="IM240" s="45"/>
    </row>
    <row r="241" spans="17:264" ht="18" customHeight="1">
      <c r="Q241" s="12"/>
      <c r="S241" s="12"/>
      <c r="W241" s="128"/>
      <c r="X241" s="99"/>
      <c r="AB241" s="129"/>
      <c r="AH241" s="128"/>
      <c r="AK241" s="18"/>
      <c r="BM241" s="13"/>
      <c r="BO241" s="13"/>
      <c r="CV241" s="42"/>
      <c r="CW241" s="43"/>
      <c r="CX241" s="20"/>
      <c r="CY241" s="21"/>
      <c r="CZ241" s="21"/>
      <c r="DA241" s="21"/>
      <c r="DB241" s="21"/>
      <c r="DC241" s="21"/>
      <c r="DD241" s="21"/>
      <c r="DE241" s="21"/>
      <c r="DF241" s="21"/>
      <c r="DG241" s="21"/>
      <c r="DH241" s="21"/>
      <c r="DI241" s="21"/>
      <c r="DJ241" s="21"/>
      <c r="DK241" s="21"/>
      <c r="DL241" s="21"/>
      <c r="DM241" s="21"/>
      <c r="DN241" s="21"/>
      <c r="DO241" s="21"/>
      <c r="DP241" s="21"/>
      <c r="DQ241" s="21"/>
      <c r="DR241" s="21"/>
      <c r="DS241" s="21"/>
      <c r="DT241" s="21"/>
      <c r="DU241" s="22"/>
      <c r="DV241" s="18"/>
      <c r="EQ241" s="13"/>
      <c r="ER241" s="108"/>
      <c r="ES241" s="108"/>
      <c r="GP241" s="46"/>
      <c r="GQ241" s="46"/>
      <c r="GR241" s="12"/>
      <c r="HP241" s="18"/>
      <c r="HQ241" s="10"/>
      <c r="HR241" s="10"/>
      <c r="HS241" s="11"/>
      <c r="IK241" s="13"/>
      <c r="IL241" s="43"/>
      <c r="IM241" s="45"/>
    </row>
    <row r="242" spans="17:264" ht="18" customHeight="1">
      <c r="Q242" s="12"/>
      <c r="S242" s="12"/>
      <c r="AK242" s="18"/>
      <c r="BM242" s="13"/>
      <c r="BO242" s="13"/>
      <c r="CV242" s="42"/>
      <c r="CW242" s="43"/>
      <c r="CX242" s="9"/>
      <c r="CY242" s="10"/>
      <c r="CZ242" s="10"/>
      <c r="DA242" s="10"/>
      <c r="DB242" s="10"/>
      <c r="DC242" s="10"/>
      <c r="DD242" s="10"/>
      <c r="DE242" s="10"/>
      <c r="DF242" s="10"/>
      <c r="DG242" s="10"/>
      <c r="DH242" s="10"/>
      <c r="DI242" s="10"/>
      <c r="DJ242" s="10"/>
      <c r="DK242" s="10"/>
      <c r="DL242" s="10"/>
      <c r="DM242" s="10"/>
      <c r="DN242" s="10"/>
      <c r="DO242" s="10"/>
      <c r="DP242" s="10"/>
      <c r="DQ242" s="10"/>
      <c r="DR242" s="10"/>
      <c r="DS242" s="10"/>
      <c r="DT242" s="10"/>
      <c r="DU242" s="10"/>
      <c r="DV242" s="18"/>
      <c r="EQ242" s="13"/>
      <c r="ER242" s="126"/>
      <c r="ES242" s="126"/>
      <c r="GP242" s="42"/>
      <c r="GQ242" s="43"/>
      <c r="GR242" s="9"/>
      <c r="GS242" s="10"/>
      <c r="GT242" s="10"/>
      <c r="GU242" s="10"/>
      <c r="GV242" s="10"/>
      <c r="GW242" s="10"/>
      <c r="GX242" s="10"/>
      <c r="GY242" s="10"/>
      <c r="GZ242" s="10"/>
      <c r="HA242" s="10"/>
      <c r="HB242" s="10"/>
      <c r="HC242" s="10"/>
      <c r="HD242" s="10"/>
      <c r="HE242" s="10"/>
      <c r="HF242" s="10"/>
      <c r="HG242" s="10"/>
      <c r="HH242" s="10"/>
      <c r="HI242" s="10"/>
      <c r="HJ242" s="10"/>
      <c r="HK242" s="10"/>
      <c r="HL242" s="10"/>
      <c r="HM242" s="10"/>
      <c r="HN242" s="10"/>
      <c r="HO242" s="10"/>
      <c r="HP242" s="18"/>
      <c r="HS242" s="13"/>
      <c r="IK242" s="13"/>
      <c r="IL242" s="43"/>
      <c r="IM242" s="45"/>
    </row>
    <row r="243" spans="17:264" ht="18" customHeight="1">
      <c r="Q243" s="12"/>
      <c r="S243" s="12"/>
      <c r="AK243" s="18"/>
      <c r="BM243" s="13"/>
      <c r="BO243" s="13"/>
      <c r="CV243" s="42"/>
      <c r="CW243" s="43"/>
      <c r="CX243" s="12"/>
      <c r="DV243" s="24"/>
      <c r="EQ243" s="13"/>
      <c r="ER243" s="43"/>
      <c r="ES243" s="45"/>
      <c r="GP243" s="42"/>
      <c r="GQ243" s="43"/>
      <c r="GR243" s="12"/>
      <c r="HP243" s="18"/>
      <c r="HQ243" s="15"/>
      <c r="HR243" s="15"/>
      <c r="HS243" s="16"/>
      <c r="IK243" s="13"/>
      <c r="IL243" s="43"/>
      <c r="IM243" s="45"/>
    </row>
    <row r="244" spans="17:264" ht="18" customHeight="1">
      <c r="Q244" s="12"/>
      <c r="S244" s="12"/>
      <c r="AK244" s="18"/>
      <c r="BM244" s="13"/>
      <c r="BO244" s="13"/>
      <c r="CV244" s="42"/>
      <c r="CW244" s="43"/>
      <c r="CX244" s="12"/>
      <c r="DV244" s="24"/>
      <c r="EN244" s="9"/>
      <c r="EO244" s="10"/>
      <c r="EP244" s="10"/>
      <c r="EQ244" s="11"/>
      <c r="ER244" s="43"/>
      <c r="ES244" s="45"/>
      <c r="GP244" s="42"/>
      <c r="GQ244" s="43"/>
      <c r="GR244" s="12"/>
      <c r="HP244" s="18"/>
      <c r="HQ244" s="10"/>
      <c r="HR244" s="10"/>
      <c r="HS244" s="10"/>
      <c r="HT244" s="10"/>
      <c r="HU244" s="10"/>
      <c r="HV244" s="11"/>
      <c r="IK244" s="13"/>
      <c r="IL244" s="43"/>
      <c r="IM244" s="45"/>
      <c r="IN244" s="20"/>
      <c r="IO244" s="21"/>
      <c r="IP244" s="21"/>
      <c r="IQ244" s="21"/>
      <c r="IR244" s="21"/>
      <c r="IS244" s="21"/>
      <c r="IT244" s="21"/>
      <c r="IU244" s="21"/>
      <c r="IV244" s="21"/>
      <c r="IW244" s="21"/>
      <c r="IX244" s="21"/>
      <c r="IY244" s="21"/>
      <c r="IZ244" s="21"/>
      <c r="JA244" s="21"/>
      <c r="JB244" s="21"/>
      <c r="JC244" s="21"/>
      <c r="JD244" s="11"/>
    </row>
    <row r="245" spans="17:264" ht="18" customHeight="1">
      <c r="Q245" s="12"/>
      <c r="S245" s="12"/>
      <c r="X245" s="129"/>
      <c r="AB245" s="129"/>
      <c r="AK245" s="18"/>
      <c r="BM245" s="13"/>
      <c r="BO245" s="13"/>
      <c r="CV245" s="42"/>
      <c r="CW245" s="43"/>
      <c r="CX245" s="12"/>
      <c r="DV245" s="24"/>
      <c r="EN245" s="12"/>
      <c r="EQ245" s="13"/>
      <c r="ER245" s="43"/>
      <c r="ES245" s="45"/>
      <c r="GP245" s="42"/>
      <c r="GQ245" s="43"/>
      <c r="GR245" s="12"/>
      <c r="HP245" s="18"/>
      <c r="HQ245" s="10"/>
      <c r="HR245" s="11"/>
      <c r="HS245" s="10"/>
      <c r="HT245" s="10"/>
      <c r="HU245" s="10"/>
      <c r="HV245" s="11"/>
      <c r="IK245" s="13"/>
      <c r="IL245" s="43"/>
      <c r="IM245" s="45"/>
      <c r="JC245" s="13"/>
      <c r="JD245" s="13"/>
    </row>
    <row r="246" spans="17:264" ht="18" customHeight="1">
      <c r="Q246" s="12"/>
      <c r="S246" s="12"/>
      <c r="T246" s="128"/>
      <c r="X246" s="129"/>
      <c r="AB246" s="129"/>
      <c r="AK246" s="18"/>
      <c r="BM246" s="13"/>
      <c r="BO246" s="13"/>
      <c r="CV246" s="42"/>
      <c r="CW246" s="43"/>
      <c r="CX246" s="12"/>
      <c r="DV246" s="24"/>
      <c r="EH246" s="9"/>
      <c r="EI246" s="10"/>
      <c r="EJ246" s="10"/>
      <c r="EK246" s="11"/>
      <c r="EN246" s="12"/>
      <c r="EQ246" s="13"/>
      <c r="ER246" s="43"/>
      <c r="ES246" s="45"/>
      <c r="GP246" s="42"/>
      <c r="GQ246" s="43"/>
      <c r="GR246" s="12"/>
      <c r="HP246" s="18"/>
      <c r="HR246" s="13"/>
      <c r="HV246" s="13"/>
      <c r="IK246" s="13"/>
      <c r="IL246" s="43"/>
      <c r="IM246" s="45"/>
      <c r="JC246" s="13"/>
      <c r="JD246" s="13"/>
    </row>
    <row r="247" spans="17:264" ht="18" customHeight="1">
      <c r="Q247" s="12"/>
      <c r="S247" s="12"/>
      <c r="AK247" s="18"/>
      <c r="BM247" s="13"/>
      <c r="BO247" s="13"/>
      <c r="CV247" s="42"/>
      <c r="CW247" s="43"/>
      <c r="CX247" s="12"/>
      <c r="DV247" s="24"/>
      <c r="EH247" s="12"/>
      <c r="EK247" s="13"/>
      <c r="EN247" s="12"/>
      <c r="EQ247" s="13"/>
      <c r="ER247" s="43"/>
      <c r="ES247" s="45"/>
      <c r="GP247" s="42"/>
      <c r="GQ247" s="43"/>
      <c r="GR247" s="12"/>
      <c r="HP247" s="18"/>
      <c r="HR247" s="13"/>
      <c r="HV247" s="13"/>
      <c r="IK247" s="13"/>
      <c r="IL247" s="43"/>
      <c r="IM247" s="45"/>
      <c r="JC247" s="13"/>
      <c r="JD247" s="13"/>
    </row>
    <row r="248" spans="17:264" ht="18" customHeight="1">
      <c r="Q248" s="12"/>
      <c r="S248" s="12"/>
      <c r="AK248" s="18"/>
      <c r="BM248" s="13"/>
      <c r="BO248" s="13"/>
      <c r="CV248" s="42"/>
      <c r="CW248" s="43"/>
      <c r="CX248" s="12"/>
      <c r="DV248" s="18"/>
      <c r="EH248" s="12"/>
      <c r="EK248" s="13"/>
      <c r="EN248" s="12"/>
      <c r="EQ248" s="13"/>
      <c r="ER248" s="43"/>
      <c r="ES248" s="45"/>
      <c r="GP248" s="42"/>
      <c r="GQ248" s="43"/>
      <c r="GR248" s="12"/>
      <c r="HP248" s="18"/>
      <c r="HR248" s="13"/>
      <c r="HV248" s="13"/>
      <c r="IK248" s="13"/>
      <c r="IL248" s="43"/>
      <c r="IM248" s="45"/>
      <c r="JC248" s="13"/>
      <c r="JD248" s="13"/>
    </row>
    <row r="249" spans="17:264" ht="18" customHeight="1">
      <c r="Q249" s="12"/>
      <c r="S249" s="12"/>
      <c r="AK249" s="18"/>
      <c r="BM249" s="13"/>
      <c r="BO249" s="13"/>
      <c r="CV249" s="42"/>
      <c r="CW249" s="43"/>
      <c r="CX249" s="12"/>
      <c r="DV249" s="18"/>
      <c r="EH249" s="14"/>
      <c r="EI249" s="15"/>
      <c r="EJ249" s="15"/>
      <c r="EK249" s="16"/>
      <c r="EN249" s="12"/>
      <c r="EQ249" s="13"/>
      <c r="ER249" s="43"/>
      <c r="ES249" s="45"/>
      <c r="GP249" s="42"/>
      <c r="GQ249" s="43"/>
      <c r="GR249" s="12"/>
      <c r="HP249" s="18"/>
      <c r="HR249" s="13"/>
      <c r="HS249" s="15"/>
      <c r="HT249" s="15"/>
      <c r="HU249" s="15"/>
      <c r="HV249" s="16"/>
      <c r="IK249" s="13"/>
      <c r="IL249" s="43"/>
      <c r="IM249" s="45"/>
      <c r="JC249" s="13"/>
      <c r="JD249" s="13"/>
    </row>
    <row r="250" spans="17:264" ht="18" customHeight="1">
      <c r="Q250" s="12"/>
      <c r="S250" s="20"/>
      <c r="T250" s="130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18"/>
      <c r="BM250" s="13"/>
      <c r="BO250" s="13"/>
      <c r="CV250" s="42"/>
      <c r="CW250" s="43"/>
      <c r="CX250" s="12"/>
      <c r="DV250" s="18"/>
      <c r="EN250" s="12"/>
      <c r="EQ250" s="13"/>
      <c r="ER250" s="43"/>
      <c r="ES250" s="45"/>
      <c r="GP250" s="42"/>
      <c r="GQ250" s="43"/>
      <c r="GR250" s="12"/>
      <c r="HP250" s="18"/>
      <c r="HR250" s="13"/>
      <c r="HS250" s="10"/>
      <c r="HT250" s="10"/>
      <c r="HU250" s="10"/>
      <c r="HV250" s="11"/>
      <c r="IK250" s="13"/>
      <c r="IL250" s="43"/>
      <c r="IM250" s="45"/>
      <c r="JC250" s="13"/>
      <c r="JD250" s="13"/>
    </row>
    <row r="251" spans="17:264" ht="18" customHeight="1">
      <c r="Q251" s="12"/>
      <c r="S251" s="12"/>
      <c r="T251" s="128"/>
      <c r="X251" s="129"/>
      <c r="AB251" s="129"/>
      <c r="AK251" s="18"/>
      <c r="BM251" s="13"/>
      <c r="BO251" s="13"/>
      <c r="CV251" s="42"/>
      <c r="CW251" s="43"/>
      <c r="CX251" s="12"/>
      <c r="DS251" s="9"/>
      <c r="DT251" s="10"/>
      <c r="DU251" s="11"/>
      <c r="DV251" s="18"/>
      <c r="DW251" s="9"/>
      <c r="DX251" s="10"/>
      <c r="DY251" s="11"/>
      <c r="EN251" s="14"/>
      <c r="EO251" s="15"/>
      <c r="EP251" s="15"/>
      <c r="EQ251" s="16"/>
      <c r="ER251" s="43"/>
      <c r="ES251" s="45"/>
      <c r="GP251" s="42"/>
      <c r="GQ251" s="43"/>
      <c r="GR251" s="12"/>
      <c r="HP251" s="18"/>
      <c r="HR251" s="13"/>
      <c r="HV251" s="13"/>
      <c r="IK251" s="13"/>
      <c r="IL251" s="43"/>
      <c r="IM251" s="45"/>
      <c r="JC251" s="13"/>
      <c r="JD251" s="13"/>
    </row>
    <row r="252" spans="17:264" ht="18" customHeight="1">
      <c r="Q252" s="12"/>
      <c r="S252" s="12"/>
      <c r="AK252" s="24"/>
      <c r="BM252" s="13"/>
      <c r="BO252" s="13"/>
      <c r="CV252" s="42"/>
      <c r="CW252" s="43"/>
      <c r="CX252" s="12"/>
      <c r="DS252" s="12"/>
      <c r="DU252" s="13"/>
      <c r="DV252" s="18"/>
      <c r="DW252" s="12"/>
      <c r="DY252" s="13"/>
      <c r="EO252" s="9"/>
      <c r="EP252" s="10"/>
      <c r="EQ252" s="11"/>
      <c r="ER252" s="43"/>
      <c r="ES252" s="45"/>
      <c r="GP252" s="42"/>
      <c r="GQ252" s="43"/>
      <c r="GR252" s="12"/>
      <c r="HP252" s="18"/>
      <c r="HR252" s="13"/>
      <c r="HV252" s="13"/>
      <c r="IK252" s="13"/>
      <c r="IL252" s="43"/>
      <c r="IM252" s="45"/>
      <c r="JC252" s="13"/>
      <c r="JD252" s="13"/>
    </row>
    <row r="253" spans="17:264" ht="18" customHeight="1">
      <c r="Q253" s="12"/>
      <c r="S253" s="12"/>
      <c r="AK253" s="24"/>
      <c r="BM253" s="13"/>
      <c r="BO253" s="13"/>
      <c r="CV253" s="42"/>
      <c r="CW253" s="43"/>
      <c r="CX253" s="12"/>
      <c r="DS253" s="12"/>
      <c r="DU253" s="13"/>
      <c r="DV253" s="18"/>
      <c r="DW253" s="14"/>
      <c r="DX253" s="15"/>
      <c r="DY253" s="16"/>
      <c r="EO253" s="12"/>
      <c r="EQ253" s="13"/>
      <c r="ER253" s="43"/>
      <c r="ES253" s="45"/>
      <c r="GP253" s="42"/>
      <c r="GQ253" s="43"/>
      <c r="GR253" s="12"/>
      <c r="HP253" s="18"/>
      <c r="HR253" s="13"/>
      <c r="HV253" s="13"/>
      <c r="IK253" s="13"/>
      <c r="IL253" s="43"/>
      <c r="IM253" s="45"/>
      <c r="JC253" s="13"/>
      <c r="JD253" s="13"/>
    </row>
    <row r="254" spans="17:264" ht="18" customHeight="1">
      <c r="Q254" s="12"/>
      <c r="S254" s="12"/>
      <c r="AK254" s="24"/>
      <c r="BM254" s="13"/>
      <c r="BO254" s="13"/>
      <c r="CV254" s="42"/>
      <c r="CW254" s="43"/>
      <c r="CX254" s="12"/>
      <c r="DS254" s="12"/>
      <c r="DU254" s="13"/>
      <c r="DV254" s="18"/>
      <c r="DW254" s="9"/>
      <c r="DX254" s="10"/>
      <c r="DY254" s="10"/>
      <c r="DZ254" s="10"/>
      <c r="EA254" s="10"/>
      <c r="EB254" s="11"/>
      <c r="EO254" s="12"/>
      <c r="EQ254" s="13"/>
      <c r="ER254" s="43"/>
      <c r="ES254" s="45"/>
      <c r="GP254" s="42"/>
      <c r="GQ254" s="43"/>
      <c r="GR254" s="12"/>
      <c r="HP254" s="18"/>
      <c r="HQ254" s="15"/>
      <c r="HR254" s="16"/>
      <c r="HS254" s="15"/>
      <c r="HT254" s="15"/>
      <c r="HU254" s="15"/>
      <c r="HV254" s="16"/>
      <c r="IK254" s="13"/>
      <c r="IL254" s="43"/>
      <c r="IM254" s="45"/>
      <c r="JC254" s="13"/>
      <c r="JD254" s="13"/>
    </row>
    <row r="255" spans="17:264" ht="18" customHeight="1">
      <c r="Q255" s="12"/>
      <c r="S255" s="12"/>
      <c r="T255" s="128"/>
      <c r="AK255" s="24"/>
      <c r="BM255" s="13"/>
      <c r="BO255" s="13"/>
      <c r="CV255" s="42"/>
      <c r="CW255" s="43"/>
      <c r="CX255" s="12"/>
      <c r="DS255" s="12"/>
      <c r="DU255" s="13"/>
      <c r="DV255" s="18"/>
      <c r="DW255" s="9"/>
      <c r="DX255" s="11"/>
      <c r="DY255" s="10"/>
      <c r="DZ255" s="10"/>
      <c r="EA255" s="10"/>
      <c r="EB255" s="11"/>
      <c r="EO255" s="14"/>
      <c r="EP255" s="15"/>
      <c r="EQ255" s="16"/>
      <c r="ER255" s="43"/>
      <c r="ES255" s="45"/>
      <c r="GP255" s="42"/>
      <c r="GQ255" s="43"/>
      <c r="GR255" s="12"/>
      <c r="HP255" s="18"/>
      <c r="HQ255" s="15"/>
      <c r="HR255" s="15"/>
      <c r="HS255" s="15"/>
      <c r="HT255" s="15"/>
      <c r="HU255" s="15"/>
      <c r="HV255" s="16"/>
      <c r="IK255" s="13"/>
      <c r="IL255" s="43"/>
      <c r="IM255" s="45"/>
      <c r="JC255" s="13"/>
      <c r="JD255" s="13"/>
    </row>
    <row r="256" spans="17:264" ht="18" customHeight="1">
      <c r="Q256" s="12"/>
      <c r="S256" s="12"/>
      <c r="AK256" s="24"/>
      <c r="BM256" s="13"/>
      <c r="BO256" s="13"/>
      <c r="CV256" s="42"/>
      <c r="CW256" s="43"/>
      <c r="CX256" s="12"/>
      <c r="DS256" s="12"/>
      <c r="DU256" s="13"/>
      <c r="DV256" s="12"/>
      <c r="DW256" s="12"/>
      <c r="DX256" s="13"/>
      <c r="EB256" s="13"/>
      <c r="EO256" s="9"/>
      <c r="EP256" s="10"/>
      <c r="EQ256" s="11"/>
      <c r="ER256" s="43"/>
      <c r="ES256" s="45"/>
      <c r="GP256" s="42"/>
      <c r="GQ256" s="43"/>
      <c r="GR256" s="12"/>
      <c r="HP256" s="18"/>
      <c r="HQ256" s="9"/>
      <c r="HR256" s="10"/>
      <c r="HS256" s="11"/>
      <c r="IK256" s="13"/>
      <c r="IL256" s="43"/>
      <c r="IM256" s="45"/>
      <c r="JC256" s="13"/>
      <c r="JD256" s="13"/>
    </row>
    <row r="257" spans="17:264" ht="18" customHeight="1">
      <c r="Q257" s="12"/>
      <c r="S257" s="12"/>
      <c r="AK257" s="18"/>
      <c r="BM257" s="13"/>
      <c r="BO257" s="13"/>
      <c r="CV257" s="42"/>
      <c r="CW257" s="43"/>
      <c r="CX257" s="12"/>
      <c r="DS257" s="12"/>
      <c r="DU257" s="13"/>
      <c r="DV257" s="12"/>
      <c r="DW257" s="12"/>
      <c r="DX257" s="13"/>
      <c r="EB257" s="13"/>
      <c r="EO257" s="12"/>
      <c r="EQ257" s="17"/>
      <c r="ER257" s="43"/>
      <c r="ES257" s="45"/>
      <c r="GP257" s="42"/>
      <c r="GQ257" s="43"/>
      <c r="GR257" s="14"/>
      <c r="GS257" s="15"/>
      <c r="GT257" s="15"/>
      <c r="GU257" s="15"/>
      <c r="GV257" s="15"/>
      <c r="GW257" s="15"/>
      <c r="GX257" s="15"/>
      <c r="GY257" s="15"/>
      <c r="GZ257" s="15"/>
      <c r="HA257" s="15"/>
      <c r="HB257" s="15"/>
      <c r="HC257" s="15"/>
      <c r="HD257" s="15"/>
      <c r="HE257" s="15"/>
      <c r="HF257" s="15"/>
      <c r="HG257" s="15"/>
      <c r="HH257" s="15"/>
      <c r="HI257" s="15"/>
      <c r="HJ257" s="15"/>
      <c r="HK257" s="15"/>
      <c r="HL257" s="15"/>
      <c r="HM257" s="15"/>
      <c r="HN257" s="15"/>
      <c r="HO257" s="15"/>
      <c r="HP257" s="18"/>
      <c r="HQ257" s="12"/>
      <c r="HS257" s="13"/>
      <c r="IK257" s="13"/>
      <c r="IL257" s="43"/>
      <c r="IM257" s="45"/>
      <c r="JC257" s="13"/>
      <c r="JD257" s="13"/>
    </row>
    <row r="258" spans="17:264" ht="18" customHeight="1">
      <c r="Q258" s="12"/>
      <c r="S258" s="12"/>
      <c r="W258" s="128"/>
      <c r="X258" s="99"/>
      <c r="AB258" s="129"/>
      <c r="AK258" s="18"/>
      <c r="BM258" s="13"/>
      <c r="BO258" s="13"/>
      <c r="CV258" s="42"/>
      <c r="CW258" s="43"/>
      <c r="CX258" s="12"/>
      <c r="DS258" s="12"/>
      <c r="DU258" s="13"/>
      <c r="DV258" s="12"/>
      <c r="DW258" s="12"/>
      <c r="DX258" s="13"/>
      <c r="EB258" s="13"/>
      <c r="EO258" s="12"/>
      <c r="EQ258" s="18"/>
      <c r="ER258" s="43"/>
      <c r="ES258" s="45"/>
      <c r="GP258" s="42"/>
      <c r="GQ258" s="43"/>
      <c r="GR258" s="12"/>
      <c r="HP258" s="18"/>
      <c r="HQ258" s="14"/>
      <c r="HR258" s="15"/>
      <c r="HS258" s="16"/>
      <c r="IK258" s="13"/>
      <c r="IL258" s="43"/>
      <c r="IM258" s="45"/>
      <c r="JC258" s="13"/>
      <c r="JD258" s="13"/>
    </row>
    <row r="259" spans="17:264" ht="18" customHeight="1">
      <c r="Q259" s="12"/>
      <c r="S259" s="12"/>
      <c r="AK259" s="18"/>
      <c r="BM259" s="13"/>
      <c r="BO259" s="13"/>
      <c r="CV259" s="42"/>
      <c r="CW259" s="43"/>
      <c r="CX259" s="12"/>
      <c r="DS259" s="12"/>
      <c r="DU259" s="13"/>
      <c r="DV259" s="12"/>
      <c r="DW259" s="12"/>
      <c r="DX259" s="13"/>
      <c r="DY259" s="15"/>
      <c r="DZ259" s="15"/>
      <c r="EA259" s="15"/>
      <c r="EB259" s="16"/>
      <c r="EO259" s="12"/>
      <c r="EQ259" s="18"/>
      <c r="ER259" s="43"/>
      <c r="ES259" s="45"/>
      <c r="GP259" s="42"/>
      <c r="GQ259" s="43"/>
      <c r="GR259" s="9"/>
      <c r="GS259" s="10"/>
      <c r="GT259" s="10"/>
      <c r="GU259" s="10"/>
      <c r="GV259" s="10"/>
      <c r="GW259" s="10"/>
      <c r="GX259" s="10"/>
      <c r="GY259" s="10"/>
      <c r="GZ259" s="10"/>
      <c r="HA259" s="10"/>
      <c r="HB259" s="10"/>
      <c r="HC259" s="10"/>
      <c r="HD259" s="10"/>
      <c r="HE259" s="10"/>
      <c r="HF259" s="10"/>
      <c r="HG259" s="10"/>
      <c r="HH259" s="10"/>
      <c r="HI259" s="10"/>
      <c r="HJ259" s="10"/>
      <c r="HK259" s="10"/>
      <c r="HL259" s="10"/>
      <c r="HM259" s="10"/>
      <c r="HN259" s="10"/>
      <c r="HO259" s="10"/>
      <c r="HP259" s="18"/>
      <c r="IK259" s="13"/>
      <c r="IL259" s="43"/>
      <c r="IM259" s="45"/>
      <c r="JC259" s="13"/>
      <c r="JD259" s="13"/>
    </row>
    <row r="260" spans="17:264" ht="18" customHeight="1">
      <c r="Q260" s="12"/>
      <c r="S260" s="14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8"/>
      <c r="BM260" s="13"/>
      <c r="BO260" s="13"/>
      <c r="CV260" s="42"/>
      <c r="CW260" s="43"/>
      <c r="CX260" s="12"/>
      <c r="DS260" s="14"/>
      <c r="DT260" s="15"/>
      <c r="DU260" s="16"/>
      <c r="DV260" s="12"/>
      <c r="DW260" s="12"/>
      <c r="DX260" s="13"/>
      <c r="DY260" s="10"/>
      <c r="DZ260" s="10"/>
      <c r="EA260" s="10"/>
      <c r="EB260" s="11"/>
      <c r="EO260" s="12"/>
      <c r="EQ260" s="18"/>
      <c r="ER260" s="43"/>
      <c r="ES260" s="45"/>
      <c r="GP260" s="42"/>
      <c r="GQ260" s="43"/>
      <c r="GR260" s="12"/>
      <c r="HP260" s="18"/>
      <c r="IK260" s="13"/>
      <c r="IL260" s="43"/>
      <c r="IM260" s="45"/>
      <c r="JC260" s="13"/>
      <c r="JD260" s="13"/>
    </row>
    <row r="261" spans="17:264" ht="18" customHeight="1">
      <c r="Q261" s="12"/>
      <c r="S261" s="12"/>
      <c r="AD261" s="10"/>
      <c r="AF261" s="10"/>
      <c r="AK261" s="18"/>
      <c r="BM261" s="13"/>
      <c r="BO261" s="13"/>
      <c r="CV261" s="42"/>
      <c r="CW261" s="43"/>
      <c r="CX261" s="14"/>
      <c r="CY261" s="15"/>
      <c r="CZ261" s="15"/>
      <c r="DA261" s="15"/>
      <c r="DB261" s="15"/>
      <c r="DC261" s="15"/>
      <c r="DD261" s="15"/>
      <c r="DE261" s="15"/>
      <c r="DF261" s="15"/>
      <c r="DG261" s="15"/>
      <c r="DH261" s="15"/>
      <c r="DI261" s="15"/>
      <c r="DJ261" s="15"/>
      <c r="DK261" s="15"/>
      <c r="DL261" s="15"/>
      <c r="DM261" s="15"/>
      <c r="DN261" s="15"/>
      <c r="DO261" s="15"/>
      <c r="DP261" s="15"/>
      <c r="DQ261" s="15"/>
      <c r="DR261" s="15"/>
      <c r="DS261" s="15"/>
      <c r="DT261" s="15"/>
      <c r="DU261" s="15"/>
      <c r="DV261" s="12"/>
      <c r="DW261" s="12"/>
      <c r="DX261" s="13"/>
      <c r="EB261" s="13"/>
      <c r="EO261" s="12"/>
      <c r="EQ261" s="18"/>
      <c r="ER261" s="43"/>
      <c r="ES261" s="45"/>
      <c r="GP261" s="42"/>
      <c r="GQ261" s="43"/>
      <c r="GR261" s="12"/>
      <c r="HP261" s="18"/>
      <c r="IK261" s="13"/>
      <c r="IL261" s="43"/>
      <c r="IM261" s="45"/>
      <c r="JC261" s="13"/>
      <c r="JD261" s="13"/>
    </row>
    <row r="262" spans="17:264" ht="18" customHeight="1">
      <c r="Q262" s="12"/>
      <c r="S262" s="9"/>
      <c r="T262" s="10"/>
      <c r="U262" s="10"/>
      <c r="V262" s="11"/>
      <c r="W262" s="10"/>
      <c r="X262" s="10"/>
      <c r="Y262" s="10"/>
      <c r="Z262" s="10"/>
      <c r="AA262" s="10"/>
      <c r="AB262" s="10"/>
      <c r="AC262" s="9"/>
      <c r="AD262" s="10"/>
      <c r="AE262" s="10"/>
      <c r="AF262" s="11"/>
      <c r="AG262" s="10"/>
      <c r="AH262" s="10"/>
      <c r="AI262" s="10"/>
      <c r="AJ262" s="10"/>
      <c r="AK262" s="18"/>
      <c r="BM262" s="13"/>
      <c r="BO262" s="13"/>
      <c r="CI262" s="9"/>
      <c r="CJ262" s="10"/>
      <c r="CK262" s="10"/>
      <c r="CL262" s="10"/>
      <c r="CM262" s="10"/>
      <c r="CN262" s="10"/>
      <c r="CO262" s="10"/>
      <c r="CP262" s="10"/>
      <c r="CQ262" s="10"/>
      <c r="CR262" s="10"/>
      <c r="CS262" s="10"/>
      <c r="CT262" s="10"/>
      <c r="CU262" s="11"/>
      <c r="CV262" s="42"/>
      <c r="CW262" s="43"/>
      <c r="CX262" s="12"/>
      <c r="DI262" s="21"/>
      <c r="DK262" s="21"/>
      <c r="DU262" s="21"/>
      <c r="DV262" s="12"/>
      <c r="DW262" s="12"/>
      <c r="DX262" s="13"/>
      <c r="EB262" s="13"/>
      <c r="EO262" s="12"/>
      <c r="EQ262" s="19"/>
      <c r="ER262" s="43"/>
      <c r="ES262" s="45"/>
      <c r="ET262" s="9"/>
      <c r="EU262" s="10"/>
      <c r="EV262" s="10"/>
      <c r="EW262" s="10"/>
      <c r="EX262" s="10"/>
      <c r="EY262" s="10"/>
      <c r="EZ262" s="10"/>
      <c r="FA262" s="10"/>
      <c r="FB262" s="10"/>
      <c r="FC262" s="10"/>
      <c r="FD262" s="10"/>
      <c r="FE262" s="10"/>
      <c r="FF262" s="11"/>
      <c r="GP262" s="42"/>
      <c r="GQ262" s="43"/>
      <c r="GR262" s="12"/>
      <c r="HP262" s="19"/>
      <c r="IK262" s="13"/>
      <c r="IL262" s="43"/>
      <c r="IM262" s="45"/>
      <c r="JC262" s="13"/>
      <c r="JD262" s="13"/>
    </row>
    <row r="263" spans="17:264" ht="18" customHeight="1">
      <c r="Q263" s="12"/>
      <c r="S263" s="12"/>
      <c r="V263" s="13"/>
      <c r="W263" s="128"/>
      <c r="X263" s="99"/>
      <c r="AB263" s="129"/>
      <c r="AC263" s="12"/>
      <c r="AF263" s="13"/>
      <c r="AH263" s="128"/>
      <c r="AK263" s="18"/>
      <c r="BM263" s="13"/>
      <c r="BO263" s="13"/>
      <c r="CI263" s="12"/>
      <c r="CJ263" s="9"/>
      <c r="CK263" s="10"/>
      <c r="CL263" s="10"/>
      <c r="CM263" s="10"/>
      <c r="CN263" s="10"/>
      <c r="CO263" s="10"/>
      <c r="CP263" s="10"/>
      <c r="CQ263" s="10"/>
      <c r="CR263" s="10"/>
      <c r="CS263" s="10"/>
      <c r="CT263" s="10"/>
      <c r="CU263" s="11"/>
      <c r="CV263" s="42"/>
      <c r="CW263" s="43"/>
      <c r="CX263" s="9"/>
      <c r="CY263" s="10"/>
      <c r="CZ263" s="10"/>
      <c r="DA263" s="11"/>
      <c r="DB263" s="10"/>
      <c r="DC263" s="10"/>
      <c r="DD263" s="10"/>
      <c r="DE263" s="10"/>
      <c r="DF263" s="9"/>
      <c r="DG263" s="10"/>
      <c r="DH263" s="10"/>
      <c r="DI263" s="11"/>
      <c r="DJ263" s="85"/>
      <c r="DK263" s="74"/>
      <c r="DL263" s="75"/>
      <c r="DM263" s="85"/>
      <c r="DN263" s="9"/>
      <c r="DO263" s="10"/>
      <c r="DP263" s="10"/>
      <c r="DQ263" s="11"/>
      <c r="DR263" s="141"/>
      <c r="DS263" s="141"/>
      <c r="DT263" s="141"/>
      <c r="DU263" s="141"/>
      <c r="DV263" s="12"/>
      <c r="DW263" s="12"/>
      <c r="DX263" s="13"/>
      <c r="EB263" s="13"/>
      <c r="EO263" s="14"/>
      <c r="EP263" s="15"/>
      <c r="EQ263" s="16"/>
      <c r="ER263" s="43"/>
      <c r="ES263" s="45"/>
      <c r="ET263" s="9"/>
      <c r="EU263" s="10"/>
      <c r="EV263" s="10"/>
      <c r="EW263" s="10"/>
      <c r="EX263" s="10"/>
      <c r="EY263" s="10"/>
      <c r="EZ263" s="10"/>
      <c r="FA263" s="10"/>
      <c r="FB263" s="10"/>
      <c r="FC263" s="10"/>
      <c r="FD263" s="10"/>
      <c r="FE263" s="11"/>
      <c r="FF263" s="13"/>
      <c r="GP263" s="42"/>
      <c r="GQ263" s="43"/>
      <c r="GR263" s="12"/>
      <c r="GV263" s="9"/>
      <c r="GW263" s="10"/>
      <c r="GX263" s="10"/>
      <c r="GY263" s="10"/>
      <c r="GZ263" s="10"/>
      <c r="HA263" s="10"/>
      <c r="HB263" s="10"/>
      <c r="HC263" s="10"/>
      <c r="HD263" s="10"/>
      <c r="HE263" s="10"/>
      <c r="HF263" s="10"/>
      <c r="HG263" s="10"/>
      <c r="HH263" s="10"/>
      <c r="HI263" s="10"/>
      <c r="HJ263" s="10"/>
      <c r="HK263" s="10"/>
      <c r="HL263" s="10"/>
      <c r="HM263" s="10"/>
      <c r="HN263" s="10"/>
      <c r="HO263" s="10"/>
      <c r="IK263" s="13"/>
      <c r="IL263" s="43"/>
      <c r="IM263" s="45"/>
      <c r="JC263" s="13"/>
      <c r="JD263" s="13"/>
    </row>
    <row r="264" spans="17:264" ht="18" customHeight="1">
      <c r="Q264" s="12"/>
      <c r="S264" s="12"/>
      <c r="V264" s="13"/>
      <c r="AC264" s="12"/>
      <c r="AF264" s="13"/>
      <c r="AK264" s="18"/>
      <c r="BM264" s="13"/>
      <c r="BO264" s="13"/>
      <c r="CI264" s="12"/>
      <c r="CJ264" s="12"/>
      <c r="CU264" s="13"/>
      <c r="CV264" s="42"/>
      <c r="CW264" s="43"/>
      <c r="CX264" s="12"/>
      <c r="DA264" s="13"/>
      <c r="DB264" s="128"/>
      <c r="DC264" s="99"/>
      <c r="DF264" s="12"/>
      <c r="DG264" s="129"/>
      <c r="DI264" s="13"/>
      <c r="DJ264" s="87"/>
      <c r="DK264" s="138"/>
      <c r="DL264" s="88"/>
      <c r="DM264" s="88"/>
      <c r="DO264" s="32"/>
      <c r="DP264" s="32"/>
      <c r="DQ264" s="13"/>
      <c r="DR264" s="49"/>
      <c r="DS264" s="142"/>
      <c r="DT264" s="49"/>
      <c r="DU264" s="49"/>
      <c r="DV264" s="18"/>
      <c r="DW264" s="14"/>
      <c r="DX264" s="16"/>
      <c r="DY264" s="15"/>
      <c r="DZ264" s="15"/>
      <c r="EA264" s="15"/>
      <c r="EB264" s="16"/>
      <c r="EQ264" s="13"/>
      <c r="ER264" s="43"/>
      <c r="ES264" s="45"/>
      <c r="ET264" s="12"/>
      <c r="FE264" s="13"/>
      <c r="FF264" s="13"/>
      <c r="GP264" s="40"/>
      <c r="GQ264" s="40"/>
      <c r="GR264" s="12"/>
      <c r="GV264" s="12"/>
      <c r="IK264" s="13"/>
      <c r="IL264" s="43"/>
      <c r="IM264" s="45"/>
      <c r="JC264" s="13"/>
      <c r="JD264" s="13"/>
    </row>
    <row r="265" spans="17:264" ht="18" customHeight="1">
      <c r="Q265" s="12"/>
      <c r="S265" s="14"/>
      <c r="T265" s="15"/>
      <c r="U265" s="15"/>
      <c r="V265" s="16"/>
      <c r="AC265" s="14"/>
      <c r="AD265" s="15"/>
      <c r="AE265" s="15"/>
      <c r="AF265" s="16"/>
      <c r="AK265" s="18"/>
      <c r="BM265" s="13"/>
      <c r="BO265" s="13"/>
      <c r="CI265" s="12"/>
      <c r="CJ265" s="12"/>
      <c r="CU265" s="13"/>
      <c r="CV265" s="42"/>
      <c r="CW265" s="43"/>
      <c r="CX265" s="12"/>
      <c r="DA265" s="13"/>
      <c r="DF265" s="20"/>
      <c r="DG265" s="21"/>
      <c r="DH265" s="21"/>
      <c r="DI265" s="22"/>
      <c r="DJ265" s="87"/>
      <c r="DK265" s="86"/>
      <c r="DL265" s="88"/>
      <c r="DM265" s="88"/>
      <c r="DO265" s="32"/>
      <c r="DP265" s="32"/>
      <c r="DQ265" s="13"/>
      <c r="DR265" s="49"/>
      <c r="DS265" s="49"/>
      <c r="DT265" s="49"/>
      <c r="DU265" s="49"/>
      <c r="DV265" s="18"/>
      <c r="DW265" s="14"/>
      <c r="DX265" s="15"/>
      <c r="DY265" s="15"/>
      <c r="DZ265" s="15"/>
      <c r="EA265" s="15"/>
      <c r="EB265" s="16"/>
      <c r="EQ265" s="13"/>
      <c r="ER265" s="43"/>
      <c r="ES265" s="45"/>
      <c r="ET265" s="12"/>
      <c r="FE265" s="13"/>
      <c r="FF265" s="13"/>
      <c r="GP265" s="42"/>
      <c r="GQ265" s="42"/>
      <c r="GR265" s="12"/>
      <c r="GV265" s="12"/>
      <c r="IK265" s="13"/>
      <c r="IL265" s="43"/>
      <c r="IM265" s="45"/>
      <c r="JC265" s="13"/>
      <c r="JD265" s="13"/>
    </row>
    <row r="266" spans="17:264" ht="18" customHeight="1">
      <c r="Q266" s="12"/>
      <c r="S266" s="12"/>
      <c r="W266" s="9"/>
      <c r="X266" s="10"/>
      <c r="Y266" s="10"/>
      <c r="Z266" s="10"/>
      <c r="AA266" s="10"/>
      <c r="AB266" s="10"/>
      <c r="AC266" s="10"/>
      <c r="AD266" s="10"/>
      <c r="AE266" s="10"/>
      <c r="AF266" s="11"/>
      <c r="AG266" s="9"/>
      <c r="AH266" s="10"/>
      <c r="AI266" s="10"/>
      <c r="AJ266" s="11"/>
      <c r="AK266" s="18"/>
      <c r="BM266" s="13"/>
      <c r="BO266" s="13"/>
      <c r="CI266" s="12"/>
      <c r="CJ266" s="12"/>
      <c r="CU266" s="13"/>
      <c r="CV266" s="42"/>
      <c r="CW266" s="43"/>
      <c r="CX266" s="14"/>
      <c r="CY266" s="15"/>
      <c r="CZ266" s="15"/>
      <c r="DA266" s="16"/>
      <c r="DF266" s="14"/>
      <c r="DG266" s="15"/>
      <c r="DH266" s="15"/>
      <c r="DI266" s="16"/>
      <c r="DJ266" s="87"/>
      <c r="DK266" s="76"/>
      <c r="DL266" s="77"/>
      <c r="DM266" s="87"/>
      <c r="DN266" s="14"/>
      <c r="DO266" s="15"/>
      <c r="DP266" s="15"/>
      <c r="DQ266" s="16"/>
      <c r="DR266" s="49"/>
      <c r="DS266" s="49"/>
      <c r="DT266" s="49"/>
      <c r="DU266" s="49"/>
      <c r="DV266" s="18"/>
      <c r="DW266" s="9"/>
      <c r="DX266" s="10"/>
      <c r="DY266" s="11"/>
      <c r="EQ266" s="13"/>
      <c r="ER266" s="43"/>
      <c r="ES266" s="45"/>
      <c r="ET266" s="12"/>
      <c r="FE266" s="13"/>
      <c r="FF266" s="13"/>
      <c r="GP266" s="42"/>
      <c r="GQ266" s="42"/>
      <c r="GR266" s="12"/>
      <c r="GV266" s="12"/>
      <c r="IK266" s="13"/>
      <c r="IL266" s="44"/>
      <c r="IM266" s="44"/>
      <c r="JC266" s="13"/>
      <c r="JD266" s="13"/>
    </row>
    <row r="267" spans="17:264" ht="18" customHeight="1">
      <c r="Q267" s="12"/>
      <c r="S267" s="12"/>
      <c r="W267" s="12"/>
      <c r="X267" s="129"/>
      <c r="AB267" s="129"/>
      <c r="AF267" s="13"/>
      <c r="AG267" s="12"/>
      <c r="AJ267" s="13"/>
      <c r="AK267" s="18"/>
      <c r="BM267" s="13"/>
      <c r="BO267" s="13"/>
      <c r="CI267" s="12"/>
      <c r="CJ267" s="12"/>
      <c r="CU267" s="13"/>
      <c r="CV267" s="42"/>
      <c r="CW267" s="43"/>
      <c r="CX267" s="9"/>
      <c r="CY267" s="10"/>
      <c r="CZ267" s="10"/>
      <c r="DA267" s="11"/>
      <c r="DB267" s="139"/>
      <c r="DC267" s="10"/>
      <c r="DD267" s="10"/>
      <c r="DE267" s="10"/>
      <c r="DF267" s="10"/>
      <c r="DG267" s="10"/>
      <c r="DH267" s="10"/>
      <c r="DI267" s="10"/>
      <c r="DJ267" s="38"/>
      <c r="DK267" s="38"/>
      <c r="DL267" s="38"/>
      <c r="DM267" s="38"/>
      <c r="DN267" s="38"/>
      <c r="DO267" s="38"/>
      <c r="DP267" s="38"/>
      <c r="DQ267" s="38"/>
      <c r="DR267" s="38"/>
      <c r="DS267" s="38"/>
      <c r="DT267" s="38"/>
      <c r="DU267" s="38"/>
      <c r="DV267" s="18"/>
      <c r="DW267" s="12"/>
      <c r="DY267" s="13"/>
      <c r="EQ267" s="13"/>
      <c r="ER267" s="43"/>
      <c r="ES267" s="45"/>
      <c r="ET267" s="12"/>
      <c r="FE267" s="13"/>
      <c r="FF267" s="13"/>
      <c r="GP267" s="42"/>
      <c r="GQ267" s="42"/>
      <c r="GR267" s="12"/>
      <c r="GV267" s="12"/>
      <c r="IK267" s="13"/>
      <c r="IL267" s="45"/>
      <c r="IM267" s="45"/>
      <c r="JC267" s="13"/>
      <c r="JD267" s="13"/>
    </row>
    <row r="268" spans="17:264" ht="18" customHeight="1">
      <c r="Q268" s="12"/>
      <c r="S268" s="12"/>
      <c r="T268" s="128"/>
      <c r="W268" s="12"/>
      <c r="X268" s="129"/>
      <c r="AB268" s="129"/>
      <c r="AF268" s="13"/>
      <c r="AG268" s="12"/>
      <c r="AJ268" s="13"/>
      <c r="AK268" s="18"/>
      <c r="BM268" s="13"/>
      <c r="BO268" s="13"/>
      <c r="CI268" s="12"/>
      <c r="CJ268" s="12"/>
      <c r="CU268" s="13"/>
      <c r="CV268" s="42"/>
      <c r="CW268" s="43"/>
      <c r="CX268" s="12"/>
      <c r="DA268" s="13"/>
      <c r="DB268" s="140"/>
      <c r="DC268" s="129"/>
      <c r="DG268" s="129"/>
      <c r="DK268" s="129"/>
      <c r="DO268" s="129"/>
      <c r="DV268" s="18"/>
      <c r="DW268" s="14"/>
      <c r="DX268" s="15"/>
      <c r="DY268" s="16"/>
      <c r="EQ268" s="13"/>
      <c r="ER268" s="125"/>
      <c r="ES268" s="125"/>
      <c r="ET268" s="12"/>
      <c r="FE268" s="13"/>
      <c r="FF268" s="13"/>
      <c r="GP268" s="42"/>
      <c r="GQ268" s="42"/>
      <c r="GR268" s="12"/>
      <c r="GV268" s="12"/>
      <c r="IK268" s="13"/>
      <c r="IL268" s="45"/>
      <c r="IM268" s="45"/>
      <c r="JC268" s="13"/>
      <c r="JD268" s="13"/>
    </row>
    <row r="269" spans="17:264" ht="18" customHeight="1">
      <c r="Q269" s="12"/>
      <c r="S269" s="12"/>
      <c r="W269" s="12"/>
      <c r="AF269" s="13"/>
      <c r="AG269" s="14"/>
      <c r="AH269" s="15"/>
      <c r="AI269" s="15"/>
      <c r="AJ269" s="16"/>
      <c r="AK269" s="19"/>
      <c r="BM269" s="13"/>
      <c r="BO269" s="13"/>
      <c r="CI269" s="12"/>
      <c r="CJ269" s="12"/>
      <c r="CU269" s="13"/>
      <c r="CV269" s="42"/>
      <c r="CW269" s="43"/>
      <c r="CX269" s="12"/>
      <c r="CY269" s="137"/>
      <c r="CZ269" s="97"/>
      <c r="DA269" s="13"/>
      <c r="DB269" s="140"/>
      <c r="DC269" s="129"/>
      <c r="DG269" s="129"/>
      <c r="DK269" s="129"/>
      <c r="DO269" s="129"/>
      <c r="DV269" s="18"/>
      <c r="EQ269" s="13"/>
      <c r="ER269" s="108"/>
      <c r="ES269" s="108"/>
      <c r="ET269" s="12"/>
      <c r="FE269" s="13"/>
      <c r="FF269" s="13"/>
      <c r="GP269" s="46"/>
      <c r="GQ269" s="46"/>
      <c r="GR269" s="12"/>
      <c r="GV269" s="12"/>
      <c r="IK269" s="13"/>
      <c r="IL269" s="45"/>
      <c r="IM269" s="45"/>
      <c r="JC269" s="13"/>
      <c r="JD269" s="13"/>
    </row>
    <row r="270" spans="17:264" ht="18" customHeight="1">
      <c r="Q270" s="12"/>
      <c r="S270" s="9"/>
      <c r="T270" s="10"/>
      <c r="U270" s="10"/>
      <c r="V270" s="11"/>
      <c r="W270" s="12"/>
      <c r="BM270" s="13"/>
      <c r="BO270" s="13"/>
      <c r="CI270" s="12"/>
      <c r="CJ270" s="12"/>
      <c r="CU270" s="13"/>
      <c r="CV270" s="42"/>
      <c r="CW270" s="43"/>
      <c r="CX270" s="12"/>
      <c r="CY270" s="97"/>
      <c r="CZ270" s="97"/>
      <c r="DA270" s="13"/>
      <c r="DB270" s="140"/>
      <c r="DV270" s="18"/>
      <c r="EQ270" s="13"/>
      <c r="ER270" s="108"/>
      <c r="ES270" s="108"/>
      <c r="ET270" s="12"/>
      <c r="FE270" s="13"/>
      <c r="FF270" s="13"/>
      <c r="GP270" s="42"/>
      <c r="GQ270" s="43"/>
      <c r="GR270" s="12"/>
      <c r="GV270" s="14"/>
      <c r="GW270" s="15"/>
      <c r="GX270" s="15"/>
      <c r="GY270" s="15"/>
      <c r="GZ270" s="15"/>
      <c r="HA270" s="15"/>
      <c r="HB270" s="15"/>
      <c r="HC270" s="15"/>
      <c r="HD270" s="15"/>
      <c r="HE270" s="15"/>
      <c r="HF270" s="15"/>
      <c r="HG270" s="15"/>
      <c r="HH270" s="15"/>
      <c r="HI270" s="15"/>
      <c r="HJ270" s="15"/>
      <c r="HK270" s="15"/>
      <c r="HL270" s="15"/>
      <c r="HM270" s="15"/>
      <c r="HN270" s="15"/>
      <c r="HO270" s="15"/>
      <c r="IK270" s="13"/>
      <c r="IL270" s="48"/>
      <c r="IM270" s="48"/>
      <c r="JC270" s="13"/>
      <c r="JD270" s="13"/>
    </row>
    <row r="271" spans="17:264" ht="18" customHeight="1">
      <c r="Q271" s="12"/>
      <c r="S271" s="12"/>
      <c r="V271" s="13"/>
      <c r="W271" s="12"/>
      <c r="BM271" s="13"/>
      <c r="BO271" s="13"/>
      <c r="CI271" s="12"/>
      <c r="CJ271" s="12"/>
      <c r="CU271" s="13"/>
      <c r="CV271" s="42"/>
      <c r="CW271" s="43"/>
      <c r="CX271" s="12"/>
      <c r="CY271" s="137"/>
      <c r="CZ271" s="97"/>
      <c r="DA271" s="13"/>
      <c r="DB271" s="140"/>
      <c r="DV271" s="24"/>
      <c r="EQ271" s="13"/>
      <c r="ER271" s="108"/>
      <c r="ES271" s="108"/>
      <c r="ET271" s="12"/>
      <c r="FE271" s="13"/>
      <c r="FF271" s="13"/>
      <c r="GP271" s="42"/>
      <c r="GQ271" s="43"/>
      <c r="GR271" s="12"/>
      <c r="HP271" s="17"/>
      <c r="IK271" s="13"/>
      <c r="IL271" s="43"/>
      <c r="IM271" s="45"/>
      <c r="JC271" s="13"/>
      <c r="JD271" s="13"/>
    </row>
    <row r="272" spans="17:264" ht="18" customHeight="1">
      <c r="Q272" s="12"/>
      <c r="S272" s="12"/>
      <c r="T272" s="128"/>
      <c r="V272" s="13"/>
      <c r="W272" s="12"/>
      <c r="BM272" s="13"/>
      <c r="BO272" s="13"/>
      <c r="CI272" s="12"/>
      <c r="CJ272" s="12"/>
      <c r="CU272" s="13"/>
      <c r="CV272" s="42"/>
      <c r="CW272" s="43"/>
      <c r="CX272" s="12"/>
      <c r="CY272" s="97"/>
      <c r="CZ272" s="97"/>
      <c r="DA272" s="13"/>
      <c r="DB272" s="140"/>
      <c r="DV272" s="24"/>
      <c r="EQ272" s="13"/>
      <c r="ER272" s="108"/>
      <c r="ES272" s="108"/>
      <c r="ET272" s="12"/>
      <c r="FE272" s="13"/>
      <c r="FF272" s="13"/>
      <c r="GP272" s="42"/>
      <c r="GQ272" s="43"/>
      <c r="GR272" s="12"/>
      <c r="HP272" s="18"/>
      <c r="IK272" s="13"/>
      <c r="IL272" s="43"/>
      <c r="IM272" s="45"/>
      <c r="JC272" s="13"/>
      <c r="JD272" s="13"/>
    </row>
    <row r="273" spans="17:264" ht="18" customHeight="1">
      <c r="Q273" s="12"/>
      <c r="S273" s="14"/>
      <c r="T273" s="15"/>
      <c r="U273" s="15"/>
      <c r="V273" s="16"/>
      <c r="W273" s="12"/>
      <c r="BM273" s="13"/>
      <c r="BO273" s="13"/>
      <c r="CI273" s="12"/>
      <c r="CJ273" s="12"/>
      <c r="CU273" s="13"/>
      <c r="CV273" s="42"/>
      <c r="CW273" s="43"/>
      <c r="CX273" s="12"/>
      <c r="CY273" s="128"/>
      <c r="DA273" s="13"/>
      <c r="DB273" s="140"/>
      <c r="DV273" s="24"/>
      <c r="EQ273" s="13"/>
      <c r="ER273" s="126"/>
      <c r="ES273" s="126"/>
      <c r="ET273" s="12"/>
      <c r="FE273" s="13"/>
      <c r="FF273" s="13"/>
      <c r="GP273" s="42"/>
      <c r="GQ273" s="43"/>
      <c r="GR273" s="12"/>
      <c r="HP273" s="18"/>
      <c r="IK273" s="13"/>
      <c r="IL273" s="43"/>
      <c r="IM273" s="45"/>
      <c r="JC273" s="13"/>
      <c r="JD273" s="13"/>
    </row>
    <row r="274" spans="17:264" ht="18" customHeight="1">
      <c r="Q274" s="12"/>
      <c r="S274" s="12"/>
      <c r="W274" s="12"/>
      <c r="BM274" s="13"/>
      <c r="BO274" s="13"/>
      <c r="CI274" s="12"/>
      <c r="CJ274" s="12"/>
      <c r="CU274" s="13"/>
      <c r="CV274" s="42"/>
      <c r="CW274" s="43"/>
      <c r="CX274" s="14"/>
      <c r="CY274" s="15"/>
      <c r="CZ274" s="15"/>
      <c r="DA274" s="16"/>
      <c r="DB274" s="140"/>
      <c r="DV274" s="24"/>
      <c r="EQ274" s="13"/>
      <c r="ER274" s="43"/>
      <c r="ES274" s="45"/>
      <c r="ET274" s="12"/>
      <c r="FE274" s="13"/>
      <c r="FF274" s="13"/>
      <c r="GP274" s="42"/>
      <c r="GQ274" s="43"/>
      <c r="GR274" s="14"/>
      <c r="GS274" s="15"/>
      <c r="GT274" s="15"/>
      <c r="GU274" s="15"/>
      <c r="GV274" s="15"/>
      <c r="GW274" s="15"/>
      <c r="GX274" s="15"/>
      <c r="GY274" s="15"/>
      <c r="GZ274" s="15"/>
      <c r="HA274" s="15"/>
      <c r="HB274" s="15"/>
      <c r="HC274" s="15"/>
      <c r="HD274" s="15"/>
      <c r="HE274" s="15"/>
      <c r="HF274" s="15"/>
      <c r="HG274" s="15"/>
      <c r="HH274" s="15"/>
      <c r="HI274" s="15"/>
      <c r="HJ274" s="15"/>
      <c r="HK274" s="15"/>
      <c r="HL274" s="15"/>
      <c r="HM274" s="15"/>
      <c r="HN274" s="15"/>
      <c r="HO274" s="15"/>
      <c r="HP274" s="19"/>
      <c r="HQ274" s="15"/>
      <c r="HR274" s="15"/>
      <c r="HS274" s="15"/>
      <c r="HT274" s="15"/>
      <c r="HU274" s="15"/>
      <c r="HV274" s="15"/>
      <c r="HW274" s="15"/>
      <c r="HX274" s="15"/>
      <c r="HY274" s="15"/>
      <c r="HZ274" s="15"/>
      <c r="IA274" s="15"/>
      <c r="IB274" s="15"/>
      <c r="IC274" s="15"/>
      <c r="ID274" s="15"/>
      <c r="IE274" s="15"/>
      <c r="IF274" s="15"/>
      <c r="IG274" s="15"/>
      <c r="IH274" s="15"/>
      <c r="II274" s="15"/>
      <c r="IJ274" s="15"/>
      <c r="IK274" s="16"/>
      <c r="IL274" s="43"/>
      <c r="IM274" s="45"/>
      <c r="JC274" s="13"/>
      <c r="JD274" s="13"/>
    </row>
    <row r="275" spans="17:264" ht="18" customHeight="1">
      <c r="Q275" s="12"/>
      <c r="S275" s="12"/>
      <c r="W275" s="132"/>
      <c r="X275" s="99"/>
      <c r="AB275" s="129"/>
      <c r="BM275" s="13"/>
      <c r="BO275" s="13"/>
      <c r="CI275" s="12"/>
      <c r="CJ275" s="12"/>
      <c r="CU275" s="13"/>
      <c r="CV275" s="42"/>
      <c r="CW275" s="43"/>
      <c r="CX275" s="9"/>
      <c r="CY275" s="10"/>
      <c r="CZ275" s="10"/>
      <c r="DA275" s="11"/>
      <c r="DB275" s="10"/>
      <c r="DC275" s="10"/>
      <c r="DD275" s="10"/>
      <c r="DE275" s="10"/>
      <c r="DF275" s="9"/>
      <c r="DG275" s="10"/>
      <c r="DH275" s="10"/>
      <c r="DI275" s="10"/>
      <c r="DJ275" s="133"/>
      <c r="DK275" s="134"/>
      <c r="DL275" s="134"/>
      <c r="DM275" s="135"/>
      <c r="DV275" s="24"/>
      <c r="EQ275" s="13"/>
      <c r="ER275" s="43"/>
      <c r="ES275" s="45"/>
      <c r="ET275" s="12"/>
      <c r="FE275" s="13"/>
      <c r="FF275" s="13"/>
      <c r="GP275" s="42"/>
      <c r="GQ275" s="43"/>
      <c r="GR275" s="43"/>
      <c r="GS275" s="43"/>
      <c r="GT275" s="43"/>
      <c r="GU275" s="43"/>
      <c r="GV275" s="46"/>
      <c r="GW275" s="47"/>
      <c r="GX275" s="47"/>
      <c r="GY275" s="47"/>
      <c r="GZ275" s="48"/>
      <c r="HA275" s="43"/>
      <c r="HB275" s="43"/>
      <c r="HC275" s="43"/>
      <c r="HD275" s="43"/>
      <c r="HE275" s="43"/>
      <c r="HF275" s="43"/>
      <c r="HG275" s="43"/>
      <c r="HH275" s="43"/>
      <c r="HI275" s="43"/>
      <c r="HJ275" s="43"/>
      <c r="HK275" s="43"/>
      <c r="HL275" s="43"/>
      <c r="HM275" s="43"/>
      <c r="HN275" s="43"/>
      <c r="HO275" s="43"/>
      <c r="HP275" s="43"/>
      <c r="HQ275" s="43"/>
      <c r="HR275" s="43"/>
      <c r="HS275" s="43"/>
      <c r="HT275" s="43"/>
      <c r="HU275" s="123"/>
      <c r="HV275" s="109"/>
      <c r="HW275" s="109"/>
      <c r="HX275" s="109"/>
      <c r="HY275" s="109"/>
      <c r="HZ275" s="124"/>
      <c r="IA275" s="43"/>
      <c r="IB275" s="43"/>
      <c r="IC275" s="43"/>
      <c r="ID275" s="43"/>
      <c r="IE275" s="70"/>
      <c r="IF275" s="92"/>
      <c r="IG275" s="92"/>
      <c r="IH275" s="92"/>
      <c r="II275" s="92"/>
      <c r="IJ275" s="71"/>
      <c r="IK275" s="43"/>
      <c r="IL275" s="43"/>
      <c r="IM275" s="45"/>
      <c r="JC275" s="13"/>
      <c r="JD275" s="13"/>
    </row>
    <row r="276" spans="17:264" ht="18" customHeight="1">
      <c r="Q276" s="12"/>
      <c r="S276" s="12"/>
      <c r="W276" s="12"/>
      <c r="BM276" s="13"/>
      <c r="BO276" s="13"/>
      <c r="CI276" s="12"/>
      <c r="CJ276" s="12"/>
      <c r="CU276" s="13"/>
      <c r="CV276" s="42"/>
      <c r="CW276" s="43"/>
      <c r="CX276" s="12"/>
      <c r="DA276" s="13"/>
      <c r="DB276" s="128"/>
      <c r="DC276" s="99"/>
      <c r="DF276" s="12"/>
      <c r="DG276" s="129"/>
      <c r="DJ276" s="86"/>
      <c r="DK276" s="136"/>
      <c r="DL276" s="87"/>
      <c r="DM276" s="88"/>
      <c r="DN276" s="9"/>
      <c r="DO276" s="10"/>
      <c r="DP276" s="11"/>
      <c r="DV276" s="24"/>
      <c r="EQ276" s="13"/>
      <c r="ER276" s="43"/>
      <c r="ES276" s="45"/>
      <c r="ET276" s="12"/>
      <c r="FE276" s="13"/>
      <c r="FF276" s="13"/>
      <c r="GP276" s="46"/>
      <c r="GQ276" s="47"/>
      <c r="GR276" s="47"/>
      <c r="GS276" s="47"/>
      <c r="GT276" s="47"/>
      <c r="GU276" s="47"/>
      <c r="GV276" s="46"/>
      <c r="GW276" s="47"/>
      <c r="GX276" s="47"/>
      <c r="GY276" s="47"/>
      <c r="GZ276" s="48"/>
      <c r="HA276" s="47"/>
      <c r="HB276" s="47"/>
      <c r="HC276" s="47"/>
      <c r="HD276" s="47"/>
      <c r="HE276" s="47"/>
      <c r="HF276" s="47"/>
      <c r="HG276" s="47"/>
      <c r="HH276" s="47"/>
      <c r="HI276" s="47"/>
      <c r="HJ276" s="47"/>
      <c r="HK276" s="47"/>
      <c r="HL276" s="47"/>
      <c r="HM276" s="47"/>
      <c r="HN276" s="47"/>
      <c r="HO276" s="47"/>
      <c r="HP276" s="47"/>
      <c r="HQ276" s="47"/>
      <c r="HR276" s="47"/>
      <c r="HS276" s="47"/>
      <c r="HT276" s="47"/>
      <c r="HU276" s="46"/>
      <c r="HV276" s="47"/>
      <c r="HW276" s="47"/>
      <c r="HX276" s="47"/>
      <c r="HY276" s="47"/>
      <c r="HZ276" s="48"/>
      <c r="IA276" s="47"/>
      <c r="IB276" s="47"/>
      <c r="IC276" s="47"/>
      <c r="ID276" s="47"/>
      <c r="IE276" s="72"/>
      <c r="IF276" s="100"/>
      <c r="IG276" s="100"/>
      <c r="IH276" s="100"/>
      <c r="II276" s="100"/>
      <c r="IJ276" s="73"/>
      <c r="IK276" s="47"/>
      <c r="IL276" s="47"/>
      <c r="IM276" s="48"/>
      <c r="JC276" s="13"/>
      <c r="JD276" s="13"/>
    </row>
    <row r="277" spans="17:264" ht="18" customHeight="1">
      <c r="Q277" s="12"/>
      <c r="S277" s="14"/>
      <c r="T277" s="15"/>
      <c r="U277" s="15"/>
      <c r="V277" s="15"/>
      <c r="W277" s="14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6"/>
      <c r="BO277" s="13"/>
      <c r="CI277" s="12"/>
      <c r="CJ277" s="12"/>
      <c r="CU277" s="13"/>
      <c r="CV277" s="42"/>
      <c r="CW277" s="43"/>
      <c r="CX277" s="12"/>
      <c r="DA277" s="13"/>
      <c r="DF277" s="12"/>
      <c r="DJ277" s="86"/>
      <c r="DK277" s="87"/>
      <c r="DL277" s="87"/>
      <c r="DM277" s="88"/>
      <c r="DN277" s="12"/>
      <c r="DO277" s="131"/>
      <c r="DP277" s="13"/>
      <c r="DV277" s="24"/>
      <c r="EQ277" s="13"/>
      <c r="ER277" s="43"/>
      <c r="ES277" s="45"/>
      <c r="ET277" s="12"/>
      <c r="FE277" s="13"/>
      <c r="FF277" s="13"/>
      <c r="HD277" s="10"/>
      <c r="HE277" s="9"/>
      <c r="HF277" s="9"/>
      <c r="HG277" s="10"/>
      <c r="HH277" s="10"/>
      <c r="HI277" s="10"/>
      <c r="HJ277" s="10"/>
      <c r="HK277" s="10"/>
      <c r="HL277" s="10"/>
      <c r="JC277" s="13"/>
      <c r="JD277" s="13"/>
    </row>
    <row r="278" spans="17:264" ht="18" customHeight="1">
      <c r="Q278" s="12"/>
      <c r="AL278" s="10"/>
      <c r="AM278" s="10"/>
      <c r="AN278" s="10"/>
      <c r="AO278" s="10"/>
      <c r="AP278" s="10"/>
      <c r="AQ278" s="10"/>
      <c r="AR278" s="10"/>
      <c r="BO278" s="13"/>
      <c r="CI278" s="12"/>
      <c r="CJ278" s="12"/>
      <c r="CU278" s="13"/>
      <c r="CV278" s="42"/>
      <c r="CW278" s="43"/>
      <c r="CX278" s="14"/>
      <c r="CY278" s="15"/>
      <c r="CZ278" s="15"/>
      <c r="DA278" s="16"/>
      <c r="DF278" s="14"/>
      <c r="DG278" s="15"/>
      <c r="DH278" s="15"/>
      <c r="DJ278" s="76"/>
      <c r="DK278" s="89"/>
      <c r="DL278" s="89"/>
      <c r="DM278" s="77"/>
      <c r="DN278" s="14"/>
      <c r="DO278" s="15"/>
      <c r="DP278" s="16"/>
      <c r="DQ278" s="15"/>
      <c r="DR278" s="15"/>
      <c r="DS278" s="15"/>
      <c r="DT278" s="15"/>
      <c r="DU278" s="15"/>
      <c r="DV278" s="25"/>
      <c r="DW278" s="15"/>
      <c r="DX278" s="15"/>
      <c r="DY278" s="15"/>
      <c r="DZ278" s="15"/>
      <c r="EG278" s="15"/>
      <c r="EH278" s="15"/>
      <c r="EI278" s="15"/>
      <c r="EJ278" s="15"/>
      <c r="EK278" s="15"/>
      <c r="EL278" s="15"/>
      <c r="EM278" s="15"/>
      <c r="EN278" s="15"/>
      <c r="EO278" s="15"/>
      <c r="EP278" s="15"/>
      <c r="EQ278" s="16"/>
      <c r="ER278" s="43"/>
      <c r="ES278" s="45"/>
      <c r="ET278" s="12"/>
      <c r="FE278" s="13"/>
      <c r="FF278" s="13"/>
      <c r="HE278" s="12"/>
      <c r="HF278" s="12"/>
      <c r="JC278" s="13"/>
      <c r="JD278" s="13"/>
    </row>
    <row r="279" spans="17:264" ht="18" customHeight="1">
      <c r="Q279" s="14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6"/>
      <c r="CI279" s="12"/>
      <c r="CJ279" s="12"/>
      <c r="CU279" s="13"/>
      <c r="CV279" s="42"/>
      <c r="CW279" s="43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3"/>
      <c r="DW279" s="41"/>
      <c r="DX279" s="41"/>
      <c r="DY279" s="41"/>
      <c r="DZ279" s="41"/>
      <c r="EA279" s="41"/>
      <c r="EB279" s="41"/>
      <c r="EC279" s="41"/>
      <c r="ED279" s="41"/>
      <c r="EE279" s="41"/>
      <c r="EF279" s="41"/>
      <c r="EG279" s="41"/>
      <c r="EH279" s="43"/>
      <c r="EI279" s="43"/>
      <c r="EJ279" s="43"/>
      <c r="EK279" s="70"/>
      <c r="EL279" s="92"/>
      <c r="EM279" s="92"/>
      <c r="EN279" s="92"/>
      <c r="EO279" s="92"/>
      <c r="EP279" s="71"/>
      <c r="EQ279" s="43"/>
      <c r="ER279" s="43"/>
      <c r="ES279" s="45"/>
      <c r="ET279" s="12"/>
      <c r="FE279" s="13"/>
      <c r="FF279" s="13"/>
      <c r="HE279" s="12"/>
      <c r="HF279" s="12"/>
      <c r="JC279" s="13"/>
      <c r="JD279" s="13"/>
    </row>
    <row r="280" spans="17:264" ht="18" customHeight="1">
      <c r="Q280" s="12"/>
      <c r="R280" s="12"/>
      <c r="BN280" s="13"/>
      <c r="BO280" s="13"/>
      <c r="CI280" s="12"/>
      <c r="CJ280" s="12"/>
      <c r="CU280" s="13"/>
      <c r="CV280" s="42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  <c r="EA280" s="43"/>
      <c r="EB280" s="43"/>
      <c r="EC280" s="43"/>
      <c r="ED280" s="43"/>
      <c r="EE280" s="43"/>
      <c r="EF280" s="43"/>
      <c r="EG280" s="43"/>
      <c r="EH280" s="43"/>
      <c r="EI280" s="43"/>
      <c r="EJ280" s="43"/>
      <c r="EK280" s="107"/>
      <c r="EL280" s="127"/>
      <c r="EM280" s="127"/>
      <c r="EN280" s="127"/>
      <c r="EO280" s="127"/>
      <c r="EP280" s="90"/>
      <c r="EQ280" s="43"/>
      <c r="ER280" s="43"/>
      <c r="ES280" s="45"/>
      <c r="ET280" s="12"/>
      <c r="FE280" s="13"/>
      <c r="FF280" s="13"/>
      <c r="HE280" s="12"/>
      <c r="HF280" s="12"/>
      <c r="JC280" s="13"/>
      <c r="JD280" s="13"/>
    </row>
    <row r="281" spans="17:264" ht="18" customHeight="1">
      <c r="Q281" s="12"/>
      <c r="R281" s="12"/>
      <c r="BN281" s="13"/>
      <c r="BO281" s="13"/>
      <c r="CI281" s="12"/>
      <c r="CJ281" s="12"/>
      <c r="CV281" s="10"/>
      <c r="CW281" s="10"/>
      <c r="CX281" s="10"/>
      <c r="CY281" s="10"/>
      <c r="CZ281" s="10"/>
      <c r="DA281" s="10"/>
      <c r="DB281" s="10"/>
      <c r="DC281" s="10"/>
      <c r="DD281" s="10"/>
      <c r="DE281" s="10"/>
      <c r="DF281" s="10"/>
      <c r="DG281" s="10"/>
      <c r="DH281" s="10"/>
      <c r="DI281" s="10"/>
      <c r="DJ281" s="10"/>
      <c r="DK281" s="10"/>
      <c r="DL281" s="10"/>
      <c r="DM281" s="10"/>
      <c r="DN281" s="10"/>
      <c r="DO281" s="10"/>
      <c r="DP281" s="10"/>
      <c r="DQ281" s="10"/>
      <c r="DR281" s="10"/>
      <c r="DS281" s="10"/>
      <c r="DT281" s="10"/>
      <c r="DU281" s="10"/>
      <c r="DV281" s="10"/>
      <c r="DW281" s="10"/>
      <c r="DX281" s="10"/>
      <c r="DY281" s="10"/>
      <c r="DZ281" s="10"/>
      <c r="EA281" s="10"/>
      <c r="EB281" s="10"/>
      <c r="EC281" s="10"/>
      <c r="ED281" s="10"/>
      <c r="EE281" s="10"/>
      <c r="EF281" s="10"/>
      <c r="EG281" s="10"/>
      <c r="EH281" s="10"/>
      <c r="EI281" s="10"/>
      <c r="EJ281" s="10"/>
      <c r="EK281" s="10"/>
      <c r="EL281" s="10"/>
      <c r="EM281" s="10"/>
      <c r="EN281" s="10"/>
      <c r="EO281" s="10"/>
      <c r="EP281" s="10"/>
      <c r="EQ281" s="10"/>
      <c r="ER281" s="10"/>
      <c r="ES281" s="10"/>
      <c r="FE281" s="13"/>
      <c r="FF281" s="13"/>
      <c r="HE281" s="12"/>
      <c r="HF281" s="12"/>
      <c r="JC281" s="13"/>
      <c r="JD281" s="13"/>
    </row>
    <row r="282" spans="17:264" ht="18" customHeight="1">
      <c r="Q282" s="12"/>
      <c r="R282" s="12"/>
      <c r="BN282" s="13"/>
      <c r="BO282" s="13"/>
      <c r="CI282" s="12"/>
      <c r="CJ282" s="12"/>
      <c r="FE282" s="13"/>
      <c r="FF282" s="13"/>
      <c r="HE282" s="12"/>
      <c r="HF282" s="12"/>
      <c r="JC282" s="13"/>
      <c r="JD282" s="13"/>
    </row>
    <row r="283" spans="17:264" ht="18" customHeight="1">
      <c r="Q283" s="12"/>
      <c r="R283" s="12"/>
      <c r="BN283" s="13"/>
      <c r="BO283" s="16"/>
      <c r="CI283" s="12"/>
      <c r="CJ283" s="12"/>
      <c r="FE283" s="13"/>
      <c r="FF283" s="13"/>
      <c r="HE283" s="12"/>
      <c r="HF283" s="12"/>
      <c r="JC283" s="13"/>
      <c r="JD283" s="13"/>
    </row>
    <row r="284" spans="17:264" ht="18" customHeight="1">
      <c r="Q284" s="12"/>
      <c r="R284" s="12"/>
      <c r="BO284" s="10"/>
      <c r="BP284" s="9"/>
      <c r="BQ284" s="11"/>
      <c r="BR284" s="9"/>
      <c r="BS284" s="11"/>
      <c r="CI284" s="12"/>
      <c r="CJ284" s="12"/>
      <c r="FE284" s="13"/>
      <c r="FF284" s="13"/>
      <c r="HE284" s="12"/>
      <c r="HF284" s="12"/>
      <c r="JC284" s="13"/>
      <c r="JD284" s="13"/>
    </row>
    <row r="285" spans="17:264" ht="18" customHeight="1">
      <c r="Q285" s="12"/>
      <c r="R285" s="12"/>
      <c r="BP285" s="12"/>
      <c r="BQ285" s="13"/>
      <c r="BR285" s="12"/>
      <c r="BS285" s="13"/>
      <c r="CI285" s="12"/>
      <c r="CJ285" s="12"/>
      <c r="FE285" s="13"/>
      <c r="FF285" s="13"/>
      <c r="HE285" s="12"/>
      <c r="HF285" s="12"/>
      <c r="JC285" s="13"/>
      <c r="JD285" s="13"/>
    </row>
    <row r="286" spans="17:264" ht="18" customHeight="1">
      <c r="Q286" s="12"/>
      <c r="R286" s="12"/>
      <c r="BP286" s="12"/>
      <c r="BQ286" s="13"/>
      <c r="BR286" s="12"/>
      <c r="BS286" s="13"/>
      <c r="CI286" s="12"/>
      <c r="CJ286" s="12"/>
      <c r="FE286" s="13"/>
      <c r="FF286" s="13"/>
      <c r="HE286" s="12"/>
      <c r="HF286" s="12"/>
      <c r="JC286" s="13"/>
      <c r="JD286" s="13"/>
    </row>
    <row r="287" spans="17:264" ht="18" customHeight="1">
      <c r="Q287" s="12"/>
      <c r="R287" s="12"/>
      <c r="BP287" s="12"/>
      <c r="BQ287" s="13"/>
      <c r="BR287" s="12"/>
      <c r="BS287" s="13"/>
      <c r="CI287" s="12"/>
      <c r="CJ287" s="12"/>
      <c r="FE287" s="13"/>
      <c r="FF287" s="13"/>
      <c r="HE287" s="12"/>
      <c r="HF287" s="12"/>
      <c r="JC287" s="13"/>
      <c r="JD287" s="13"/>
    </row>
    <row r="288" spans="17:264" ht="18" customHeight="1">
      <c r="Q288" s="12"/>
      <c r="R288" s="12"/>
      <c r="BP288" s="12"/>
      <c r="BQ288" s="13"/>
      <c r="BR288" s="12"/>
      <c r="BS288" s="13"/>
      <c r="CI288" s="12"/>
      <c r="CJ288" s="12"/>
      <c r="FE288" s="13"/>
      <c r="FF288" s="13"/>
      <c r="HE288" s="12"/>
      <c r="HF288" s="12"/>
      <c r="JC288" s="13"/>
      <c r="JD288" s="13"/>
    </row>
    <row r="289" spans="17:265" ht="18" customHeight="1">
      <c r="Q289" s="12"/>
      <c r="R289" s="12"/>
      <c r="BP289" s="12"/>
      <c r="BQ289" s="13"/>
      <c r="BR289" s="12"/>
      <c r="BS289" s="13"/>
      <c r="CI289" s="12"/>
      <c r="CJ289" s="12"/>
      <c r="FE289" s="13"/>
      <c r="FF289" s="13"/>
      <c r="HE289" s="12"/>
      <c r="HF289" s="12"/>
      <c r="JC289" s="13"/>
      <c r="JD289" s="13"/>
    </row>
    <row r="290" spans="17:265" ht="18" customHeight="1">
      <c r="Q290" s="12"/>
      <c r="R290" s="12"/>
      <c r="BP290" s="12"/>
      <c r="BQ290" s="13"/>
      <c r="BR290" s="12"/>
      <c r="BS290" s="13"/>
      <c r="CI290" s="12"/>
      <c r="CJ290" s="12"/>
      <c r="FE290" s="13"/>
      <c r="FF290" s="13"/>
      <c r="HE290" s="12"/>
      <c r="HF290" s="12"/>
      <c r="JC290" s="13"/>
      <c r="JD290" s="13"/>
    </row>
    <row r="291" spans="17:265" ht="18" customHeight="1">
      <c r="Q291" s="12"/>
      <c r="R291" s="12"/>
      <c r="BO291" s="15"/>
      <c r="BP291" s="14"/>
      <c r="BQ291" s="16"/>
      <c r="BR291" s="14"/>
      <c r="BS291" s="16"/>
      <c r="CI291" s="12"/>
      <c r="CJ291" s="12"/>
      <c r="FE291" s="13"/>
      <c r="FF291" s="13"/>
      <c r="HE291" s="12"/>
      <c r="HF291" s="12"/>
      <c r="JC291" s="13"/>
      <c r="JD291" s="13"/>
    </row>
    <row r="292" spans="17:265" ht="18" customHeight="1">
      <c r="Q292" s="12"/>
      <c r="R292" s="12"/>
      <c r="BN292" s="13"/>
      <c r="BO292" s="13"/>
      <c r="CI292" s="12"/>
      <c r="CJ292" s="12"/>
      <c r="FE292" s="13"/>
      <c r="FF292" s="13"/>
      <c r="HE292" s="12"/>
      <c r="HF292" s="14"/>
      <c r="HG292" s="15"/>
      <c r="HH292" s="15"/>
      <c r="HI292" s="15"/>
      <c r="HJ292" s="15"/>
      <c r="HK292" s="15"/>
      <c r="HL292" s="15"/>
      <c r="HM292" s="15"/>
      <c r="HN292" s="15"/>
      <c r="HO292" s="15"/>
      <c r="HP292" s="15"/>
      <c r="HQ292" s="15"/>
      <c r="HR292" s="15"/>
      <c r="HS292" s="15"/>
      <c r="HT292" s="15"/>
      <c r="HU292" s="15"/>
      <c r="HV292" s="15"/>
      <c r="HW292" s="15"/>
      <c r="HX292" s="15"/>
      <c r="HY292" s="15"/>
      <c r="HZ292" s="15"/>
      <c r="IA292" s="15"/>
      <c r="IB292" s="15"/>
      <c r="IC292" s="15"/>
      <c r="ID292" s="15"/>
      <c r="IE292" s="15"/>
      <c r="IF292" s="15"/>
      <c r="IG292" s="15"/>
      <c r="IH292" s="15"/>
      <c r="II292" s="15"/>
      <c r="IJ292" s="15"/>
      <c r="IK292" s="15"/>
      <c r="IL292" s="15"/>
      <c r="IM292" s="15"/>
      <c r="IN292" s="15"/>
      <c r="IO292" s="15"/>
      <c r="IP292" s="15"/>
      <c r="IQ292" s="15"/>
      <c r="IR292" s="15"/>
      <c r="IS292" s="15"/>
      <c r="IT292" s="15"/>
      <c r="IU292" s="15"/>
      <c r="IV292" s="15"/>
      <c r="IW292" s="15"/>
      <c r="IX292" s="15"/>
      <c r="IY292" s="15"/>
      <c r="IZ292" s="15"/>
      <c r="JA292" s="15"/>
      <c r="JB292" s="15"/>
      <c r="JC292" s="16"/>
      <c r="JD292" s="13"/>
    </row>
    <row r="293" spans="17:265" ht="18" customHeight="1">
      <c r="Q293" s="12"/>
      <c r="R293" s="12"/>
      <c r="BN293" s="13"/>
      <c r="BO293" s="13"/>
      <c r="CI293" s="12"/>
      <c r="CJ293" s="12"/>
      <c r="FE293" s="13"/>
      <c r="FF293" s="13"/>
      <c r="HE293" s="14"/>
      <c r="HF293" s="15"/>
      <c r="HG293" s="15"/>
      <c r="HH293" s="15"/>
      <c r="HI293" s="15"/>
      <c r="HJ293" s="15"/>
      <c r="HK293" s="15"/>
      <c r="HL293" s="15"/>
      <c r="HM293" s="15"/>
      <c r="HN293" s="15"/>
      <c r="HO293" s="15"/>
      <c r="HP293" s="15"/>
      <c r="HQ293" s="15"/>
      <c r="HR293" s="15"/>
      <c r="HS293" s="15"/>
      <c r="HT293" s="15"/>
      <c r="HU293" s="15"/>
      <c r="HV293" s="15"/>
      <c r="HW293" s="15"/>
      <c r="HX293" s="15"/>
      <c r="HY293" s="15"/>
      <c r="HZ293" s="15"/>
      <c r="IA293" s="15"/>
      <c r="IB293" s="15"/>
      <c r="IC293" s="15"/>
      <c r="ID293" s="15"/>
      <c r="IE293" s="15"/>
      <c r="IF293" s="15"/>
      <c r="IG293" s="15"/>
      <c r="IH293" s="15"/>
      <c r="II293" s="15"/>
      <c r="IJ293" s="15"/>
      <c r="IK293" s="15"/>
      <c r="IL293" s="15"/>
      <c r="IM293" s="15"/>
      <c r="IN293" s="15"/>
      <c r="IO293" s="15"/>
      <c r="IP293" s="15"/>
      <c r="IQ293" s="15"/>
      <c r="IR293" s="15"/>
      <c r="IS293" s="15"/>
      <c r="IT293" s="15"/>
      <c r="IU293" s="15"/>
      <c r="IV293" s="15"/>
      <c r="IW293" s="15"/>
      <c r="IX293" s="15"/>
      <c r="IY293" s="15"/>
      <c r="IZ293" s="15"/>
      <c r="JA293" s="15"/>
      <c r="JB293" s="15"/>
      <c r="JC293" s="15"/>
      <c r="JD293" s="16"/>
    </row>
    <row r="294" spans="17:265" ht="18" customHeight="1">
      <c r="Q294" s="12"/>
      <c r="R294" s="12"/>
      <c r="BN294" s="13"/>
      <c r="BO294" s="13"/>
      <c r="CI294" s="12"/>
      <c r="CJ294" s="12"/>
      <c r="FE294" s="13"/>
      <c r="FF294" s="13"/>
    </row>
    <row r="295" spans="17:265" ht="18" customHeight="1">
      <c r="Q295" s="12"/>
      <c r="R295" s="14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15"/>
      <c r="AZ295" s="15"/>
      <c r="BA295" s="15"/>
      <c r="BB295" s="15"/>
      <c r="BC295" s="15"/>
      <c r="BD295" s="15"/>
      <c r="BE295" s="15"/>
      <c r="BF295" s="15"/>
      <c r="BG295" s="15"/>
      <c r="BH295" s="15"/>
      <c r="BI295" s="15"/>
      <c r="BJ295" s="15"/>
      <c r="BK295" s="15"/>
      <c r="BL295" s="15"/>
      <c r="BM295" s="15"/>
      <c r="BN295" s="16"/>
      <c r="BO295" s="13"/>
      <c r="CI295" s="12"/>
      <c r="CJ295" s="12"/>
      <c r="FE295" s="13"/>
      <c r="FF295" s="13"/>
    </row>
    <row r="296" spans="17:265" ht="18" customHeight="1">
      <c r="Q296" s="14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15"/>
      <c r="AZ296" s="15"/>
      <c r="BA296" s="15"/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  <c r="BL296" s="15"/>
      <c r="BM296" s="15"/>
      <c r="BN296" s="15"/>
      <c r="BO296" s="16"/>
      <c r="CI296" s="12"/>
      <c r="CJ296" s="14"/>
      <c r="CK296" s="15"/>
      <c r="CL296" s="15"/>
      <c r="CM296" s="15"/>
      <c r="CN296" s="15"/>
      <c r="CO296" s="15"/>
      <c r="CP296" s="15"/>
      <c r="CQ296" s="15"/>
      <c r="CR296" s="15"/>
      <c r="CS296" s="15"/>
      <c r="CT296" s="15"/>
      <c r="CU296" s="15"/>
      <c r="CV296" s="15"/>
      <c r="CW296" s="15"/>
      <c r="CX296" s="15"/>
      <c r="CY296" s="15"/>
      <c r="CZ296" s="15"/>
      <c r="DA296" s="15"/>
      <c r="DB296" s="15"/>
      <c r="DC296" s="15"/>
      <c r="DD296" s="15"/>
      <c r="DE296" s="15"/>
      <c r="DF296" s="15"/>
      <c r="DG296" s="15"/>
      <c r="DH296" s="15"/>
      <c r="DI296" s="15"/>
      <c r="DJ296" s="15"/>
      <c r="DK296" s="15"/>
      <c r="DL296" s="15"/>
      <c r="DM296" s="15"/>
      <c r="DN296" s="15"/>
      <c r="DO296" s="15"/>
      <c r="DP296" s="15"/>
      <c r="DQ296" s="15"/>
      <c r="DR296" s="15"/>
      <c r="DS296" s="15"/>
      <c r="DT296" s="15"/>
      <c r="DU296" s="15"/>
      <c r="DV296" s="15"/>
      <c r="DW296" s="15"/>
      <c r="DX296" s="15"/>
      <c r="DY296" s="15"/>
      <c r="DZ296" s="15"/>
      <c r="EA296" s="15"/>
      <c r="EB296" s="15"/>
      <c r="EC296" s="15"/>
      <c r="ED296" s="15"/>
      <c r="EE296" s="15"/>
      <c r="EF296" s="15"/>
      <c r="EG296" s="15"/>
      <c r="EH296" s="15"/>
      <c r="EI296" s="15"/>
      <c r="EJ296" s="15"/>
      <c r="EK296" s="15"/>
      <c r="EL296" s="15"/>
      <c r="EM296" s="15"/>
      <c r="EN296" s="15"/>
      <c r="EO296" s="15"/>
      <c r="EP296" s="15"/>
      <c r="EQ296" s="15"/>
      <c r="ER296" s="15"/>
      <c r="ES296" s="15"/>
      <c r="ET296" s="15"/>
      <c r="EU296" s="15"/>
      <c r="EV296" s="15"/>
      <c r="EW296" s="15"/>
      <c r="EX296" s="15"/>
      <c r="EY296" s="15"/>
      <c r="EZ296" s="15"/>
      <c r="FA296" s="15"/>
      <c r="FB296" s="15"/>
      <c r="FC296" s="15"/>
      <c r="FD296" s="15"/>
      <c r="FE296" s="16"/>
      <c r="FF296" s="13"/>
    </row>
    <row r="297" spans="17:265" ht="18" customHeight="1">
      <c r="CI297" s="14"/>
      <c r="CJ297" s="15"/>
      <c r="CK297" s="15"/>
      <c r="CL297" s="15"/>
      <c r="CM297" s="15"/>
      <c r="CN297" s="15"/>
      <c r="CO297" s="15"/>
      <c r="CP297" s="15"/>
      <c r="CQ297" s="15"/>
      <c r="CR297" s="15"/>
      <c r="CS297" s="15"/>
      <c r="CT297" s="15"/>
      <c r="CU297" s="15"/>
      <c r="CV297" s="15"/>
      <c r="CW297" s="15"/>
      <c r="CX297" s="15"/>
      <c r="CY297" s="15"/>
      <c r="CZ297" s="15"/>
      <c r="DA297" s="15"/>
      <c r="DB297" s="15"/>
      <c r="DC297" s="15"/>
      <c r="DD297" s="15"/>
      <c r="DE297" s="15"/>
      <c r="DF297" s="15"/>
      <c r="DG297" s="15"/>
      <c r="DH297" s="15"/>
      <c r="DI297" s="15"/>
      <c r="DJ297" s="15"/>
      <c r="DK297" s="15"/>
      <c r="DL297" s="15"/>
      <c r="DM297" s="15"/>
      <c r="DN297" s="15"/>
      <c r="DO297" s="15"/>
      <c r="DP297" s="15"/>
      <c r="DQ297" s="15"/>
      <c r="DR297" s="15"/>
      <c r="DS297" s="15"/>
      <c r="DT297" s="15"/>
      <c r="DU297" s="15"/>
      <c r="DV297" s="15"/>
      <c r="DW297" s="15"/>
      <c r="DX297" s="15"/>
      <c r="DY297" s="15"/>
      <c r="DZ297" s="15"/>
      <c r="EA297" s="15"/>
      <c r="EB297" s="15"/>
      <c r="EC297" s="15"/>
      <c r="ED297" s="15"/>
      <c r="EE297" s="15"/>
      <c r="EF297" s="15"/>
      <c r="EG297" s="15"/>
      <c r="EH297" s="15"/>
      <c r="EI297" s="15"/>
      <c r="EJ297" s="15"/>
      <c r="EK297" s="15"/>
      <c r="EL297" s="15"/>
      <c r="EM297" s="15"/>
      <c r="EN297" s="15"/>
      <c r="EO297" s="15"/>
      <c r="EP297" s="15"/>
      <c r="EQ297" s="15"/>
      <c r="ER297" s="15"/>
      <c r="ES297" s="15"/>
      <c r="ET297" s="15"/>
      <c r="EU297" s="15"/>
      <c r="EV297" s="15"/>
      <c r="EW297" s="15"/>
      <c r="EX297" s="15"/>
      <c r="EY297" s="15"/>
      <c r="EZ297" s="15"/>
      <c r="FA297" s="15"/>
      <c r="FB297" s="15"/>
      <c r="FC297" s="15"/>
      <c r="FD297" s="15"/>
      <c r="FE297" s="15"/>
      <c r="FF297" s="16"/>
    </row>
    <row r="300" spans="17:265" ht="18" customHeight="1" thickBot="1"/>
    <row r="301" spans="17:265" ht="18" customHeight="1">
      <c r="EP301" s="1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GS301" s="2"/>
      <c r="GT301" s="2"/>
      <c r="GU301" s="2"/>
      <c r="GV301" s="2"/>
      <c r="GW301" s="2"/>
      <c r="GX301" s="2"/>
      <c r="GY301" s="2"/>
      <c r="GZ301" s="2"/>
      <c r="HA301" s="2"/>
      <c r="HB301" s="2"/>
      <c r="HC301" s="2"/>
      <c r="HD301" s="2"/>
      <c r="HE301" s="2"/>
      <c r="HF301" s="2"/>
      <c r="HG301" s="2"/>
      <c r="HH301" s="2"/>
      <c r="HI301" s="2"/>
      <c r="HJ301" s="2"/>
      <c r="HK301" s="2"/>
      <c r="HL301" s="2"/>
      <c r="HM301" s="2"/>
      <c r="HN301" s="2"/>
      <c r="HO301" s="2"/>
      <c r="HP301" s="2"/>
      <c r="HQ301" s="2"/>
      <c r="HR301" s="2"/>
      <c r="HS301" s="2"/>
      <c r="HT301" s="2"/>
      <c r="HU301" s="2"/>
      <c r="HV301" s="2"/>
      <c r="HW301" s="2"/>
      <c r="HX301" s="2"/>
      <c r="HY301" s="2"/>
      <c r="HZ301" s="2"/>
      <c r="IA301" s="2"/>
      <c r="IB301" s="2"/>
      <c r="IC301" s="2"/>
      <c r="ID301" s="2"/>
      <c r="IE301" s="2"/>
      <c r="IF301" s="2"/>
      <c r="IG301" s="2"/>
      <c r="IH301" s="2"/>
      <c r="II301" s="2"/>
      <c r="IJ301" s="2"/>
      <c r="IK301" s="2"/>
      <c r="IL301" s="2"/>
      <c r="IM301" s="2"/>
      <c r="IN301" s="2"/>
      <c r="IO301" s="2"/>
      <c r="IP301" s="2"/>
      <c r="IQ301" s="2"/>
      <c r="IR301" s="2"/>
      <c r="IS301" s="2"/>
      <c r="IT301" s="2"/>
      <c r="IU301" s="2"/>
      <c r="IV301" s="2"/>
      <c r="IW301" s="2"/>
      <c r="IX301" s="2"/>
      <c r="IY301" s="2"/>
      <c r="IZ301" s="2"/>
      <c r="JA301" s="2"/>
      <c r="JB301" s="2"/>
      <c r="JC301" s="2"/>
      <c r="JD301" s="2"/>
      <c r="JE301" s="3"/>
    </row>
    <row r="302" spans="17:265" ht="18" customHeight="1">
      <c r="EP302" s="4"/>
      <c r="JE302" s="5"/>
    </row>
    <row r="303" spans="17:265" ht="18" customHeight="1">
      <c r="EP303" s="4"/>
      <c r="JE303" s="5"/>
    </row>
    <row r="304" spans="17:265" ht="18" customHeight="1">
      <c r="EP304" s="4"/>
      <c r="JE304" s="5"/>
    </row>
    <row r="305" spans="31:265" ht="18" customHeight="1">
      <c r="EP305" s="4"/>
      <c r="JE305" s="5"/>
    </row>
    <row r="306" spans="31:265" ht="18" customHeight="1">
      <c r="EP306" s="4"/>
      <c r="JE306" s="5"/>
    </row>
    <row r="307" spans="31:265" ht="18" customHeight="1">
      <c r="EP307" s="4"/>
      <c r="JE307" s="5"/>
    </row>
    <row r="308" spans="31:265" ht="18" customHeight="1">
      <c r="EP308" s="4"/>
      <c r="JE308" s="5"/>
    </row>
    <row r="309" spans="31:265" ht="18" customHeight="1">
      <c r="EP309" s="4"/>
      <c r="JE309" s="5"/>
    </row>
    <row r="310" spans="31:265" ht="18" customHeight="1">
      <c r="EP310" s="4"/>
      <c r="JE310" s="5"/>
    </row>
    <row r="311" spans="31:265" ht="18" customHeight="1">
      <c r="EP311" s="4"/>
      <c r="JE311" s="5"/>
    </row>
    <row r="312" spans="31:265" ht="18" customHeight="1">
      <c r="EP312" s="4"/>
      <c r="JE312" s="5"/>
    </row>
    <row r="313" spans="31:265" ht="18" customHeight="1">
      <c r="EP313" s="4"/>
      <c r="JE313" s="5"/>
    </row>
    <row r="314" spans="31:265" ht="18" customHeight="1">
      <c r="EP314" s="4"/>
      <c r="GP314" s="15"/>
      <c r="GQ314" s="15"/>
      <c r="GR314" s="15"/>
      <c r="GS314" s="15"/>
      <c r="GT314" s="15"/>
      <c r="GU314" s="15"/>
      <c r="GV314" s="15"/>
      <c r="GW314" s="15"/>
      <c r="JE314" s="5"/>
    </row>
    <row r="315" spans="31:265" ht="18" customHeight="1">
      <c r="EP315" s="4"/>
      <c r="FC315" s="9"/>
      <c r="FD315" s="10"/>
      <c r="FE315" s="10"/>
      <c r="FF315" s="10"/>
      <c r="FG315" s="10"/>
      <c r="FH315" s="10"/>
      <c r="FI315" s="10"/>
      <c r="FJ315" s="10"/>
      <c r="FK315" s="10"/>
      <c r="FL315" s="10"/>
      <c r="FM315" s="10"/>
      <c r="FN315" s="10"/>
      <c r="FO315" s="10"/>
      <c r="FP315" s="10"/>
      <c r="FQ315" s="10"/>
      <c r="FR315" s="10"/>
      <c r="FS315" s="10"/>
      <c r="FT315" s="11"/>
      <c r="FU315" s="20"/>
      <c r="FV315" s="21"/>
      <c r="FW315" s="21"/>
      <c r="FX315" s="21"/>
      <c r="FY315" s="21"/>
      <c r="FZ315" s="22"/>
      <c r="GA315" s="9"/>
      <c r="GB315" s="10"/>
      <c r="GC315" s="10"/>
      <c r="GD315" s="10"/>
      <c r="GE315" s="10"/>
      <c r="GF315" s="10"/>
      <c r="GG315" s="10"/>
      <c r="GH315" s="10"/>
      <c r="GI315" s="10"/>
      <c r="GJ315" s="10"/>
      <c r="GK315" s="10"/>
      <c r="GL315" s="10"/>
      <c r="GM315" s="10"/>
      <c r="GN315" s="10"/>
      <c r="GO315" s="10"/>
      <c r="GW315" s="11"/>
      <c r="JE315" s="5"/>
    </row>
    <row r="316" spans="31:265" ht="18" customHeight="1">
      <c r="AE316" s="40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4"/>
      <c r="EP316" s="4"/>
      <c r="FC316" s="12"/>
      <c r="FT316" s="15"/>
      <c r="FU316" s="20"/>
      <c r="FV316" s="21"/>
      <c r="FW316" s="21"/>
      <c r="FX316" s="21"/>
      <c r="FY316" s="21"/>
      <c r="FZ316" s="22"/>
      <c r="GP316" s="15"/>
      <c r="GQ316" s="15"/>
      <c r="GR316" s="15"/>
      <c r="GW316" s="13"/>
      <c r="JE316" s="5"/>
    </row>
    <row r="317" spans="31:265" ht="18" customHeight="1">
      <c r="AE317" s="42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43"/>
      <c r="AS317" s="43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43"/>
      <c r="CB317" s="45"/>
      <c r="EP317" s="4"/>
      <c r="FC317" s="12"/>
      <c r="FE317" s="9"/>
      <c r="FF317" s="10"/>
      <c r="FG317" s="10"/>
      <c r="FH317" s="10"/>
      <c r="FI317" s="10"/>
      <c r="FJ317" s="10"/>
      <c r="FK317" s="10"/>
      <c r="FL317" s="10"/>
      <c r="FM317" s="11"/>
      <c r="FN317" s="10"/>
      <c r="FO317" s="10"/>
      <c r="FP317" s="10"/>
      <c r="FQ317" s="10"/>
      <c r="FR317" s="10"/>
      <c r="FS317" s="10"/>
      <c r="FT317" s="10"/>
      <c r="FU317" s="10"/>
      <c r="FV317" s="10"/>
      <c r="FW317" s="10"/>
      <c r="FX317" s="10"/>
      <c r="FY317" s="10"/>
      <c r="FZ317" s="10"/>
      <c r="GA317" s="10"/>
      <c r="GB317" s="11"/>
      <c r="GD317" s="9"/>
      <c r="GE317" s="10"/>
      <c r="GF317" s="10"/>
      <c r="GG317" s="10"/>
      <c r="GH317" s="10"/>
      <c r="GI317" s="10"/>
      <c r="GJ317" s="10"/>
      <c r="GK317" s="10"/>
      <c r="GL317" s="10"/>
      <c r="GM317" s="10"/>
      <c r="GN317" s="9"/>
      <c r="GO317" s="10"/>
      <c r="GP317" s="10"/>
      <c r="GQ317" s="10"/>
      <c r="GR317" s="10"/>
      <c r="GS317" s="10"/>
      <c r="GT317" s="10"/>
      <c r="GU317" s="11"/>
      <c r="GW317" s="13"/>
      <c r="JE317" s="5"/>
    </row>
    <row r="318" spans="31:265" ht="18" customHeight="1">
      <c r="AE318" s="42"/>
      <c r="AF318" s="43"/>
      <c r="AG318" s="9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7"/>
      <c r="BF318" s="10"/>
      <c r="BG318" s="10"/>
      <c r="BH318" s="10"/>
      <c r="BI318" s="10"/>
      <c r="BJ318" s="10"/>
      <c r="BK318" s="10"/>
      <c r="BL318" s="10"/>
      <c r="BM318" s="10"/>
      <c r="BN318" s="10"/>
      <c r="BO318" s="11"/>
      <c r="BP318" s="17"/>
      <c r="BQ318" s="9"/>
      <c r="BR318" s="10"/>
      <c r="BS318" s="10"/>
      <c r="BT318" s="10"/>
      <c r="BU318" s="10"/>
      <c r="BV318" s="10"/>
      <c r="BW318" s="10"/>
      <c r="BX318" s="10"/>
      <c r="BY318" s="10"/>
      <c r="BZ318" s="11"/>
      <c r="CA318" s="43"/>
      <c r="CB318" s="45"/>
      <c r="EP318" s="4"/>
      <c r="FC318" s="12"/>
      <c r="FE318" s="12"/>
      <c r="FM318" s="13"/>
      <c r="GB318" s="13"/>
      <c r="GC318" s="90"/>
      <c r="GD318" s="12"/>
      <c r="GN318" s="12"/>
      <c r="GU318" s="13"/>
      <c r="GW318" s="13"/>
      <c r="JE318" s="5"/>
    </row>
    <row r="319" spans="31:265" ht="18" customHeight="1">
      <c r="AE319" s="42"/>
      <c r="AF319" s="43"/>
      <c r="AG319" s="12"/>
      <c r="BB319" s="9"/>
      <c r="BC319" s="10"/>
      <c r="BD319" s="11"/>
      <c r="BE319" s="18"/>
      <c r="BO319" s="13"/>
      <c r="BP319" s="18"/>
      <c r="BQ319" s="12"/>
      <c r="BZ319" s="13"/>
      <c r="CA319" s="43"/>
      <c r="CB319" s="45"/>
      <c r="EP319" s="4"/>
      <c r="FC319" s="12"/>
      <c r="FE319" s="14"/>
      <c r="FF319" s="15"/>
      <c r="FG319" s="15"/>
      <c r="FH319" s="15"/>
      <c r="FI319" s="15"/>
      <c r="FJ319" s="15"/>
      <c r="FK319" s="15"/>
      <c r="FL319" s="15"/>
      <c r="FM319" s="16"/>
      <c r="GB319" s="13"/>
      <c r="GC319" s="127"/>
      <c r="GD319" s="12"/>
      <c r="GN319" s="12"/>
      <c r="GU319" s="13"/>
      <c r="GW319" s="13"/>
      <c r="JE319" s="5"/>
    </row>
    <row r="320" spans="31:265" ht="18" customHeight="1">
      <c r="AE320" s="42"/>
      <c r="AF320" s="43"/>
      <c r="AG320" s="12"/>
      <c r="BB320" s="12"/>
      <c r="BD320" s="13"/>
      <c r="BE320" s="18"/>
      <c r="BO320" s="13"/>
      <c r="BP320" s="18"/>
      <c r="BQ320" s="12"/>
      <c r="BZ320" s="13"/>
      <c r="CA320" s="43"/>
      <c r="CB320" s="45"/>
      <c r="EP320" s="4"/>
      <c r="FC320" s="12"/>
      <c r="FE320" s="12"/>
      <c r="GB320" s="13"/>
      <c r="GC320" s="127"/>
      <c r="GD320" s="12"/>
      <c r="GN320" s="12"/>
      <c r="GU320" s="13"/>
      <c r="GV320" s="17"/>
      <c r="GW320" s="17"/>
      <c r="JE320" s="5"/>
    </row>
    <row r="321" spans="31:265" ht="18" customHeight="1">
      <c r="AE321" s="42"/>
      <c r="AF321" s="43"/>
      <c r="AG321" s="9"/>
      <c r="AH321" s="11"/>
      <c r="BB321" s="12"/>
      <c r="BD321" s="13"/>
      <c r="BE321" s="18"/>
      <c r="BO321" s="13"/>
      <c r="BP321" s="18"/>
      <c r="BQ321" s="12"/>
      <c r="BZ321" s="13"/>
      <c r="CA321" s="43"/>
      <c r="CB321" s="45"/>
      <c r="EP321" s="4"/>
      <c r="FC321" s="12"/>
      <c r="FE321" s="12"/>
      <c r="GB321" s="13"/>
      <c r="GC321" s="127"/>
      <c r="GD321" s="12"/>
      <c r="GN321" s="12"/>
      <c r="GU321" s="13"/>
      <c r="GV321" s="18"/>
      <c r="GW321" s="18"/>
      <c r="JE321" s="5"/>
    </row>
    <row r="322" spans="31:265" ht="18" customHeight="1">
      <c r="AE322" s="42"/>
      <c r="AF322" s="43"/>
      <c r="AG322" s="12"/>
      <c r="AH322" s="13"/>
      <c r="BB322" s="12"/>
      <c r="BD322" s="13"/>
      <c r="BE322" s="18"/>
      <c r="BO322" s="13"/>
      <c r="BP322" s="18"/>
      <c r="BQ322" s="12"/>
      <c r="BZ322" s="13"/>
      <c r="CA322" s="43"/>
      <c r="CB322" s="45"/>
      <c r="EP322" s="4"/>
      <c r="FC322" s="17"/>
      <c r="FD322" s="17"/>
      <c r="FE322" s="12"/>
      <c r="GB322" s="13"/>
      <c r="GC322" s="127"/>
      <c r="GD322" s="9"/>
      <c r="GE322" s="10"/>
      <c r="GF322" s="10"/>
      <c r="GG322" s="10"/>
      <c r="GH322" s="11"/>
      <c r="GI322" s="10"/>
      <c r="GJ322" s="10"/>
      <c r="GK322" s="10"/>
      <c r="GL322" s="10"/>
      <c r="GM322" s="10"/>
      <c r="GN322" s="12"/>
      <c r="GU322" s="13"/>
      <c r="GV322" s="18"/>
      <c r="GW322" s="18"/>
      <c r="JE322" s="5"/>
    </row>
    <row r="323" spans="31:265" ht="18" customHeight="1">
      <c r="AE323" s="42"/>
      <c r="AF323" s="43"/>
      <c r="AG323" s="14"/>
      <c r="AH323" s="16"/>
      <c r="BB323" s="12"/>
      <c r="BD323" s="13"/>
      <c r="BE323" s="18"/>
      <c r="BO323" s="13"/>
      <c r="BP323" s="18"/>
      <c r="BQ323" s="12"/>
      <c r="BZ323" s="13"/>
      <c r="CA323" s="43"/>
      <c r="CB323" s="45"/>
      <c r="EP323" s="4"/>
      <c r="FC323" s="18"/>
      <c r="FD323" s="18"/>
      <c r="FE323" s="12"/>
      <c r="GB323" s="13"/>
      <c r="GD323" s="12"/>
      <c r="GH323" s="13"/>
      <c r="GN323" s="12"/>
      <c r="GU323" s="13"/>
      <c r="GV323" s="19"/>
      <c r="GW323" s="19"/>
      <c r="GX323" s="12"/>
      <c r="JE323" s="5"/>
    </row>
    <row r="324" spans="31:265" ht="18" customHeight="1">
      <c r="AE324" s="42"/>
      <c r="AF324" s="43"/>
      <c r="AG324" s="9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1"/>
      <c r="BB324" s="12"/>
      <c r="BD324" s="13"/>
      <c r="BE324" s="18"/>
      <c r="BF324" s="15"/>
      <c r="BG324" s="15"/>
      <c r="BH324" s="15"/>
      <c r="BI324" s="15"/>
      <c r="BJ324" s="15"/>
      <c r="BK324" s="15"/>
      <c r="BL324" s="15"/>
      <c r="BM324" s="15"/>
      <c r="BN324" s="15"/>
      <c r="BO324" s="16"/>
      <c r="BP324" s="18"/>
      <c r="BQ324" s="14"/>
      <c r="BR324" s="15"/>
      <c r="BS324" s="15"/>
      <c r="BT324" s="15"/>
      <c r="BU324" s="15"/>
      <c r="BV324" s="15"/>
      <c r="BW324" s="15"/>
      <c r="BX324" s="15"/>
      <c r="BY324" s="15"/>
      <c r="BZ324" s="16"/>
      <c r="CA324" s="43"/>
      <c r="CB324" s="45"/>
      <c r="EP324" s="4"/>
      <c r="FC324" s="18"/>
      <c r="FD324" s="18"/>
      <c r="FE324" s="12"/>
      <c r="GB324" s="13"/>
      <c r="GD324" s="12"/>
      <c r="GH324" s="13"/>
      <c r="GN324" s="12"/>
      <c r="GU324" s="13"/>
      <c r="GX324" s="12"/>
      <c r="JE324" s="5"/>
    </row>
    <row r="325" spans="31:265" ht="18" customHeight="1">
      <c r="AE325" s="42"/>
      <c r="AF325" s="43"/>
      <c r="AG325" s="12"/>
      <c r="AR325" s="13"/>
      <c r="BB325" s="12"/>
      <c r="BD325" s="13"/>
      <c r="BE325" s="18"/>
      <c r="BK325" s="9"/>
      <c r="BL325" s="10"/>
      <c r="BM325" s="10"/>
      <c r="BN325" s="10"/>
      <c r="BO325" s="11"/>
      <c r="BP325" s="18"/>
      <c r="BQ325" s="9"/>
      <c r="BR325" s="10"/>
      <c r="BS325" s="10"/>
      <c r="BT325" s="10"/>
      <c r="BU325" s="11"/>
      <c r="BZ325" s="13"/>
      <c r="CA325" s="43"/>
      <c r="CB325" s="45"/>
      <c r="EP325" s="4"/>
      <c r="FC325" s="18"/>
      <c r="FD325" s="18"/>
      <c r="FE325" s="12"/>
      <c r="GB325" s="13"/>
      <c r="GD325" s="12"/>
      <c r="GH325" s="13"/>
      <c r="GN325" s="12"/>
      <c r="GU325" s="13"/>
      <c r="GX325" s="12"/>
      <c r="JE325" s="5"/>
    </row>
    <row r="326" spans="31:265" ht="18" customHeight="1">
      <c r="AE326" s="42"/>
      <c r="AF326" s="43"/>
      <c r="AG326" s="12"/>
      <c r="AR326" s="13"/>
      <c r="BB326" s="12"/>
      <c r="BD326" s="13"/>
      <c r="BE326" s="18"/>
      <c r="BK326" s="12"/>
      <c r="BL326" s="32"/>
      <c r="BM326" s="32"/>
      <c r="BO326" s="13"/>
      <c r="BP326" s="18"/>
      <c r="BQ326" s="12"/>
      <c r="BS326" s="32"/>
      <c r="BT326" s="32"/>
      <c r="BU326" s="13"/>
      <c r="BZ326" s="13"/>
      <c r="CA326" s="43"/>
      <c r="CB326" s="45"/>
      <c r="EP326" s="4"/>
      <c r="FC326" s="18"/>
      <c r="FD326" s="18"/>
      <c r="FE326" s="12"/>
      <c r="GB326" s="13"/>
      <c r="GD326" s="14"/>
      <c r="GE326" s="15"/>
      <c r="GF326" s="15"/>
      <c r="GG326" s="15"/>
      <c r="GH326" s="16"/>
      <c r="GI326" s="15"/>
      <c r="GJ326" s="15"/>
      <c r="GK326" s="15"/>
      <c r="GL326" s="15"/>
      <c r="GM326" s="15"/>
      <c r="GN326" s="14"/>
      <c r="GO326" s="15"/>
      <c r="GP326" s="15"/>
      <c r="GQ326" s="15"/>
      <c r="GR326" s="15"/>
      <c r="GS326" s="15"/>
      <c r="GT326" s="15"/>
      <c r="GU326" s="16"/>
      <c r="GX326" s="12"/>
      <c r="JE326" s="5"/>
    </row>
    <row r="327" spans="31:265" ht="18" customHeight="1">
      <c r="AE327" s="42"/>
      <c r="AF327" s="43"/>
      <c r="AG327" s="12"/>
      <c r="AR327" s="13"/>
      <c r="BB327" s="12"/>
      <c r="BD327" s="13"/>
      <c r="BE327" s="18"/>
      <c r="BK327" s="12"/>
      <c r="BL327" s="32"/>
      <c r="BM327" s="32"/>
      <c r="BO327" s="13"/>
      <c r="BP327" s="18"/>
      <c r="BQ327" s="12"/>
      <c r="BS327" s="32"/>
      <c r="BT327" s="32"/>
      <c r="BU327" s="13"/>
      <c r="BZ327" s="13"/>
      <c r="CA327" s="43"/>
      <c r="CB327" s="45"/>
      <c r="EP327" s="4"/>
      <c r="FC327" s="19"/>
      <c r="FD327" s="19"/>
      <c r="FE327" s="12"/>
      <c r="GB327" s="13"/>
      <c r="GD327" s="20"/>
      <c r="GE327" s="21"/>
      <c r="GF327" s="21"/>
      <c r="GG327" s="21"/>
      <c r="GH327" s="21"/>
      <c r="GI327" s="21"/>
      <c r="GJ327" s="21"/>
      <c r="GK327" s="21"/>
      <c r="GL327" s="21"/>
      <c r="GM327" s="21"/>
      <c r="GN327" s="21"/>
      <c r="GO327" s="21"/>
      <c r="GP327" s="21"/>
      <c r="GQ327" s="21"/>
      <c r="GR327" s="21"/>
      <c r="GS327" s="21"/>
      <c r="GT327" s="21"/>
      <c r="GU327" s="22"/>
      <c r="GX327" s="12"/>
      <c r="JE327" s="5"/>
    </row>
    <row r="328" spans="31:265" ht="18" customHeight="1">
      <c r="AE328" s="42"/>
      <c r="AF328" s="43"/>
      <c r="AG328" s="12"/>
      <c r="AR328" s="13"/>
      <c r="BB328" s="14"/>
      <c r="BC328" s="15"/>
      <c r="BD328" s="16"/>
      <c r="BE328" s="18"/>
      <c r="BK328" s="12"/>
      <c r="BL328" s="32"/>
      <c r="BM328" s="32"/>
      <c r="BO328" s="13"/>
      <c r="BP328" s="18"/>
      <c r="BQ328" s="12"/>
      <c r="BS328" s="32"/>
      <c r="BT328" s="32"/>
      <c r="BU328" s="13"/>
      <c r="BZ328" s="13"/>
      <c r="CA328" s="43"/>
      <c r="CB328" s="45"/>
      <c r="EP328" s="4"/>
      <c r="FC328" s="12"/>
      <c r="FE328" s="12"/>
      <c r="GB328" s="13"/>
      <c r="GD328" s="9"/>
      <c r="GE328" s="10"/>
      <c r="GF328" s="10"/>
      <c r="GG328" s="10"/>
      <c r="GH328" s="11"/>
      <c r="GI328" s="10"/>
      <c r="GJ328" s="10"/>
      <c r="GK328" s="10"/>
      <c r="GL328" s="10"/>
      <c r="GM328" s="10"/>
      <c r="GN328" s="9"/>
      <c r="GO328" s="10"/>
      <c r="GP328" s="10"/>
      <c r="GQ328" s="10"/>
      <c r="GR328" s="10"/>
      <c r="GS328" s="10"/>
      <c r="GT328" s="10"/>
      <c r="GU328" s="11"/>
      <c r="GX328" s="12"/>
      <c r="JE328" s="5"/>
    </row>
    <row r="329" spans="31:265" ht="18" customHeight="1">
      <c r="AE329" s="42"/>
      <c r="AF329" s="43"/>
      <c r="AG329" s="12"/>
      <c r="AR329" s="13"/>
      <c r="BE329" s="18"/>
      <c r="BK329" s="14"/>
      <c r="BL329" s="15"/>
      <c r="BM329" s="15"/>
      <c r="BN329" s="15"/>
      <c r="BO329" s="16"/>
      <c r="BP329" s="18"/>
      <c r="BQ329" s="14"/>
      <c r="BR329" s="15"/>
      <c r="BS329" s="15"/>
      <c r="BT329" s="15"/>
      <c r="BU329" s="16"/>
      <c r="BZ329" s="13"/>
      <c r="CA329" s="43"/>
      <c r="CB329" s="45"/>
      <c r="EP329" s="4"/>
      <c r="FC329" s="12"/>
      <c r="FE329" s="9"/>
      <c r="FF329" s="10"/>
      <c r="FG329" s="10"/>
      <c r="FH329" s="10"/>
      <c r="FI329" s="10"/>
      <c r="FJ329" s="10"/>
      <c r="FK329" s="10"/>
      <c r="FL329" s="10"/>
      <c r="FM329" s="10"/>
      <c r="FN329" s="10"/>
      <c r="FO329" s="10"/>
      <c r="FP329" s="11"/>
      <c r="GB329" s="13"/>
      <c r="GD329" s="12"/>
      <c r="GH329" s="13"/>
      <c r="GN329" s="12"/>
      <c r="GU329" s="13"/>
      <c r="GX329" s="12"/>
      <c r="JE329" s="5"/>
    </row>
    <row r="330" spans="31:265" ht="18" customHeight="1">
      <c r="AE330" s="42"/>
      <c r="AF330" s="43"/>
      <c r="AG330" s="12"/>
      <c r="AR330" s="13"/>
      <c r="BE330" s="24"/>
      <c r="BK330" s="12"/>
      <c r="BO330" s="13"/>
      <c r="BP330" s="18"/>
      <c r="BQ330" s="12"/>
      <c r="BU330" s="13"/>
      <c r="BZ330" s="13"/>
      <c r="CA330" s="43"/>
      <c r="CB330" s="45"/>
      <c r="EP330" s="4"/>
      <c r="FC330" s="12"/>
      <c r="FE330" s="12"/>
      <c r="FP330" s="13"/>
      <c r="GB330" s="13"/>
      <c r="GD330" s="12"/>
      <c r="GH330" s="13"/>
      <c r="GN330" s="12"/>
      <c r="GU330" s="13"/>
      <c r="GW330" s="13"/>
      <c r="GX330" s="12"/>
      <c r="JE330" s="5"/>
    </row>
    <row r="331" spans="31:265" ht="18" customHeight="1">
      <c r="AE331" s="42"/>
      <c r="AF331" s="43"/>
      <c r="AG331" s="12"/>
      <c r="AR331" s="13"/>
      <c r="BE331" s="24"/>
      <c r="BK331" s="12"/>
      <c r="BO331" s="13"/>
      <c r="BP331" s="18"/>
      <c r="BQ331" s="12"/>
      <c r="BU331" s="13"/>
      <c r="BZ331" s="13"/>
      <c r="CA331" s="43"/>
      <c r="CB331" s="45"/>
      <c r="EP331" s="4"/>
      <c r="FC331" s="12"/>
      <c r="FE331" s="12"/>
      <c r="FP331" s="13"/>
      <c r="GB331" s="13"/>
      <c r="GD331" s="12"/>
      <c r="GH331" s="13"/>
      <c r="GN331" s="12"/>
      <c r="GU331" s="13"/>
      <c r="GV331" s="17"/>
      <c r="GW331" s="17"/>
      <c r="GX331" s="12"/>
      <c r="JE331" s="5"/>
    </row>
    <row r="332" spans="31:265" ht="18" customHeight="1">
      <c r="AE332" s="42"/>
      <c r="AF332" s="43"/>
      <c r="AG332" s="12"/>
      <c r="AR332" s="13"/>
      <c r="BE332" s="24"/>
      <c r="BK332" s="12"/>
      <c r="BO332" s="13"/>
      <c r="BP332" s="18"/>
      <c r="BQ332" s="12"/>
      <c r="BU332" s="13"/>
      <c r="BZ332" s="13"/>
      <c r="CA332" s="43"/>
      <c r="CB332" s="45"/>
      <c r="EP332" s="4"/>
      <c r="FC332" s="12"/>
      <c r="FE332" s="12"/>
      <c r="FP332" s="13"/>
      <c r="GB332" s="13"/>
      <c r="GD332" s="14"/>
      <c r="GE332" s="15"/>
      <c r="GF332" s="15"/>
      <c r="GG332" s="15"/>
      <c r="GH332" s="16"/>
      <c r="GI332" s="15"/>
      <c r="GJ332" s="15"/>
      <c r="GK332" s="15"/>
      <c r="GL332" s="15"/>
      <c r="GM332" s="15"/>
      <c r="GN332" s="12"/>
      <c r="GU332" s="13"/>
      <c r="GV332" s="18"/>
      <c r="GW332" s="18"/>
      <c r="GX332" s="12"/>
      <c r="JE332" s="5"/>
    </row>
    <row r="333" spans="31:265" ht="18" customHeight="1">
      <c r="AE333" s="42"/>
      <c r="AF333" s="43"/>
      <c r="AG333" s="12"/>
      <c r="AR333" s="13"/>
      <c r="BE333" s="24"/>
      <c r="BK333" s="12"/>
      <c r="BO333" s="13"/>
      <c r="BP333" s="18"/>
      <c r="BQ333" s="12"/>
      <c r="BU333" s="13"/>
      <c r="BZ333" s="13"/>
      <c r="CA333" s="43"/>
      <c r="CB333" s="45"/>
      <c r="EP333" s="4"/>
      <c r="FC333" s="12"/>
      <c r="FE333" s="12"/>
      <c r="FP333" s="13"/>
      <c r="GB333" s="13"/>
      <c r="GD333" s="12"/>
      <c r="GN333" s="12"/>
      <c r="GU333" s="13"/>
      <c r="GV333" s="18"/>
      <c r="GW333" s="18"/>
      <c r="GX333" s="12"/>
      <c r="JE333" s="5"/>
    </row>
    <row r="334" spans="31:265" ht="18" customHeight="1">
      <c r="AE334" s="42"/>
      <c r="AF334" s="43"/>
      <c r="AG334" s="12"/>
      <c r="AR334" s="13"/>
      <c r="BE334" s="18"/>
      <c r="BF334" s="15"/>
      <c r="BG334" s="15"/>
      <c r="BH334" s="15"/>
      <c r="BI334" s="15"/>
      <c r="BJ334" s="15"/>
      <c r="BK334" s="14"/>
      <c r="BL334" s="15"/>
      <c r="BM334" s="15"/>
      <c r="BN334" s="15"/>
      <c r="BO334" s="16"/>
      <c r="BP334" s="19"/>
      <c r="BQ334" s="14"/>
      <c r="BR334" s="15"/>
      <c r="BS334" s="15"/>
      <c r="BT334" s="15"/>
      <c r="BU334" s="16"/>
      <c r="BV334" s="15"/>
      <c r="BW334" s="15"/>
      <c r="BX334" s="15"/>
      <c r="BY334" s="15"/>
      <c r="BZ334" s="16"/>
      <c r="CA334" s="43"/>
      <c r="CB334" s="45"/>
      <c r="EP334" s="4"/>
      <c r="FC334" s="12"/>
      <c r="FE334" s="12"/>
      <c r="FP334" s="13"/>
      <c r="GB334" s="13"/>
      <c r="GD334" s="12"/>
      <c r="GN334" s="12"/>
      <c r="GU334" s="13"/>
      <c r="GV334" s="19"/>
      <c r="GW334" s="19"/>
      <c r="GX334" s="12"/>
      <c r="JE334" s="5"/>
    </row>
    <row r="335" spans="31:265" ht="18" customHeight="1">
      <c r="AE335" s="42"/>
      <c r="AF335" s="43"/>
      <c r="AG335" s="14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6"/>
      <c r="BE335" s="18"/>
      <c r="BF335" s="15"/>
      <c r="BG335" s="15"/>
      <c r="BH335" s="15"/>
      <c r="BI335" s="15"/>
      <c r="BJ335" s="15"/>
      <c r="BK335" s="15"/>
      <c r="BL335" s="15"/>
      <c r="BM335" s="15"/>
      <c r="BN335" s="15"/>
      <c r="BO335" s="15"/>
      <c r="BP335" s="15"/>
      <c r="BQ335" s="15"/>
      <c r="BR335" s="15"/>
      <c r="BS335" s="15"/>
      <c r="BT335" s="15"/>
      <c r="BU335" s="100"/>
      <c r="BV335" s="100"/>
      <c r="BW335" s="100"/>
      <c r="BX335" s="100"/>
      <c r="BY335" s="100"/>
      <c r="BZ335" s="22"/>
      <c r="CA335" s="43"/>
      <c r="CB335" s="45"/>
      <c r="EP335" s="4"/>
      <c r="FC335" s="12"/>
      <c r="FE335" s="12"/>
      <c r="FP335" s="13"/>
      <c r="GB335" s="13"/>
      <c r="GD335" s="12"/>
      <c r="GN335" s="12"/>
      <c r="GU335" s="13"/>
      <c r="GX335" s="12"/>
      <c r="JE335" s="5"/>
    </row>
    <row r="336" spans="31:265" ht="18" customHeight="1">
      <c r="AE336" s="42"/>
      <c r="AF336" s="43"/>
      <c r="AG336" s="9"/>
      <c r="AH336" s="11"/>
      <c r="BE336" s="18"/>
      <c r="BF336" s="10"/>
      <c r="BG336" s="10"/>
      <c r="BH336" s="10"/>
      <c r="BI336" s="10"/>
      <c r="BJ336" s="10"/>
      <c r="BK336" s="10"/>
      <c r="BL336" s="10"/>
      <c r="BM336" s="9"/>
      <c r="BN336" s="38"/>
      <c r="BO336" s="38"/>
      <c r="BP336" s="11"/>
      <c r="BQ336" s="10"/>
      <c r="BR336" s="10"/>
      <c r="BS336" s="10"/>
      <c r="BT336" s="10"/>
      <c r="BU336" s="10"/>
      <c r="BV336" s="10"/>
      <c r="BW336" s="10"/>
      <c r="BX336" s="10"/>
      <c r="BY336" s="10"/>
      <c r="BZ336" s="11"/>
      <c r="CA336" s="43"/>
      <c r="CB336" s="45"/>
      <c r="EP336" s="4"/>
      <c r="FC336" s="12"/>
      <c r="FE336" s="12"/>
      <c r="FP336" s="13"/>
      <c r="GB336" s="13"/>
      <c r="GD336" s="12"/>
      <c r="GN336" s="12"/>
      <c r="GU336" s="13"/>
      <c r="GX336" s="14"/>
      <c r="GY336" s="15"/>
      <c r="GZ336" s="15"/>
      <c r="HA336" s="15"/>
      <c r="HB336" s="15"/>
      <c r="HC336" s="15"/>
      <c r="HD336" s="15"/>
      <c r="HE336" s="15"/>
      <c r="HF336" s="15"/>
      <c r="HG336" s="15"/>
      <c r="HH336" s="15"/>
      <c r="HI336" s="15"/>
      <c r="HJ336" s="15"/>
      <c r="HK336" s="15"/>
      <c r="HL336" s="15"/>
      <c r="JE336" s="5"/>
    </row>
    <row r="337" spans="31:265" ht="18" customHeight="1">
      <c r="AE337" s="42"/>
      <c r="AF337" s="43"/>
      <c r="AG337" s="12"/>
      <c r="AH337" s="13"/>
      <c r="BE337" s="24"/>
      <c r="BM337" s="12"/>
      <c r="BN337" s="32"/>
      <c r="BO337" s="32"/>
      <c r="BP337" s="13"/>
      <c r="BZ337" s="13"/>
      <c r="CA337" s="43"/>
      <c r="CB337" s="45"/>
      <c r="EP337" s="4"/>
      <c r="FC337" s="12"/>
      <c r="FE337" s="12"/>
      <c r="FP337" s="13"/>
      <c r="GB337" s="13"/>
      <c r="GD337" s="14"/>
      <c r="GE337" s="15"/>
      <c r="GF337" s="15"/>
      <c r="GG337" s="15"/>
      <c r="GH337" s="15"/>
      <c r="GI337" s="15"/>
      <c r="GJ337" s="15"/>
      <c r="GK337" s="15"/>
      <c r="GL337" s="15"/>
      <c r="GM337" s="15"/>
      <c r="GN337" s="14"/>
      <c r="GO337" s="15"/>
      <c r="GP337" s="15"/>
      <c r="GQ337" s="15"/>
      <c r="GR337" s="15"/>
      <c r="GS337" s="15"/>
      <c r="GT337" s="15"/>
      <c r="GU337" s="16"/>
      <c r="HC337" s="20"/>
      <c r="HD337" s="21"/>
      <c r="HE337" s="21"/>
      <c r="HF337" s="21"/>
      <c r="HG337" s="21"/>
      <c r="HH337" s="22"/>
      <c r="HL337" s="11"/>
      <c r="JE337" s="5"/>
    </row>
    <row r="338" spans="31:265" ht="18" customHeight="1">
      <c r="AE338" s="42"/>
      <c r="AF338" s="43"/>
      <c r="AG338" s="14"/>
      <c r="AH338" s="16"/>
      <c r="BE338" s="24"/>
      <c r="BM338" s="14"/>
      <c r="BN338" s="15"/>
      <c r="BO338" s="15"/>
      <c r="BP338" s="16"/>
      <c r="BZ338" s="13"/>
      <c r="CA338" s="43"/>
      <c r="CB338" s="45"/>
      <c r="EP338" s="4"/>
      <c r="FC338" s="12"/>
      <c r="FE338" s="12"/>
      <c r="FP338" s="13"/>
      <c r="GB338" s="13"/>
      <c r="GE338" s="127"/>
      <c r="GF338" s="127"/>
      <c r="GG338" s="127"/>
      <c r="GH338" s="127"/>
      <c r="GI338" s="127"/>
      <c r="GL338" s="15"/>
      <c r="GM338" s="15"/>
      <c r="GQ338" s="15"/>
      <c r="GR338" s="15"/>
      <c r="GV338" s="15"/>
      <c r="GW338" s="15"/>
      <c r="GX338" s="15"/>
      <c r="GY338" s="15"/>
      <c r="GZ338" s="15"/>
      <c r="HA338" s="15"/>
      <c r="HB338" s="15"/>
      <c r="HC338" s="20"/>
      <c r="HD338" s="21"/>
      <c r="HE338" s="21"/>
      <c r="HF338" s="21"/>
      <c r="HG338" s="21"/>
      <c r="HH338" s="22"/>
      <c r="HL338" s="13"/>
      <c r="JE338" s="5"/>
    </row>
    <row r="339" spans="31:265" ht="18" customHeight="1">
      <c r="AE339" s="42"/>
      <c r="AF339" s="43"/>
      <c r="AG339" s="12"/>
      <c r="BE339" s="24"/>
      <c r="BZ339" s="13"/>
      <c r="CA339" s="43"/>
      <c r="CB339" s="45"/>
      <c r="EP339" s="4"/>
      <c r="FC339" s="12"/>
      <c r="FE339" s="12"/>
      <c r="FP339" s="13"/>
      <c r="GB339" s="13"/>
      <c r="GD339" s="9"/>
      <c r="GE339" s="10"/>
      <c r="GF339" s="10"/>
      <c r="GG339" s="10"/>
      <c r="GH339" s="10"/>
      <c r="GI339" s="10"/>
      <c r="GJ339" s="10"/>
      <c r="GK339" s="10"/>
      <c r="GL339" s="10"/>
      <c r="GM339" t="s">
        <v>45</v>
      </c>
      <c r="GN339" s="10"/>
      <c r="GO339" s="10"/>
      <c r="GP339" s="10"/>
      <c r="GQ339" s="10"/>
      <c r="GR339" s="10"/>
      <c r="GS339" s="10"/>
      <c r="GT339" s="10"/>
      <c r="GU339" s="10"/>
      <c r="GV339" s="10"/>
      <c r="GW339" s="10"/>
      <c r="GX339" s="10"/>
      <c r="GY339" s="10"/>
      <c r="GZ339" s="10"/>
      <c r="HA339" s="10"/>
      <c r="HB339" s="10"/>
      <c r="HC339" s="10"/>
      <c r="HD339" s="10"/>
      <c r="HE339" s="10"/>
      <c r="HF339" s="10"/>
      <c r="HG339" s="10"/>
      <c r="HH339" s="10"/>
      <c r="HI339" s="10"/>
      <c r="HJ339" s="11"/>
      <c r="HL339" s="13"/>
      <c r="JE339" s="5"/>
    </row>
    <row r="340" spans="31:265" ht="18" customHeight="1">
      <c r="AE340" s="42"/>
      <c r="AF340" s="43"/>
      <c r="AG340" s="12"/>
      <c r="BE340" s="24"/>
      <c r="BZ340" s="13"/>
      <c r="CA340" s="125"/>
      <c r="CB340" s="125"/>
      <c r="EP340" s="4"/>
      <c r="FC340" s="12"/>
      <c r="FE340" s="14"/>
      <c r="FF340" s="15"/>
      <c r="FG340" s="15"/>
      <c r="FH340" s="15"/>
      <c r="FI340" s="15"/>
      <c r="FJ340" s="15"/>
      <c r="FK340" s="15"/>
      <c r="FL340" s="15"/>
      <c r="FM340" s="15"/>
      <c r="FN340" s="15"/>
      <c r="FO340" s="15"/>
      <c r="FP340" s="16"/>
      <c r="GB340" s="13"/>
      <c r="GC340" s="127"/>
      <c r="GD340" s="12"/>
      <c r="HJ340" s="13"/>
      <c r="HL340" s="13"/>
      <c r="JE340" s="5"/>
    </row>
    <row r="341" spans="31:265" ht="18" customHeight="1">
      <c r="AE341" s="42"/>
      <c r="AF341" s="43"/>
      <c r="AG341" s="12"/>
      <c r="BE341" s="24"/>
      <c r="BZ341" s="13"/>
      <c r="CA341" s="108"/>
      <c r="CB341" s="108"/>
      <c r="EP341" s="4"/>
      <c r="FC341" s="12"/>
      <c r="FE341" s="12"/>
      <c r="GB341" s="13"/>
      <c r="GC341" s="127"/>
      <c r="GD341" s="12"/>
      <c r="HJ341" s="13"/>
      <c r="HL341" s="13"/>
      <c r="JE341" s="5"/>
    </row>
    <row r="342" spans="31:265" ht="18" customHeight="1">
      <c r="AE342" s="42"/>
      <c r="AF342" s="43"/>
      <c r="AG342" s="12"/>
      <c r="BE342" s="24"/>
      <c r="BZ342" s="13"/>
      <c r="CA342" s="108"/>
      <c r="CB342" s="108"/>
      <c r="EP342" s="4"/>
      <c r="FC342" s="12"/>
      <c r="FE342" s="12"/>
      <c r="GB342" s="13"/>
      <c r="GC342" s="127"/>
      <c r="GD342" s="12"/>
      <c r="HJ342" s="13"/>
      <c r="HL342" s="13"/>
      <c r="JE342" s="5"/>
    </row>
    <row r="343" spans="31:265" ht="18" customHeight="1">
      <c r="AE343" s="42"/>
      <c r="AF343" s="43"/>
      <c r="AG343" s="14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15"/>
      <c r="AZ343" s="15"/>
      <c r="BA343" s="15"/>
      <c r="BB343" s="15"/>
      <c r="BC343" s="15"/>
      <c r="BD343" s="15"/>
      <c r="BE343" s="18"/>
      <c r="BZ343" s="13"/>
      <c r="CA343" s="108"/>
      <c r="CB343" s="108"/>
      <c r="EP343" s="4"/>
      <c r="FC343" s="12"/>
      <c r="FE343" s="12"/>
      <c r="GB343" s="13"/>
      <c r="GC343" s="127"/>
      <c r="GD343" s="12"/>
      <c r="HJ343" s="13"/>
      <c r="HL343" s="13"/>
      <c r="JE343" s="5"/>
    </row>
    <row r="344" spans="31:265" ht="18" customHeight="1">
      <c r="AE344" s="42"/>
      <c r="AF344" s="43"/>
      <c r="AG344" s="20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21"/>
      <c r="BC344" s="21"/>
      <c r="BD344" s="22"/>
      <c r="BE344" s="18"/>
      <c r="BZ344" s="13"/>
      <c r="CA344" s="108"/>
      <c r="CB344" s="108"/>
      <c r="EP344" s="4"/>
      <c r="FC344" s="12"/>
      <c r="FE344" s="12"/>
      <c r="GB344" s="13"/>
      <c r="GC344" s="127"/>
      <c r="GD344" s="12"/>
      <c r="HG344" s="9"/>
      <c r="HH344" s="10"/>
      <c r="HI344" s="10"/>
      <c r="HJ344" s="11"/>
      <c r="HL344" s="13"/>
      <c r="JE344" s="5"/>
    </row>
    <row r="345" spans="31:265" ht="18" customHeight="1">
      <c r="AE345" s="42"/>
      <c r="AF345" s="43"/>
      <c r="AG345" s="9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8"/>
      <c r="BZ345" s="13"/>
      <c r="CA345" s="126"/>
      <c r="CB345" s="126"/>
      <c r="EP345" s="4"/>
      <c r="FC345" s="12"/>
      <c r="FE345" s="12"/>
      <c r="GB345" s="13"/>
      <c r="GC345" s="127"/>
      <c r="GD345" s="12"/>
      <c r="HG345" s="12"/>
      <c r="HJ345" s="13"/>
      <c r="HL345" s="13"/>
      <c r="JE345" s="5"/>
    </row>
    <row r="346" spans="31:265" ht="18" customHeight="1">
      <c r="AE346" s="42"/>
      <c r="AF346" s="43"/>
      <c r="AG346" s="12"/>
      <c r="BE346" s="24"/>
      <c r="BZ346" s="13"/>
      <c r="CA346" s="43"/>
      <c r="CB346" s="45"/>
      <c r="EP346" s="4"/>
      <c r="FC346" s="12"/>
      <c r="FE346" s="14"/>
      <c r="FF346" s="15"/>
      <c r="FG346" s="15"/>
      <c r="FH346" s="15"/>
      <c r="FI346" s="15"/>
      <c r="FJ346" s="15"/>
      <c r="FK346" s="15"/>
      <c r="FL346" s="15"/>
      <c r="FM346" s="15"/>
      <c r="FN346" s="15"/>
      <c r="FO346" s="15"/>
      <c r="FP346" s="15"/>
      <c r="FQ346" s="15"/>
      <c r="FR346" s="15"/>
      <c r="FS346" s="15"/>
      <c r="FT346" s="15"/>
      <c r="FU346" s="15"/>
      <c r="FV346" s="15"/>
      <c r="FW346" s="15"/>
      <c r="FX346" s="15"/>
      <c r="FY346" s="15"/>
      <c r="FZ346" s="15"/>
      <c r="GA346" s="15"/>
      <c r="GB346" s="16"/>
      <c r="GD346" s="12"/>
      <c r="HA346" s="9"/>
      <c r="HB346" s="10"/>
      <c r="HC346" s="10"/>
      <c r="HD346" s="11"/>
      <c r="HG346" s="12"/>
      <c r="HJ346" s="13"/>
      <c r="HL346" s="13"/>
      <c r="JE346" s="5"/>
    </row>
    <row r="347" spans="31:265" ht="18" customHeight="1">
      <c r="AE347" s="42"/>
      <c r="AF347" s="43"/>
      <c r="AG347" s="12"/>
      <c r="BE347" s="24"/>
      <c r="BW347" s="9"/>
      <c r="BX347" s="10"/>
      <c r="BY347" s="10"/>
      <c r="BZ347" s="11"/>
      <c r="CA347" s="43"/>
      <c r="CB347" s="45"/>
      <c r="EP347" s="4"/>
      <c r="FC347" s="12"/>
      <c r="FF347" s="20"/>
      <c r="FG347" s="21"/>
      <c r="FH347" s="21"/>
      <c r="FI347" s="22"/>
      <c r="GD347" s="12"/>
      <c r="HA347" s="12"/>
      <c r="HD347" s="13"/>
      <c r="HG347" s="12"/>
      <c r="HJ347" s="13"/>
      <c r="HL347" s="13"/>
      <c r="JE347" s="5"/>
    </row>
    <row r="348" spans="31:265" ht="18" customHeight="1">
      <c r="AE348" s="42"/>
      <c r="AF348" s="43"/>
      <c r="AG348" s="12"/>
      <c r="BE348" s="24"/>
      <c r="BW348" s="12"/>
      <c r="BZ348" s="13"/>
      <c r="CA348" s="43"/>
      <c r="CB348" s="45"/>
      <c r="EP348" s="4"/>
      <c r="FC348" s="14"/>
      <c r="FD348" s="15"/>
      <c r="FE348" s="15"/>
      <c r="FF348" s="20"/>
      <c r="FG348" s="21"/>
      <c r="FH348" s="21"/>
      <c r="FI348" s="22"/>
      <c r="FJ348" s="15"/>
      <c r="FK348" s="15"/>
      <c r="FN348" s="9"/>
      <c r="FO348" s="10"/>
      <c r="FP348" s="10"/>
      <c r="FQ348" s="10"/>
      <c r="FR348" s="10"/>
      <c r="FS348" s="10"/>
      <c r="FT348" s="10"/>
      <c r="FU348" s="10"/>
      <c r="FV348" s="10"/>
      <c r="FW348" s="10"/>
      <c r="FX348" s="10"/>
      <c r="FY348" s="11"/>
      <c r="FZ348" s="10"/>
      <c r="GA348" s="10"/>
      <c r="GB348" s="11"/>
      <c r="GD348" s="14"/>
      <c r="GE348" s="15"/>
      <c r="GF348" s="15"/>
      <c r="GG348" s="15"/>
      <c r="GH348" s="15"/>
      <c r="GI348" s="15"/>
      <c r="GJ348" s="15"/>
      <c r="GK348" s="15"/>
      <c r="GL348" s="15"/>
      <c r="HA348" s="12"/>
      <c r="HD348" s="13"/>
      <c r="HG348" s="12"/>
      <c r="HJ348" s="13"/>
      <c r="HL348" s="13"/>
      <c r="JE348" s="5"/>
    </row>
    <row r="349" spans="31:265" ht="18" customHeight="1">
      <c r="AE349" s="42"/>
      <c r="AF349" s="43"/>
      <c r="AG349" s="12"/>
      <c r="BE349" s="24"/>
      <c r="BQ349" s="9"/>
      <c r="BR349" s="10"/>
      <c r="BS349" s="10"/>
      <c r="BT349" s="11"/>
      <c r="BW349" s="12"/>
      <c r="BZ349" s="13"/>
      <c r="CA349" s="43"/>
      <c r="CB349" s="45"/>
      <c r="EP349" s="4"/>
      <c r="FK349" s="11"/>
      <c r="FN349" s="12"/>
      <c r="FY349" s="13"/>
      <c r="GB349" s="13"/>
      <c r="GE349" s="127"/>
      <c r="GF349" s="127"/>
      <c r="GG349" s="127"/>
      <c r="GH349" s="127"/>
      <c r="GI349" s="127"/>
      <c r="GJ349" s="127"/>
      <c r="GM349" s="12"/>
      <c r="HA349" s="14"/>
      <c r="HB349" s="15"/>
      <c r="HC349" s="15"/>
      <c r="HD349" s="16"/>
      <c r="HG349" s="12"/>
      <c r="HJ349" s="13"/>
      <c r="HL349" s="13"/>
      <c r="JE349" s="5"/>
    </row>
    <row r="350" spans="31:265" ht="18" customHeight="1">
      <c r="AE350" s="42"/>
      <c r="AF350" s="43"/>
      <c r="AG350" s="12"/>
      <c r="BE350" s="24"/>
      <c r="BQ350" s="12"/>
      <c r="BT350" s="13"/>
      <c r="BW350" s="12"/>
      <c r="BZ350" s="13"/>
      <c r="CA350" s="43"/>
      <c r="CB350" s="45"/>
      <c r="EP350" s="4"/>
      <c r="FK350" s="13"/>
      <c r="FN350" s="12"/>
      <c r="FY350" s="13"/>
      <c r="GC350" s="10"/>
      <c r="GD350" s="10"/>
      <c r="GE350" s="10"/>
      <c r="GF350" s="10"/>
      <c r="GG350" s="10"/>
      <c r="GH350" s="10"/>
      <c r="GI350" s="10"/>
      <c r="GJ350" s="10"/>
      <c r="GK350" s="11"/>
      <c r="GM350" s="12"/>
      <c r="HG350" s="12"/>
      <c r="HJ350" s="13"/>
      <c r="HL350" s="13"/>
      <c r="JE350" s="5"/>
    </row>
    <row r="351" spans="31:265" ht="18" customHeight="1">
      <c r="AE351" s="42"/>
      <c r="AF351" s="43"/>
      <c r="AG351" s="12"/>
      <c r="BE351" s="24"/>
      <c r="BQ351" s="12"/>
      <c r="BT351" s="13"/>
      <c r="BW351" s="12"/>
      <c r="BZ351" s="13"/>
      <c r="CA351" s="43"/>
      <c r="CB351" s="45"/>
      <c r="EP351" s="4"/>
      <c r="FK351" s="13"/>
      <c r="FN351" s="14"/>
      <c r="FO351" s="15"/>
      <c r="FP351" s="15"/>
      <c r="FQ351" s="15"/>
      <c r="FR351" s="15"/>
      <c r="FS351" s="15"/>
      <c r="FT351" s="15"/>
      <c r="FU351" s="15"/>
      <c r="FV351" s="15"/>
      <c r="FW351" s="15"/>
      <c r="FX351" s="15"/>
      <c r="FY351" s="16"/>
      <c r="GK351" s="13"/>
      <c r="GM351" s="12"/>
      <c r="HG351" s="14"/>
      <c r="HH351" s="15"/>
      <c r="HI351" s="15"/>
      <c r="HJ351" s="16"/>
      <c r="HL351" s="13"/>
      <c r="JE351" s="5"/>
    </row>
    <row r="352" spans="31:265" ht="18" customHeight="1">
      <c r="AE352" s="42"/>
      <c r="AF352" s="43"/>
      <c r="AG352" s="12"/>
      <c r="BE352" s="18"/>
      <c r="BQ352" s="14"/>
      <c r="BR352" s="15"/>
      <c r="BS352" s="15"/>
      <c r="BT352" s="16"/>
      <c r="BW352" s="12"/>
      <c r="BZ352" s="13"/>
      <c r="CA352" s="43"/>
      <c r="CB352" s="45"/>
      <c r="EP352" s="4"/>
      <c r="FK352" s="13"/>
      <c r="FN352" s="12"/>
      <c r="GK352" s="13"/>
      <c r="GM352" s="14"/>
      <c r="GN352" s="15"/>
      <c r="HJ352" s="13"/>
      <c r="HL352" s="13"/>
      <c r="JE352" s="5"/>
    </row>
    <row r="353" spans="18:265" ht="18" customHeight="1">
      <c r="AE353" s="42"/>
      <c r="AF353" s="43"/>
      <c r="AG353" s="12"/>
      <c r="BE353" s="18"/>
      <c r="BW353" s="12"/>
      <c r="BZ353" s="13"/>
      <c r="CA353" s="43"/>
      <c r="CB353" s="45"/>
      <c r="EP353" s="4"/>
      <c r="FK353" s="13"/>
      <c r="FL353" s="12"/>
      <c r="FN353" s="12"/>
      <c r="GK353" s="13"/>
      <c r="GM353" s="9"/>
      <c r="GN353" s="10"/>
      <c r="GO353" s="11"/>
      <c r="HJ353" s="13"/>
      <c r="HL353" s="13"/>
      <c r="JE353" s="5"/>
    </row>
    <row r="354" spans="18:265" ht="18" customHeight="1">
      <c r="AE354" s="42"/>
      <c r="AF354" s="43"/>
      <c r="AG354" s="12"/>
      <c r="BB354" s="9"/>
      <c r="BC354" s="10"/>
      <c r="BD354" s="11"/>
      <c r="BE354" s="18"/>
      <c r="BF354" s="9"/>
      <c r="BG354" s="10"/>
      <c r="BH354" s="11"/>
      <c r="BW354" s="14"/>
      <c r="BX354" s="15"/>
      <c r="BY354" s="15"/>
      <c r="BZ354" s="16"/>
      <c r="CA354" s="43"/>
      <c r="CB354" s="45"/>
      <c r="EP354" s="4"/>
      <c r="FK354" s="13"/>
      <c r="FL354" s="17"/>
      <c r="FM354" s="17"/>
      <c r="FN354" s="12"/>
      <c r="GK354" s="13"/>
      <c r="GM354" s="12"/>
      <c r="GO354" s="13"/>
      <c r="HJ354" s="13"/>
      <c r="HL354" s="13"/>
      <c r="JE354" s="5"/>
    </row>
    <row r="355" spans="18:265" ht="18" customHeight="1">
      <c r="AE355" s="42"/>
      <c r="AF355" s="43"/>
      <c r="AG355" s="12"/>
      <c r="BB355" s="12"/>
      <c r="BD355" s="13"/>
      <c r="BE355" s="18"/>
      <c r="BF355" s="12"/>
      <c r="BH355" s="13"/>
      <c r="BX355" s="9"/>
      <c r="BY355" s="10"/>
      <c r="BZ355" s="11"/>
      <c r="CA355" s="43"/>
      <c r="CB355" s="45"/>
      <c r="EP355" s="4"/>
      <c r="FK355" s="13"/>
      <c r="FL355" s="18"/>
      <c r="FM355" s="18"/>
      <c r="FN355" s="12"/>
      <c r="GK355" s="13"/>
      <c r="GM355" s="14"/>
      <c r="GN355" s="15"/>
      <c r="GO355" s="16"/>
      <c r="HJ355" s="13"/>
      <c r="HL355" s="13"/>
      <c r="HM355" s="12"/>
      <c r="JE355" s="5"/>
    </row>
    <row r="356" spans="18:265" ht="18" customHeight="1">
      <c r="AE356" s="42"/>
      <c r="AF356" s="43"/>
      <c r="AG356" s="12"/>
      <c r="BB356" s="12"/>
      <c r="BD356" s="13"/>
      <c r="BE356" s="18"/>
      <c r="BF356" s="14"/>
      <c r="BG356" s="15"/>
      <c r="BH356" s="16"/>
      <c r="BX356" s="12"/>
      <c r="BZ356" s="13"/>
      <c r="CA356" s="43"/>
      <c r="CB356" s="45"/>
      <c r="EP356" s="4"/>
      <c r="FK356" s="13"/>
      <c r="FL356" s="18"/>
      <c r="FM356" s="18"/>
      <c r="FN356" s="12"/>
      <c r="GK356" s="13"/>
      <c r="GM356" s="9"/>
      <c r="GN356" s="10"/>
      <c r="GO356" s="10"/>
      <c r="GP356" s="10"/>
      <c r="GQ356" s="10"/>
      <c r="GR356" s="11"/>
      <c r="HJ356" s="13"/>
      <c r="HL356" s="13"/>
      <c r="JD356" s="9"/>
      <c r="JE356" s="11"/>
    </row>
    <row r="357" spans="18:265" ht="18" customHeight="1">
      <c r="AE357" s="42"/>
      <c r="AF357" s="43"/>
      <c r="AG357" s="12"/>
      <c r="BB357" s="12"/>
      <c r="BD357" s="13"/>
      <c r="BE357" s="18"/>
      <c r="BF357" s="9"/>
      <c r="BG357" s="10"/>
      <c r="BH357" s="10"/>
      <c r="BI357" s="10"/>
      <c r="BJ357" s="10"/>
      <c r="BK357" s="11"/>
      <c r="BX357" s="12"/>
      <c r="BZ357" s="13"/>
      <c r="CA357" s="43"/>
      <c r="CB357" s="45"/>
      <c r="EP357" s="4"/>
      <c r="FK357" s="13"/>
      <c r="FL357" s="18"/>
      <c r="FM357" s="18"/>
      <c r="FN357" s="12"/>
      <c r="GK357" s="13"/>
      <c r="GM357" s="9"/>
      <c r="GN357" s="11"/>
      <c r="GO357" s="10"/>
      <c r="GP357" s="10"/>
      <c r="GQ357" s="10"/>
      <c r="GR357" s="11"/>
      <c r="HJ357" s="13"/>
      <c r="HL357" s="13"/>
      <c r="JD357" s="12"/>
      <c r="JE357" s="13"/>
    </row>
    <row r="358" spans="18:265" ht="18" customHeight="1">
      <c r="AE358" s="42"/>
      <c r="AF358" s="43"/>
      <c r="AG358" s="12"/>
      <c r="BB358" s="12"/>
      <c r="BD358" s="13"/>
      <c r="BE358" s="18"/>
      <c r="BF358" s="9"/>
      <c r="BG358" s="11"/>
      <c r="BH358" s="10"/>
      <c r="BI358" s="10"/>
      <c r="BJ358" s="10"/>
      <c r="BK358" s="11"/>
      <c r="BX358" s="14"/>
      <c r="BY358" s="15"/>
      <c r="BZ358" s="16"/>
      <c r="CA358" s="43"/>
      <c r="CB358" s="45"/>
      <c r="EP358" s="4"/>
      <c r="FK358" s="13"/>
      <c r="FL358" s="18"/>
      <c r="FM358" s="18"/>
      <c r="FN358" s="12"/>
      <c r="GK358" s="13"/>
      <c r="GM358" s="12"/>
      <c r="GN358" s="13"/>
      <c r="GR358" s="13"/>
      <c r="HH358" s="9"/>
      <c r="HI358" s="10"/>
      <c r="HJ358" s="11"/>
      <c r="HL358" s="13"/>
      <c r="HP358" s="9"/>
      <c r="HQ358" s="10"/>
      <c r="HR358" s="10"/>
      <c r="HS358" s="10"/>
      <c r="HT358" s="10"/>
      <c r="HU358" s="11"/>
      <c r="HV358" s="10"/>
      <c r="HW358" s="10"/>
      <c r="HX358" s="10"/>
      <c r="HY358" s="10"/>
      <c r="HZ358" s="10"/>
      <c r="IA358" s="10"/>
      <c r="IB358" s="10"/>
      <c r="IC358" s="10"/>
      <c r="ID358" s="10"/>
      <c r="IE358" s="10"/>
      <c r="IF358" s="10"/>
      <c r="IG358" s="10"/>
      <c r="IH358" s="10"/>
      <c r="II358" s="10"/>
      <c r="IJ358" s="10"/>
      <c r="IK358" s="10"/>
      <c r="IL358" s="10"/>
      <c r="IM358" s="10"/>
      <c r="IN358" s="11"/>
      <c r="JD358" s="12"/>
      <c r="JE358" s="13"/>
    </row>
    <row r="359" spans="18:265" ht="18" customHeight="1">
      <c r="AE359" s="42"/>
      <c r="AF359" s="43"/>
      <c r="AG359" s="12"/>
      <c r="BB359" s="12"/>
      <c r="BD359" s="13"/>
      <c r="BE359" s="12"/>
      <c r="BF359" s="12"/>
      <c r="BG359" s="13"/>
      <c r="BK359" s="13"/>
      <c r="BX359" s="9"/>
      <c r="BY359" s="10"/>
      <c r="BZ359" s="11"/>
      <c r="CA359" s="43"/>
      <c r="CB359" s="45"/>
      <c r="EP359" s="4"/>
      <c r="FK359" s="13"/>
      <c r="FL359" s="19"/>
      <c r="FM359" s="19"/>
      <c r="FN359" s="12"/>
      <c r="GK359" s="13"/>
      <c r="GM359" s="12"/>
      <c r="GN359" s="13"/>
      <c r="GR359" s="13"/>
      <c r="HH359" s="12"/>
      <c r="HJ359" s="17"/>
      <c r="HL359" s="13"/>
      <c r="HP359" s="12"/>
      <c r="HU359" s="13"/>
      <c r="IN359" s="13"/>
      <c r="JD359" s="12"/>
      <c r="JE359" s="13"/>
    </row>
    <row r="360" spans="18:265" ht="18" customHeight="1">
      <c r="AE360" s="42"/>
      <c r="AF360" s="43"/>
      <c r="AG360" s="12"/>
      <c r="BB360" s="12"/>
      <c r="BD360" s="13"/>
      <c r="BE360" s="12"/>
      <c r="BF360" s="12"/>
      <c r="BG360" s="13"/>
      <c r="BK360" s="13"/>
      <c r="BX360" s="12"/>
      <c r="BZ360" s="17"/>
      <c r="CA360" s="43"/>
      <c r="CB360" s="45"/>
      <c r="EP360" s="4"/>
      <c r="FK360" s="13"/>
      <c r="FL360" s="12"/>
      <c r="FN360" s="12"/>
      <c r="GK360" s="13"/>
      <c r="GM360" s="12"/>
      <c r="GN360" s="13"/>
      <c r="GR360" s="13"/>
      <c r="HH360" s="12"/>
      <c r="HJ360" s="18"/>
      <c r="HL360" s="13"/>
      <c r="HP360" s="12"/>
      <c r="HU360" s="13"/>
      <c r="IN360" s="13"/>
      <c r="JD360" s="12"/>
      <c r="JE360" s="13"/>
    </row>
    <row r="361" spans="18:265" ht="18" customHeight="1">
      <c r="AE361" s="42"/>
      <c r="AF361" s="43"/>
      <c r="AG361" s="12"/>
      <c r="BB361" s="12"/>
      <c r="BD361" s="13"/>
      <c r="BE361" s="12"/>
      <c r="BF361" s="12"/>
      <c r="BG361" s="13"/>
      <c r="BK361" s="13"/>
      <c r="BX361" s="12"/>
      <c r="BZ361" s="18"/>
      <c r="CA361" s="43"/>
      <c r="CB361" s="45"/>
      <c r="EP361" s="4"/>
      <c r="FK361" s="13"/>
      <c r="FN361" s="12"/>
      <c r="GI361" s="9"/>
      <c r="GJ361" s="10"/>
      <c r="GK361" s="11"/>
      <c r="GM361" s="12"/>
      <c r="GN361" s="13"/>
      <c r="GO361" s="15"/>
      <c r="GP361" s="15"/>
      <c r="GQ361" s="15"/>
      <c r="GR361" s="16"/>
      <c r="HH361" s="12"/>
      <c r="HJ361" s="18"/>
      <c r="HL361" s="13"/>
      <c r="HP361" s="12"/>
      <c r="HU361" s="13"/>
      <c r="IN361" s="13"/>
      <c r="JD361" s="12"/>
      <c r="JE361" s="13"/>
    </row>
    <row r="362" spans="18:265" ht="18" customHeight="1">
      <c r="AE362" s="42"/>
      <c r="AF362" s="43"/>
      <c r="AG362" s="12"/>
      <c r="BB362" s="12"/>
      <c r="BD362" s="13"/>
      <c r="BE362" s="12"/>
      <c r="BF362" s="12"/>
      <c r="BG362" s="13"/>
      <c r="BH362" s="15"/>
      <c r="BI362" s="15"/>
      <c r="BJ362" s="15"/>
      <c r="BK362" s="16"/>
      <c r="BX362" s="12"/>
      <c r="BZ362" s="18"/>
      <c r="CA362" s="43"/>
      <c r="CB362" s="45"/>
      <c r="EP362" s="4"/>
      <c r="FK362" s="13"/>
      <c r="FN362" s="12"/>
      <c r="GI362" s="12"/>
      <c r="GK362" s="13"/>
      <c r="GM362" s="12"/>
      <c r="GN362" s="13"/>
      <c r="GO362" s="10"/>
      <c r="GP362" s="10"/>
      <c r="GQ362" s="10"/>
      <c r="GR362" s="11"/>
      <c r="HH362" s="12"/>
      <c r="HJ362" s="18"/>
      <c r="HL362" s="13"/>
      <c r="HP362" s="12"/>
      <c r="HU362" s="13"/>
      <c r="IN362" s="13"/>
      <c r="JD362" s="12"/>
      <c r="JE362" s="13"/>
    </row>
    <row r="363" spans="18:265" ht="18" customHeight="1">
      <c r="AE363" s="42"/>
      <c r="AF363" s="43"/>
      <c r="AG363" s="12"/>
      <c r="BB363" s="14"/>
      <c r="BC363" s="15"/>
      <c r="BD363" s="16"/>
      <c r="BE363" s="12"/>
      <c r="BF363" s="12"/>
      <c r="BG363" s="13"/>
      <c r="BH363" s="10"/>
      <c r="BI363" s="10"/>
      <c r="BJ363" s="10"/>
      <c r="BK363" s="11"/>
      <c r="BX363" s="12"/>
      <c r="BZ363" s="18"/>
      <c r="CA363" s="43"/>
      <c r="CB363" s="45"/>
      <c r="EP363" s="4"/>
      <c r="FK363" s="13"/>
      <c r="FN363" s="12"/>
      <c r="GI363" s="12"/>
      <c r="GK363" s="13"/>
      <c r="GM363" s="12"/>
      <c r="GN363" s="13"/>
      <c r="GR363" s="13"/>
      <c r="HH363" s="12"/>
      <c r="HJ363" s="18"/>
      <c r="HL363" s="13"/>
      <c r="HP363" s="12"/>
      <c r="HU363" s="13"/>
      <c r="IN363" s="13"/>
      <c r="JD363" s="12"/>
      <c r="JE363" s="13"/>
    </row>
    <row r="364" spans="18:265" ht="18" customHeight="1">
      <c r="AE364" s="42"/>
      <c r="AF364" s="43"/>
      <c r="AG364" s="14"/>
      <c r="AH364" s="15"/>
      <c r="AI364" s="15"/>
      <c r="AJ364" s="15"/>
      <c r="AK364" s="15"/>
      <c r="AL364" s="15"/>
      <c r="AM364" s="15"/>
      <c r="AN364" s="15"/>
      <c r="AO364" s="15"/>
      <c r="AP364" s="15"/>
      <c r="AQ364" s="15"/>
      <c r="AR364" s="15"/>
      <c r="AS364" s="15"/>
      <c r="AT364" s="15"/>
      <c r="AU364" s="15"/>
      <c r="AV364" s="15"/>
      <c r="AW364" s="15"/>
      <c r="AX364" s="15"/>
      <c r="AY364" s="15"/>
      <c r="AZ364" s="15"/>
      <c r="BA364" s="15"/>
      <c r="BB364" s="15"/>
      <c r="BC364" s="15"/>
      <c r="BD364" s="15"/>
      <c r="BE364" s="12"/>
      <c r="BF364" s="12"/>
      <c r="BG364" s="13"/>
      <c r="BK364" s="13"/>
      <c r="BX364" s="12"/>
      <c r="BZ364" s="18"/>
      <c r="CA364" s="43"/>
      <c r="CB364" s="45"/>
      <c r="EP364" s="4"/>
      <c r="FK364" s="13"/>
      <c r="FN364" s="12"/>
      <c r="GI364" s="12"/>
      <c r="GK364" s="13"/>
      <c r="GM364" s="12"/>
      <c r="GN364" s="13"/>
      <c r="GR364" s="13"/>
      <c r="HH364" s="12"/>
      <c r="HJ364" s="19"/>
      <c r="HL364" s="13"/>
      <c r="HP364" s="12"/>
      <c r="HU364" s="13"/>
      <c r="IN364" s="13"/>
      <c r="JD364" s="12"/>
      <c r="JE364" s="13"/>
    </row>
    <row r="365" spans="18:265" ht="18" customHeight="1">
      <c r="R365" s="9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1"/>
      <c r="AE365" s="42"/>
      <c r="AF365" s="43"/>
      <c r="AG365" s="12"/>
      <c r="AR365" s="21"/>
      <c r="AT365" s="21"/>
      <c r="BD365" s="21"/>
      <c r="BE365" s="12"/>
      <c r="BF365" s="12"/>
      <c r="BG365" s="13"/>
      <c r="BK365" s="13"/>
      <c r="BX365" s="12"/>
      <c r="BZ365" s="19"/>
      <c r="CA365" s="43"/>
      <c r="CB365" s="45"/>
      <c r="CC365" s="9"/>
      <c r="CD365" s="10"/>
      <c r="CE365" s="10"/>
      <c r="CF365" s="10"/>
      <c r="CG365" s="10"/>
      <c r="CH365" s="10"/>
      <c r="CI365" s="10"/>
      <c r="CJ365" s="10"/>
      <c r="CK365" s="10"/>
      <c r="CL365" s="10"/>
      <c r="CM365" s="10"/>
      <c r="CN365" s="10"/>
      <c r="CO365" s="11"/>
      <c r="EP365" s="4"/>
      <c r="FK365" s="13"/>
      <c r="FN365" s="12"/>
      <c r="GI365" s="12"/>
      <c r="GK365" s="13"/>
      <c r="GM365" s="12"/>
      <c r="GN365" s="13"/>
      <c r="GR365" s="13"/>
      <c r="HH365" s="14"/>
      <c r="HI365" s="15"/>
      <c r="HJ365" s="16"/>
      <c r="HL365" s="13"/>
      <c r="HP365" s="12"/>
      <c r="HU365" s="13"/>
      <c r="IN365" s="13"/>
      <c r="JD365" s="12"/>
      <c r="JE365" s="13"/>
    </row>
    <row r="366" spans="18:265" ht="18" customHeight="1">
      <c r="R366" s="12"/>
      <c r="S366" s="9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1"/>
      <c r="AE366" s="42"/>
      <c r="AF366" s="43"/>
      <c r="AG366" s="9"/>
      <c r="AH366" s="10"/>
      <c r="AI366" s="10"/>
      <c r="AJ366" s="11"/>
      <c r="AK366" s="10"/>
      <c r="AL366" s="10"/>
      <c r="AM366" s="10"/>
      <c r="AN366" s="10"/>
      <c r="AO366" s="9"/>
      <c r="AP366" s="10"/>
      <c r="AQ366" s="10"/>
      <c r="AR366" s="11"/>
      <c r="AS366" s="85"/>
      <c r="AT366" s="74"/>
      <c r="AU366" s="75"/>
      <c r="AV366" s="85"/>
      <c r="AW366" s="9"/>
      <c r="AX366" s="10"/>
      <c r="AY366" s="10"/>
      <c r="AZ366" s="11"/>
      <c r="BA366" s="141"/>
      <c r="BB366" s="141"/>
      <c r="BC366" s="141"/>
      <c r="BD366" s="141"/>
      <c r="BE366" s="12"/>
      <c r="BF366" s="12"/>
      <c r="BG366" s="13"/>
      <c r="BK366" s="13"/>
      <c r="BX366" s="14"/>
      <c r="BY366" s="15"/>
      <c r="BZ366" s="16"/>
      <c r="CA366" s="43"/>
      <c r="CB366" s="45"/>
      <c r="CC366" s="9"/>
      <c r="CD366" s="10"/>
      <c r="CE366" s="10"/>
      <c r="CF366" s="10"/>
      <c r="CG366" s="10"/>
      <c r="CH366" s="10"/>
      <c r="CI366" s="10"/>
      <c r="CJ366" s="10"/>
      <c r="CK366" s="10"/>
      <c r="CL366" s="10"/>
      <c r="CM366" s="10"/>
      <c r="CN366" s="11"/>
      <c r="CO366" s="13"/>
      <c r="EP366" s="4"/>
      <c r="FK366" s="13"/>
      <c r="FN366" s="12"/>
      <c r="GI366" s="12"/>
      <c r="GK366" s="13"/>
      <c r="GM366" s="14"/>
      <c r="GN366" s="16"/>
      <c r="GO366" s="15"/>
      <c r="GP366" s="15"/>
      <c r="GQ366" s="15"/>
      <c r="GR366" s="16"/>
      <c r="HJ366" s="13"/>
      <c r="HL366" s="13"/>
      <c r="HP366" s="12"/>
      <c r="HU366" s="13"/>
      <c r="IN366" s="13"/>
      <c r="JD366" s="12"/>
      <c r="JE366" s="13"/>
    </row>
    <row r="367" spans="18:265" ht="18" customHeight="1">
      <c r="R367" s="12"/>
      <c r="S367" s="12"/>
      <c r="AD367" s="13"/>
      <c r="AE367" s="42"/>
      <c r="AF367" s="43"/>
      <c r="AG367" s="12"/>
      <c r="AJ367" s="13"/>
      <c r="AK367" s="128"/>
      <c r="AL367" s="99"/>
      <c r="AO367" s="12"/>
      <c r="AP367" s="129"/>
      <c r="AR367" s="13"/>
      <c r="AS367" s="87"/>
      <c r="AT367" s="138"/>
      <c r="AU367" s="88"/>
      <c r="AV367" s="88"/>
      <c r="AX367" s="32"/>
      <c r="AY367" s="32"/>
      <c r="AZ367" s="13"/>
      <c r="BA367" s="49"/>
      <c r="BB367" s="142"/>
      <c r="BC367" s="49"/>
      <c r="BD367" s="49"/>
      <c r="BE367" s="18"/>
      <c r="BF367" s="14"/>
      <c r="BG367" s="16"/>
      <c r="BH367" s="15"/>
      <c r="BI367" s="15"/>
      <c r="BJ367" s="15"/>
      <c r="BK367" s="16"/>
      <c r="BZ367" s="13"/>
      <c r="CA367" s="43"/>
      <c r="CB367" s="45"/>
      <c r="CC367" s="12"/>
      <c r="CN367" s="13"/>
      <c r="CO367" s="13"/>
      <c r="EP367" s="4"/>
      <c r="FK367" s="13"/>
      <c r="FN367" s="12"/>
      <c r="GI367" s="12"/>
      <c r="GK367" s="13"/>
      <c r="GM367" s="14"/>
      <c r="GN367" s="15"/>
      <c r="GO367" s="15"/>
      <c r="GP367" s="15"/>
      <c r="GQ367" s="15"/>
      <c r="GR367" s="16"/>
      <c r="HJ367" s="13"/>
      <c r="HL367" s="13"/>
      <c r="HP367" s="12"/>
      <c r="HU367" s="13"/>
      <c r="IN367" s="13"/>
      <c r="JD367" s="12"/>
      <c r="JE367" s="13"/>
    </row>
    <row r="368" spans="18:265" ht="18" customHeight="1">
      <c r="R368" s="12"/>
      <c r="S368" s="12"/>
      <c r="AD368" s="13"/>
      <c r="AE368" s="42"/>
      <c r="AF368" s="43"/>
      <c r="AG368" s="12"/>
      <c r="AJ368" s="13"/>
      <c r="AO368" s="20"/>
      <c r="AP368" s="21"/>
      <c r="AQ368" s="21"/>
      <c r="AR368" s="22"/>
      <c r="AS368" s="87"/>
      <c r="AT368" s="86"/>
      <c r="AU368" s="88"/>
      <c r="AV368" s="88"/>
      <c r="AX368" s="32"/>
      <c r="AY368" s="32"/>
      <c r="AZ368" s="13"/>
      <c r="BA368" s="49"/>
      <c r="BB368" s="49"/>
      <c r="BC368" s="49"/>
      <c r="BD368" s="49"/>
      <c r="BE368" s="18"/>
      <c r="BF368" s="14"/>
      <c r="BG368" s="15"/>
      <c r="BH368" s="15"/>
      <c r="BI368" s="15"/>
      <c r="BJ368" s="15"/>
      <c r="BK368" s="16"/>
      <c r="BZ368" s="13"/>
      <c r="CA368" s="43"/>
      <c r="CB368" s="45"/>
      <c r="CC368" s="12"/>
      <c r="CN368" s="13"/>
      <c r="CO368" s="13"/>
      <c r="EP368" s="4"/>
      <c r="FK368" s="13"/>
      <c r="FN368" s="12"/>
      <c r="GI368" s="12"/>
      <c r="GK368" s="13"/>
      <c r="GM368" s="9"/>
      <c r="GN368" s="10"/>
      <c r="GO368" s="11"/>
      <c r="HJ368" s="13"/>
      <c r="HL368" s="13"/>
      <c r="HP368" s="14"/>
      <c r="HQ368" s="15"/>
      <c r="HR368" s="15"/>
      <c r="HS368" s="15"/>
      <c r="HT368" s="15"/>
      <c r="HU368" s="16"/>
      <c r="HV368" s="15"/>
      <c r="HW368" s="15"/>
      <c r="HX368" s="15"/>
      <c r="HY368" s="15"/>
      <c r="HZ368" s="15"/>
      <c r="IA368" s="15"/>
      <c r="IB368" s="15"/>
      <c r="IC368" s="15"/>
      <c r="ID368" s="15"/>
      <c r="IE368" s="15"/>
      <c r="IF368" s="15"/>
      <c r="IG368" s="15"/>
      <c r="IH368" s="15"/>
      <c r="II368" s="15"/>
      <c r="IJ368" s="15"/>
      <c r="IK368" s="15"/>
      <c r="IL368" s="15"/>
      <c r="IM368" s="15"/>
      <c r="IN368" s="16"/>
      <c r="JD368" s="12"/>
      <c r="JE368" s="13"/>
    </row>
    <row r="369" spans="18:265" ht="18" customHeight="1">
      <c r="R369" s="12"/>
      <c r="S369" s="12"/>
      <c r="AD369" s="13"/>
      <c r="AE369" s="42"/>
      <c r="AF369" s="43"/>
      <c r="AG369" s="14"/>
      <c r="AH369" s="15"/>
      <c r="AI369" s="15"/>
      <c r="AJ369" s="16"/>
      <c r="AO369" s="14"/>
      <c r="AP369" s="15"/>
      <c r="AQ369" s="15"/>
      <c r="AR369" s="16"/>
      <c r="AS369" s="87"/>
      <c r="AT369" s="76"/>
      <c r="AU369" s="77"/>
      <c r="AV369" s="87"/>
      <c r="AW369" s="14"/>
      <c r="AX369" s="15"/>
      <c r="AY369" s="15"/>
      <c r="AZ369" s="16"/>
      <c r="BA369" s="49"/>
      <c r="BB369" s="49"/>
      <c r="BC369" s="49"/>
      <c r="BD369" s="49"/>
      <c r="BE369" s="18"/>
      <c r="BF369" s="9"/>
      <c r="BG369" s="10"/>
      <c r="BH369" s="11"/>
      <c r="BZ369" s="13"/>
      <c r="CA369" s="43"/>
      <c r="CB369" s="45"/>
      <c r="CC369" s="12"/>
      <c r="CN369" s="13"/>
      <c r="CO369" s="13"/>
      <c r="EP369" s="4"/>
      <c r="FK369" s="13"/>
      <c r="FN369" s="12"/>
      <c r="GI369" s="12"/>
      <c r="GK369" s="13"/>
      <c r="GM369" s="12"/>
      <c r="GO369" s="13"/>
      <c r="HJ369" s="13"/>
      <c r="HL369" s="13"/>
      <c r="JD369" s="12"/>
      <c r="JE369" s="13"/>
    </row>
    <row r="370" spans="18:265" ht="18" customHeight="1">
      <c r="R370" s="12"/>
      <c r="S370" s="12"/>
      <c r="AD370" s="13"/>
      <c r="AE370" s="42"/>
      <c r="AF370" s="43"/>
      <c r="AG370" s="9"/>
      <c r="AH370" s="10"/>
      <c r="AI370" s="10"/>
      <c r="AJ370" s="11"/>
      <c r="AK370" s="139"/>
      <c r="AL370" s="10"/>
      <c r="AM370" s="10"/>
      <c r="AN370" s="10"/>
      <c r="AO370" s="10"/>
      <c r="AP370" s="10"/>
      <c r="AQ370" s="10"/>
      <c r="AR370" s="10"/>
      <c r="AS370" s="38"/>
      <c r="AT370" s="38"/>
      <c r="AU370" s="38"/>
      <c r="AV370" s="38"/>
      <c r="AW370" s="38"/>
      <c r="AX370" s="38"/>
      <c r="AY370" s="38"/>
      <c r="AZ370" s="38"/>
      <c r="BA370" s="38"/>
      <c r="BB370" s="38"/>
      <c r="BC370" s="38"/>
      <c r="BD370" s="38"/>
      <c r="BE370" s="18"/>
      <c r="BF370" s="12"/>
      <c r="BH370" s="13"/>
      <c r="BZ370" s="13"/>
      <c r="CA370" s="43"/>
      <c r="CB370" s="45"/>
      <c r="CC370" s="12"/>
      <c r="CN370" s="13"/>
      <c r="CO370" s="13"/>
      <c r="EP370" s="4"/>
      <c r="FK370" s="13"/>
      <c r="FN370" s="12"/>
      <c r="GI370" s="14"/>
      <c r="GJ370" s="15"/>
      <c r="GK370" s="16"/>
      <c r="GM370" s="14"/>
      <c r="GN370" s="15"/>
      <c r="GO370" s="16"/>
      <c r="HJ370" s="13"/>
      <c r="HL370" s="13"/>
      <c r="JD370" s="12"/>
      <c r="JE370" s="13"/>
    </row>
    <row r="371" spans="18:265" ht="18" customHeight="1">
      <c r="R371" s="12"/>
      <c r="S371" s="12"/>
      <c r="AD371" s="13"/>
      <c r="AE371" s="42"/>
      <c r="AF371" s="43"/>
      <c r="AG371" s="12"/>
      <c r="AJ371" s="13"/>
      <c r="AK371" s="140"/>
      <c r="AL371" s="129"/>
      <c r="AP371" s="129"/>
      <c r="AT371" s="129"/>
      <c r="AX371" s="129"/>
      <c r="BE371" s="18"/>
      <c r="BF371" s="14"/>
      <c r="BG371" s="15"/>
      <c r="BH371" s="16"/>
      <c r="BZ371" s="13"/>
      <c r="CA371" s="125"/>
      <c r="CB371" s="125"/>
      <c r="CC371" s="12"/>
      <c r="CN371" s="13"/>
      <c r="CO371" s="13"/>
      <c r="EP371" s="4"/>
      <c r="FK371" s="13"/>
      <c r="FN371" s="14"/>
      <c r="FO371" s="15"/>
      <c r="FP371" s="15"/>
      <c r="FQ371" s="15"/>
      <c r="FR371" s="15"/>
      <c r="FS371" s="15"/>
      <c r="FT371" s="15"/>
      <c r="FU371" s="15"/>
      <c r="FV371" s="15"/>
      <c r="FW371" s="15"/>
      <c r="FX371" s="15"/>
      <c r="FY371" s="15"/>
      <c r="FZ371" s="15"/>
      <c r="GA371" s="15"/>
      <c r="GB371" s="15"/>
      <c r="GC371" s="15"/>
      <c r="GD371" s="15"/>
      <c r="GE371" s="15"/>
      <c r="GF371" s="15"/>
      <c r="GG371" s="15"/>
      <c r="GH371" s="15"/>
      <c r="GI371" s="15"/>
      <c r="GJ371" s="15"/>
      <c r="GK371" s="16"/>
      <c r="GM371" s="12"/>
      <c r="HJ371" s="13"/>
      <c r="HL371" s="13"/>
      <c r="JD371" s="14"/>
      <c r="JE371" s="16"/>
    </row>
    <row r="372" spans="18:265" ht="18" customHeight="1">
      <c r="R372" s="12"/>
      <c r="S372" s="12"/>
      <c r="AD372" s="13"/>
      <c r="AE372" s="42"/>
      <c r="AF372" s="43"/>
      <c r="AG372" s="12"/>
      <c r="AH372" s="137"/>
      <c r="AI372" s="97"/>
      <c r="AJ372" s="13"/>
      <c r="AK372" s="140"/>
      <c r="AL372" s="129"/>
      <c r="AP372" s="129"/>
      <c r="AT372" s="129"/>
      <c r="AX372" s="129"/>
      <c r="BE372" s="18"/>
      <c r="BZ372" s="13"/>
      <c r="CA372" s="108"/>
      <c r="CB372" s="108"/>
      <c r="CC372" s="12"/>
      <c r="CN372" s="13"/>
      <c r="CO372" s="13"/>
      <c r="EP372" s="4"/>
      <c r="FK372" s="13"/>
      <c r="GM372" s="12"/>
      <c r="HJ372" s="13"/>
      <c r="HL372" s="13"/>
      <c r="JE372" s="5"/>
    </row>
    <row r="373" spans="18:265" ht="18" customHeight="1">
      <c r="R373" s="12"/>
      <c r="S373" s="12"/>
      <c r="AD373" s="13"/>
      <c r="AE373" s="42"/>
      <c r="AF373" s="43"/>
      <c r="AG373" s="12"/>
      <c r="AH373" s="97"/>
      <c r="AI373" s="97"/>
      <c r="AJ373" s="13"/>
      <c r="AK373" s="140"/>
      <c r="BE373" s="18"/>
      <c r="BZ373" s="13"/>
      <c r="CA373" s="108"/>
      <c r="CB373" s="108"/>
      <c r="CC373" s="12"/>
      <c r="CN373" s="13"/>
      <c r="CO373" s="13"/>
      <c r="EP373" s="4"/>
      <c r="FK373" s="13"/>
      <c r="FN373" s="9"/>
      <c r="FO373" s="10"/>
      <c r="FP373" s="10"/>
      <c r="FQ373" s="10"/>
      <c r="FR373" s="10"/>
      <c r="FS373" s="10"/>
      <c r="FT373" s="10"/>
      <c r="FU373" s="10"/>
      <c r="FV373" s="10"/>
      <c r="FW373" s="10"/>
      <c r="FX373" s="10"/>
      <c r="FY373" s="10"/>
      <c r="FZ373" s="10"/>
      <c r="GA373" s="10"/>
      <c r="GB373" s="10"/>
      <c r="GC373" s="10"/>
      <c r="GD373" s="10"/>
      <c r="GE373" s="10"/>
      <c r="GF373" s="10"/>
      <c r="GG373" s="10"/>
      <c r="GH373" s="10"/>
      <c r="GI373" s="10"/>
      <c r="GJ373" s="10"/>
      <c r="GK373" s="11"/>
      <c r="GM373" s="12"/>
      <c r="HJ373" s="13"/>
      <c r="HL373" s="13"/>
      <c r="HM373" s="14"/>
      <c r="HN373" s="15"/>
      <c r="HO373" s="15"/>
      <c r="HP373" s="15"/>
      <c r="HQ373" s="15"/>
      <c r="HR373" s="15"/>
      <c r="HS373" s="15"/>
      <c r="HT373" s="15"/>
      <c r="HU373" s="15"/>
      <c r="HV373" s="15"/>
      <c r="HW373" s="15"/>
      <c r="HX373" s="15"/>
      <c r="HY373" s="15"/>
      <c r="HZ373" s="15"/>
      <c r="IA373" s="15"/>
      <c r="IB373" s="15"/>
      <c r="IC373" s="15"/>
      <c r="JE373" s="5"/>
    </row>
    <row r="374" spans="18:265" ht="18" customHeight="1">
      <c r="R374" s="12"/>
      <c r="S374" s="12"/>
      <c r="AD374" s="13"/>
      <c r="AE374" s="42"/>
      <c r="AF374" s="43"/>
      <c r="AG374" s="12"/>
      <c r="AH374" s="137"/>
      <c r="AI374" s="97"/>
      <c r="AJ374" s="13"/>
      <c r="AK374" s="140"/>
      <c r="BE374" s="24"/>
      <c r="BZ374" s="13"/>
      <c r="CA374" s="108"/>
      <c r="CB374" s="108"/>
      <c r="CC374" s="12"/>
      <c r="CN374" s="13"/>
      <c r="CO374" s="13"/>
      <c r="EP374" s="4"/>
      <c r="FL374" s="12"/>
      <c r="FN374" s="12"/>
      <c r="GK374" s="13"/>
      <c r="GM374" s="12"/>
      <c r="HJ374" s="13"/>
      <c r="HL374" s="13"/>
      <c r="IC374" s="13"/>
      <c r="JE374" s="5"/>
    </row>
    <row r="375" spans="18:265" ht="18" customHeight="1">
      <c r="R375" s="12"/>
      <c r="S375" s="12"/>
      <c r="AD375" s="13"/>
      <c r="AE375" s="42"/>
      <c r="AF375" s="43"/>
      <c r="AG375" s="12"/>
      <c r="AH375" s="97"/>
      <c r="AI375" s="97"/>
      <c r="AJ375" s="13"/>
      <c r="AK375" s="140"/>
      <c r="BE375" s="24"/>
      <c r="BZ375" s="13"/>
      <c r="CA375" s="108"/>
      <c r="CB375" s="108"/>
      <c r="CC375" s="12"/>
      <c r="CN375" s="13"/>
      <c r="CO375" s="13"/>
      <c r="EP375" s="4"/>
      <c r="FL375" s="12"/>
      <c r="FN375" s="12"/>
      <c r="GK375" s="13"/>
      <c r="GM375" s="12"/>
      <c r="HJ375" s="13"/>
      <c r="HL375" s="13"/>
      <c r="HM375" s="9"/>
      <c r="HN375" s="10"/>
      <c r="HO375" s="10"/>
      <c r="HP375" s="10"/>
      <c r="HQ375" s="10"/>
      <c r="HR375" s="10"/>
      <c r="HS375" s="10"/>
      <c r="HT375" s="10"/>
      <c r="HU375" s="10"/>
      <c r="HV375" s="10"/>
      <c r="HW375" s="10"/>
      <c r="HX375" s="10"/>
      <c r="HY375" s="10"/>
      <c r="HZ375" s="10"/>
      <c r="IA375" s="10"/>
      <c r="IB375" s="11"/>
      <c r="IC375" s="13"/>
      <c r="JE375" s="5"/>
    </row>
    <row r="376" spans="18:265" ht="18" customHeight="1">
      <c r="R376" s="12"/>
      <c r="S376" s="12"/>
      <c r="AD376" s="13"/>
      <c r="AE376" s="42"/>
      <c r="AF376" s="43"/>
      <c r="AG376" s="12"/>
      <c r="AH376" s="128"/>
      <c r="AJ376" s="13"/>
      <c r="AK376" s="140"/>
      <c r="BE376" s="24"/>
      <c r="BZ376" s="13"/>
      <c r="CA376" s="126"/>
      <c r="CB376" s="126"/>
      <c r="CC376" s="12"/>
      <c r="CN376" s="13"/>
      <c r="CO376" s="13"/>
      <c r="EP376" s="4"/>
      <c r="FL376" s="12"/>
      <c r="FN376" s="12"/>
      <c r="GK376" s="13"/>
      <c r="GM376" s="12"/>
      <c r="HJ376" s="13"/>
      <c r="HL376" s="13"/>
      <c r="HM376" s="12"/>
      <c r="IB376" s="13"/>
      <c r="IC376" s="13"/>
      <c r="JE376" s="5"/>
    </row>
    <row r="377" spans="18:265" ht="18" customHeight="1">
      <c r="R377" s="12"/>
      <c r="S377" s="12"/>
      <c r="AD377" s="13"/>
      <c r="AE377" s="42"/>
      <c r="AF377" s="43"/>
      <c r="AG377" s="14"/>
      <c r="AH377" s="15"/>
      <c r="AI377" s="15"/>
      <c r="AJ377" s="16"/>
      <c r="AK377" s="140"/>
      <c r="BE377" s="24"/>
      <c r="BZ377" s="13"/>
      <c r="CA377" s="43"/>
      <c r="CB377" s="45"/>
      <c r="CC377" s="12"/>
      <c r="CN377" s="13"/>
      <c r="CO377" s="13"/>
      <c r="EP377" s="4"/>
      <c r="FL377" s="12"/>
      <c r="FN377" s="12"/>
      <c r="FR377" s="9"/>
      <c r="FS377" s="10"/>
      <c r="FT377" s="10"/>
      <c r="FU377" s="10"/>
      <c r="FV377" s="10"/>
      <c r="FW377" s="10"/>
      <c r="FX377" s="10"/>
      <c r="FY377" s="10"/>
      <c r="FZ377" s="10"/>
      <c r="GA377" s="10"/>
      <c r="GB377" s="10"/>
      <c r="GC377" s="10"/>
      <c r="GD377" s="10"/>
      <c r="GE377" s="10"/>
      <c r="GF377" s="10"/>
      <c r="GG377" s="10"/>
      <c r="GH377" s="10"/>
      <c r="GI377" s="10"/>
      <c r="GJ377" s="10"/>
      <c r="GK377" s="10"/>
      <c r="GL377" s="10"/>
      <c r="HJ377" s="13"/>
      <c r="HL377" s="13"/>
      <c r="HM377" s="12"/>
      <c r="IB377" s="13"/>
      <c r="IC377" s="13"/>
      <c r="JE377" s="5"/>
    </row>
    <row r="378" spans="18:265" ht="18" customHeight="1">
      <c r="R378" s="12"/>
      <c r="S378" s="12"/>
      <c r="AD378" s="13"/>
      <c r="AE378" s="42"/>
      <c r="AF378" s="43"/>
      <c r="AG378" s="9"/>
      <c r="AH378" s="10"/>
      <c r="AI378" s="10"/>
      <c r="AJ378" s="11"/>
      <c r="AK378" s="10"/>
      <c r="AL378" s="10"/>
      <c r="AM378" s="10"/>
      <c r="AN378" s="10"/>
      <c r="AO378" s="9"/>
      <c r="AP378" s="10"/>
      <c r="AQ378" s="10"/>
      <c r="AR378" s="10"/>
      <c r="AS378" s="133"/>
      <c r="AT378" s="134"/>
      <c r="AU378" s="134"/>
      <c r="AV378" s="135"/>
      <c r="BE378" s="24"/>
      <c r="BZ378" s="13"/>
      <c r="CA378" s="43"/>
      <c r="CB378" s="45"/>
      <c r="CC378" s="12"/>
      <c r="CN378" s="13"/>
      <c r="CO378" s="13"/>
      <c r="EP378" s="4"/>
      <c r="FL378" s="17"/>
      <c r="FM378" s="17"/>
      <c r="FN378" s="12"/>
      <c r="FR378" s="12"/>
      <c r="HJ378" s="13"/>
      <c r="HK378" s="17"/>
      <c r="HL378" s="17"/>
      <c r="HM378" s="12"/>
      <c r="IB378" s="13"/>
      <c r="IC378" s="13"/>
      <c r="JE378" s="5"/>
    </row>
    <row r="379" spans="18:265" ht="18" customHeight="1">
      <c r="R379" s="12"/>
      <c r="S379" s="12"/>
      <c r="AD379" s="13"/>
      <c r="AE379" s="42"/>
      <c r="AF379" s="43"/>
      <c r="AG379" s="12"/>
      <c r="AJ379" s="13"/>
      <c r="AK379" s="128"/>
      <c r="AL379" s="99"/>
      <c r="AO379" s="12"/>
      <c r="AP379" s="129"/>
      <c r="AS379" s="86"/>
      <c r="AT379" s="136"/>
      <c r="AU379" s="87"/>
      <c r="AV379" s="88"/>
      <c r="AW379" s="9"/>
      <c r="AX379" s="10"/>
      <c r="AY379" s="11"/>
      <c r="BE379" s="24"/>
      <c r="BZ379" s="13"/>
      <c r="CA379" s="43"/>
      <c r="CB379" s="45"/>
      <c r="CC379" s="12"/>
      <c r="CN379" s="13"/>
      <c r="CO379" s="13"/>
      <c r="EP379" s="4"/>
      <c r="FL379" s="18"/>
      <c r="FM379" s="18"/>
      <c r="FN379" s="12"/>
      <c r="FO379" s="9"/>
      <c r="FP379" s="11"/>
      <c r="FR379" s="12"/>
      <c r="HJ379" s="13"/>
      <c r="HK379" s="18"/>
      <c r="HL379" s="18"/>
      <c r="HM379" s="12"/>
      <c r="HQ379" s="9"/>
      <c r="HR379" s="10"/>
      <c r="HS379" s="10"/>
      <c r="HT379" s="10"/>
      <c r="HU379" s="10"/>
      <c r="HV379" s="10"/>
      <c r="HW379" s="10"/>
      <c r="HX379" s="11"/>
      <c r="IB379" s="13"/>
      <c r="IC379" s="13"/>
      <c r="ID379" s="9"/>
      <c r="IE379" s="10"/>
      <c r="IF379" s="10"/>
      <c r="IG379" s="10"/>
      <c r="IH379" s="10"/>
      <c r="II379" s="10"/>
      <c r="IJ379" s="10"/>
      <c r="IK379" s="10"/>
      <c r="IL379" s="10"/>
      <c r="IM379" s="10"/>
      <c r="IN379" s="10"/>
      <c r="IO379" s="10"/>
      <c r="IP379" s="10"/>
      <c r="IQ379" s="10"/>
      <c r="IR379" s="10"/>
      <c r="IS379" s="10"/>
      <c r="IT379" s="10"/>
      <c r="IU379" s="10"/>
      <c r="IV379" s="10"/>
      <c r="IW379" s="10"/>
      <c r="IX379" s="10"/>
      <c r="IY379" s="10"/>
      <c r="IZ379" s="10"/>
      <c r="JA379" s="10"/>
      <c r="JB379" s="10"/>
      <c r="JC379" s="10"/>
      <c r="JD379" s="9"/>
      <c r="JE379" s="11"/>
    </row>
    <row r="380" spans="18:265" ht="18" customHeight="1">
      <c r="R380" s="12"/>
      <c r="S380" s="12"/>
      <c r="AD380" s="13"/>
      <c r="AE380" s="42"/>
      <c r="AF380" s="43"/>
      <c r="AG380" s="12"/>
      <c r="AJ380" s="13"/>
      <c r="AO380" s="12"/>
      <c r="AS380" s="86"/>
      <c r="AT380" s="87"/>
      <c r="AU380" s="87"/>
      <c r="AV380" s="88"/>
      <c r="AW380" s="12"/>
      <c r="AX380" s="131"/>
      <c r="AY380" s="13"/>
      <c r="BE380" s="24"/>
      <c r="BZ380" s="13"/>
      <c r="CA380" s="43"/>
      <c r="CB380" s="45"/>
      <c r="CC380" s="12"/>
      <c r="CN380" s="13"/>
      <c r="CO380" s="13"/>
      <c r="EP380" s="4"/>
      <c r="FL380" s="18"/>
      <c r="FM380" s="18"/>
      <c r="FN380" s="12"/>
      <c r="FO380" s="12"/>
      <c r="FP380" s="13"/>
      <c r="FR380" s="12"/>
      <c r="HJ380" s="13"/>
      <c r="HK380" s="18"/>
      <c r="HL380" s="18"/>
      <c r="HM380" s="12"/>
      <c r="HQ380" s="12"/>
      <c r="HX380" s="13"/>
      <c r="IB380" s="13"/>
      <c r="IC380" s="13"/>
      <c r="ID380" s="12"/>
      <c r="JD380" s="12"/>
      <c r="JE380" s="13"/>
    </row>
    <row r="381" spans="18:265" ht="18" customHeight="1">
      <c r="R381" s="12"/>
      <c r="S381" s="12"/>
      <c r="AD381" s="13"/>
      <c r="AE381" s="42"/>
      <c r="AF381" s="43"/>
      <c r="AG381" s="14"/>
      <c r="AH381" s="15"/>
      <c r="AI381" s="15"/>
      <c r="AJ381" s="16"/>
      <c r="AO381" s="14"/>
      <c r="AP381" s="15"/>
      <c r="AQ381" s="15"/>
      <c r="AS381" s="76"/>
      <c r="AT381" s="89"/>
      <c r="AU381" s="89"/>
      <c r="AV381" s="77"/>
      <c r="AW381" s="14"/>
      <c r="AX381" s="15"/>
      <c r="AY381" s="16"/>
      <c r="AZ381" s="15"/>
      <c r="BA381" s="15"/>
      <c r="BB381" s="15"/>
      <c r="BC381" s="15"/>
      <c r="BD381" s="15"/>
      <c r="BE381" s="25"/>
      <c r="BF381" s="15"/>
      <c r="BG381" s="15"/>
      <c r="BH381" s="15"/>
      <c r="BI381" s="15"/>
      <c r="BP381" s="15"/>
      <c r="BQ381" s="15"/>
      <c r="BR381" s="15"/>
      <c r="BS381" s="15"/>
      <c r="BT381" s="15"/>
      <c r="BU381" s="15"/>
      <c r="BV381" s="15"/>
      <c r="BW381" s="15"/>
      <c r="BX381" s="15"/>
      <c r="BY381" s="15"/>
      <c r="BZ381" s="16"/>
      <c r="CA381" s="43"/>
      <c r="CB381" s="45"/>
      <c r="CC381" s="12"/>
      <c r="CN381" s="13"/>
      <c r="CO381" s="13"/>
      <c r="EP381" s="4"/>
      <c r="FL381" s="18"/>
      <c r="FM381" s="18"/>
      <c r="FN381" s="12"/>
      <c r="FO381" s="12"/>
      <c r="FP381" s="13"/>
      <c r="FR381" s="12"/>
      <c r="HJ381" s="13"/>
      <c r="HK381" s="18"/>
      <c r="HL381" s="18"/>
      <c r="HM381" s="12"/>
      <c r="HQ381" s="12"/>
      <c r="HX381" s="13"/>
      <c r="IB381" s="13"/>
      <c r="IC381" s="13"/>
      <c r="ID381" s="12"/>
      <c r="JD381" s="12"/>
      <c r="JE381" s="13"/>
    </row>
    <row r="382" spans="18:265" ht="18" customHeight="1">
      <c r="R382" s="12"/>
      <c r="S382" s="12"/>
      <c r="AD382" s="13"/>
      <c r="AE382" s="42"/>
      <c r="AF382" s="43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3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3"/>
      <c r="BR382" s="43"/>
      <c r="BS382" s="43"/>
      <c r="BT382" s="70"/>
      <c r="BU382" s="92"/>
      <c r="BV382" s="92"/>
      <c r="BW382" s="92"/>
      <c r="BX382" s="92"/>
      <c r="BY382" s="71"/>
      <c r="BZ382" s="43"/>
      <c r="CA382" s="43"/>
      <c r="CB382" s="45"/>
      <c r="CC382" s="12"/>
      <c r="CN382" s="13"/>
      <c r="CO382" s="13"/>
      <c r="EP382" s="4"/>
      <c r="FL382" s="18"/>
      <c r="FM382" s="18"/>
      <c r="FN382" s="12"/>
      <c r="FO382" s="14"/>
      <c r="FP382" s="16"/>
      <c r="FR382" s="12"/>
      <c r="HJ382" s="13"/>
      <c r="HK382" s="18"/>
      <c r="HL382" s="18"/>
      <c r="HM382" s="12"/>
      <c r="HQ382" s="12"/>
      <c r="HX382" s="13"/>
      <c r="IB382" s="13"/>
      <c r="IC382" s="13"/>
      <c r="ID382" s="12"/>
      <c r="JD382" s="12"/>
      <c r="JE382" s="13"/>
    </row>
    <row r="383" spans="18:265" ht="18" customHeight="1">
      <c r="R383" s="12"/>
      <c r="S383" s="12"/>
      <c r="AD383" s="13"/>
      <c r="AE383" s="42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43"/>
      <c r="AS383" s="43"/>
      <c r="AT383" s="43"/>
      <c r="AU383" s="43"/>
      <c r="AV383" s="43"/>
      <c r="AW383" s="43"/>
      <c r="AX383" s="43"/>
      <c r="AY383" s="43"/>
      <c r="AZ383" s="43"/>
      <c r="BA383" s="43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/>
      <c r="BR383" s="43"/>
      <c r="BS383" s="43"/>
      <c r="BT383" s="107"/>
      <c r="BU383" s="127"/>
      <c r="BV383" s="127"/>
      <c r="BW383" s="127"/>
      <c r="BX383" s="127"/>
      <c r="BY383" s="90"/>
      <c r="BZ383" s="43"/>
      <c r="CA383" s="43"/>
      <c r="CB383" s="45"/>
      <c r="CC383" s="12"/>
      <c r="CN383" s="13"/>
      <c r="CO383" s="13"/>
      <c r="EP383" s="4"/>
      <c r="FL383" s="19"/>
      <c r="FM383" s="19"/>
      <c r="FN383" s="12"/>
      <c r="FR383" s="12"/>
      <c r="HJ383" s="13"/>
      <c r="HK383" s="19"/>
      <c r="HL383" s="19"/>
      <c r="HM383" s="12"/>
      <c r="HQ383" s="12"/>
      <c r="HX383" s="13"/>
      <c r="IB383" s="13"/>
      <c r="IC383" s="13"/>
      <c r="ID383" s="12"/>
      <c r="JD383" s="12"/>
      <c r="JE383" s="13"/>
    </row>
    <row r="384" spans="18:265" ht="18" customHeight="1">
      <c r="R384" s="12"/>
      <c r="S384" s="12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  <c r="AY384" s="10"/>
      <c r="AZ384" s="10"/>
      <c r="BA384" s="10"/>
      <c r="BB384" s="10"/>
      <c r="BC384" s="10"/>
      <c r="BD384" s="10"/>
      <c r="BE384" s="10"/>
      <c r="BF384" s="10"/>
      <c r="BG384" s="10"/>
      <c r="BH384" s="10"/>
      <c r="BI384" s="10"/>
      <c r="BJ384" s="10"/>
      <c r="BK384" s="10"/>
      <c r="BL384" s="10"/>
      <c r="BM384" s="10"/>
      <c r="BN384" s="10"/>
      <c r="BO384" s="10"/>
      <c r="BP384" s="10"/>
      <c r="BQ384" s="10"/>
      <c r="BR384" s="10"/>
      <c r="BS384" s="10"/>
      <c r="BT384" s="10"/>
      <c r="BU384" s="10"/>
      <c r="BV384" s="10"/>
      <c r="BW384" s="10"/>
      <c r="BX384" s="10"/>
      <c r="BY384" s="10"/>
      <c r="BZ384" s="10"/>
      <c r="CA384" s="10"/>
      <c r="CB384" s="10"/>
      <c r="CN384" s="13"/>
      <c r="CO384" s="13"/>
      <c r="EP384" s="4"/>
      <c r="FL384" s="12"/>
      <c r="FN384" s="12"/>
      <c r="FR384" s="14"/>
      <c r="FS384" s="15"/>
      <c r="FT384" s="15"/>
      <c r="FU384" s="15"/>
      <c r="FV384" s="15"/>
      <c r="FW384" s="15"/>
      <c r="FX384" s="15"/>
      <c r="FY384" s="15"/>
      <c r="FZ384" s="15"/>
      <c r="GA384" s="15"/>
      <c r="GB384" s="15"/>
      <c r="GC384" s="15"/>
      <c r="GD384" s="15"/>
      <c r="GE384" s="15"/>
      <c r="GF384" s="15"/>
      <c r="GG384" s="15"/>
      <c r="GH384" s="15"/>
      <c r="GI384" s="15"/>
      <c r="GJ384" s="15"/>
      <c r="GK384" s="15"/>
      <c r="GL384" s="15"/>
      <c r="HJ384" s="13"/>
      <c r="HL384" s="13"/>
      <c r="HM384" s="12"/>
      <c r="HQ384" s="12"/>
      <c r="HX384" s="13"/>
      <c r="IB384" s="13"/>
      <c r="IC384" s="13"/>
      <c r="ID384" s="12"/>
      <c r="JD384" s="12"/>
      <c r="JE384" s="13"/>
    </row>
    <row r="385" spans="18:265" ht="18" customHeight="1">
      <c r="R385" s="12"/>
      <c r="S385" s="12"/>
      <c r="CN385" s="13"/>
      <c r="CO385" s="13"/>
      <c r="EP385" s="4"/>
      <c r="FL385" s="12"/>
      <c r="FN385" s="12"/>
      <c r="GK385" s="13"/>
      <c r="GM385" s="12"/>
      <c r="HJ385" s="13"/>
      <c r="HL385" s="13"/>
      <c r="HM385" s="12"/>
      <c r="HQ385" s="12"/>
      <c r="HX385" s="13"/>
      <c r="IB385" s="13"/>
      <c r="IC385" s="13"/>
      <c r="ID385" s="12"/>
      <c r="JD385" s="12"/>
      <c r="JE385" s="13"/>
    </row>
    <row r="386" spans="18:265" ht="18" customHeight="1">
      <c r="R386" s="12"/>
      <c r="S386" s="12"/>
      <c r="CN386" s="13"/>
      <c r="CO386" s="13"/>
      <c r="EP386" s="4"/>
      <c r="FL386" s="12"/>
      <c r="FN386" s="12"/>
      <c r="GK386" s="13"/>
      <c r="GM386" s="12"/>
      <c r="HJ386" s="13"/>
      <c r="HL386" s="13"/>
      <c r="HM386" s="12"/>
      <c r="HQ386" s="14"/>
      <c r="HR386" s="15"/>
      <c r="HS386" s="15"/>
      <c r="HT386" s="15"/>
      <c r="HU386" s="15"/>
      <c r="HV386" s="15"/>
      <c r="HW386" s="15"/>
      <c r="HX386" s="16"/>
      <c r="IB386" s="13"/>
      <c r="IC386" s="13"/>
      <c r="ID386" s="14"/>
      <c r="IE386" s="15"/>
      <c r="IF386" s="15"/>
      <c r="IG386" s="15"/>
      <c r="IH386" s="15"/>
      <c r="II386" s="15"/>
      <c r="IJ386" s="15"/>
      <c r="IK386" s="15"/>
      <c r="IL386" s="15"/>
      <c r="IM386" s="15"/>
      <c r="IN386" s="15"/>
      <c r="IO386" s="15"/>
      <c r="IP386" s="15"/>
      <c r="IQ386" s="15"/>
      <c r="IR386" s="15"/>
      <c r="IS386" s="15"/>
      <c r="IT386" s="15"/>
      <c r="IU386" s="15"/>
      <c r="IV386" s="15"/>
      <c r="IW386" s="15"/>
      <c r="IX386" s="15"/>
      <c r="IY386" s="15"/>
      <c r="IZ386" s="15"/>
      <c r="JA386" s="15"/>
      <c r="JB386" s="15"/>
      <c r="JC386" s="15"/>
      <c r="JD386" s="14"/>
      <c r="JE386" s="16"/>
    </row>
    <row r="387" spans="18:265" ht="18" customHeight="1">
      <c r="R387" s="12"/>
      <c r="S387" s="12"/>
      <c r="CN387" s="13"/>
      <c r="CO387" s="13"/>
      <c r="EP387" s="4"/>
      <c r="FL387" s="12"/>
      <c r="FN387" s="12"/>
      <c r="GK387" s="13"/>
      <c r="GM387" s="12"/>
      <c r="HJ387" s="13"/>
      <c r="HL387" s="13"/>
      <c r="HM387" s="12"/>
      <c r="IB387" s="13"/>
      <c r="IC387" s="13"/>
      <c r="JE387" s="5"/>
    </row>
    <row r="388" spans="18:265" ht="18" customHeight="1">
      <c r="R388" s="12"/>
      <c r="S388" s="12"/>
      <c r="CN388" s="13"/>
      <c r="CO388" s="13"/>
      <c r="EP388" s="4"/>
      <c r="FL388" s="12"/>
      <c r="FN388" s="14"/>
      <c r="FO388" s="15"/>
      <c r="FP388" s="15"/>
      <c r="FQ388" s="15"/>
      <c r="FR388" s="15"/>
      <c r="FS388" s="15"/>
      <c r="FT388" s="15"/>
      <c r="FU388" s="15"/>
      <c r="FV388" s="15"/>
      <c r="FW388" s="15"/>
      <c r="FX388" s="15"/>
      <c r="FY388" s="15"/>
      <c r="FZ388" s="15"/>
      <c r="GA388" s="15"/>
      <c r="GB388" s="15"/>
      <c r="GC388" s="15"/>
      <c r="GD388" s="15"/>
      <c r="GE388" s="15"/>
      <c r="GF388" s="15"/>
      <c r="GG388" s="15"/>
      <c r="GH388" s="15"/>
      <c r="GI388" s="15"/>
      <c r="GJ388" s="15"/>
      <c r="GK388" s="16"/>
      <c r="GM388" s="14"/>
      <c r="GN388" s="15"/>
      <c r="GO388" s="15"/>
      <c r="GP388" s="15"/>
      <c r="GQ388" s="15"/>
      <c r="GR388" s="15"/>
      <c r="GS388" s="15"/>
      <c r="GT388" s="15"/>
      <c r="GU388" s="15"/>
      <c r="GV388" s="15"/>
      <c r="GW388" s="15"/>
      <c r="GX388" s="15"/>
      <c r="GY388" s="15"/>
      <c r="GZ388" s="15"/>
      <c r="HA388" s="15"/>
      <c r="HB388" s="15"/>
      <c r="HC388" s="15"/>
      <c r="HD388" s="15"/>
      <c r="HE388" s="15"/>
      <c r="HF388" s="15"/>
      <c r="HG388" s="15"/>
      <c r="HH388" s="15"/>
      <c r="HI388" s="15"/>
      <c r="HJ388" s="16"/>
      <c r="HL388" s="13"/>
      <c r="HM388" s="12"/>
      <c r="IB388" s="13"/>
      <c r="IC388" s="13"/>
      <c r="JE388" s="5"/>
    </row>
    <row r="389" spans="18:265" ht="18" customHeight="1">
      <c r="R389" s="12"/>
      <c r="S389" s="12"/>
      <c r="CN389" s="13"/>
      <c r="CO389" s="13"/>
      <c r="EP389" s="4"/>
      <c r="FL389" s="12"/>
      <c r="GR389" s="20"/>
      <c r="GS389" s="21"/>
      <c r="GT389" s="21"/>
      <c r="GU389" s="21"/>
      <c r="GV389" s="21"/>
      <c r="GW389" s="22"/>
      <c r="HD389" s="127"/>
      <c r="HE389" s="127"/>
      <c r="HF389" s="127"/>
      <c r="HG389" s="127"/>
      <c r="HH389" s="127"/>
      <c r="HI389" s="127"/>
      <c r="HL389" s="13"/>
      <c r="HM389" s="12"/>
      <c r="IB389" s="13"/>
      <c r="IC389" s="13"/>
      <c r="JE389" s="5"/>
    </row>
    <row r="390" spans="18:265" ht="18" customHeight="1">
      <c r="R390" s="12"/>
      <c r="S390" s="12"/>
      <c r="CN390" s="13"/>
      <c r="CO390" s="13"/>
      <c r="EP390" s="4"/>
      <c r="FL390" s="14"/>
      <c r="FM390" s="15"/>
      <c r="FN390" s="15"/>
      <c r="FO390" s="15"/>
      <c r="FP390" s="15"/>
      <c r="FQ390" s="15"/>
      <c r="FR390" s="15"/>
      <c r="FS390" s="15"/>
      <c r="FT390" s="15"/>
      <c r="FU390" s="15"/>
      <c r="FW390" s="15"/>
      <c r="FX390" s="15"/>
      <c r="FZ390" s="15"/>
      <c r="GB390" s="15"/>
      <c r="GC390" s="15"/>
      <c r="GJ390" s="15"/>
      <c r="GK390" s="15"/>
      <c r="GL390" s="15"/>
      <c r="GM390" s="15"/>
      <c r="GN390" s="15"/>
      <c r="GO390" s="15"/>
      <c r="GP390" s="15"/>
      <c r="GQ390" s="15"/>
      <c r="GR390" s="20"/>
      <c r="GS390" s="21"/>
      <c r="GT390" s="21"/>
      <c r="GU390" s="21"/>
      <c r="GV390" s="21"/>
      <c r="GW390" s="22"/>
      <c r="GX390" s="15"/>
      <c r="GY390" s="15"/>
      <c r="GZ390" s="15"/>
      <c r="HA390" s="15"/>
      <c r="HB390" s="15"/>
      <c r="HC390" s="15"/>
      <c r="HD390" s="100"/>
      <c r="HE390" s="100"/>
      <c r="HF390" s="100"/>
      <c r="HG390" s="100"/>
      <c r="HH390" s="100"/>
      <c r="HI390" s="100"/>
      <c r="HJ390" s="15"/>
      <c r="HK390" s="15"/>
      <c r="HL390" s="16"/>
      <c r="HM390" s="14"/>
      <c r="HN390" s="15"/>
      <c r="HO390" s="15"/>
      <c r="HP390" s="15"/>
      <c r="HQ390" s="15"/>
      <c r="HR390" s="15"/>
      <c r="HS390" s="15"/>
      <c r="HT390" s="15"/>
      <c r="HU390" s="15"/>
      <c r="HV390" s="15"/>
      <c r="HW390" s="15"/>
      <c r="HX390" s="15"/>
      <c r="HY390" s="15"/>
      <c r="HZ390" s="15"/>
      <c r="IA390" s="15"/>
      <c r="IB390" s="16"/>
      <c r="IC390" s="13"/>
      <c r="JE390" s="5"/>
    </row>
    <row r="391" spans="18:265" ht="18" customHeight="1">
      <c r="R391" s="12"/>
      <c r="S391" s="12"/>
      <c r="CN391" s="13"/>
      <c r="CO391" s="13"/>
      <c r="EP391" s="4"/>
      <c r="FV391" s="10"/>
      <c r="FY391" s="10"/>
      <c r="GA391" s="10"/>
      <c r="GD391" s="10"/>
      <c r="GE391" s="10"/>
      <c r="GF391" s="9"/>
      <c r="GG391" s="9"/>
      <c r="GH391" s="10"/>
      <c r="GI391" s="10"/>
      <c r="GJ391" s="10"/>
      <c r="GK391" s="10"/>
      <c r="GL391" s="10"/>
      <c r="GW391" s="9"/>
      <c r="GX391" s="10"/>
      <c r="GY391" s="10"/>
      <c r="GZ391" s="10"/>
      <c r="HA391" s="10"/>
      <c r="HB391" s="10"/>
      <c r="HC391" s="10"/>
      <c r="HD391" s="10"/>
      <c r="HE391" s="10"/>
      <c r="HF391" s="10"/>
      <c r="HG391" s="10"/>
      <c r="HH391" s="10"/>
      <c r="HI391" s="10"/>
      <c r="HJ391" s="10"/>
      <c r="HK391" s="10"/>
      <c r="HL391" s="11"/>
      <c r="HM391" s="9"/>
      <c r="HN391" s="10"/>
      <c r="HO391" s="10"/>
      <c r="HP391" s="10"/>
      <c r="HQ391" s="10"/>
      <c r="HR391" s="10"/>
      <c r="HS391" s="10"/>
      <c r="HT391" s="10"/>
      <c r="HU391" s="10"/>
      <c r="HV391" s="10"/>
      <c r="HW391" s="10"/>
      <c r="HX391" s="10"/>
      <c r="HY391" s="10"/>
      <c r="HZ391" s="10"/>
      <c r="IA391" s="10"/>
      <c r="IB391" s="11"/>
      <c r="IC391" s="13"/>
      <c r="JE391" s="5"/>
    </row>
    <row r="392" spans="18:265" ht="18" customHeight="1">
      <c r="R392" s="12"/>
      <c r="S392" s="12"/>
      <c r="CN392" s="13"/>
      <c r="CO392" s="13"/>
      <c r="EP392" s="4"/>
      <c r="GF392" s="12"/>
      <c r="GG392" s="12"/>
      <c r="GW392" s="12"/>
      <c r="HL392" s="13"/>
      <c r="HM392" s="12"/>
      <c r="IB392" s="13"/>
      <c r="IC392" s="13"/>
      <c r="JE392" s="5"/>
    </row>
    <row r="393" spans="18:265" ht="18" customHeight="1">
      <c r="R393" s="12"/>
      <c r="S393" s="12"/>
      <c r="CN393" s="13"/>
      <c r="CO393" s="13"/>
      <c r="EP393" s="4"/>
      <c r="GF393" s="12"/>
      <c r="GG393" s="12"/>
      <c r="GW393" s="12"/>
      <c r="HL393" s="13"/>
      <c r="HM393" s="12"/>
      <c r="IB393" s="13"/>
      <c r="IC393" s="13"/>
      <c r="JE393" s="5"/>
    </row>
    <row r="394" spans="18:265" ht="18" customHeight="1">
      <c r="R394" s="12"/>
      <c r="S394" s="12"/>
      <c r="CN394" s="13"/>
      <c r="CO394" s="13"/>
      <c r="EP394" s="4"/>
      <c r="GF394" s="12"/>
      <c r="GG394" s="12"/>
      <c r="GW394" s="12"/>
      <c r="HL394" s="13"/>
      <c r="HM394" s="12"/>
      <c r="IB394" s="13"/>
      <c r="IC394" s="13"/>
      <c r="JE394" s="5"/>
    </row>
    <row r="395" spans="18:265" ht="18" customHeight="1">
      <c r="R395" s="12"/>
      <c r="S395" s="12"/>
      <c r="CN395" s="13"/>
      <c r="CO395" s="13"/>
      <c r="EP395" s="4"/>
      <c r="GF395" s="12"/>
      <c r="GG395" s="12"/>
      <c r="GK395" s="9"/>
      <c r="GL395" s="10"/>
      <c r="GM395" s="10"/>
      <c r="GN395" s="10"/>
      <c r="GO395" s="10"/>
      <c r="GP395" s="10"/>
      <c r="GQ395" s="10"/>
      <c r="GR395" s="11"/>
      <c r="GW395" s="12"/>
      <c r="HA395" s="9"/>
      <c r="HB395" s="10"/>
      <c r="HC395" s="10"/>
      <c r="HD395" s="10"/>
      <c r="HE395" s="10"/>
      <c r="HF395" s="10"/>
      <c r="HG395" s="10"/>
      <c r="HH395" s="11"/>
      <c r="HL395" s="13"/>
      <c r="HM395" s="12"/>
      <c r="HQ395" s="9"/>
      <c r="HR395" s="10"/>
      <c r="HS395" s="10"/>
      <c r="HT395" s="10"/>
      <c r="HU395" s="10"/>
      <c r="HV395" s="10"/>
      <c r="HW395" s="10"/>
      <c r="HX395" s="11"/>
      <c r="IB395" s="13"/>
      <c r="IC395" s="13"/>
      <c r="JE395" s="5"/>
    </row>
    <row r="396" spans="18:265" ht="18" customHeight="1">
      <c r="R396" s="12"/>
      <c r="S396" s="12"/>
      <c r="CN396" s="13"/>
      <c r="CO396" s="13"/>
      <c r="EP396" s="4"/>
      <c r="GF396" s="12"/>
      <c r="GG396" s="12"/>
      <c r="GK396" s="12"/>
      <c r="GR396" s="13"/>
      <c r="GW396" s="12"/>
      <c r="HA396" s="12"/>
      <c r="HH396" s="13"/>
      <c r="HL396" s="13"/>
      <c r="HM396" s="12"/>
      <c r="HQ396" s="12"/>
      <c r="HX396" s="13"/>
      <c r="IB396" s="13"/>
      <c r="IC396" s="13"/>
      <c r="JE396" s="5"/>
    </row>
    <row r="397" spans="18:265" ht="18" customHeight="1">
      <c r="R397" s="12"/>
      <c r="S397" s="12"/>
      <c r="CN397" s="13"/>
      <c r="CO397" s="13"/>
      <c r="EP397" s="4"/>
      <c r="GF397" s="12"/>
      <c r="GG397" s="12"/>
      <c r="GK397" s="12"/>
      <c r="GR397" s="13"/>
      <c r="GW397" s="12"/>
      <c r="HA397" s="12"/>
      <c r="HH397" s="13"/>
      <c r="HL397" s="13"/>
      <c r="HM397" s="12"/>
      <c r="HQ397" s="12"/>
      <c r="HX397" s="13"/>
      <c r="IB397" s="13"/>
      <c r="IC397" s="13"/>
      <c r="JE397" s="5"/>
    </row>
    <row r="398" spans="18:265" ht="18" customHeight="1">
      <c r="R398" s="12"/>
      <c r="S398" s="12"/>
      <c r="CN398" s="13"/>
      <c r="CO398" s="13"/>
      <c r="EP398" s="4"/>
      <c r="GF398" s="12"/>
      <c r="GG398" s="12"/>
      <c r="GK398" s="12"/>
      <c r="GR398" s="13"/>
      <c r="GW398" s="12"/>
      <c r="HA398" s="12"/>
      <c r="HH398" s="13"/>
      <c r="HL398" s="13"/>
      <c r="HM398" s="12"/>
      <c r="HQ398" s="12"/>
      <c r="HX398" s="13"/>
      <c r="IB398" s="13"/>
      <c r="IC398" s="13"/>
      <c r="JE398" s="5"/>
    </row>
    <row r="399" spans="18:265" ht="18" customHeight="1">
      <c r="R399" s="12"/>
      <c r="S399" s="14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  <c r="AG399" s="15"/>
      <c r="AH399" s="15"/>
      <c r="AI399" s="15"/>
      <c r="AJ399" s="15"/>
      <c r="AK399" s="15"/>
      <c r="AL399" s="15"/>
      <c r="AM399" s="15"/>
      <c r="AN399" s="15"/>
      <c r="AO399" s="15"/>
      <c r="AP399" s="15"/>
      <c r="AQ399" s="15"/>
      <c r="AR399" s="15"/>
      <c r="AS399" s="15"/>
      <c r="AT399" s="15"/>
      <c r="AU399" s="15"/>
      <c r="AV399" s="15"/>
      <c r="AW399" s="15"/>
      <c r="AX399" s="15"/>
      <c r="AY399" s="15"/>
      <c r="AZ399" s="15"/>
      <c r="BA399" s="15"/>
      <c r="BB399" s="15"/>
      <c r="BC399" s="15"/>
      <c r="BD399" s="15"/>
      <c r="BE399" s="15"/>
      <c r="BF399" s="15"/>
      <c r="BG399" s="15"/>
      <c r="BH399" s="15"/>
      <c r="BI399" s="15"/>
      <c r="BJ399" s="15"/>
      <c r="BK399" s="15"/>
      <c r="BL399" s="15"/>
      <c r="BM399" s="15"/>
      <c r="BN399" s="15"/>
      <c r="BO399" s="15"/>
      <c r="BP399" s="15"/>
      <c r="BQ399" s="15"/>
      <c r="BR399" s="15"/>
      <c r="BS399" s="15"/>
      <c r="BT399" s="15"/>
      <c r="BU399" s="15"/>
      <c r="BV399" s="15"/>
      <c r="BW399" s="15"/>
      <c r="BX399" s="15"/>
      <c r="BY399" s="15"/>
      <c r="BZ399" s="15"/>
      <c r="CA399" s="15"/>
      <c r="CB399" s="15"/>
      <c r="CC399" s="15"/>
      <c r="CD399" s="15"/>
      <c r="CE399" s="15"/>
      <c r="CF399" s="15"/>
      <c r="CG399" s="15"/>
      <c r="CH399" s="15"/>
      <c r="CI399" s="15"/>
      <c r="CJ399" s="15"/>
      <c r="CK399" s="15"/>
      <c r="CL399" s="15"/>
      <c r="CM399" s="15"/>
      <c r="CN399" s="16"/>
      <c r="CO399" s="13"/>
      <c r="EP399" s="4"/>
      <c r="GF399" s="12"/>
      <c r="GG399" s="12"/>
      <c r="GK399" s="12"/>
      <c r="GR399" s="13"/>
      <c r="GW399" s="12"/>
      <c r="HA399" s="12"/>
      <c r="HH399" s="13"/>
      <c r="HL399" s="13"/>
      <c r="HM399" s="12"/>
      <c r="HQ399" s="12"/>
      <c r="HX399" s="13"/>
      <c r="IB399" s="13"/>
      <c r="IC399" s="13"/>
      <c r="JE399" s="5"/>
    </row>
    <row r="400" spans="18:265" ht="18" customHeight="1">
      <c r="R400" s="14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  <c r="AG400" s="15"/>
      <c r="AH400" s="15"/>
      <c r="AI400" s="15"/>
      <c r="AJ400" s="15"/>
      <c r="AK400" s="15"/>
      <c r="AL400" s="15"/>
      <c r="AM400" s="15"/>
      <c r="AN400" s="15"/>
      <c r="AO400" s="15"/>
      <c r="AP400" s="15"/>
      <c r="AQ400" s="15"/>
      <c r="AR400" s="15"/>
      <c r="AS400" s="15"/>
      <c r="AT400" s="15"/>
      <c r="AU400" s="15"/>
      <c r="AV400" s="15"/>
      <c r="AW400" s="15"/>
      <c r="AX400" s="15"/>
      <c r="AY400" s="15"/>
      <c r="AZ400" s="15"/>
      <c r="BA400" s="15"/>
      <c r="BB400" s="15"/>
      <c r="BC400" s="15"/>
      <c r="BD400" s="15"/>
      <c r="BE400" s="15"/>
      <c r="BF400" s="15"/>
      <c r="BG400" s="15"/>
      <c r="BH400" s="15"/>
      <c r="BI400" s="15"/>
      <c r="BJ400" s="15"/>
      <c r="BK400" s="15"/>
      <c r="BL400" s="15"/>
      <c r="BM400" s="15"/>
      <c r="BN400" s="15"/>
      <c r="BO400" s="15"/>
      <c r="BP400" s="15"/>
      <c r="BQ400" s="15"/>
      <c r="BR400" s="15"/>
      <c r="BS400" s="15"/>
      <c r="BT400" s="15"/>
      <c r="BU400" s="15"/>
      <c r="BV400" s="15"/>
      <c r="BW400" s="15"/>
      <c r="BX400" s="15"/>
      <c r="BY400" s="15"/>
      <c r="BZ400" s="15"/>
      <c r="CA400" s="15"/>
      <c r="CB400" s="15"/>
      <c r="CC400" s="15"/>
      <c r="CD400" s="15"/>
      <c r="CE400" s="15"/>
      <c r="CF400" s="15"/>
      <c r="CG400" s="15"/>
      <c r="CH400" s="15"/>
      <c r="CI400" s="15"/>
      <c r="CJ400" s="15"/>
      <c r="CK400" s="15"/>
      <c r="CL400" s="15"/>
      <c r="CM400" s="15"/>
      <c r="CN400" s="15"/>
      <c r="CO400" s="16"/>
      <c r="EP400" s="4"/>
      <c r="GF400" s="12"/>
      <c r="GG400" s="12"/>
      <c r="GK400" s="12"/>
      <c r="GR400" s="13"/>
      <c r="GW400" s="12"/>
      <c r="HA400" s="12"/>
      <c r="HH400" s="13"/>
      <c r="HL400" s="13"/>
      <c r="HM400" s="12"/>
      <c r="HQ400" s="12"/>
      <c r="HX400" s="13"/>
      <c r="IB400" s="13"/>
      <c r="IC400" s="13"/>
      <c r="JE400" s="5"/>
    </row>
    <row r="401" spans="146:265" ht="18" customHeight="1">
      <c r="EP401" s="4"/>
      <c r="GF401" s="12"/>
      <c r="GG401" s="12"/>
      <c r="GK401" s="12"/>
      <c r="GR401" s="13"/>
      <c r="GW401" s="12"/>
      <c r="HA401" s="12"/>
      <c r="HH401" s="13"/>
      <c r="HL401" s="13"/>
      <c r="HM401" s="12"/>
      <c r="HQ401" s="12"/>
      <c r="HX401" s="13"/>
      <c r="IB401" s="13"/>
      <c r="IC401" s="13"/>
      <c r="JE401" s="5"/>
    </row>
    <row r="402" spans="146:265" ht="18" customHeight="1">
      <c r="EP402" s="4"/>
      <c r="GF402" s="12"/>
      <c r="GG402" s="12"/>
      <c r="GK402" s="14"/>
      <c r="GL402" s="15"/>
      <c r="GM402" s="15"/>
      <c r="GN402" s="15"/>
      <c r="GO402" s="15"/>
      <c r="GP402" s="15"/>
      <c r="GQ402" s="15"/>
      <c r="GR402" s="16"/>
      <c r="GW402" s="12"/>
      <c r="HA402" s="14"/>
      <c r="HB402" s="15"/>
      <c r="HC402" s="15"/>
      <c r="HD402" s="15"/>
      <c r="HE402" s="15"/>
      <c r="HF402" s="15"/>
      <c r="HG402" s="15"/>
      <c r="HH402" s="16"/>
      <c r="HL402" s="13"/>
      <c r="HM402" s="12"/>
      <c r="HQ402" s="14"/>
      <c r="HR402" s="15"/>
      <c r="HS402" s="15"/>
      <c r="HT402" s="15"/>
      <c r="HU402" s="15"/>
      <c r="HV402" s="15"/>
      <c r="HW402" s="15"/>
      <c r="HX402" s="16"/>
      <c r="IB402" s="13"/>
      <c r="IC402" s="13"/>
      <c r="JE402" s="5"/>
    </row>
    <row r="403" spans="146:265" ht="18" customHeight="1">
      <c r="EP403" s="4"/>
      <c r="GF403" s="12"/>
      <c r="GG403" s="12"/>
      <c r="GW403" s="12"/>
      <c r="HL403" s="13"/>
      <c r="HM403" s="12"/>
      <c r="IB403" s="13"/>
      <c r="IC403" s="13"/>
      <c r="JE403" s="5"/>
    </row>
    <row r="404" spans="146:265" ht="18" customHeight="1">
      <c r="EP404" s="4"/>
      <c r="GF404" s="12"/>
      <c r="GG404" s="12"/>
      <c r="GW404" s="12"/>
      <c r="HL404" s="13"/>
      <c r="HM404" s="12"/>
      <c r="IB404" s="13"/>
      <c r="IC404" s="13"/>
      <c r="JE404" s="5"/>
    </row>
    <row r="405" spans="146:265" ht="18" customHeight="1">
      <c r="EP405" s="4"/>
      <c r="GF405" s="12"/>
      <c r="GG405" s="12"/>
      <c r="GW405" s="12"/>
      <c r="HL405" s="13"/>
      <c r="HM405" s="12"/>
      <c r="IB405" s="13"/>
      <c r="IC405" s="13"/>
      <c r="JE405" s="5"/>
    </row>
    <row r="406" spans="146:265" ht="18" customHeight="1">
      <c r="EP406" s="4"/>
      <c r="GF406" s="12"/>
      <c r="GG406" s="14"/>
      <c r="GH406" s="15"/>
      <c r="GI406" s="15"/>
      <c r="GJ406" s="15"/>
      <c r="GK406" s="15"/>
      <c r="GL406" s="15"/>
      <c r="GM406" s="15"/>
      <c r="GN406" s="15"/>
      <c r="GO406" s="15"/>
      <c r="GP406" s="15"/>
      <c r="GQ406" s="15"/>
      <c r="GR406" s="15"/>
      <c r="GS406" s="15"/>
      <c r="GT406" s="15"/>
      <c r="GU406" s="15"/>
      <c r="GV406" s="15"/>
      <c r="GW406" s="14"/>
      <c r="GX406" s="15"/>
      <c r="GY406" s="15"/>
      <c r="GZ406" s="15"/>
      <c r="HA406" s="15"/>
      <c r="HB406" s="15"/>
      <c r="HC406" s="15"/>
      <c r="HD406" s="15"/>
      <c r="HE406" s="15"/>
      <c r="HF406" s="15"/>
      <c r="HG406" s="15"/>
      <c r="HH406" s="15"/>
      <c r="HI406" s="15"/>
      <c r="HJ406" s="15"/>
      <c r="HK406" s="15"/>
      <c r="HL406" s="16"/>
      <c r="HM406" s="14"/>
      <c r="HN406" s="15"/>
      <c r="HO406" s="15"/>
      <c r="HP406" s="15"/>
      <c r="HQ406" s="15"/>
      <c r="HR406" s="15"/>
      <c r="HS406" s="15"/>
      <c r="HT406" s="15"/>
      <c r="HU406" s="15"/>
      <c r="HV406" s="15"/>
      <c r="HW406" s="15"/>
      <c r="HX406" s="15"/>
      <c r="HY406" s="15"/>
      <c r="HZ406" s="15"/>
      <c r="IA406" s="15"/>
      <c r="IB406" s="16"/>
      <c r="IC406" s="13"/>
      <c r="JE406" s="5"/>
    </row>
    <row r="407" spans="146:265" ht="18" customHeight="1">
      <c r="EP407" s="4"/>
      <c r="GF407" s="14"/>
      <c r="GG407" s="15"/>
      <c r="GH407" s="15"/>
      <c r="GI407" s="15"/>
      <c r="GJ407" s="15"/>
      <c r="GK407" s="15"/>
      <c r="GL407" s="15"/>
      <c r="GM407" s="15"/>
      <c r="GN407" s="15"/>
      <c r="GO407" s="15"/>
      <c r="GP407" s="15"/>
      <c r="GQ407" s="15"/>
      <c r="GR407" s="15"/>
      <c r="GS407" s="15"/>
      <c r="GT407" s="15"/>
      <c r="GU407" s="15"/>
      <c r="GV407" s="15"/>
      <c r="GW407" s="15"/>
      <c r="GX407" s="15"/>
      <c r="GY407" s="15"/>
      <c r="GZ407" s="15"/>
      <c r="HA407" s="15"/>
      <c r="HB407" s="15"/>
      <c r="HC407" s="15"/>
      <c r="HD407" s="15"/>
      <c r="HE407" s="15"/>
      <c r="HF407" s="15"/>
      <c r="HG407" s="15"/>
      <c r="HH407" s="15"/>
      <c r="HI407" s="15"/>
      <c r="HJ407" s="15"/>
      <c r="HK407" s="15"/>
      <c r="HL407" s="15"/>
      <c r="HM407" s="15"/>
      <c r="HN407" s="15"/>
      <c r="HO407" s="15"/>
      <c r="HP407" s="15"/>
      <c r="HQ407" s="15"/>
      <c r="HR407" s="15"/>
      <c r="HS407" s="15"/>
      <c r="HT407" s="15"/>
      <c r="HU407" s="15"/>
      <c r="HV407" s="15"/>
      <c r="HW407" s="15"/>
      <c r="HX407" s="15"/>
      <c r="HY407" s="15"/>
      <c r="HZ407" s="15"/>
      <c r="IA407" s="15"/>
      <c r="IB407" s="15"/>
      <c r="IC407" s="16"/>
      <c r="JE407" s="5"/>
    </row>
    <row r="408" spans="146:265" ht="18" customHeight="1">
      <c r="EP408" s="4"/>
      <c r="JE408" s="5"/>
    </row>
    <row r="409" spans="146:265" ht="18" customHeight="1">
      <c r="EP409" s="4"/>
      <c r="JE409" s="5"/>
    </row>
    <row r="410" spans="146:265" ht="18" customHeight="1">
      <c r="EP410" s="4"/>
      <c r="JE410" s="5"/>
    </row>
    <row r="411" spans="146:265" ht="18" customHeight="1">
      <c r="EP411" s="4"/>
      <c r="JE411" s="5"/>
    </row>
    <row r="412" spans="146:265" ht="18" customHeight="1">
      <c r="EP412" s="4"/>
      <c r="JE412" s="5"/>
    </row>
    <row r="413" spans="146:265" ht="18" customHeight="1">
      <c r="EP413" s="4"/>
      <c r="JE413" s="5"/>
    </row>
    <row r="414" spans="146:265" ht="18" customHeight="1">
      <c r="EP414" s="4"/>
      <c r="JE414" s="5"/>
    </row>
    <row r="415" spans="146:265" ht="18" customHeight="1">
      <c r="EP415" s="4"/>
      <c r="JE415" s="5"/>
    </row>
    <row r="416" spans="146:265" ht="18" customHeight="1">
      <c r="EP416" s="4"/>
      <c r="JE416" s="5"/>
    </row>
    <row r="417" spans="8:394" ht="18" customHeight="1">
      <c r="EP417" s="4"/>
      <c r="JE417" s="5"/>
    </row>
    <row r="418" spans="8:394" ht="18" customHeight="1">
      <c r="EP418" s="4"/>
      <c r="JE418" s="5"/>
    </row>
    <row r="419" spans="8:394" ht="18" customHeight="1">
      <c r="EP419" s="4"/>
      <c r="JE419" s="5"/>
    </row>
    <row r="420" spans="8:394" ht="18" customHeight="1" thickBot="1">
      <c r="EP420" s="6"/>
      <c r="EQ420" s="7"/>
      <c r="ER420" s="7"/>
      <c r="ES420" s="7"/>
      <c r="ET420" s="7"/>
      <c r="EU420" s="7"/>
      <c r="EV420" s="7"/>
      <c r="EW420" s="7"/>
      <c r="EX420" s="7"/>
      <c r="EY420" s="7"/>
      <c r="EZ420" s="7"/>
      <c r="FA420" s="7"/>
      <c r="FB420" s="7"/>
      <c r="FC420" s="7"/>
      <c r="FD420" s="7"/>
      <c r="FE420" s="7"/>
      <c r="FF420" s="7"/>
      <c r="FG420" s="7"/>
      <c r="FH420" s="7"/>
      <c r="FI420" s="7"/>
      <c r="FJ420" s="7"/>
      <c r="FK420" s="7"/>
      <c r="FL420" s="7"/>
      <c r="FM420" s="7"/>
      <c r="FN420" s="7"/>
      <c r="FO420" s="7"/>
      <c r="FP420" s="7"/>
      <c r="FQ420" s="7"/>
      <c r="FR420" s="7"/>
      <c r="FS420" s="7"/>
      <c r="FT420" s="7"/>
      <c r="FU420" s="7"/>
      <c r="FV420" s="7"/>
      <c r="FW420" s="7"/>
      <c r="FX420" s="7"/>
      <c r="FY420" s="7"/>
      <c r="FZ420" s="7"/>
      <c r="GA420" s="7"/>
      <c r="GB420" s="7"/>
      <c r="GC420" s="7"/>
      <c r="GD420" s="7"/>
      <c r="GE420" s="7"/>
      <c r="GF420" s="7"/>
      <c r="GG420" s="7"/>
      <c r="GH420" s="7"/>
      <c r="GI420" s="7"/>
      <c r="GJ420" s="7"/>
      <c r="GK420" s="7"/>
      <c r="GL420" s="7"/>
      <c r="GM420" s="7"/>
      <c r="GN420" s="7"/>
      <c r="GO420" s="7"/>
      <c r="GP420" s="7"/>
      <c r="GQ420" s="7"/>
      <c r="GR420" s="7"/>
      <c r="GS420" s="7"/>
      <c r="GT420" s="7"/>
      <c r="GU420" s="7"/>
      <c r="GV420" s="7"/>
      <c r="GW420" s="7"/>
      <c r="GX420" s="7"/>
      <c r="GY420" s="7"/>
      <c r="GZ420" s="7"/>
      <c r="HA420" s="7"/>
      <c r="HB420" s="7"/>
      <c r="HC420" s="7"/>
      <c r="HD420" s="7"/>
      <c r="HE420" s="7"/>
      <c r="HF420" s="7"/>
      <c r="HG420" s="7"/>
      <c r="HH420" s="7"/>
      <c r="HI420" s="7"/>
      <c r="HJ420" s="7"/>
      <c r="HK420" s="7"/>
      <c r="HL420" s="7"/>
      <c r="HM420" s="7"/>
      <c r="HN420" s="7"/>
      <c r="HO420" s="7"/>
      <c r="HP420" s="7"/>
      <c r="HQ420" s="7"/>
      <c r="HR420" s="7"/>
      <c r="HS420" s="7"/>
      <c r="HT420" s="7"/>
      <c r="HU420" s="7"/>
      <c r="HV420" s="7"/>
      <c r="HW420" s="7"/>
      <c r="HX420" s="7"/>
      <c r="HY420" s="7"/>
      <c r="HZ420" s="7"/>
      <c r="IA420" s="7"/>
      <c r="IB420" s="7"/>
      <c r="IC420" s="7"/>
      <c r="ID420" s="7"/>
      <c r="IE420" s="7"/>
      <c r="IF420" s="7"/>
      <c r="IG420" s="7"/>
      <c r="IH420" s="7"/>
      <c r="II420" s="7"/>
      <c r="IJ420" s="7"/>
      <c r="IK420" s="7"/>
      <c r="IL420" s="7"/>
      <c r="IM420" s="7"/>
      <c r="IN420" s="7"/>
      <c r="IO420" s="7"/>
      <c r="IP420" s="7"/>
      <c r="IQ420" s="7"/>
      <c r="IR420" s="7"/>
      <c r="IS420" s="7"/>
      <c r="IT420" s="7"/>
      <c r="IU420" s="7"/>
      <c r="IV420" s="7"/>
      <c r="IW420" s="7"/>
      <c r="IX420" s="7"/>
      <c r="IY420" s="7"/>
      <c r="IZ420" s="7"/>
      <c r="JA420" s="7"/>
      <c r="JB420" s="7"/>
      <c r="JC420" s="7"/>
      <c r="JD420" s="7"/>
      <c r="JE420" s="8"/>
    </row>
    <row r="429" spans="8:394" ht="18" customHeight="1" thickBot="1"/>
    <row r="430" spans="8:394" ht="18" customHeight="1" thickBot="1">
      <c r="H430" s="1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3"/>
    </row>
    <row r="431" spans="8:394" ht="18" customHeight="1">
      <c r="H431" s="4"/>
      <c r="DW431" s="5"/>
      <c r="EQ431" s="1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  <c r="FN431" s="2"/>
      <c r="FO431" s="2"/>
      <c r="FP431" s="2"/>
      <c r="FQ431" s="2"/>
      <c r="FR431" s="2"/>
      <c r="FS431" s="2"/>
      <c r="FT431" s="2"/>
      <c r="FU431" s="2"/>
      <c r="FV431" s="2"/>
      <c r="FW431" s="2"/>
      <c r="FX431" s="2"/>
      <c r="FY431" s="2"/>
      <c r="FZ431" s="2"/>
      <c r="GA431" s="2"/>
      <c r="GB431" s="2"/>
      <c r="GC431" s="2"/>
      <c r="GD431" s="2"/>
      <c r="GE431" s="2"/>
      <c r="GF431" s="2"/>
      <c r="GG431" s="2"/>
      <c r="GH431" s="2"/>
      <c r="GI431" s="2"/>
      <c r="GJ431" s="2"/>
      <c r="GK431" s="2"/>
      <c r="GL431" s="2"/>
      <c r="GM431" s="2"/>
      <c r="GN431" s="2"/>
      <c r="GO431" s="2"/>
      <c r="GP431" s="2"/>
      <c r="GQ431" s="2"/>
      <c r="GR431" s="2"/>
      <c r="GS431" s="2"/>
      <c r="GT431" s="2"/>
      <c r="GU431" s="2"/>
      <c r="GV431" s="2"/>
      <c r="GW431" s="2"/>
      <c r="GX431" s="2"/>
      <c r="GY431" s="2"/>
      <c r="GZ431" s="2"/>
      <c r="HA431" s="2"/>
      <c r="HB431" s="2"/>
      <c r="HC431" s="2"/>
      <c r="HD431" s="2"/>
      <c r="HE431" s="2"/>
      <c r="HF431" s="2"/>
      <c r="HG431" s="2"/>
      <c r="HH431" s="2"/>
      <c r="HI431" s="2"/>
      <c r="HJ431" s="2"/>
      <c r="HK431" s="2"/>
      <c r="HL431" s="2"/>
      <c r="HM431" s="2"/>
      <c r="HN431" s="2"/>
      <c r="HO431" s="2"/>
      <c r="HP431" s="2"/>
      <c r="HQ431" s="2"/>
      <c r="HR431" s="2"/>
      <c r="HS431" s="2"/>
      <c r="HT431" s="2"/>
      <c r="HU431" s="2"/>
      <c r="HV431" s="2"/>
      <c r="HW431" s="2"/>
      <c r="HX431" s="2"/>
      <c r="HY431" s="2"/>
      <c r="HZ431" s="2"/>
      <c r="IA431" s="2"/>
      <c r="IB431" s="2"/>
      <c r="IC431" s="2"/>
      <c r="ID431" s="2"/>
      <c r="IE431" s="2"/>
      <c r="IF431" s="2"/>
      <c r="IG431" s="2"/>
      <c r="IH431" s="2"/>
      <c r="II431" s="2"/>
      <c r="IJ431" s="2"/>
      <c r="IK431" s="2"/>
      <c r="IL431" s="2"/>
      <c r="IM431" s="2"/>
      <c r="IN431" s="2"/>
      <c r="IO431" s="2"/>
      <c r="IP431" s="2"/>
      <c r="IQ431" s="2"/>
      <c r="IR431" s="2"/>
      <c r="IS431" s="2"/>
      <c r="IT431" s="2"/>
      <c r="IU431" s="2"/>
      <c r="IV431" s="2"/>
      <c r="IW431" s="2"/>
      <c r="IX431" s="2"/>
      <c r="IY431" s="2"/>
      <c r="IZ431" s="2"/>
      <c r="JA431" s="2"/>
      <c r="JB431" s="2"/>
      <c r="JC431" s="2"/>
      <c r="JD431" s="2"/>
      <c r="JE431" s="2"/>
      <c r="JF431" s="3"/>
      <c r="JO431" s="1"/>
      <c r="JP431" s="2"/>
      <c r="JQ431" s="2"/>
      <c r="JR431" s="2"/>
      <c r="JS431" s="2"/>
      <c r="JT431" s="2"/>
      <c r="JU431" s="2"/>
      <c r="JV431" s="2"/>
      <c r="JW431" s="2"/>
      <c r="JX431" s="2"/>
      <c r="JY431" s="2"/>
      <c r="JZ431" s="2"/>
      <c r="KA431" s="2"/>
      <c r="KB431" s="2"/>
      <c r="KC431" s="2"/>
      <c r="KD431" s="2"/>
      <c r="KE431" s="2"/>
      <c r="KF431" s="2"/>
      <c r="KG431" s="2"/>
      <c r="KH431" s="2"/>
      <c r="KI431" s="2"/>
      <c r="KJ431" s="2"/>
      <c r="KK431" s="2"/>
      <c r="KL431" s="2"/>
      <c r="KM431" s="2"/>
      <c r="KN431" s="2"/>
      <c r="KO431" s="2"/>
      <c r="KP431" s="2"/>
      <c r="KQ431" s="2"/>
      <c r="KR431" s="2"/>
      <c r="KS431" s="2"/>
      <c r="KT431" s="2"/>
      <c r="KU431" s="2"/>
      <c r="KV431" s="2"/>
      <c r="KW431" s="2"/>
      <c r="KX431" s="2"/>
      <c r="KY431" s="2"/>
      <c r="KZ431" s="2"/>
      <c r="LA431" s="2"/>
      <c r="LB431" s="2"/>
      <c r="LC431" s="2"/>
      <c r="LD431" s="2"/>
      <c r="LE431" s="2"/>
      <c r="LF431" s="2"/>
      <c r="LG431" s="2"/>
      <c r="LH431" s="2"/>
      <c r="LI431" s="2"/>
      <c r="LJ431" s="2"/>
      <c r="LK431" s="2"/>
      <c r="LL431" s="2"/>
      <c r="LM431" s="2"/>
      <c r="LN431" s="2"/>
      <c r="LO431" s="2"/>
      <c r="LP431" s="2"/>
      <c r="LQ431" s="2"/>
      <c r="LR431" s="2"/>
      <c r="LS431" s="2"/>
      <c r="LT431" s="2"/>
      <c r="LU431" s="2"/>
      <c r="LV431" s="2"/>
      <c r="LW431" s="2"/>
      <c r="LX431" s="2"/>
      <c r="LY431" s="2"/>
      <c r="LZ431" s="2"/>
      <c r="MA431" s="2"/>
      <c r="MB431" s="2"/>
      <c r="MC431" s="2"/>
      <c r="MD431" s="2"/>
      <c r="ME431" s="2"/>
      <c r="MF431" s="2"/>
      <c r="MG431" s="2"/>
      <c r="MH431" s="2"/>
      <c r="MI431" s="2"/>
      <c r="MJ431" s="2"/>
      <c r="MK431" s="2"/>
      <c r="ML431" s="2"/>
      <c r="MM431" s="2"/>
      <c r="MN431" s="2"/>
      <c r="MO431" s="2"/>
      <c r="MP431" s="2"/>
      <c r="MQ431" s="2"/>
      <c r="MR431" s="2"/>
      <c r="MS431" s="2"/>
      <c r="MT431" s="2"/>
      <c r="MU431" s="2"/>
      <c r="MV431" s="2"/>
      <c r="MW431" s="2"/>
      <c r="MX431" s="2"/>
      <c r="MY431" s="2"/>
      <c r="MZ431" s="2"/>
      <c r="NA431" s="2"/>
      <c r="NB431" s="2"/>
      <c r="NC431" s="2"/>
      <c r="ND431" s="2"/>
      <c r="NE431" s="2"/>
      <c r="NF431" s="2"/>
      <c r="NG431" s="2"/>
      <c r="NH431" s="2"/>
      <c r="NI431" s="2"/>
      <c r="NJ431" s="2"/>
      <c r="NK431" s="2"/>
      <c r="NL431" s="2"/>
      <c r="NM431" s="2"/>
      <c r="NN431" s="2"/>
      <c r="NO431" s="2"/>
      <c r="NP431" s="2"/>
      <c r="NQ431" s="2"/>
      <c r="NR431" s="2"/>
      <c r="NS431" s="2"/>
      <c r="NT431" s="2"/>
      <c r="NU431" s="2"/>
      <c r="NV431" s="2"/>
      <c r="NW431" s="2"/>
      <c r="NX431" s="2"/>
      <c r="NY431" s="2"/>
      <c r="NZ431" s="2"/>
      <c r="OA431" s="2"/>
      <c r="OB431" s="2"/>
      <c r="OC431" s="2"/>
      <c r="OD431" s="3"/>
    </row>
    <row r="432" spans="8:394" ht="18" customHeight="1">
      <c r="H432" s="4"/>
      <c r="DW432" s="5"/>
      <c r="EQ432" s="4"/>
      <c r="JF432" s="5"/>
      <c r="JO432" s="4"/>
      <c r="OD432" s="5"/>
    </row>
    <row r="433" spans="8:394" ht="18" customHeight="1">
      <c r="H433" s="4"/>
      <c r="DW433" s="5"/>
      <c r="EQ433" s="4"/>
      <c r="JF433" s="5"/>
      <c r="JO433" s="4"/>
      <c r="OD433" s="5"/>
    </row>
    <row r="434" spans="8:394" ht="18" customHeight="1">
      <c r="H434" s="4"/>
      <c r="DW434" s="5"/>
      <c r="EQ434" s="4"/>
      <c r="JF434" s="5"/>
      <c r="JO434" s="4"/>
      <c r="OD434" s="5"/>
    </row>
    <row r="435" spans="8:394" ht="18" customHeight="1">
      <c r="H435" s="4"/>
      <c r="DW435" s="5"/>
      <c r="EQ435" s="4"/>
      <c r="JF435" s="5"/>
      <c r="JO435" s="4"/>
      <c r="OD435" s="5"/>
    </row>
    <row r="436" spans="8:394" ht="18" customHeight="1">
      <c r="H436" s="4"/>
      <c r="DW436" s="5"/>
      <c r="EQ436" s="4"/>
      <c r="JF436" s="5"/>
      <c r="JO436" s="4"/>
      <c r="OD436" s="5"/>
    </row>
    <row r="437" spans="8:394" ht="18" customHeight="1">
      <c r="H437" s="4"/>
      <c r="DW437" s="5"/>
      <c r="EQ437" s="4"/>
      <c r="JF437" s="5"/>
      <c r="JO437" s="4"/>
      <c r="OD437" s="5"/>
    </row>
    <row r="438" spans="8:394" ht="18" customHeight="1">
      <c r="H438" s="4"/>
      <c r="DW438" s="5"/>
      <c r="EQ438" s="4"/>
      <c r="JF438" s="5"/>
      <c r="JO438" s="4"/>
      <c r="OD438" s="5"/>
    </row>
    <row r="439" spans="8:394" ht="18" customHeight="1">
      <c r="H439" s="4"/>
      <c r="DW439" s="5"/>
      <c r="EQ439" s="4"/>
      <c r="JF439" s="5"/>
      <c r="JO439" s="4"/>
      <c r="OD439" s="5"/>
    </row>
    <row r="440" spans="8:394" ht="18" customHeight="1">
      <c r="H440" s="4"/>
      <c r="DW440" s="5"/>
      <c r="EQ440" s="4"/>
      <c r="JF440" s="5"/>
      <c r="JO440" s="4"/>
      <c r="OD440" s="5"/>
    </row>
    <row r="441" spans="8:394" ht="18" customHeight="1">
      <c r="H441" s="4"/>
      <c r="DW441" s="5"/>
      <c r="EQ441" s="4"/>
      <c r="JF441" s="5"/>
      <c r="JO441" s="4"/>
      <c r="OD441" s="5"/>
    </row>
    <row r="442" spans="8:394" ht="18" customHeight="1">
      <c r="H442" s="4"/>
      <c r="DW442" s="5"/>
      <c r="EQ442" s="4"/>
      <c r="JF442" s="5"/>
      <c r="JO442" s="4"/>
      <c r="OD442" s="5"/>
    </row>
    <row r="443" spans="8:394" ht="18" customHeight="1">
      <c r="H443" s="4"/>
      <c r="DW443" s="5"/>
      <c r="EQ443" s="4"/>
      <c r="JF443" s="5"/>
      <c r="JO443" s="4"/>
      <c r="OD443" s="5"/>
    </row>
    <row r="444" spans="8:394" ht="18" customHeight="1">
      <c r="H444" s="4"/>
      <c r="DW444" s="5"/>
      <c r="EQ444" s="4"/>
      <c r="JF444" s="5"/>
      <c r="JO444" s="4"/>
      <c r="OD444" s="5"/>
    </row>
    <row r="445" spans="8:394" ht="18" customHeight="1">
      <c r="H445" s="4"/>
      <c r="DW445" s="5"/>
      <c r="EQ445" s="4"/>
      <c r="JF445" s="5"/>
      <c r="JO445" s="4"/>
      <c r="OD445" s="5"/>
    </row>
    <row r="446" spans="8:394" ht="18" customHeight="1">
      <c r="H446" s="4"/>
      <c r="DW446" s="5"/>
      <c r="EQ446" s="4"/>
      <c r="JF446" s="5"/>
      <c r="JO446" s="4"/>
      <c r="OD446" s="5"/>
    </row>
    <row r="447" spans="8:394" ht="18" customHeight="1">
      <c r="H447" s="4"/>
      <c r="DW447" s="5"/>
      <c r="EQ447" s="4"/>
      <c r="JF447" s="5"/>
      <c r="JO447" s="4"/>
      <c r="OD447" s="5"/>
    </row>
    <row r="448" spans="8:394" ht="18" customHeight="1">
      <c r="H448" s="4"/>
      <c r="DW448" s="5"/>
      <c r="EQ448" s="4"/>
      <c r="JF448" s="5"/>
      <c r="JO448" s="4"/>
      <c r="OD448" s="5"/>
    </row>
    <row r="449" spans="8:394" ht="18" customHeight="1">
      <c r="H449" s="4"/>
      <c r="DW449" s="5"/>
      <c r="EQ449" s="4"/>
      <c r="JF449" s="5"/>
      <c r="JO449" s="4"/>
      <c r="OD449" s="5"/>
    </row>
    <row r="450" spans="8:394" ht="18" customHeight="1">
      <c r="H450" s="4"/>
      <c r="DW450" s="5"/>
      <c r="EQ450" s="4"/>
      <c r="JF450" s="5"/>
      <c r="JO450" s="4"/>
      <c r="OD450" s="5"/>
    </row>
    <row r="451" spans="8:394" ht="18" customHeight="1">
      <c r="H451" s="4"/>
      <c r="DW451" s="5"/>
      <c r="EQ451" s="4"/>
      <c r="JF451" s="5"/>
      <c r="JO451" s="4"/>
      <c r="OD451" s="5"/>
    </row>
    <row r="452" spans="8:394" ht="18" customHeight="1">
      <c r="H452" s="4"/>
      <c r="DW452" s="5"/>
      <c r="EQ452" s="4"/>
      <c r="JF452" s="5"/>
      <c r="JO452" s="4"/>
      <c r="OD452" s="5"/>
    </row>
    <row r="453" spans="8:394" ht="18" customHeight="1">
      <c r="H453" s="4"/>
      <c r="AD453" s="9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  <c r="AY453" s="10"/>
      <c r="AZ453" s="10"/>
      <c r="BA453" s="10"/>
      <c r="BB453" s="10"/>
      <c r="BC453" s="10"/>
      <c r="BD453" s="10"/>
      <c r="BE453" s="10"/>
      <c r="BF453" s="10"/>
      <c r="BG453" s="10"/>
      <c r="BH453" s="10"/>
      <c r="BI453" s="10"/>
      <c r="BJ453" s="10"/>
      <c r="BK453" s="10"/>
      <c r="BL453" s="10"/>
      <c r="BM453" s="10"/>
      <c r="BN453" s="10"/>
      <c r="BO453" s="10"/>
      <c r="BP453" s="10"/>
      <c r="BQ453" s="10"/>
      <c r="BR453" s="11"/>
      <c r="DW453" s="5"/>
      <c r="EQ453" s="4"/>
      <c r="JF453" s="5"/>
      <c r="JO453" s="4"/>
      <c r="OD453" s="5"/>
    </row>
    <row r="454" spans="8:394" ht="18" customHeight="1">
      <c r="H454" s="4"/>
      <c r="AD454" s="12"/>
      <c r="BR454" s="13"/>
      <c r="DW454" s="5"/>
      <c r="EQ454" s="4"/>
      <c r="JF454" s="5"/>
      <c r="JO454" s="4"/>
      <c r="OD454" s="5"/>
    </row>
    <row r="455" spans="8:394" ht="18" customHeight="1">
      <c r="H455" s="4"/>
      <c r="AD455" s="12"/>
      <c r="AF455" s="9"/>
      <c r="AG455" s="10"/>
      <c r="AH455" s="10"/>
      <c r="AI455" s="10"/>
      <c r="AJ455" s="11"/>
      <c r="AK455" s="9"/>
      <c r="AL455" s="10"/>
      <c r="AM455" s="10"/>
      <c r="AN455" s="10"/>
      <c r="AO455" s="11"/>
      <c r="AP455" s="9"/>
      <c r="AQ455" s="10"/>
      <c r="AR455" s="10"/>
      <c r="AS455" s="10"/>
      <c r="AT455" s="10"/>
      <c r="AU455" s="10"/>
      <c r="AV455" s="10"/>
      <c r="AW455" s="11"/>
      <c r="AX455" s="17"/>
      <c r="AY455" s="9"/>
      <c r="AZ455" s="10"/>
      <c r="BA455" s="10"/>
      <c r="BB455" s="10"/>
      <c r="BC455" s="10"/>
      <c r="BD455" s="10"/>
      <c r="BE455" s="10"/>
      <c r="BF455" s="11"/>
      <c r="BG455" s="9"/>
      <c r="BH455" s="10"/>
      <c r="BI455" s="10"/>
      <c r="BJ455" s="10"/>
      <c r="BK455" s="11"/>
      <c r="BL455" s="10"/>
      <c r="BM455" s="10"/>
      <c r="BN455" s="10"/>
      <c r="BO455" s="10"/>
      <c r="BP455" s="11"/>
      <c r="BR455" s="13"/>
      <c r="DW455" s="5"/>
      <c r="EQ455" s="4"/>
      <c r="JF455" s="5"/>
      <c r="JO455" s="4"/>
      <c r="OD455" s="5"/>
    </row>
    <row r="456" spans="8:394" ht="18" customHeight="1">
      <c r="H456" s="4"/>
      <c r="AD456" s="12"/>
      <c r="AF456" s="12"/>
      <c r="AJ456" s="13"/>
      <c r="AK456" s="12"/>
      <c r="AO456" s="13"/>
      <c r="AP456" s="12"/>
      <c r="AW456" s="13"/>
      <c r="AX456" s="18"/>
      <c r="AY456" s="12"/>
      <c r="BF456" s="13"/>
      <c r="BG456" s="12"/>
      <c r="BK456" s="13"/>
      <c r="BP456" s="13"/>
      <c r="BR456" s="13"/>
      <c r="DW456" s="5"/>
      <c r="EQ456" s="4"/>
      <c r="JF456" s="5"/>
      <c r="JO456" s="4"/>
      <c r="OD456" s="5"/>
    </row>
    <row r="457" spans="8:394" ht="18" customHeight="1">
      <c r="H457" s="4"/>
      <c r="AD457" s="12"/>
      <c r="AF457" s="12"/>
      <c r="AJ457" s="13"/>
      <c r="AK457" s="12"/>
      <c r="AO457" s="13"/>
      <c r="AP457" s="12"/>
      <c r="AW457" s="13"/>
      <c r="AX457" s="18"/>
      <c r="AY457" s="12"/>
      <c r="BF457" s="13"/>
      <c r="BG457" s="12"/>
      <c r="BK457" s="13"/>
      <c r="BP457" s="13"/>
      <c r="BR457" s="13"/>
      <c r="DW457" s="5"/>
      <c r="EQ457" s="4"/>
      <c r="JF457" s="5"/>
      <c r="JO457" s="4"/>
      <c r="OD457" s="5"/>
    </row>
    <row r="458" spans="8:394" ht="18" customHeight="1">
      <c r="H458" s="4"/>
      <c r="AD458" s="12"/>
      <c r="AF458" s="12"/>
      <c r="AJ458" s="13"/>
      <c r="AK458" s="12"/>
      <c r="AO458" s="13"/>
      <c r="AP458" s="12"/>
      <c r="AW458" s="13"/>
      <c r="AX458" s="18"/>
      <c r="AY458" s="12"/>
      <c r="BF458" s="13"/>
      <c r="BG458" s="12"/>
      <c r="BK458" s="13"/>
      <c r="BP458" s="13"/>
      <c r="BR458" s="13"/>
      <c r="DW458" s="5"/>
      <c r="EQ458" s="4"/>
      <c r="JF458" s="5"/>
      <c r="JO458" s="4"/>
      <c r="JZ458" s="9"/>
      <c r="KA458" s="10"/>
      <c r="KB458" s="10"/>
      <c r="KC458" s="10"/>
      <c r="KD458" s="10"/>
      <c r="KE458" s="10"/>
      <c r="KF458" s="10"/>
      <c r="KG458" s="10"/>
      <c r="KH458" s="10"/>
      <c r="KI458" s="10"/>
      <c r="KJ458" s="10"/>
      <c r="KK458" s="10"/>
      <c r="KL458" s="10"/>
      <c r="KM458" s="10"/>
      <c r="KN458" s="10"/>
      <c r="KO458" s="10"/>
      <c r="KP458" s="10"/>
      <c r="KQ458" s="10"/>
      <c r="KR458" s="10"/>
      <c r="KS458" s="10"/>
      <c r="KT458" s="10"/>
      <c r="KU458" s="10"/>
      <c r="KV458" s="10"/>
      <c r="KW458" s="10"/>
      <c r="KX458" s="10"/>
      <c r="KY458" s="10"/>
      <c r="KZ458" s="10"/>
      <c r="LA458" s="10"/>
      <c r="LB458" s="10"/>
      <c r="LC458" s="10"/>
      <c r="LD458" s="10"/>
      <c r="LE458" s="10"/>
      <c r="LF458" s="10"/>
      <c r="LG458" s="10"/>
      <c r="LH458" s="10"/>
      <c r="LI458" s="10"/>
      <c r="LJ458" s="10"/>
      <c r="LK458" s="10"/>
      <c r="LL458" s="10"/>
      <c r="LM458" s="10"/>
      <c r="LN458" s="10"/>
      <c r="LO458" s="10"/>
      <c r="LP458" s="10"/>
      <c r="LQ458" s="10"/>
      <c r="LR458" s="10"/>
      <c r="LS458" s="10"/>
      <c r="LT458" s="10"/>
      <c r="LU458" s="10"/>
      <c r="LV458" s="11"/>
      <c r="OD458" s="5"/>
    </row>
    <row r="459" spans="8:394" ht="18" customHeight="1">
      <c r="H459" s="4"/>
      <c r="AD459" s="12"/>
      <c r="AF459" s="14"/>
      <c r="AG459" s="15"/>
      <c r="AH459" s="15"/>
      <c r="AI459" s="15"/>
      <c r="AJ459" s="16"/>
      <c r="AK459" s="14"/>
      <c r="AL459" s="15"/>
      <c r="AM459" s="15"/>
      <c r="AN459" s="15"/>
      <c r="AO459" s="16"/>
      <c r="AP459" s="12"/>
      <c r="AW459" s="13"/>
      <c r="AX459" s="18"/>
      <c r="AY459" s="12"/>
      <c r="BF459" s="13"/>
      <c r="BG459" s="14"/>
      <c r="BH459" s="15"/>
      <c r="BI459" s="15"/>
      <c r="BJ459" s="15"/>
      <c r="BK459" s="16"/>
      <c r="BL459" s="15"/>
      <c r="BM459" s="15"/>
      <c r="BN459" s="15"/>
      <c r="BO459" s="15"/>
      <c r="BP459" s="16"/>
      <c r="BR459" s="13"/>
      <c r="DW459" s="5"/>
      <c r="EQ459" s="4"/>
      <c r="FB459" s="40"/>
      <c r="FC459" s="41"/>
      <c r="FD459" s="41"/>
      <c r="FE459" s="41"/>
      <c r="FF459" s="41"/>
      <c r="FG459" s="41"/>
      <c r="FH459" s="41"/>
      <c r="FI459" s="41"/>
      <c r="FJ459" s="41"/>
      <c r="FK459" s="41"/>
      <c r="FL459" s="41"/>
      <c r="FM459" s="41"/>
      <c r="FN459" s="41"/>
      <c r="FO459" s="41"/>
      <c r="FP459" s="41"/>
      <c r="FQ459" s="41"/>
      <c r="FR459" s="41"/>
      <c r="FS459" s="41"/>
      <c r="FT459" s="41"/>
      <c r="FU459" s="41"/>
      <c r="FV459" s="41"/>
      <c r="FW459" s="41"/>
      <c r="FX459" s="41"/>
      <c r="FY459" s="41"/>
      <c r="FZ459" s="41"/>
      <c r="GA459" s="41"/>
      <c r="GB459" s="41"/>
      <c r="GC459" s="41"/>
      <c r="GD459" s="41"/>
      <c r="GE459" s="41"/>
      <c r="GF459" s="41"/>
      <c r="GG459" s="41"/>
      <c r="GH459" s="41"/>
      <c r="GI459" s="41"/>
      <c r="GJ459" s="41"/>
      <c r="GK459" s="41"/>
      <c r="GL459" s="41"/>
      <c r="GM459" s="41"/>
      <c r="GN459" s="41"/>
      <c r="GO459" s="41"/>
      <c r="GP459" s="41"/>
      <c r="GQ459" s="41"/>
      <c r="GR459" s="41"/>
      <c r="GS459" s="41"/>
      <c r="GT459" s="41"/>
      <c r="GU459" s="41"/>
      <c r="GV459" s="41"/>
      <c r="GW459" s="41"/>
      <c r="GX459" s="44"/>
      <c r="JF459" s="5"/>
      <c r="JO459" s="4"/>
      <c r="JZ459" s="12"/>
      <c r="LV459" s="13"/>
      <c r="OD459" s="5"/>
    </row>
    <row r="460" spans="8:394" ht="18" customHeight="1">
      <c r="H460" s="4"/>
      <c r="AD460" s="12"/>
      <c r="AF460" s="12"/>
      <c r="AP460" s="12"/>
      <c r="AW460" s="13"/>
      <c r="AX460" s="18"/>
      <c r="AY460" s="12"/>
      <c r="BF460" s="13"/>
      <c r="BP460" s="13"/>
      <c r="BR460" s="13"/>
      <c r="DW460" s="5"/>
      <c r="EQ460" s="4"/>
      <c r="FB460" s="42"/>
      <c r="FC460" s="43"/>
      <c r="FD460" s="43"/>
      <c r="FE460" s="43"/>
      <c r="FF460" s="43"/>
      <c r="FG460" s="43"/>
      <c r="FH460" s="43"/>
      <c r="FI460" s="43"/>
      <c r="FJ460" s="43"/>
      <c r="FK460" s="43"/>
      <c r="FL460" s="43"/>
      <c r="FM460" s="43"/>
      <c r="FN460" s="43"/>
      <c r="FO460" s="43"/>
      <c r="FP460" s="43"/>
      <c r="FQ460" s="43"/>
      <c r="FR460" s="43"/>
      <c r="FS460" s="43"/>
      <c r="FT460" s="43"/>
      <c r="FU460" s="43"/>
      <c r="FV460" s="43"/>
      <c r="FW460" s="43"/>
      <c r="FX460" s="43"/>
      <c r="FY460" s="43"/>
      <c r="FZ460" s="43"/>
      <c r="GA460" s="43"/>
      <c r="GB460" s="43"/>
      <c r="GC460" s="43"/>
      <c r="GD460" s="43"/>
      <c r="GE460" s="43"/>
      <c r="GF460" s="43"/>
      <c r="GG460" s="43"/>
      <c r="GH460" s="43"/>
      <c r="GI460" s="43"/>
      <c r="GJ460" s="43"/>
      <c r="GK460" s="43"/>
      <c r="GL460" s="43"/>
      <c r="GM460" s="43"/>
      <c r="GN460" s="43"/>
      <c r="GO460" s="43"/>
      <c r="GP460" s="43"/>
      <c r="GQ460" s="43"/>
      <c r="GR460" s="43"/>
      <c r="GS460" s="43"/>
      <c r="GT460" s="43"/>
      <c r="GU460" s="43"/>
      <c r="GV460" s="43"/>
      <c r="GW460" s="43"/>
      <c r="GX460" s="45"/>
      <c r="JF460" s="5"/>
      <c r="JO460" s="4"/>
      <c r="JZ460" s="12"/>
      <c r="KB460" s="9"/>
      <c r="KC460" s="10"/>
      <c r="KD460" s="10"/>
      <c r="KE460" s="10"/>
      <c r="KF460" s="10"/>
      <c r="KG460" s="10"/>
      <c r="KH460" s="10"/>
      <c r="KI460" s="10"/>
      <c r="KJ460" s="10"/>
      <c r="KK460" s="10"/>
      <c r="KL460" s="10"/>
      <c r="KM460" s="10"/>
      <c r="KN460" s="10"/>
      <c r="KO460" s="10"/>
      <c r="KP460" s="10"/>
      <c r="KQ460" s="10"/>
      <c r="KR460" s="10"/>
      <c r="KS460" s="10"/>
      <c r="KT460" s="10"/>
      <c r="KU460" s="10"/>
      <c r="KV460" s="10"/>
      <c r="KW460" s="10"/>
      <c r="KX460" s="10"/>
      <c r="KY460" s="10"/>
      <c r="KZ460" s="10"/>
      <c r="LA460" s="11"/>
      <c r="LB460" s="10"/>
      <c r="LC460" s="9"/>
      <c r="LD460" s="10"/>
      <c r="LE460" s="10"/>
      <c r="LF460" s="10"/>
      <c r="LG460" s="11"/>
      <c r="LH460" s="10"/>
      <c r="LI460" s="10"/>
      <c r="LJ460" s="10"/>
      <c r="LK460" s="10"/>
      <c r="LL460" s="11"/>
      <c r="LM460" s="9"/>
      <c r="LN460" s="10"/>
      <c r="LO460" s="10"/>
      <c r="LP460" s="10"/>
      <c r="LQ460" s="10"/>
      <c r="LR460" s="10"/>
      <c r="LS460" s="10"/>
      <c r="LT460" s="11"/>
      <c r="LV460" s="13"/>
      <c r="OD460" s="5"/>
    </row>
    <row r="461" spans="8:394" ht="18" customHeight="1">
      <c r="H461" s="4"/>
      <c r="AD461" s="12"/>
      <c r="AF461" s="12"/>
      <c r="AP461" s="12"/>
      <c r="AW461" s="13"/>
      <c r="AX461" s="18"/>
      <c r="AY461" s="12"/>
      <c r="BF461" s="13"/>
      <c r="BP461" s="13"/>
      <c r="BR461" s="13"/>
      <c r="DW461" s="5"/>
      <c r="EQ461" s="4"/>
      <c r="FB461" s="42"/>
      <c r="FC461" s="43"/>
      <c r="FD461" s="9"/>
      <c r="FE461" s="10"/>
      <c r="FF461" s="10"/>
      <c r="FG461" s="10"/>
      <c r="FH461" s="10"/>
      <c r="FI461" s="10"/>
      <c r="FJ461" s="10"/>
      <c r="FK461" s="10"/>
      <c r="FL461" s="10"/>
      <c r="FM461" s="10"/>
      <c r="FN461" s="10"/>
      <c r="FO461" s="10"/>
      <c r="FP461" s="10"/>
      <c r="FQ461" s="10"/>
      <c r="FR461" s="10"/>
      <c r="FS461" s="10"/>
      <c r="FT461" s="10"/>
      <c r="FU461" s="10"/>
      <c r="FV461" s="10"/>
      <c r="FW461" s="10"/>
      <c r="FX461" s="10"/>
      <c r="FY461" s="10"/>
      <c r="FZ461" s="10"/>
      <c r="GA461" s="10"/>
      <c r="GB461" s="10"/>
      <c r="GC461" s="11"/>
      <c r="GD461" s="10"/>
      <c r="GE461" s="9"/>
      <c r="GF461" s="10"/>
      <c r="GG461" s="10"/>
      <c r="GH461" s="10"/>
      <c r="GI461" s="11"/>
      <c r="GJ461" s="10"/>
      <c r="GK461" s="10"/>
      <c r="GL461" s="10"/>
      <c r="GM461" s="10"/>
      <c r="GN461" s="11"/>
      <c r="GO461" s="9"/>
      <c r="GP461" s="10"/>
      <c r="GQ461" s="10"/>
      <c r="GR461" s="10"/>
      <c r="GS461" s="10"/>
      <c r="GT461" s="10"/>
      <c r="GU461" s="10"/>
      <c r="GV461" s="11"/>
      <c r="GW461" s="43"/>
      <c r="GX461" s="45"/>
      <c r="JF461" s="5"/>
      <c r="JO461" s="4"/>
      <c r="JZ461" s="12"/>
      <c r="KB461" s="12"/>
      <c r="LA461" s="13"/>
      <c r="LC461" s="12"/>
      <c r="LG461" s="13"/>
      <c r="LL461" s="13"/>
      <c r="LM461" s="12"/>
      <c r="LT461" s="13"/>
      <c r="LV461" s="13"/>
      <c r="OD461" s="5"/>
    </row>
    <row r="462" spans="8:394" ht="18" customHeight="1">
      <c r="H462" s="4"/>
      <c r="AD462" s="12"/>
      <c r="AF462" s="12"/>
      <c r="AP462" s="12"/>
      <c r="AW462" s="13"/>
      <c r="AX462" s="18"/>
      <c r="AY462" s="12"/>
      <c r="BF462" s="13"/>
      <c r="BP462" s="13"/>
      <c r="BR462" s="13"/>
      <c r="DW462" s="5"/>
      <c r="EQ462" s="4"/>
      <c r="FB462" s="42"/>
      <c r="FC462" s="43"/>
      <c r="FD462" s="12"/>
      <c r="GC462" s="13"/>
      <c r="GE462" s="12"/>
      <c r="GI462" s="13"/>
      <c r="GN462" s="13"/>
      <c r="GO462" s="12"/>
      <c r="GV462" s="13"/>
      <c r="GW462" s="43"/>
      <c r="GX462" s="45"/>
      <c r="JF462" s="5"/>
      <c r="JO462" s="4"/>
      <c r="JZ462" s="12"/>
      <c r="KB462" s="12"/>
      <c r="LA462" s="13"/>
      <c r="LC462" s="12"/>
      <c r="LG462" s="13"/>
      <c r="LL462" s="13"/>
      <c r="LM462" s="12"/>
      <c r="LT462" s="13"/>
      <c r="LV462" s="13"/>
      <c r="OD462" s="5"/>
    </row>
    <row r="463" spans="8:394" ht="18" customHeight="1">
      <c r="H463" s="4"/>
      <c r="AD463" s="12"/>
      <c r="AF463" s="12"/>
      <c r="AP463" s="12"/>
      <c r="AW463" s="13"/>
      <c r="AX463" s="18"/>
      <c r="AY463" s="12"/>
      <c r="BF463" s="13"/>
      <c r="BP463" s="13"/>
      <c r="BR463" s="13"/>
      <c r="DW463" s="5"/>
      <c r="EQ463" s="4"/>
      <c r="FB463" s="42"/>
      <c r="FC463" s="43"/>
      <c r="FD463" s="12"/>
      <c r="GC463" s="13"/>
      <c r="GE463" s="12"/>
      <c r="GI463" s="13"/>
      <c r="GN463" s="13"/>
      <c r="GO463" s="12"/>
      <c r="GV463" s="13"/>
      <c r="GW463" s="43"/>
      <c r="GX463" s="45"/>
      <c r="JF463" s="5"/>
      <c r="JO463" s="4"/>
      <c r="JZ463" s="12"/>
      <c r="KB463" s="12"/>
      <c r="LA463" s="13"/>
      <c r="LC463" s="12"/>
      <c r="LG463" s="13"/>
      <c r="LL463" s="13"/>
      <c r="LM463" s="12"/>
      <c r="LT463" s="13"/>
      <c r="LV463" s="13"/>
      <c r="OD463" s="5"/>
    </row>
    <row r="464" spans="8:394" ht="18" customHeight="1">
      <c r="H464" s="4"/>
      <c r="AD464" s="12"/>
      <c r="AF464" s="14"/>
      <c r="AG464" s="15"/>
      <c r="AH464" s="15"/>
      <c r="AI464" s="15"/>
      <c r="AJ464" s="15"/>
      <c r="AK464" s="15"/>
      <c r="AL464" s="15"/>
      <c r="AM464" s="15"/>
      <c r="AN464" s="15"/>
      <c r="AO464" s="15"/>
      <c r="AP464" s="14"/>
      <c r="AQ464" s="15"/>
      <c r="AR464" s="15"/>
      <c r="AS464" s="15"/>
      <c r="AT464" s="15"/>
      <c r="AU464" s="15"/>
      <c r="AV464" s="15"/>
      <c r="AW464" s="16"/>
      <c r="AX464" s="19"/>
      <c r="AY464" s="14"/>
      <c r="AZ464" s="15"/>
      <c r="BA464" s="15"/>
      <c r="BB464" s="15"/>
      <c r="BC464" s="15"/>
      <c r="BD464" s="15"/>
      <c r="BE464" s="15"/>
      <c r="BF464" s="16"/>
      <c r="BG464" s="15"/>
      <c r="BH464" s="15"/>
      <c r="BI464" s="15"/>
      <c r="BJ464" s="15"/>
      <c r="BK464" s="15"/>
      <c r="BL464" s="15"/>
      <c r="BM464" s="15"/>
      <c r="BN464" s="15"/>
      <c r="BO464" s="15"/>
      <c r="BP464" s="16"/>
      <c r="BS464" s="10"/>
      <c r="BT464" s="10"/>
      <c r="BU464" s="10"/>
      <c r="BV464" s="10"/>
      <c r="BW464" s="10"/>
      <c r="BX464" s="10"/>
      <c r="BY464" s="10"/>
      <c r="BZ464" s="10"/>
      <c r="CA464" s="10"/>
      <c r="CB464" s="10"/>
      <c r="CC464" s="10"/>
      <c r="CD464" s="11"/>
      <c r="DW464" s="5"/>
      <c r="EQ464" s="4"/>
      <c r="FB464" s="42"/>
      <c r="FC464" s="43"/>
      <c r="FD464" s="12"/>
      <c r="GC464" s="13"/>
      <c r="GE464" s="12"/>
      <c r="GI464" s="13"/>
      <c r="GN464" s="13"/>
      <c r="GO464" s="12"/>
      <c r="GV464" s="13"/>
      <c r="GW464" s="43"/>
      <c r="GX464" s="45"/>
      <c r="JF464" s="5"/>
      <c r="JO464" s="4"/>
      <c r="JZ464" s="12"/>
      <c r="KB464" s="12"/>
      <c r="LA464" s="13"/>
      <c r="LC464" s="14"/>
      <c r="LD464" s="15"/>
      <c r="LE464" s="15"/>
      <c r="LF464" s="15"/>
      <c r="LG464" s="16"/>
      <c r="LH464" s="15"/>
      <c r="LI464" s="15"/>
      <c r="LJ464" s="15"/>
      <c r="LK464" s="15"/>
      <c r="LL464" s="16"/>
      <c r="LM464" s="12"/>
      <c r="LT464" s="13"/>
      <c r="LV464" s="13"/>
      <c r="OD464" s="5"/>
    </row>
    <row r="465" spans="8:394" ht="18" customHeight="1">
      <c r="H465" s="4"/>
      <c r="AD465" s="12"/>
      <c r="AF465" s="15"/>
      <c r="AG465" s="100"/>
      <c r="AH465" s="100"/>
      <c r="AI465" s="100"/>
      <c r="AJ465" s="100"/>
      <c r="AK465" s="100"/>
      <c r="AL465" s="15"/>
      <c r="AM465" s="15"/>
      <c r="AN465" s="15"/>
      <c r="AO465" s="15"/>
      <c r="AP465" s="15"/>
      <c r="AQ465" s="15"/>
      <c r="AR465" s="15"/>
      <c r="AS465" s="15"/>
      <c r="AT465" s="15"/>
      <c r="AU465" s="15"/>
      <c r="AV465" s="15"/>
      <c r="AW465" s="15"/>
      <c r="AX465" s="15"/>
      <c r="AY465" s="15"/>
      <c r="AZ465" s="15"/>
      <c r="BA465" s="15"/>
      <c r="BB465" s="15"/>
      <c r="BC465" s="15"/>
      <c r="BD465" s="15"/>
      <c r="BE465" s="15"/>
      <c r="BF465" s="15"/>
      <c r="BG465" s="15"/>
      <c r="BH465" s="100"/>
      <c r="BI465" s="100"/>
      <c r="BJ465" s="100"/>
      <c r="BK465" s="100"/>
      <c r="BL465" s="100"/>
      <c r="BM465" s="15"/>
      <c r="BN465" s="15"/>
      <c r="BO465" s="15"/>
      <c r="BP465" s="15"/>
      <c r="BQ465" s="15"/>
      <c r="BR465" s="15"/>
      <c r="CD465" s="13"/>
      <c r="DW465" s="5"/>
      <c r="EQ465" s="4"/>
      <c r="FB465" s="42"/>
      <c r="FC465" s="43"/>
      <c r="FD465" s="12"/>
      <c r="GC465" s="13"/>
      <c r="GE465" s="14"/>
      <c r="GF465" s="15"/>
      <c r="GG465" s="15"/>
      <c r="GH465" s="15"/>
      <c r="GI465" s="16"/>
      <c r="GJ465" s="15"/>
      <c r="GK465" s="15"/>
      <c r="GL465" s="15"/>
      <c r="GM465" s="15"/>
      <c r="GN465" s="16"/>
      <c r="GO465" s="12"/>
      <c r="GV465" s="13"/>
      <c r="GW465" s="43"/>
      <c r="GX465" s="45"/>
      <c r="JF465" s="5"/>
      <c r="JO465" s="4"/>
      <c r="JZ465" s="12"/>
      <c r="KB465" s="12"/>
      <c r="LA465" s="13"/>
      <c r="LC465" s="12"/>
      <c r="LM465" s="12"/>
      <c r="LT465" s="13"/>
      <c r="LV465" s="13"/>
      <c r="OD465" s="5"/>
    </row>
    <row r="466" spans="8:394" ht="18" customHeight="1">
      <c r="H466" s="4"/>
      <c r="AD466" s="12"/>
      <c r="AF466" s="12"/>
      <c r="BD466" s="18"/>
      <c r="BE466" t="s">
        <v>45</v>
      </c>
      <c r="BS466" s="10"/>
      <c r="BT466" s="10"/>
      <c r="BU466" s="10"/>
      <c r="BV466" s="10"/>
      <c r="BW466" s="10"/>
      <c r="BX466" s="10"/>
      <c r="BY466" s="10"/>
      <c r="BZ466" s="10"/>
      <c r="CA466" s="10"/>
      <c r="CB466" s="11"/>
      <c r="CD466" s="13"/>
      <c r="DW466" s="5"/>
      <c r="EQ466" s="4"/>
      <c r="FB466" s="42"/>
      <c r="FC466" s="43"/>
      <c r="FD466" s="12"/>
      <c r="GC466" s="13"/>
      <c r="GE466" s="12"/>
      <c r="GO466" s="12"/>
      <c r="GV466" s="13"/>
      <c r="GW466" s="43"/>
      <c r="GX466" s="45"/>
      <c r="JF466" s="5"/>
      <c r="JO466" s="4"/>
      <c r="JZ466" s="12"/>
      <c r="KB466" s="12"/>
      <c r="LA466" s="13"/>
      <c r="LC466" s="12"/>
      <c r="LM466" s="12"/>
      <c r="LT466" s="13"/>
      <c r="LV466" s="13"/>
      <c r="OD466" s="5"/>
    </row>
    <row r="467" spans="8:394" ht="18" customHeight="1">
      <c r="H467" s="4"/>
      <c r="AD467" s="12"/>
      <c r="AF467" s="12"/>
      <c r="BD467" s="24"/>
      <c r="CB467" s="13"/>
      <c r="CD467" s="13"/>
      <c r="DW467" s="5"/>
      <c r="EQ467" s="4"/>
      <c r="FB467" s="42"/>
      <c r="FC467" s="43"/>
      <c r="FD467" s="12"/>
      <c r="GC467" s="13"/>
      <c r="GE467" s="12"/>
      <c r="GO467" s="12"/>
      <c r="GV467" s="13"/>
      <c r="GW467" s="43"/>
      <c r="GX467" s="45"/>
      <c r="JF467" s="5"/>
      <c r="JO467" s="4"/>
      <c r="JZ467" s="12"/>
      <c r="KB467" s="12"/>
      <c r="LA467" s="13"/>
      <c r="LC467" s="12"/>
      <c r="LM467" s="12"/>
      <c r="LT467" s="13"/>
      <c r="LV467" s="13"/>
      <c r="OD467" s="5"/>
    </row>
    <row r="468" spans="8:394" ht="18" customHeight="1">
      <c r="H468" s="4"/>
      <c r="AD468" s="12"/>
      <c r="AF468" s="12"/>
      <c r="BD468" s="24"/>
      <c r="CB468" s="13"/>
      <c r="CD468" s="13"/>
      <c r="DW468" s="5"/>
      <c r="EQ468" s="4"/>
      <c r="FB468" s="42"/>
      <c r="FC468" s="43"/>
      <c r="FD468" s="12"/>
      <c r="GC468" s="13"/>
      <c r="GE468" s="12"/>
      <c r="GO468" s="12"/>
      <c r="GV468" s="13"/>
      <c r="GW468" s="43"/>
      <c r="GX468" s="45"/>
      <c r="JF468" s="5"/>
      <c r="JO468" s="4"/>
      <c r="JZ468" s="12"/>
      <c r="KB468" s="12"/>
      <c r="LA468" s="13"/>
      <c r="LC468" s="12"/>
      <c r="LM468" s="12"/>
      <c r="LT468" s="13"/>
      <c r="LV468" s="13"/>
      <c r="LX468" s="15"/>
      <c r="LY468" s="15"/>
      <c r="LZ468" s="15"/>
      <c r="MA468" s="15"/>
      <c r="MB468" s="15"/>
      <c r="MC468" s="15"/>
      <c r="MD468" s="15"/>
      <c r="ME468" s="15"/>
      <c r="MF468" s="15"/>
      <c r="MG468" s="15"/>
      <c r="MH468" s="15"/>
      <c r="MI468" s="15"/>
      <c r="MJ468" s="15"/>
      <c r="MK468" s="15"/>
      <c r="OD468" s="5"/>
    </row>
    <row r="469" spans="8:394" ht="18" customHeight="1">
      <c r="H469" s="4"/>
      <c r="AD469" s="12"/>
      <c r="AF469" s="12"/>
      <c r="BD469" s="24"/>
      <c r="CB469" s="13"/>
      <c r="CD469" s="13"/>
      <c r="DW469" s="5"/>
      <c r="EQ469" s="4"/>
      <c r="FB469" s="42"/>
      <c r="FC469" s="43"/>
      <c r="FD469" s="12"/>
      <c r="GC469" s="13"/>
      <c r="GE469" s="12"/>
      <c r="GO469" s="12"/>
      <c r="GV469" s="13"/>
      <c r="GW469" s="43"/>
      <c r="GX469" s="45"/>
      <c r="GZ469" s="15"/>
      <c r="HA469" s="15"/>
      <c r="HB469" s="15"/>
      <c r="HC469" s="15"/>
      <c r="HD469" s="15"/>
      <c r="HE469" s="15"/>
      <c r="HF469" s="15"/>
      <c r="HG469" s="15"/>
      <c r="HH469" s="15"/>
      <c r="HI469" s="15"/>
      <c r="HJ469" s="15"/>
      <c r="HK469" s="15"/>
      <c r="JF469" s="5"/>
      <c r="JO469" s="4"/>
      <c r="JZ469" s="12"/>
      <c r="KB469" s="12"/>
      <c r="LA469" s="13"/>
      <c r="LC469" s="14"/>
      <c r="LD469" s="15"/>
      <c r="LE469" s="15"/>
      <c r="LF469" s="15"/>
      <c r="LG469" s="15"/>
      <c r="LH469" s="15"/>
      <c r="LI469" s="15"/>
      <c r="LJ469" s="15"/>
      <c r="LK469" s="15"/>
      <c r="LL469" s="15"/>
      <c r="LM469" s="14"/>
      <c r="LN469" s="15"/>
      <c r="LO469" s="15"/>
      <c r="LP469" s="15"/>
      <c r="LQ469" s="15"/>
      <c r="LR469" s="15"/>
      <c r="LS469" s="15"/>
      <c r="LT469" s="16"/>
      <c r="LW469" s="10"/>
      <c r="MB469" s="20"/>
      <c r="MC469" s="21"/>
      <c r="MD469" s="21"/>
      <c r="ME469" s="21"/>
      <c r="MF469" s="21"/>
      <c r="MG469" s="22"/>
      <c r="MK469" s="11"/>
      <c r="OD469" s="5"/>
    </row>
    <row r="470" spans="8:394" ht="18" customHeight="1">
      <c r="H470" s="4"/>
      <c r="AD470" s="12"/>
      <c r="AF470" s="12"/>
      <c r="BD470" s="24"/>
      <c r="CB470" s="13"/>
      <c r="CD470" s="13"/>
      <c r="DW470" s="5"/>
      <c r="EQ470" s="4"/>
      <c r="FB470" s="42"/>
      <c r="FC470" s="43"/>
      <c r="FD470" s="12"/>
      <c r="GC470" s="13"/>
      <c r="GE470" s="14"/>
      <c r="GF470" s="15"/>
      <c r="GG470" s="15"/>
      <c r="GH470" s="15"/>
      <c r="GI470" s="15"/>
      <c r="GJ470" s="15"/>
      <c r="GK470" s="15"/>
      <c r="GL470" s="15"/>
      <c r="GM470" s="15"/>
      <c r="GN470" s="15"/>
      <c r="GO470" s="14"/>
      <c r="GP470" s="15"/>
      <c r="GQ470" s="15"/>
      <c r="GR470" s="15"/>
      <c r="GS470" s="15"/>
      <c r="GT470" s="15"/>
      <c r="GU470" s="15"/>
      <c r="GV470" s="16"/>
      <c r="GW470" s="43"/>
      <c r="GX470" s="43"/>
      <c r="GY470" s="41"/>
      <c r="GZ470" s="43"/>
      <c r="HA470" s="43"/>
      <c r="HB470" s="123"/>
      <c r="HC470" s="109"/>
      <c r="HD470" s="109"/>
      <c r="HE470" s="109"/>
      <c r="HF470" s="109"/>
      <c r="HG470" s="124"/>
      <c r="HH470" s="43"/>
      <c r="HI470" s="43"/>
      <c r="HJ470" s="43"/>
      <c r="HK470" s="44"/>
      <c r="JF470" s="5"/>
      <c r="JO470" s="4"/>
      <c r="JZ470" s="12"/>
      <c r="KB470" s="12"/>
      <c r="LA470" s="13"/>
      <c r="LC470" s="15"/>
      <c r="LD470" s="15"/>
      <c r="LE470" s="100"/>
      <c r="LF470" s="100"/>
      <c r="LG470" s="100"/>
      <c r="LH470" s="100"/>
      <c r="LI470" s="100"/>
      <c r="LJ470" s="15"/>
      <c r="LK470" s="15"/>
      <c r="LL470" s="15"/>
      <c r="LM470" s="15"/>
      <c r="LN470" s="15"/>
      <c r="LO470" s="15"/>
      <c r="LP470" s="15"/>
      <c r="LQ470" s="15"/>
      <c r="LR470" s="15"/>
      <c r="LS470" s="15"/>
      <c r="LT470" s="15"/>
      <c r="LU470" s="15"/>
      <c r="LV470" s="15"/>
      <c r="LX470" s="15"/>
      <c r="LY470" s="15"/>
      <c r="LZ470" s="15"/>
      <c r="MA470" s="15"/>
      <c r="MB470" s="20"/>
      <c r="MC470" s="21"/>
      <c r="MD470" s="21"/>
      <c r="ME470" s="21"/>
      <c r="MF470" s="21"/>
      <c r="MG470" s="22"/>
      <c r="MK470" s="13"/>
      <c r="OD470" s="5"/>
    </row>
    <row r="471" spans="8:394" ht="18" customHeight="1">
      <c r="H471" s="4"/>
      <c r="AD471" s="12"/>
      <c r="AF471" s="12"/>
      <c r="BD471" s="24"/>
      <c r="BY471" s="9"/>
      <c r="BZ471" s="10"/>
      <c r="CA471" s="10"/>
      <c r="CB471" s="11"/>
      <c r="CD471" s="13"/>
      <c r="DW471" s="5"/>
      <c r="EQ471" s="4"/>
      <c r="FB471" s="42"/>
      <c r="FC471" s="43"/>
      <c r="FD471" s="12"/>
      <c r="GC471" s="13"/>
      <c r="GE471" s="15"/>
      <c r="GF471" s="15"/>
      <c r="GG471" s="100"/>
      <c r="GH471" s="100"/>
      <c r="GI471" s="100"/>
      <c r="GJ471" s="100"/>
      <c r="GK471" s="100"/>
      <c r="GL471" s="15"/>
      <c r="GM471" s="15"/>
      <c r="GN471" s="15"/>
      <c r="GO471" s="15"/>
      <c r="GP471" s="15"/>
      <c r="GQ471" s="15"/>
      <c r="GR471" s="15"/>
      <c r="GS471" s="15"/>
      <c r="GT471" s="15"/>
      <c r="GU471" s="15"/>
      <c r="GV471" s="15"/>
      <c r="GW471" s="47"/>
      <c r="GX471" s="47"/>
      <c r="GY471" s="43"/>
      <c r="GZ471" s="47"/>
      <c r="HA471" s="47"/>
      <c r="HB471" s="123"/>
      <c r="HC471" s="109"/>
      <c r="HD471" s="109"/>
      <c r="HE471" s="109"/>
      <c r="HF471" s="109"/>
      <c r="HG471" s="124"/>
      <c r="HH471" s="43"/>
      <c r="HI471" s="43"/>
      <c r="HJ471" s="43"/>
      <c r="HK471" s="45"/>
      <c r="JF471" s="5"/>
      <c r="JO471" s="4"/>
      <c r="JZ471" s="12"/>
      <c r="KB471" s="12"/>
      <c r="LA471" s="13"/>
      <c r="LC471" s="9"/>
      <c r="LD471" s="10"/>
      <c r="LE471" s="10"/>
      <c r="LF471" s="10"/>
      <c r="LG471" s="10"/>
      <c r="LH471" s="10"/>
      <c r="LI471" s="10"/>
      <c r="LJ471" s="10"/>
      <c r="LK471" s="10"/>
      <c r="LL471" s="10"/>
      <c r="LM471" s="10"/>
      <c r="LN471" s="10"/>
      <c r="LO471" s="10"/>
      <c r="LP471" s="10"/>
      <c r="LQ471" s="10"/>
      <c r="LR471" s="10"/>
      <c r="LS471" s="10"/>
      <c r="LT471" s="10"/>
      <c r="LU471" s="10"/>
      <c r="LV471" s="10"/>
      <c r="LW471" s="10"/>
      <c r="LX471" s="10"/>
      <c r="LY471" s="10"/>
      <c r="LZ471" s="10"/>
      <c r="MA471" s="10"/>
      <c r="MB471" s="10"/>
      <c r="MC471" s="10"/>
      <c r="MD471" s="10"/>
      <c r="ME471" s="10"/>
      <c r="MF471" s="10"/>
      <c r="MG471" s="10"/>
      <c r="MH471" s="10"/>
      <c r="MI471" s="11"/>
      <c r="MK471" s="13"/>
      <c r="OD471" s="5"/>
    </row>
    <row r="472" spans="8:394" ht="18" customHeight="1">
      <c r="H472" s="4"/>
      <c r="AD472" s="12"/>
      <c r="AF472" s="12"/>
      <c r="BD472" s="24"/>
      <c r="BY472" s="12"/>
      <c r="CB472" s="13"/>
      <c r="CD472" s="13"/>
      <c r="DW472" s="5"/>
      <c r="EQ472" s="4"/>
      <c r="FB472" s="42"/>
      <c r="FC472" s="43"/>
      <c r="FD472" s="12"/>
      <c r="GC472" s="13"/>
      <c r="GE472" s="9"/>
      <c r="GF472" s="10"/>
      <c r="GG472" s="10"/>
      <c r="GH472" s="10"/>
      <c r="GI472" s="10"/>
      <c r="GJ472" s="10"/>
      <c r="GK472" s="10"/>
      <c r="GL472" s="10"/>
      <c r="GM472" s="10"/>
      <c r="GN472" t="s">
        <v>45</v>
      </c>
      <c r="GO472" s="10"/>
      <c r="GP472" s="10"/>
      <c r="GQ472" s="10"/>
      <c r="GR472" s="10"/>
      <c r="GS472" s="10"/>
      <c r="GT472" s="10"/>
      <c r="GU472" s="10"/>
      <c r="GV472" s="10"/>
      <c r="GW472" s="10"/>
      <c r="GX472" s="10"/>
      <c r="GY472" s="10"/>
      <c r="GZ472" s="10"/>
      <c r="HA472" s="10"/>
      <c r="HB472" s="10"/>
      <c r="HC472" s="10"/>
      <c r="HD472" s="10"/>
      <c r="HE472" s="10"/>
      <c r="HF472" s="10"/>
      <c r="HG472" s="10"/>
      <c r="HH472" s="10"/>
      <c r="HI472" s="11"/>
      <c r="HJ472" s="43"/>
      <c r="HK472" s="45"/>
      <c r="JF472" s="5"/>
      <c r="JO472" s="4"/>
      <c r="JZ472" s="12"/>
      <c r="KB472" s="12"/>
      <c r="LA472" s="13"/>
      <c r="LC472" s="12"/>
      <c r="MI472" s="13"/>
      <c r="MK472" s="13"/>
      <c r="OD472" s="5"/>
    </row>
    <row r="473" spans="8:394" ht="18" customHeight="1">
      <c r="H473" s="4"/>
      <c r="AD473" s="12"/>
      <c r="AF473" s="12"/>
      <c r="BD473" s="18"/>
      <c r="BS473" s="9"/>
      <c r="BT473" s="10"/>
      <c r="BU473" s="10"/>
      <c r="BV473" s="11"/>
      <c r="BY473" s="12"/>
      <c r="CB473" s="13"/>
      <c r="CD473" s="13"/>
      <c r="DW473" s="5"/>
      <c r="EQ473" s="4"/>
      <c r="FB473" s="42"/>
      <c r="FC473" s="43"/>
      <c r="FD473" s="12"/>
      <c r="GC473" s="13"/>
      <c r="GE473" s="12"/>
      <c r="HI473" s="13"/>
      <c r="HJ473" s="43"/>
      <c r="HK473" s="45"/>
      <c r="JF473" s="5"/>
      <c r="JO473" s="4"/>
      <c r="JZ473" s="12"/>
      <c r="KB473" s="12"/>
      <c r="LA473" s="13"/>
      <c r="LC473" s="12"/>
      <c r="MI473" s="13"/>
      <c r="MK473" s="13"/>
      <c r="OD473" s="5"/>
    </row>
    <row r="474" spans="8:394" ht="18" customHeight="1">
      <c r="H474" s="4"/>
      <c r="AD474" s="12"/>
      <c r="AF474" s="12"/>
      <c r="BD474" s="18"/>
      <c r="BS474" s="12"/>
      <c r="BV474" s="13"/>
      <c r="BY474" s="12"/>
      <c r="CB474" s="13"/>
      <c r="CD474" s="13"/>
      <c r="DW474" s="5"/>
      <c r="EQ474" s="4"/>
      <c r="FB474" s="42"/>
      <c r="FC474" s="43"/>
      <c r="FD474" s="12"/>
      <c r="GC474" s="13"/>
      <c r="GD474" s="127"/>
      <c r="GE474" s="12"/>
      <c r="HI474" s="13"/>
      <c r="HJ474" s="43"/>
      <c r="HK474" s="45"/>
      <c r="JF474" s="5"/>
      <c r="JO474" s="4"/>
      <c r="JZ474" s="12"/>
      <c r="KB474" s="12"/>
      <c r="LA474" s="13"/>
      <c r="LB474" s="127"/>
      <c r="LC474" s="12"/>
      <c r="MI474" s="13"/>
      <c r="MK474" s="13"/>
      <c r="OD474" s="5"/>
    </row>
    <row r="475" spans="8:394" ht="18" customHeight="1">
      <c r="H475" s="4"/>
      <c r="AD475" s="12"/>
      <c r="AF475" s="12"/>
      <c r="BD475" s="18"/>
      <c r="BE475" s="15"/>
      <c r="BF475" s="15"/>
      <c r="BS475" s="12"/>
      <c r="BV475" s="13"/>
      <c r="BY475" s="12"/>
      <c r="CB475" s="13"/>
      <c r="CD475" s="13"/>
      <c r="DW475" s="5"/>
      <c r="EQ475" s="4"/>
      <c r="FB475" s="42"/>
      <c r="FC475" s="43"/>
      <c r="FD475" s="12"/>
      <c r="GC475" s="13"/>
      <c r="GD475" s="127"/>
      <c r="GE475" s="12"/>
      <c r="HI475" s="13"/>
      <c r="HJ475" s="43"/>
      <c r="HK475" s="45"/>
      <c r="JF475" s="5"/>
      <c r="JO475" s="4"/>
      <c r="JZ475" s="12"/>
      <c r="KB475" s="12"/>
      <c r="LA475" s="13"/>
      <c r="LB475" s="127"/>
      <c r="LC475" s="12"/>
      <c r="MI475" s="13"/>
      <c r="MK475" s="13"/>
      <c r="OD475" s="5"/>
    </row>
    <row r="476" spans="8:394" ht="18" customHeight="1">
      <c r="H476" s="4"/>
      <c r="AD476" s="12"/>
      <c r="AF476" s="12"/>
      <c r="BD476" s="18"/>
      <c r="BE476" s="10"/>
      <c r="BF476" s="10"/>
      <c r="BG476" s="11"/>
      <c r="BS476" s="14"/>
      <c r="BT476" s="15"/>
      <c r="BU476" s="15"/>
      <c r="BV476" s="16"/>
      <c r="BY476" s="12"/>
      <c r="CB476" s="13"/>
      <c r="CD476" s="13"/>
      <c r="DW476" s="5"/>
      <c r="EQ476" s="4"/>
      <c r="FB476" s="42"/>
      <c r="FC476" s="43"/>
      <c r="FD476" s="12"/>
      <c r="GC476" s="13"/>
      <c r="GD476" s="127"/>
      <c r="GE476" s="12"/>
      <c r="HF476" s="9"/>
      <c r="HG476" s="10"/>
      <c r="HH476" s="10"/>
      <c r="HI476" s="11"/>
      <c r="HJ476" s="43"/>
      <c r="HK476" s="45"/>
      <c r="JF476" s="5"/>
      <c r="JO476" s="4"/>
      <c r="JZ476" s="12"/>
      <c r="KB476" s="12"/>
      <c r="LA476" s="13"/>
      <c r="LB476" s="127"/>
      <c r="LC476" s="12"/>
      <c r="MF476" s="9"/>
      <c r="MG476" s="10"/>
      <c r="MH476" s="10"/>
      <c r="MI476" s="11"/>
      <c r="MK476" s="13"/>
      <c r="OD476" s="5"/>
    </row>
    <row r="477" spans="8:394" ht="18" customHeight="1">
      <c r="H477" s="4"/>
      <c r="AD477" s="12"/>
      <c r="AF477" s="12"/>
      <c r="BD477" s="18"/>
      <c r="BG477" s="13"/>
      <c r="BY477" s="12"/>
      <c r="CB477" s="13"/>
      <c r="CD477" s="13"/>
      <c r="DW477" s="5"/>
      <c r="EQ477" s="4"/>
      <c r="FB477" s="42"/>
      <c r="FC477" s="43"/>
      <c r="FD477" s="12"/>
      <c r="GC477" s="13"/>
      <c r="GD477" s="127"/>
      <c r="GE477" s="12"/>
      <c r="HF477" s="12"/>
      <c r="HI477" s="13"/>
      <c r="HJ477" s="43"/>
      <c r="HK477" s="45"/>
      <c r="JF477" s="5"/>
      <c r="JO477" s="4"/>
      <c r="JZ477" s="12"/>
      <c r="KB477" s="12"/>
      <c r="LA477" s="13"/>
      <c r="LB477" s="127"/>
      <c r="LC477" s="12"/>
      <c r="MF477" s="12"/>
      <c r="MI477" s="13"/>
      <c r="MK477" s="13"/>
      <c r="OD477" s="5"/>
    </row>
    <row r="478" spans="8:394" ht="18" customHeight="1">
      <c r="H478" s="4"/>
      <c r="AD478" s="12"/>
      <c r="AF478" s="12"/>
      <c r="BD478" s="18"/>
      <c r="BE478" s="15"/>
      <c r="BF478" s="15"/>
      <c r="BG478" s="16"/>
      <c r="BY478" s="14"/>
      <c r="BZ478" s="15"/>
      <c r="CA478" s="15"/>
      <c r="CB478" s="16"/>
      <c r="CD478" s="13"/>
      <c r="DW478" s="5"/>
      <c r="EQ478" s="4"/>
      <c r="FB478" s="42"/>
      <c r="FC478" s="43"/>
      <c r="FD478" s="12"/>
      <c r="GC478" s="13"/>
      <c r="GD478" s="127"/>
      <c r="GE478" s="12"/>
      <c r="GZ478" s="9"/>
      <c r="HA478" s="10"/>
      <c r="HB478" s="10"/>
      <c r="HC478" s="11"/>
      <c r="HF478" s="12"/>
      <c r="HI478" s="13"/>
      <c r="HJ478" s="43"/>
      <c r="HK478" s="45"/>
      <c r="JF478" s="5"/>
      <c r="JO478" s="4"/>
      <c r="JZ478" s="12"/>
      <c r="KB478" s="12"/>
      <c r="LA478" s="13"/>
      <c r="LB478" s="127"/>
      <c r="LC478" s="12"/>
      <c r="LZ478" s="9"/>
      <c r="MA478" s="10"/>
      <c r="MB478" s="10"/>
      <c r="MC478" s="11"/>
      <c r="MF478" s="12"/>
      <c r="MI478" s="13"/>
      <c r="MK478" s="13"/>
      <c r="OD478" s="5"/>
    </row>
    <row r="479" spans="8:394" ht="18" customHeight="1">
      <c r="H479" s="4"/>
      <c r="AD479" s="12"/>
      <c r="AF479" s="12"/>
      <c r="BD479" s="18"/>
      <c r="BE479" s="10"/>
      <c r="BF479" s="10"/>
      <c r="BG479" s="10"/>
      <c r="BH479" s="10"/>
      <c r="BI479" s="10"/>
      <c r="BJ479" s="11"/>
      <c r="CB479" s="13"/>
      <c r="CD479" s="13"/>
      <c r="DW479" s="5"/>
      <c r="EQ479" s="4"/>
      <c r="FB479" s="42"/>
      <c r="FC479" s="43"/>
      <c r="FD479" s="12"/>
      <c r="GC479" s="13"/>
      <c r="GD479" s="127"/>
      <c r="GE479" s="12"/>
      <c r="GZ479" s="12"/>
      <c r="HC479" s="13"/>
      <c r="HF479" s="12"/>
      <c r="HI479" s="13"/>
      <c r="HJ479" s="43"/>
      <c r="HK479" s="45"/>
      <c r="JF479" s="5"/>
      <c r="JO479" s="4"/>
      <c r="JZ479" s="12"/>
      <c r="KB479" s="12"/>
      <c r="LA479" s="13"/>
      <c r="LB479" s="127"/>
      <c r="LC479" s="12"/>
      <c r="LZ479" s="12"/>
      <c r="MC479" s="13"/>
      <c r="MF479" s="12"/>
      <c r="MI479" s="13"/>
      <c r="MK479" s="13"/>
      <c r="OD479" s="5"/>
    </row>
    <row r="480" spans="8:394" ht="18" customHeight="1">
      <c r="H480" s="4"/>
      <c r="AD480" s="12"/>
      <c r="AF480" s="12"/>
      <c r="BD480" s="18"/>
      <c r="BE480" s="10"/>
      <c r="BF480" s="11"/>
      <c r="BG480" s="10"/>
      <c r="BH480" s="10"/>
      <c r="BI480" s="10"/>
      <c r="BJ480" s="11"/>
      <c r="CB480" s="13"/>
      <c r="CD480" s="13"/>
      <c r="DW480" s="5"/>
      <c r="EQ480" s="4"/>
      <c r="FB480" s="42"/>
      <c r="FC480" s="43"/>
      <c r="FD480" s="14"/>
      <c r="FE480" s="15"/>
      <c r="FF480" s="15"/>
      <c r="FG480" s="15"/>
      <c r="FH480" s="15"/>
      <c r="FI480" s="15"/>
      <c r="FJ480" s="15"/>
      <c r="FK480" s="15"/>
      <c r="FL480" s="15"/>
      <c r="FM480" s="15"/>
      <c r="FN480" s="15"/>
      <c r="FO480" s="15"/>
      <c r="FP480" s="15"/>
      <c r="FQ480" s="15"/>
      <c r="FR480" s="15"/>
      <c r="FS480" s="15"/>
      <c r="FT480" s="15"/>
      <c r="FU480" s="15"/>
      <c r="FV480" s="15"/>
      <c r="FW480" s="15"/>
      <c r="FX480" s="15"/>
      <c r="FY480" s="15"/>
      <c r="FZ480" s="15"/>
      <c r="GA480" s="15"/>
      <c r="GB480" s="15"/>
      <c r="GC480" s="16"/>
      <c r="GE480" s="14"/>
      <c r="GF480" s="15"/>
      <c r="GG480" s="15"/>
      <c r="GH480" s="15"/>
      <c r="GI480" s="15"/>
      <c r="GJ480" s="15"/>
      <c r="GK480" s="15"/>
      <c r="GL480" s="15"/>
      <c r="GM480" s="15"/>
      <c r="GZ480" s="12"/>
      <c r="HC480" s="13"/>
      <c r="HF480" s="12"/>
      <c r="HI480" s="13"/>
      <c r="HJ480" s="43"/>
      <c r="HK480" s="45"/>
      <c r="HU480" s="155"/>
      <c r="JE480" s="9"/>
      <c r="JF480" s="11"/>
      <c r="JO480" s="4"/>
      <c r="JZ480" s="12"/>
      <c r="KB480" s="14"/>
      <c r="KC480" s="15"/>
      <c r="KD480" s="15"/>
      <c r="KE480" s="15"/>
      <c r="KF480" s="15"/>
      <c r="KG480" s="15"/>
      <c r="KH480" s="15"/>
      <c r="KI480" s="15"/>
      <c r="KJ480" s="15"/>
      <c r="KK480" s="15"/>
      <c r="KL480" s="15"/>
      <c r="KM480" s="15"/>
      <c r="KN480" s="15"/>
      <c r="KO480" s="15"/>
      <c r="KP480" s="15"/>
      <c r="KQ480" s="15"/>
      <c r="KR480" s="15"/>
      <c r="KS480" s="15"/>
      <c r="KT480" s="15"/>
      <c r="KU480" s="15"/>
      <c r="KV480" s="15"/>
      <c r="KW480" s="15"/>
      <c r="KX480" s="15"/>
      <c r="KY480" s="15"/>
      <c r="KZ480" s="15"/>
      <c r="LA480" s="16"/>
      <c r="LC480" s="14"/>
      <c r="LD480" s="15"/>
      <c r="LE480" s="15"/>
      <c r="LF480" s="15"/>
      <c r="LG480" s="15"/>
      <c r="LH480" s="15"/>
      <c r="LI480" s="15"/>
      <c r="LJ480" s="15"/>
      <c r="LK480" s="15"/>
      <c r="LZ480" s="12"/>
      <c r="MC480" s="13"/>
      <c r="MF480" s="12"/>
      <c r="MI480" s="13"/>
      <c r="MK480" s="13"/>
      <c r="OC480" s="9"/>
      <c r="OD480" s="11"/>
    </row>
    <row r="481" spans="8:394" ht="18" customHeight="1">
      <c r="H481" s="4"/>
      <c r="AD481" s="12"/>
      <c r="AF481" s="12"/>
      <c r="BD481" s="18"/>
      <c r="BF481" s="13"/>
      <c r="BJ481" s="13"/>
      <c r="CB481" s="13"/>
      <c r="CD481" s="13"/>
      <c r="DW481" s="5"/>
      <c r="EQ481" s="4"/>
      <c r="FB481" s="42"/>
      <c r="FC481" s="43"/>
      <c r="FH481" s="127"/>
      <c r="FI481" s="127"/>
      <c r="FJ481" s="127"/>
      <c r="FK481" s="127"/>
      <c r="FL481" s="127"/>
      <c r="GF481" s="127"/>
      <c r="GG481" s="127"/>
      <c r="GH481" s="127"/>
      <c r="GI481" s="127"/>
      <c r="GJ481" s="127"/>
      <c r="GK481" s="127"/>
      <c r="GN481" s="12"/>
      <c r="GZ481" s="14"/>
      <c r="HA481" s="15"/>
      <c r="HB481" s="15"/>
      <c r="HC481" s="16"/>
      <c r="HF481" s="12"/>
      <c r="HI481" s="13"/>
      <c r="HJ481" s="43"/>
      <c r="HK481" s="45"/>
      <c r="HU481" s="156"/>
      <c r="JE481" s="12"/>
      <c r="JF481" s="13"/>
      <c r="JO481" s="4"/>
      <c r="JZ481" s="12"/>
      <c r="KF481" s="127"/>
      <c r="KG481" s="127"/>
      <c r="KH481" s="127"/>
      <c r="KI481" s="127"/>
      <c r="KJ481" s="127"/>
      <c r="LD481" s="127"/>
      <c r="LE481" s="127"/>
      <c r="LF481" s="127"/>
      <c r="LG481" s="127"/>
      <c r="LH481" s="127"/>
      <c r="LI481" s="127"/>
      <c r="LL481" s="12"/>
      <c r="LZ481" s="14"/>
      <c r="MA481" s="15"/>
      <c r="MB481" s="15"/>
      <c r="MC481" s="16"/>
      <c r="MF481" s="12"/>
      <c r="MI481" s="13"/>
      <c r="MK481" s="13"/>
      <c r="OC481" s="12"/>
      <c r="OD481" s="13"/>
    </row>
    <row r="482" spans="8:394" ht="18" customHeight="1">
      <c r="H482" s="4"/>
      <c r="AD482" s="12"/>
      <c r="AF482" s="12"/>
      <c r="BD482" s="18"/>
      <c r="BF482" s="13"/>
      <c r="BJ482" s="13"/>
      <c r="CB482" s="13"/>
      <c r="CD482" s="13"/>
      <c r="DW482" s="5"/>
      <c r="EQ482" s="4"/>
      <c r="FB482" s="42"/>
      <c r="FC482" s="43"/>
      <c r="FD482" s="9"/>
      <c r="FE482" s="10"/>
      <c r="FF482" s="10"/>
      <c r="FG482" s="10"/>
      <c r="FH482" s="10"/>
      <c r="FI482" s="10"/>
      <c r="FJ482" s="10"/>
      <c r="FK482" s="10"/>
      <c r="FL482" s="10"/>
      <c r="FM482" s="11"/>
      <c r="FO482" s="9"/>
      <c r="FP482" s="10"/>
      <c r="FQ482" s="10"/>
      <c r="FR482" s="10"/>
      <c r="FS482" s="10"/>
      <c r="FT482" s="10"/>
      <c r="FU482" s="10"/>
      <c r="FV482" s="10"/>
      <c r="FW482" s="10"/>
      <c r="FX482" s="10"/>
      <c r="FY482" s="10"/>
      <c r="FZ482" s="10"/>
      <c r="GA482" s="10"/>
      <c r="GB482" s="10"/>
      <c r="GC482" s="10"/>
      <c r="GD482" s="10"/>
      <c r="GE482" s="10"/>
      <c r="GF482" s="10"/>
      <c r="GG482" s="10"/>
      <c r="GH482" s="10"/>
      <c r="GI482" s="10"/>
      <c r="GJ482" s="10"/>
      <c r="GK482" s="10"/>
      <c r="GL482" s="11"/>
      <c r="GN482" s="12"/>
      <c r="HF482" s="12"/>
      <c r="HI482" s="13"/>
      <c r="HJ482" s="43"/>
      <c r="HK482" s="45"/>
      <c r="HP482" s="16"/>
      <c r="HQ482" s="9"/>
      <c r="HR482" s="10"/>
      <c r="HS482" s="10"/>
      <c r="HT482" s="11"/>
      <c r="HU482" s="70"/>
      <c r="HV482" s="92"/>
      <c r="HW482" s="71"/>
      <c r="HX482" s="10"/>
      <c r="HY482" s="10"/>
      <c r="HZ482" s="10"/>
      <c r="IA482" s="10"/>
      <c r="IB482" s="10"/>
      <c r="IC482" s="10"/>
      <c r="ID482" s="10"/>
      <c r="IE482" s="10"/>
      <c r="IF482" s="10"/>
      <c r="IG482" s="10"/>
      <c r="IH482" s="10"/>
      <c r="II482" s="10"/>
      <c r="IJ482" s="10"/>
      <c r="IK482" s="10"/>
      <c r="IL482" s="10"/>
      <c r="IM482" s="11"/>
      <c r="JE482" s="12"/>
      <c r="JF482" s="13"/>
      <c r="JO482" s="4"/>
      <c r="JZ482" s="12"/>
      <c r="KB482" s="9"/>
      <c r="KC482" s="10"/>
      <c r="KD482" s="10"/>
      <c r="KE482" s="10"/>
      <c r="KF482" s="10"/>
      <c r="KG482" s="10"/>
      <c r="KH482" s="10"/>
      <c r="KI482" s="10"/>
      <c r="KJ482" s="10"/>
      <c r="KK482" s="11"/>
      <c r="KM482" s="9"/>
      <c r="KN482" s="10"/>
      <c r="KO482" s="10"/>
      <c r="KP482" s="10"/>
      <c r="KQ482" s="10"/>
      <c r="KR482" s="10"/>
      <c r="KS482" s="10"/>
      <c r="KT482" s="10"/>
      <c r="KU482" s="10"/>
      <c r="KV482" s="10"/>
      <c r="KW482" s="10"/>
      <c r="KX482" s="10"/>
      <c r="KY482" s="10"/>
      <c r="KZ482" s="10"/>
      <c r="LA482" s="10"/>
      <c r="LB482" s="10"/>
      <c r="LC482" s="10"/>
      <c r="LD482" s="10"/>
      <c r="LE482" s="10"/>
      <c r="LF482" s="10"/>
      <c r="LG482" s="10"/>
      <c r="LH482" s="10"/>
      <c r="LI482" s="10"/>
      <c r="LJ482" s="11"/>
      <c r="LL482" s="14"/>
      <c r="LM482" s="15"/>
      <c r="MF482" s="12"/>
      <c r="MI482" s="13"/>
      <c r="MK482" s="13"/>
      <c r="MO482" s="9"/>
      <c r="MP482" s="10"/>
      <c r="MQ482" s="10"/>
      <c r="MR482" s="10"/>
      <c r="MS482" s="10"/>
      <c r="MT482" s="11"/>
      <c r="MU482" s="10"/>
      <c r="MV482" s="10"/>
      <c r="MW482" s="10"/>
      <c r="MX482" s="10"/>
      <c r="MY482" s="10"/>
      <c r="MZ482" s="10"/>
      <c r="NA482" s="10"/>
      <c r="NB482" s="10"/>
      <c r="NC482" s="10"/>
      <c r="ND482" s="10"/>
      <c r="NE482" s="10"/>
      <c r="NF482" s="10"/>
      <c r="NG482" s="10"/>
      <c r="NH482" s="10"/>
      <c r="NI482" s="10"/>
      <c r="NJ482" s="10"/>
      <c r="NK482" s="10"/>
      <c r="NL482" s="10"/>
      <c r="NM482" s="11"/>
      <c r="OC482" s="12"/>
      <c r="OD482" s="13"/>
    </row>
    <row r="483" spans="8:394" ht="18" customHeight="1">
      <c r="H483" s="4"/>
      <c r="AD483" s="12"/>
      <c r="AF483" s="12"/>
      <c r="BD483" s="18"/>
      <c r="BF483" s="13"/>
      <c r="BJ483" s="13"/>
      <c r="CB483" s="13"/>
      <c r="CD483" s="13"/>
      <c r="DW483" s="5"/>
      <c r="EQ483" s="4"/>
      <c r="FB483" s="42"/>
      <c r="FC483" s="43"/>
      <c r="FD483" s="12"/>
      <c r="FM483" s="13"/>
      <c r="FO483" s="12"/>
      <c r="GL483" s="13"/>
      <c r="GN483" s="12"/>
      <c r="HF483" s="14"/>
      <c r="HG483" s="15"/>
      <c r="HH483" s="15"/>
      <c r="HI483" s="16"/>
      <c r="HJ483" s="43"/>
      <c r="HK483" s="45"/>
      <c r="HO483" s="16"/>
      <c r="HT483" s="13"/>
      <c r="HU483" s="107"/>
      <c r="HV483" s="127"/>
      <c r="HW483" s="90"/>
      <c r="IM483" s="13"/>
      <c r="JE483" s="12"/>
      <c r="JF483" s="13"/>
      <c r="JO483" s="4"/>
      <c r="JZ483" s="12"/>
      <c r="KB483" s="12"/>
      <c r="KK483" s="13"/>
      <c r="KM483" s="12"/>
      <c r="LJ483" s="13"/>
      <c r="LL483" s="9"/>
      <c r="LM483" s="10"/>
      <c r="LN483" s="11"/>
      <c r="MF483" s="14"/>
      <c r="MG483" s="15"/>
      <c r="MH483" s="15"/>
      <c r="MI483" s="16"/>
      <c r="MK483" s="13"/>
      <c r="MO483" s="12"/>
      <c r="MT483" s="13"/>
      <c r="NM483" s="13"/>
      <c r="OC483" s="12"/>
      <c r="OD483" s="13"/>
    </row>
    <row r="484" spans="8:394" ht="18" customHeight="1">
      <c r="H484" s="4"/>
      <c r="AD484" s="12"/>
      <c r="AF484" s="12"/>
      <c r="BD484" s="18"/>
      <c r="BF484" s="13"/>
      <c r="BG484" s="15"/>
      <c r="BH484" s="15"/>
      <c r="BI484" s="15"/>
      <c r="BJ484" s="16"/>
      <c r="CB484" s="13"/>
      <c r="CD484" s="13"/>
      <c r="CE484" s="12"/>
      <c r="DW484" s="5"/>
      <c r="EQ484" s="4"/>
      <c r="FB484" s="42"/>
      <c r="FC484" s="43"/>
      <c r="FD484" s="12"/>
      <c r="FM484" s="13"/>
      <c r="FO484" s="12"/>
      <c r="GL484" s="13"/>
      <c r="GN484" s="14"/>
      <c r="GO484" s="15"/>
      <c r="HI484" s="13"/>
      <c r="HJ484" s="43"/>
      <c r="HK484" s="45"/>
      <c r="HO484" s="12"/>
      <c r="HT484" s="13"/>
      <c r="HU484" s="107"/>
      <c r="HV484" s="127"/>
      <c r="HW484" s="90"/>
      <c r="IM484" s="13"/>
      <c r="JE484" s="12"/>
      <c r="JF484" s="13"/>
      <c r="JO484" s="4"/>
      <c r="JZ484" s="12"/>
      <c r="KB484" s="12"/>
      <c r="KK484" s="13"/>
      <c r="KM484" s="12"/>
      <c r="LJ484" s="13"/>
      <c r="LL484" s="12"/>
      <c r="LN484" s="13"/>
      <c r="MI484" s="13"/>
      <c r="MK484" s="13"/>
      <c r="MO484" s="12"/>
      <c r="MT484" s="13"/>
      <c r="NM484" s="13"/>
      <c r="OC484" s="12"/>
      <c r="OD484" s="13"/>
    </row>
    <row r="485" spans="8:394" ht="18" customHeight="1">
      <c r="H485" s="4"/>
      <c r="AD485" s="12"/>
      <c r="AF485" s="12"/>
      <c r="BD485" s="18"/>
      <c r="BF485" s="13"/>
      <c r="BG485" s="10"/>
      <c r="BH485" s="10"/>
      <c r="BI485" s="10"/>
      <c r="BJ485" s="11"/>
      <c r="CB485" s="13"/>
      <c r="CD485" s="13"/>
      <c r="DV485" s="9"/>
      <c r="DW485" s="11"/>
      <c r="EQ485" s="4"/>
      <c r="FB485" s="42"/>
      <c r="FC485" s="43"/>
      <c r="FD485" s="12"/>
      <c r="FM485" s="13"/>
      <c r="FO485" s="12"/>
      <c r="GL485" s="13"/>
      <c r="GN485" s="9"/>
      <c r="GO485" s="10"/>
      <c r="GP485" s="11"/>
      <c r="HI485" s="13"/>
      <c r="HJ485" s="43"/>
      <c r="HK485" s="45"/>
      <c r="HO485" s="12"/>
      <c r="HT485" s="13"/>
      <c r="HU485" s="107"/>
      <c r="HV485" s="127"/>
      <c r="HW485" s="90"/>
      <c r="IM485" s="13"/>
      <c r="JE485" s="12"/>
      <c r="JF485" s="13"/>
      <c r="JO485" s="4"/>
      <c r="JZ485" s="12"/>
      <c r="KB485" s="12"/>
      <c r="KK485" s="13"/>
      <c r="KM485" s="12"/>
      <c r="LJ485" s="13"/>
      <c r="LL485" s="14"/>
      <c r="LM485" s="15"/>
      <c r="LN485" s="16"/>
      <c r="MI485" s="13"/>
      <c r="MK485" s="13"/>
      <c r="MO485" s="12"/>
      <c r="MT485" s="13"/>
      <c r="NM485" s="13"/>
      <c r="OC485" s="12"/>
      <c r="OD485" s="13"/>
    </row>
    <row r="486" spans="8:394" ht="18" customHeight="1">
      <c r="H486" s="4"/>
      <c r="AD486" s="12"/>
      <c r="AF486" s="12"/>
      <c r="BD486" s="18"/>
      <c r="BF486" s="13"/>
      <c r="BJ486" s="13"/>
      <c r="CB486" s="13"/>
      <c r="CD486" s="13"/>
      <c r="DV486" s="12"/>
      <c r="DW486" s="13"/>
      <c r="EQ486" s="4"/>
      <c r="FB486" s="42"/>
      <c r="FC486" s="43"/>
      <c r="FD486" s="14"/>
      <c r="FE486" s="15"/>
      <c r="FF486" s="15"/>
      <c r="FG486" s="15"/>
      <c r="FH486" s="15"/>
      <c r="FI486" s="15"/>
      <c r="FJ486" s="15"/>
      <c r="FK486" s="15"/>
      <c r="FL486" s="15"/>
      <c r="FM486" s="16"/>
      <c r="FO486" s="12"/>
      <c r="GL486" s="13"/>
      <c r="GN486" s="12"/>
      <c r="GP486" s="13"/>
      <c r="HI486" s="13"/>
      <c r="HJ486" s="43"/>
      <c r="HK486" s="45"/>
      <c r="HO486" s="12"/>
      <c r="HT486" s="13"/>
      <c r="HU486" s="107"/>
      <c r="HV486" s="127"/>
      <c r="HW486" s="90"/>
      <c r="IM486" s="13"/>
      <c r="JE486" s="12"/>
      <c r="JF486" s="13"/>
      <c r="JO486" s="4"/>
      <c r="JZ486" s="12"/>
      <c r="KB486" s="14"/>
      <c r="KC486" s="15"/>
      <c r="KD486" s="15"/>
      <c r="KE486" s="15"/>
      <c r="KF486" s="15"/>
      <c r="KG486" s="15"/>
      <c r="KH486" s="15"/>
      <c r="KI486" s="15"/>
      <c r="KJ486" s="15"/>
      <c r="KK486" s="16"/>
      <c r="KM486" s="12"/>
      <c r="LJ486" s="13"/>
      <c r="LL486" s="9"/>
      <c r="LM486" s="10"/>
      <c r="LN486" s="10"/>
      <c r="LO486" s="10"/>
      <c r="LP486" s="10"/>
      <c r="LQ486" s="11"/>
      <c r="MI486" s="13"/>
      <c r="MK486" s="13"/>
      <c r="MO486" s="12"/>
      <c r="MT486" s="13"/>
      <c r="NM486" s="13"/>
      <c r="OC486" s="12"/>
      <c r="OD486" s="13"/>
    </row>
    <row r="487" spans="8:394" ht="18" customHeight="1">
      <c r="H487" s="4"/>
      <c r="AD487" s="12"/>
      <c r="AF487" s="12"/>
      <c r="BD487" s="18"/>
      <c r="BF487" s="13"/>
      <c r="BJ487" s="13"/>
      <c r="BZ487" s="9"/>
      <c r="CA487" s="10"/>
      <c r="CB487" s="11"/>
      <c r="CD487" s="13"/>
      <c r="CH487" s="9"/>
      <c r="CI487" s="10"/>
      <c r="CJ487" s="10"/>
      <c r="CK487" s="10"/>
      <c r="CL487" s="10"/>
      <c r="CM487" s="11"/>
      <c r="CN487" s="10"/>
      <c r="CO487" s="10"/>
      <c r="CP487" s="10"/>
      <c r="CQ487" s="10"/>
      <c r="CR487" s="10"/>
      <c r="CS487" s="10"/>
      <c r="CT487" s="10"/>
      <c r="CU487" s="10"/>
      <c r="CV487" s="10"/>
      <c r="CW487" s="10"/>
      <c r="CX487" s="10"/>
      <c r="CY487" s="10"/>
      <c r="CZ487" s="10"/>
      <c r="DA487" s="10"/>
      <c r="DB487" s="10"/>
      <c r="DC487" s="10"/>
      <c r="DD487" s="10"/>
      <c r="DE487" s="10"/>
      <c r="DF487" s="11"/>
      <c r="DV487" s="12"/>
      <c r="DW487" s="13"/>
      <c r="EQ487" s="4"/>
      <c r="FB487" s="42"/>
      <c r="FC487" s="43"/>
      <c r="FD487" s="12"/>
      <c r="FI487" s="12"/>
      <c r="FM487" s="13"/>
      <c r="FO487" s="12"/>
      <c r="GL487" s="13"/>
      <c r="GN487" s="14"/>
      <c r="GO487" s="15"/>
      <c r="GP487" s="16"/>
      <c r="HI487" s="13"/>
      <c r="HJ487" s="43"/>
      <c r="HK487" s="45"/>
      <c r="HL487" s="12"/>
      <c r="HO487" s="12"/>
      <c r="HT487" s="13"/>
      <c r="HU487" s="107"/>
      <c r="HV487" s="127"/>
      <c r="HW487" s="90"/>
      <c r="IM487" s="13"/>
      <c r="JE487" s="12"/>
      <c r="JF487" s="13"/>
      <c r="JO487" s="4"/>
      <c r="JZ487" s="12"/>
      <c r="KB487" s="12"/>
      <c r="KG487" s="12"/>
      <c r="KK487" s="13"/>
      <c r="KM487" s="12"/>
      <c r="LJ487" s="13"/>
      <c r="LL487" s="9"/>
      <c r="LM487" s="11"/>
      <c r="LN487" s="10"/>
      <c r="LO487" s="10"/>
      <c r="LP487" s="10"/>
      <c r="LQ487" s="11"/>
      <c r="MI487" s="13"/>
      <c r="MK487" s="13"/>
      <c r="ML487" s="12"/>
      <c r="MO487" s="12"/>
      <c r="MT487" s="13"/>
      <c r="NM487" s="13"/>
      <c r="OC487" s="12"/>
      <c r="OD487" s="13"/>
    </row>
    <row r="488" spans="8:394" ht="18" customHeight="1">
      <c r="H488" s="4"/>
      <c r="AD488" s="12"/>
      <c r="AF488" s="12"/>
      <c r="BD488" s="18"/>
      <c r="BF488" s="13"/>
      <c r="BJ488" s="13"/>
      <c r="BZ488" s="12"/>
      <c r="CB488" s="17"/>
      <c r="CD488" s="13"/>
      <c r="CH488" s="12"/>
      <c r="CM488" s="13"/>
      <c r="DF488" s="13"/>
      <c r="DV488" s="12"/>
      <c r="DW488" s="13"/>
      <c r="EQ488" s="4"/>
      <c r="FB488" s="42"/>
      <c r="FC488" s="43"/>
      <c r="FD488" s="12"/>
      <c r="FI488" s="12"/>
      <c r="FM488" s="13"/>
      <c r="FO488" s="12"/>
      <c r="GL488" s="13"/>
      <c r="GN488" s="157"/>
      <c r="GO488" s="158"/>
      <c r="GP488" s="158"/>
      <c r="GQ488" s="158"/>
      <c r="GR488" s="158"/>
      <c r="GS488" s="159"/>
      <c r="HI488" s="13"/>
      <c r="HJ488" s="43"/>
      <c r="HK488" s="45"/>
      <c r="HO488" s="12"/>
      <c r="HT488" s="13"/>
      <c r="HU488" s="107"/>
      <c r="HV488" s="127"/>
      <c r="HW488" s="90"/>
      <c r="IM488" s="13"/>
      <c r="JE488" s="12"/>
      <c r="JF488" s="13"/>
      <c r="JO488" s="4"/>
      <c r="JZ488" s="12"/>
      <c r="KB488" s="12"/>
      <c r="KG488" s="12"/>
      <c r="KK488" s="13"/>
      <c r="KM488" s="12"/>
      <c r="LJ488" s="13"/>
      <c r="LL488" s="12"/>
      <c r="LM488" s="13"/>
      <c r="LQ488" s="13"/>
      <c r="MG488" s="9"/>
      <c r="MH488" s="10"/>
      <c r="MI488" s="11"/>
      <c r="MK488" s="13"/>
      <c r="MO488" s="12"/>
      <c r="MT488" s="13"/>
      <c r="NM488" s="13"/>
      <c r="OC488" s="12"/>
      <c r="OD488" s="13"/>
    </row>
    <row r="489" spans="8:394" ht="18" customHeight="1">
      <c r="H489" s="4"/>
      <c r="AD489" s="12"/>
      <c r="AF489" s="12"/>
      <c r="BD489" s="18"/>
      <c r="BE489" s="15"/>
      <c r="BF489" s="16"/>
      <c r="BG489" s="15"/>
      <c r="BH489" s="15"/>
      <c r="BI489" s="15"/>
      <c r="BJ489" s="16"/>
      <c r="BZ489" s="12"/>
      <c r="CB489" s="18"/>
      <c r="CD489" s="13"/>
      <c r="CH489" s="12"/>
      <c r="CM489" s="13"/>
      <c r="DF489" s="13"/>
      <c r="DV489" s="12"/>
      <c r="DW489" s="13"/>
      <c r="EQ489" s="4"/>
      <c r="FB489" s="42"/>
      <c r="FC489" s="43"/>
      <c r="FD489" s="12"/>
      <c r="FI489" s="12"/>
      <c r="FM489" s="13"/>
      <c r="FO489" s="12"/>
      <c r="GL489" s="13"/>
      <c r="GN489" s="157"/>
      <c r="GO489" s="159"/>
      <c r="GP489" s="158"/>
      <c r="GQ489" s="158"/>
      <c r="GR489" s="158"/>
      <c r="GS489" s="159"/>
      <c r="HI489" s="13"/>
      <c r="HJ489" s="43"/>
      <c r="HK489" s="45"/>
      <c r="HO489" s="12"/>
      <c r="HT489" s="13"/>
      <c r="HU489" s="107"/>
      <c r="HV489" s="127"/>
      <c r="HW489" s="90"/>
      <c r="IM489" s="13"/>
      <c r="JE489" s="12"/>
      <c r="JF489" s="13"/>
      <c r="JO489" s="4"/>
      <c r="JZ489" s="12"/>
      <c r="KB489" s="12"/>
      <c r="KG489" s="12"/>
      <c r="KK489" s="13"/>
      <c r="KM489" s="12"/>
      <c r="LJ489" s="13"/>
      <c r="LL489" s="12"/>
      <c r="LM489" s="13"/>
      <c r="LQ489" s="13"/>
      <c r="MG489" s="12"/>
      <c r="MI489" s="17"/>
      <c r="MK489" s="13"/>
      <c r="MO489" s="12"/>
      <c r="MT489" s="13"/>
      <c r="NM489" s="13"/>
      <c r="OC489" s="12"/>
      <c r="OD489" s="13"/>
    </row>
    <row r="490" spans="8:394" ht="18" customHeight="1">
      <c r="H490" s="4"/>
      <c r="AD490" s="12"/>
      <c r="AF490" s="20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2"/>
      <c r="BD490" s="18"/>
      <c r="BE490" s="15"/>
      <c r="BF490" s="15"/>
      <c r="BG490" s="15"/>
      <c r="BH490" s="15"/>
      <c r="BI490" s="15"/>
      <c r="BJ490" s="16"/>
      <c r="BZ490" s="12"/>
      <c r="CB490" s="18"/>
      <c r="CD490" s="13"/>
      <c r="CH490" s="12"/>
      <c r="CM490" s="13"/>
      <c r="DF490" s="13"/>
      <c r="DV490" s="12"/>
      <c r="DW490" s="13"/>
      <c r="EQ490" s="4"/>
      <c r="FB490" s="42"/>
      <c r="FC490" s="43"/>
      <c r="FD490" s="12"/>
      <c r="FI490" s="12"/>
      <c r="FM490" s="13"/>
      <c r="FO490" s="12"/>
      <c r="GL490" s="13"/>
      <c r="GN490" s="160"/>
      <c r="GO490" s="161"/>
      <c r="GP490" s="162"/>
      <c r="GQ490" s="162"/>
      <c r="GR490" s="162"/>
      <c r="GS490" s="161"/>
      <c r="HG490" s="9"/>
      <c r="HH490" s="10"/>
      <c r="HI490" s="11"/>
      <c r="HJ490" s="43"/>
      <c r="HK490" s="45"/>
      <c r="HO490" s="14"/>
      <c r="HT490" s="13"/>
      <c r="HU490" s="107"/>
      <c r="HV490" s="127"/>
      <c r="HW490" s="90"/>
      <c r="IM490" s="13"/>
      <c r="JE490" s="12"/>
      <c r="JF490" s="13"/>
      <c r="JO490" s="4"/>
      <c r="JZ490" s="12"/>
      <c r="KB490" s="12"/>
      <c r="KG490" s="12"/>
      <c r="KK490" s="13"/>
      <c r="KM490" s="12"/>
      <c r="LJ490" s="13"/>
      <c r="LL490" s="12"/>
      <c r="LM490" s="13"/>
      <c r="LQ490" s="13"/>
      <c r="MG490" s="12"/>
      <c r="MI490" s="18"/>
      <c r="MK490" s="13"/>
      <c r="MO490" s="12"/>
      <c r="MT490" s="13"/>
      <c r="NM490" s="13"/>
      <c r="OC490" s="12"/>
      <c r="OD490" s="13"/>
    </row>
    <row r="491" spans="8:394" ht="18" customHeight="1">
      <c r="H491" s="4"/>
      <c r="AD491" s="12"/>
      <c r="AF491" s="9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  <c r="AY491" s="10"/>
      <c r="AZ491" s="10"/>
      <c r="BA491" s="10"/>
      <c r="BB491" s="10"/>
      <c r="BC491" s="11"/>
      <c r="BD491" s="18"/>
      <c r="BE491" s="10"/>
      <c r="BF491" s="10"/>
      <c r="BG491" s="11"/>
      <c r="BZ491" s="12"/>
      <c r="CB491" s="18"/>
      <c r="CD491" s="13"/>
      <c r="CH491" s="12"/>
      <c r="CM491" s="13"/>
      <c r="DF491" s="13"/>
      <c r="DV491" s="12"/>
      <c r="DW491" s="13"/>
      <c r="EQ491" s="4"/>
      <c r="FB491" s="42"/>
      <c r="FC491" s="43"/>
      <c r="FD491" s="14"/>
      <c r="FE491" s="15"/>
      <c r="FF491" s="15"/>
      <c r="FG491" s="15"/>
      <c r="FH491" s="15"/>
      <c r="FI491" s="14"/>
      <c r="FJ491" s="15"/>
      <c r="FK491" s="15"/>
      <c r="FL491" s="15"/>
      <c r="FM491" s="13"/>
      <c r="FO491" s="12"/>
      <c r="GL491" s="13"/>
      <c r="GN491" s="160"/>
      <c r="GO491" s="161"/>
      <c r="GP491" s="162"/>
      <c r="GQ491" s="162"/>
      <c r="GR491" s="162"/>
      <c r="GS491" s="161"/>
      <c r="HG491" s="12"/>
      <c r="HI491" s="176"/>
      <c r="HJ491" s="43"/>
      <c r="HK491" s="45"/>
      <c r="HO491" s="11"/>
      <c r="HP491" s="14"/>
      <c r="HT491" s="13"/>
      <c r="HU491" s="107"/>
      <c r="HV491" s="127"/>
      <c r="HW491" s="90"/>
      <c r="IM491" s="13"/>
      <c r="JE491" s="12"/>
      <c r="JF491" s="13"/>
      <c r="JO491" s="4"/>
      <c r="JZ491" s="12"/>
      <c r="KB491" s="14"/>
      <c r="KC491" s="15"/>
      <c r="KD491" s="15"/>
      <c r="KE491" s="15"/>
      <c r="KF491" s="15"/>
      <c r="KG491" s="14"/>
      <c r="KH491" s="15"/>
      <c r="KI491" s="15"/>
      <c r="KJ491" s="15"/>
      <c r="KK491" s="13"/>
      <c r="KM491" s="12"/>
      <c r="LJ491" s="13"/>
      <c r="LL491" s="12"/>
      <c r="LM491" s="13"/>
      <c r="LN491" s="15"/>
      <c r="LO491" s="15"/>
      <c r="LP491" s="15"/>
      <c r="LQ491" s="16"/>
      <c r="MG491" s="12"/>
      <c r="MI491" s="18"/>
      <c r="MK491" s="13"/>
      <c r="MO491" s="12"/>
      <c r="MT491" s="13"/>
      <c r="NM491" s="13"/>
      <c r="OC491" s="12"/>
      <c r="OD491" s="13"/>
    </row>
    <row r="492" spans="8:394" ht="18" customHeight="1">
      <c r="H492" s="4"/>
      <c r="AD492" s="12"/>
      <c r="AF492" s="12"/>
      <c r="BC492" s="13"/>
      <c r="BD492" s="18"/>
      <c r="BG492" s="13"/>
      <c r="BZ492" s="12"/>
      <c r="CB492" s="18"/>
      <c r="CD492" s="13"/>
      <c r="CH492" s="12"/>
      <c r="CM492" s="13"/>
      <c r="DF492" s="13"/>
      <c r="DV492" s="12"/>
      <c r="DW492" s="13"/>
      <c r="EQ492" s="4"/>
      <c r="FB492" s="42"/>
      <c r="FC492" s="43"/>
      <c r="FD492" s="43"/>
      <c r="FE492" s="43"/>
      <c r="FF492" s="43"/>
      <c r="FG492" s="43"/>
      <c r="FH492" s="43"/>
      <c r="FI492" s="43"/>
      <c r="FJ492" s="43"/>
      <c r="FK492" s="43"/>
      <c r="FL492" s="41"/>
      <c r="FM492" s="41"/>
      <c r="FN492" s="44"/>
      <c r="GL492" s="13"/>
      <c r="GN492" s="160"/>
      <c r="GO492" s="161"/>
      <c r="GP492" s="162"/>
      <c r="GQ492" s="162"/>
      <c r="GR492" s="162"/>
      <c r="GS492" s="161"/>
      <c r="HG492" s="12"/>
      <c r="HI492" s="177"/>
      <c r="HJ492" s="43"/>
      <c r="HK492" s="45"/>
      <c r="HP492" s="11"/>
      <c r="HQ492" s="15"/>
      <c r="HR492" s="15"/>
      <c r="HS492" s="15"/>
      <c r="HT492" s="16"/>
      <c r="HU492" s="72"/>
      <c r="HV492" s="100"/>
      <c r="HW492" s="73"/>
      <c r="HX492" s="15"/>
      <c r="HY492" s="15"/>
      <c r="HZ492" s="15"/>
      <c r="IA492" s="15"/>
      <c r="IB492" s="15"/>
      <c r="IC492" s="15"/>
      <c r="ID492" s="15"/>
      <c r="IE492" s="15"/>
      <c r="IF492" s="15"/>
      <c r="IG492" s="15"/>
      <c r="IH492" s="15"/>
      <c r="II492" s="15"/>
      <c r="IJ492" s="15"/>
      <c r="IK492" s="15"/>
      <c r="IL492" s="15"/>
      <c r="IM492" s="16"/>
      <c r="JE492" s="12"/>
      <c r="JF492" s="13"/>
      <c r="JO492" s="4"/>
      <c r="JZ492" s="12"/>
      <c r="KJ492" s="10"/>
      <c r="KK492" s="10"/>
      <c r="KL492" s="11"/>
      <c r="LJ492" s="13"/>
      <c r="LL492" s="12"/>
      <c r="LM492" s="13"/>
      <c r="LN492" s="10"/>
      <c r="LO492" s="10"/>
      <c r="LP492" s="10"/>
      <c r="LQ492" s="11"/>
      <c r="MG492" s="12"/>
      <c r="MI492" s="18"/>
      <c r="MK492" s="13"/>
      <c r="MO492" s="14"/>
      <c r="MP492" s="15"/>
      <c r="MQ492" s="15"/>
      <c r="MR492" s="15"/>
      <c r="MS492" s="15"/>
      <c r="MT492" s="16"/>
      <c r="MU492" s="15"/>
      <c r="MV492" s="15"/>
      <c r="MW492" s="15"/>
      <c r="MX492" s="15"/>
      <c r="MY492" s="15"/>
      <c r="MZ492" s="15"/>
      <c r="NA492" s="15"/>
      <c r="NB492" s="15"/>
      <c r="NC492" s="15"/>
      <c r="ND492" s="15"/>
      <c r="NE492" s="15"/>
      <c r="NF492" s="15"/>
      <c r="NG492" s="15"/>
      <c r="NH492" s="15"/>
      <c r="NI492" s="15"/>
      <c r="NJ492" s="15"/>
      <c r="NK492" s="15"/>
      <c r="NL492" s="15"/>
      <c r="NM492" s="16"/>
      <c r="OC492" s="12"/>
      <c r="OD492" s="13"/>
    </row>
    <row r="493" spans="8:394" ht="18" customHeight="1">
      <c r="H493" s="4"/>
      <c r="AD493" s="12"/>
      <c r="AF493" s="12"/>
      <c r="BC493" s="13"/>
      <c r="BD493" s="18"/>
      <c r="BE493" s="15"/>
      <c r="BF493" s="15"/>
      <c r="BG493" s="16"/>
      <c r="BZ493" s="12"/>
      <c r="CB493" s="19"/>
      <c r="CD493" s="13"/>
      <c r="CH493" s="12"/>
      <c r="CM493" s="13"/>
      <c r="DF493" s="13"/>
      <c r="DV493" s="12"/>
      <c r="DW493" s="13"/>
      <c r="EQ493" s="4"/>
      <c r="FB493" s="46"/>
      <c r="FC493" s="47"/>
      <c r="FD493" s="47"/>
      <c r="FE493" s="47"/>
      <c r="FF493" s="47"/>
      <c r="FG493" s="47"/>
      <c r="FH493" s="47"/>
      <c r="FI493" s="47"/>
      <c r="FJ493" s="47"/>
      <c r="FK493" s="47"/>
      <c r="FL493" s="47"/>
      <c r="FM493" s="43"/>
      <c r="FN493" s="45"/>
      <c r="GL493" s="13"/>
      <c r="GN493" s="160"/>
      <c r="GO493" s="161"/>
      <c r="GP493" s="163"/>
      <c r="GQ493" s="163"/>
      <c r="GR493" s="163"/>
      <c r="GS493" s="164"/>
      <c r="HG493" s="12"/>
      <c r="HI493" s="177"/>
      <c r="HJ493" s="43"/>
      <c r="HK493" s="45"/>
      <c r="HU493" s="155"/>
      <c r="JE493" s="12"/>
      <c r="JF493" s="13"/>
      <c r="JO493" s="4"/>
      <c r="JZ493" s="14"/>
      <c r="KA493" s="15"/>
      <c r="KB493" s="15"/>
      <c r="KC493" s="15"/>
      <c r="KD493" s="15"/>
      <c r="KE493" s="15"/>
      <c r="KF493" s="15"/>
      <c r="KG493" s="15"/>
      <c r="KH493" s="15"/>
      <c r="KI493" s="15"/>
      <c r="KJ493" s="15"/>
      <c r="KL493" s="13"/>
      <c r="LJ493" s="13"/>
      <c r="LL493" s="12"/>
      <c r="LM493" s="13"/>
      <c r="LQ493" s="13"/>
      <c r="MG493" s="12"/>
      <c r="MI493" s="18"/>
      <c r="MK493" s="13"/>
      <c r="OC493" s="12"/>
      <c r="OD493" s="13"/>
    </row>
    <row r="494" spans="8:394" ht="18" customHeight="1">
      <c r="H494" s="4"/>
      <c r="AD494" s="12"/>
      <c r="AF494" s="12"/>
      <c r="BC494" s="13"/>
      <c r="BD494" s="18"/>
      <c r="BZ494" s="14"/>
      <c r="CA494" s="15"/>
      <c r="CB494" s="16"/>
      <c r="CD494" s="13"/>
      <c r="CH494" s="12"/>
      <c r="CM494" s="13"/>
      <c r="DF494" s="13"/>
      <c r="DV494" s="12"/>
      <c r="DW494" s="13"/>
      <c r="EQ494" s="4"/>
      <c r="FM494" s="46"/>
      <c r="FN494" s="48"/>
      <c r="GL494" s="13"/>
      <c r="GN494" s="160"/>
      <c r="GO494" s="161"/>
      <c r="GP494" s="158"/>
      <c r="GQ494" s="158"/>
      <c r="GR494" s="158"/>
      <c r="GS494" s="159"/>
      <c r="HG494" s="12"/>
      <c r="HI494" s="177"/>
      <c r="HJ494" s="43"/>
      <c r="HK494" s="45"/>
      <c r="HU494" s="156"/>
      <c r="JE494" s="12"/>
      <c r="JF494" s="13"/>
      <c r="JO494" s="4"/>
      <c r="KK494" s="14"/>
      <c r="KL494" s="16"/>
      <c r="LJ494" s="13"/>
      <c r="LL494" s="12"/>
      <c r="LM494" s="13"/>
      <c r="LQ494" s="13"/>
      <c r="MG494" s="12"/>
      <c r="MI494" s="19"/>
      <c r="MK494" s="13"/>
      <c r="OC494" s="12"/>
      <c r="OD494" s="13"/>
    </row>
    <row r="495" spans="8:394" ht="18" customHeight="1">
      <c r="H495" s="4"/>
      <c r="AD495" s="12"/>
      <c r="AF495" s="12"/>
      <c r="BC495" s="13"/>
      <c r="BD495" s="24"/>
      <c r="CB495" s="13"/>
      <c r="CD495" s="13"/>
      <c r="CH495" s="12"/>
      <c r="CM495" s="13"/>
      <c r="DF495" s="13"/>
      <c r="DV495" s="12"/>
      <c r="DW495" s="13"/>
      <c r="EQ495" s="4"/>
      <c r="FL495" s="13"/>
      <c r="FM495" s="108"/>
      <c r="FN495" s="42"/>
      <c r="FO495" s="12"/>
      <c r="GL495" s="13"/>
      <c r="GN495" s="160"/>
      <c r="GO495" s="161"/>
      <c r="GP495" s="162"/>
      <c r="GQ495" s="162"/>
      <c r="GR495" s="162"/>
      <c r="GS495" s="161"/>
      <c r="HG495" s="12"/>
      <c r="HI495" s="177"/>
      <c r="HJ495" s="43"/>
      <c r="HK495" s="45"/>
      <c r="JE495" s="14"/>
      <c r="JF495" s="16"/>
      <c r="JO495" s="4"/>
      <c r="KJ495" s="13"/>
      <c r="KK495" s="18"/>
      <c r="KL495" s="12"/>
      <c r="KM495" s="12"/>
      <c r="LJ495" s="13"/>
      <c r="LL495" s="12"/>
      <c r="LM495" s="13"/>
      <c r="LQ495" s="13"/>
      <c r="MG495" s="14"/>
      <c r="MH495" s="15"/>
      <c r="MI495" s="16"/>
      <c r="MK495" s="13"/>
      <c r="OC495" s="14"/>
      <c r="OD495" s="16"/>
    </row>
    <row r="496" spans="8:394" ht="18" customHeight="1">
      <c r="H496" s="4"/>
      <c r="AD496" s="12"/>
      <c r="AF496" s="12"/>
      <c r="BC496" s="13"/>
      <c r="BD496" s="24"/>
      <c r="CB496" s="13"/>
      <c r="CD496" s="13"/>
      <c r="CH496" s="12"/>
      <c r="CM496" s="13"/>
      <c r="DF496" s="13"/>
      <c r="DV496" s="12"/>
      <c r="DW496" s="13"/>
      <c r="EQ496" s="4"/>
      <c r="FL496" s="13"/>
      <c r="FM496" s="108"/>
      <c r="FN496" s="42"/>
      <c r="FO496" s="12"/>
      <c r="GL496" s="13"/>
      <c r="GN496" s="160"/>
      <c r="GO496" s="161"/>
      <c r="GP496" s="162"/>
      <c r="GQ496" s="162"/>
      <c r="GR496" s="162"/>
      <c r="GS496" s="161"/>
      <c r="HG496" s="12"/>
      <c r="HI496" s="178"/>
      <c r="HJ496" s="43"/>
      <c r="HK496" s="45"/>
      <c r="JF496" s="5"/>
      <c r="JO496" s="4"/>
      <c r="KJ496" s="13"/>
      <c r="KK496" s="18"/>
      <c r="KL496" s="12"/>
      <c r="KM496" s="12"/>
      <c r="LJ496" s="13"/>
      <c r="LL496" s="12"/>
      <c r="LM496" s="13"/>
      <c r="LQ496" s="13"/>
      <c r="MI496" s="13"/>
      <c r="MK496" s="13"/>
      <c r="ML496" s="20"/>
      <c r="MM496" s="21"/>
      <c r="MN496" s="21"/>
      <c r="MO496" s="21"/>
      <c r="MP496" s="21"/>
      <c r="MQ496" s="21"/>
      <c r="MR496" s="21"/>
      <c r="MS496" s="21"/>
      <c r="MT496" s="21"/>
      <c r="MU496" s="21"/>
      <c r="MV496" s="21"/>
      <c r="MW496" s="21"/>
      <c r="MX496" s="22"/>
      <c r="OD496" s="5"/>
    </row>
    <row r="497" spans="8:394" ht="18" customHeight="1">
      <c r="H497" s="4"/>
      <c r="AD497" s="12"/>
      <c r="AF497" s="12"/>
      <c r="BC497" s="13"/>
      <c r="BD497" s="24"/>
      <c r="CB497" s="13"/>
      <c r="CD497" s="13"/>
      <c r="CH497" s="14"/>
      <c r="CI497" s="15"/>
      <c r="CJ497" s="15"/>
      <c r="CK497" s="15"/>
      <c r="CL497" s="15"/>
      <c r="CM497" s="16"/>
      <c r="CN497" s="15"/>
      <c r="CO497" s="15"/>
      <c r="CP497" s="15"/>
      <c r="CQ497" s="15"/>
      <c r="CR497" s="15"/>
      <c r="CS497" s="15"/>
      <c r="CT497" s="15"/>
      <c r="CU497" s="15"/>
      <c r="CV497" s="15"/>
      <c r="CW497" s="15"/>
      <c r="CX497" s="15"/>
      <c r="CY497" s="15"/>
      <c r="CZ497" s="15"/>
      <c r="DA497" s="15"/>
      <c r="DB497" s="15"/>
      <c r="DC497" s="15"/>
      <c r="DD497" s="15"/>
      <c r="DE497" s="15"/>
      <c r="DF497" s="16"/>
      <c r="DV497" s="12"/>
      <c r="DW497" s="13"/>
      <c r="EQ497" s="4"/>
      <c r="FL497" s="13"/>
      <c r="FM497" s="108"/>
      <c r="FN497" s="42"/>
      <c r="FO497" s="12"/>
      <c r="GL497" s="13"/>
      <c r="GN497" s="160"/>
      <c r="GO497" s="161"/>
      <c r="GP497" s="162"/>
      <c r="GQ497" s="162"/>
      <c r="GR497" s="162"/>
      <c r="GS497" s="161"/>
      <c r="HG497" s="14"/>
      <c r="HH497" s="15"/>
      <c r="HI497" s="16"/>
      <c r="HJ497" s="43"/>
      <c r="HK497" s="45"/>
      <c r="JF497" s="5"/>
      <c r="JO497" s="4"/>
      <c r="KJ497" s="13"/>
      <c r="KK497" s="18"/>
      <c r="KL497" s="12"/>
      <c r="KM497" s="12"/>
      <c r="LJ497" s="13"/>
      <c r="LL497" s="20"/>
      <c r="LM497" s="21"/>
      <c r="LN497" s="21"/>
      <c r="LO497" s="21"/>
      <c r="LP497" s="21"/>
      <c r="LQ497" s="22"/>
      <c r="MI497" s="13"/>
      <c r="MK497" s="13"/>
      <c r="ML497" s="12"/>
      <c r="MW497" s="13"/>
      <c r="MY497" s="12"/>
      <c r="OD497" s="5"/>
    </row>
    <row r="498" spans="8:394" ht="18" customHeight="1">
      <c r="H498" s="4"/>
      <c r="AD498" s="12"/>
      <c r="AF498" s="12"/>
      <c r="BC498" s="13"/>
      <c r="BD498" s="24"/>
      <c r="CB498" s="13"/>
      <c r="CD498" s="13"/>
      <c r="DV498" s="12"/>
      <c r="DW498" s="13"/>
      <c r="EQ498" s="4"/>
      <c r="FM498" s="108"/>
      <c r="FN498" s="42"/>
      <c r="FO498" s="12"/>
      <c r="GL498" s="13"/>
      <c r="GN498" s="160"/>
      <c r="GO498" s="161"/>
      <c r="GP498" s="162"/>
      <c r="GQ498" s="162"/>
      <c r="GR498" s="162"/>
      <c r="GS498" s="161"/>
      <c r="HI498" s="13"/>
      <c r="HJ498" s="43"/>
      <c r="HK498" s="45"/>
      <c r="JF498" s="5"/>
      <c r="JO498" s="4"/>
      <c r="KK498" s="18"/>
      <c r="KL498" s="12"/>
      <c r="KM498" s="12"/>
      <c r="LJ498" s="13"/>
      <c r="LL498" s="12"/>
      <c r="LN498" s="13"/>
      <c r="MI498" s="13"/>
      <c r="MK498" s="13"/>
      <c r="ML498" s="12"/>
      <c r="MW498" s="13"/>
      <c r="MY498" s="12"/>
      <c r="OD498" s="5"/>
    </row>
    <row r="499" spans="8:394" ht="18" customHeight="1">
      <c r="H499" s="4"/>
      <c r="AD499" s="12"/>
      <c r="AF499" s="12"/>
      <c r="BC499" s="13"/>
      <c r="BD499" s="24"/>
      <c r="CB499" s="13"/>
      <c r="CD499" s="13"/>
      <c r="DV499" s="12"/>
      <c r="DW499" s="13"/>
      <c r="EQ499" s="4"/>
      <c r="FL499" s="13"/>
      <c r="FM499" s="108"/>
      <c r="FN499" s="42"/>
      <c r="FO499" s="12"/>
      <c r="GL499" s="13"/>
      <c r="GN499" s="165"/>
      <c r="GO499" s="166"/>
      <c r="GP499" s="166"/>
      <c r="GQ499" s="166"/>
      <c r="GR499" s="166"/>
      <c r="GS499" s="167"/>
      <c r="HI499" s="13"/>
      <c r="HJ499" s="43"/>
      <c r="HK499" s="45"/>
      <c r="JF499" s="5"/>
      <c r="JO499" s="4"/>
      <c r="KJ499" s="13"/>
      <c r="KK499" s="18"/>
      <c r="KL499" s="12"/>
      <c r="KM499" s="12"/>
      <c r="LJ499" s="13"/>
      <c r="LL499" s="12"/>
      <c r="LN499" s="13"/>
      <c r="MI499" s="13"/>
      <c r="MK499" s="13"/>
      <c r="ML499" s="12"/>
      <c r="MW499" s="13"/>
      <c r="MY499" s="12"/>
      <c r="OD499" s="5"/>
    </row>
    <row r="500" spans="8:394" ht="18" customHeight="1">
      <c r="H500" s="4"/>
      <c r="AD500" s="12"/>
      <c r="AF500" s="14"/>
      <c r="AG500" s="15"/>
      <c r="AH500" s="15"/>
      <c r="AI500" s="15"/>
      <c r="AJ500" s="15"/>
      <c r="AK500" s="15"/>
      <c r="AL500" s="15"/>
      <c r="AM500" s="15"/>
      <c r="AN500" s="15"/>
      <c r="AO500" s="15"/>
      <c r="AP500" s="15"/>
      <c r="AQ500" s="15"/>
      <c r="AR500" s="15"/>
      <c r="AS500" s="15"/>
      <c r="AT500" s="15"/>
      <c r="AU500" s="15"/>
      <c r="AV500" s="15"/>
      <c r="AW500" s="15"/>
      <c r="AX500" s="15"/>
      <c r="AY500" s="15"/>
      <c r="AZ500" s="15"/>
      <c r="BA500" s="15"/>
      <c r="BB500" s="15"/>
      <c r="BC500" s="16"/>
      <c r="BD500" s="24"/>
      <c r="CB500" s="13"/>
      <c r="CD500" s="13"/>
      <c r="DV500" s="14"/>
      <c r="DW500" s="16"/>
      <c r="EQ500" s="4"/>
      <c r="FL500" s="13"/>
      <c r="FM500" s="126"/>
      <c r="FN500" s="46"/>
      <c r="FO500" s="12"/>
      <c r="GL500" s="13"/>
      <c r="GN500" s="12"/>
      <c r="GP500" s="13"/>
      <c r="HI500" s="13"/>
      <c r="HJ500" s="43"/>
      <c r="HK500" s="45"/>
      <c r="JF500" s="5"/>
      <c r="JO500" s="4"/>
      <c r="KJ500" s="13"/>
      <c r="KK500" s="19"/>
      <c r="KL500" s="14"/>
      <c r="KM500" s="12"/>
      <c r="LJ500" s="13"/>
      <c r="LL500" s="14"/>
      <c r="LM500" s="15"/>
      <c r="LN500" s="16"/>
      <c r="MI500" s="13"/>
      <c r="MK500" s="13"/>
      <c r="ML500" s="12"/>
      <c r="MW500" s="13"/>
      <c r="MY500" s="12"/>
      <c r="OD500" s="5"/>
    </row>
    <row r="501" spans="8:394" ht="18" customHeight="1">
      <c r="H501" s="4"/>
      <c r="AD501" s="12"/>
      <c r="AF501" s="12"/>
      <c r="BD501" s="18"/>
      <c r="CB501" s="13"/>
      <c r="CD501" s="13"/>
      <c r="DW501" s="5"/>
      <c r="EQ501" s="4"/>
      <c r="FL501" s="13"/>
      <c r="FM501" s="43"/>
      <c r="FN501" s="43"/>
      <c r="FO501" s="14"/>
      <c r="FP501" s="15"/>
      <c r="FQ501" s="15"/>
      <c r="FR501" s="15"/>
      <c r="FS501" s="15"/>
      <c r="FT501" s="15"/>
      <c r="FU501" s="15"/>
      <c r="FV501" s="15"/>
      <c r="FW501" s="15"/>
      <c r="FX501" s="15"/>
      <c r="FY501" s="15"/>
      <c r="FZ501" s="15"/>
      <c r="GA501" s="15"/>
      <c r="GB501" s="15"/>
      <c r="GC501" s="15"/>
      <c r="GD501" s="15"/>
      <c r="GE501" s="15"/>
      <c r="GF501" s="15"/>
      <c r="GG501" s="15"/>
      <c r="GH501" s="15"/>
      <c r="GI501" s="15"/>
      <c r="GJ501" s="15"/>
      <c r="GK501" s="15"/>
      <c r="GL501" s="16"/>
      <c r="GN501" s="12"/>
      <c r="GP501" s="13"/>
      <c r="HI501" s="13"/>
      <c r="HJ501" s="43"/>
      <c r="HK501" s="45"/>
      <c r="HL501" s="146"/>
      <c r="HM501" s="147"/>
      <c r="HN501" s="147"/>
      <c r="HO501" s="147"/>
      <c r="HP501" s="147"/>
      <c r="HQ501" s="147"/>
      <c r="HR501" s="147"/>
      <c r="HS501" s="147"/>
      <c r="HT501" s="147"/>
      <c r="HU501" s="147"/>
      <c r="HV501" s="147"/>
      <c r="HW501" s="147"/>
      <c r="HX501" s="147"/>
      <c r="HY501" s="147"/>
      <c r="HZ501" s="147"/>
      <c r="IA501" s="147"/>
      <c r="IB501" s="147"/>
      <c r="IC501" s="147"/>
      <c r="ID501" s="147"/>
      <c r="IE501" s="148"/>
      <c r="JF501" s="5"/>
      <c r="JO501" s="4"/>
      <c r="KJ501" s="13"/>
      <c r="KM501" s="14"/>
      <c r="KN501" s="15"/>
      <c r="KO501" s="15"/>
      <c r="KP501" s="15"/>
      <c r="KQ501" s="15"/>
      <c r="KR501" s="15"/>
      <c r="KS501" s="15"/>
      <c r="KT501" s="15"/>
      <c r="KU501" s="15"/>
      <c r="KV501" s="15"/>
      <c r="KW501" s="15"/>
      <c r="KX501" s="15"/>
      <c r="KY501" s="15"/>
      <c r="KZ501" s="15"/>
      <c r="LA501" s="15"/>
      <c r="LB501" s="15"/>
      <c r="LC501" s="15"/>
      <c r="LD501" s="15"/>
      <c r="LE501" s="15"/>
      <c r="LF501" s="15"/>
      <c r="LG501" s="15"/>
      <c r="LH501" s="15"/>
      <c r="LI501" s="15"/>
      <c r="LJ501" s="16"/>
      <c r="LL501" s="12"/>
      <c r="MI501" s="13"/>
      <c r="MK501" s="13"/>
      <c r="ML501" s="12"/>
      <c r="MW501" s="13"/>
      <c r="MY501" s="12"/>
      <c r="OD501" s="5"/>
    </row>
    <row r="502" spans="8:394" ht="18" customHeight="1">
      <c r="H502" s="4"/>
      <c r="AD502" s="12"/>
      <c r="AF502" s="9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  <c r="AY502" s="10"/>
      <c r="AZ502" s="10"/>
      <c r="BA502" s="10"/>
      <c r="BB502" s="10"/>
      <c r="BC502" s="10"/>
      <c r="BD502" s="18"/>
      <c r="CB502" s="13"/>
      <c r="CD502" s="13"/>
      <c r="CE502" s="14"/>
      <c r="CF502" s="15"/>
      <c r="CG502" s="15"/>
      <c r="CH502" s="15"/>
      <c r="CI502" s="15"/>
      <c r="CJ502" s="15"/>
      <c r="CK502" s="15"/>
      <c r="CL502" s="15"/>
      <c r="CM502" s="15"/>
      <c r="CN502" s="15"/>
      <c r="CO502" s="15"/>
      <c r="CP502" s="15"/>
      <c r="CQ502" s="15"/>
      <c r="CR502" s="15"/>
      <c r="CS502" s="15"/>
      <c r="CT502" s="15"/>
      <c r="CU502" s="15"/>
      <c r="DW502" s="5"/>
      <c r="EQ502" s="4"/>
      <c r="FL502" s="13"/>
      <c r="FM502" s="43"/>
      <c r="FN502" s="43"/>
      <c r="GN502" s="14"/>
      <c r="GO502" s="15"/>
      <c r="GP502" s="16"/>
      <c r="HI502" s="13"/>
      <c r="HJ502" s="43"/>
      <c r="HK502" s="45"/>
      <c r="HL502" s="149"/>
      <c r="HM502" s="150"/>
      <c r="HN502" s="150"/>
      <c r="HO502" s="150"/>
      <c r="HP502" s="150"/>
      <c r="HQ502" s="150"/>
      <c r="HR502" s="150"/>
      <c r="HS502" s="150"/>
      <c r="HT502" s="150"/>
      <c r="HU502" s="150"/>
      <c r="HV502" s="150"/>
      <c r="HW502" s="150"/>
      <c r="HX502" s="150"/>
      <c r="HY502" s="150"/>
      <c r="HZ502" s="150"/>
      <c r="IA502" s="150"/>
      <c r="IB502" s="150"/>
      <c r="IC502" s="150"/>
      <c r="ID502" s="150"/>
      <c r="IE502" s="151"/>
      <c r="JF502" s="5"/>
      <c r="JO502" s="4"/>
      <c r="KJ502" s="13"/>
      <c r="LL502" s="12"/>
      <c r="MI502" s="13"/>
      <c r="MK502" s="13"/>
      <c r="ML502" s="12"/>
      <c r="MW502" s="13"/>
      <c r="MY502" s="12"/>
      <c r="OD502" s="5"/>
    </row>
    <row r="503" spans="8:394" ht="18" customHeight="1">
      <c r="H503" s="4"/>
      <c r="AD503" s="12"/>
      <c r="AF503" s="12"/>
      <c r="BD503" s="18"/>
      <c r="CB503" s="13"/>
      <c r="CD503" s="13"/>
      <c r="CU503" s="13"/>
      <c r="DW503" s="5"/>
      <c r="EQ503" s="4"/>
      <c r="FL503" s="13"/>
      <c r="FM503" s="43"/>
      <c r="FN503" s="43"/>
      <c r="FO503" s="9"/>
      <c r="FP503" s="10"/>
      <c r="FQ503" s="10"/>
      <c r="FR503" s="10"/>
      <c r="FS503" s="10"/>
      <c r="FT503" s="10"/>
      <c r="FU503" s="10"/>
      <c r="FV503" s="10"/>
      <c r="FW503" s="10"/>
      <c r="FX503" s="10"/>
      <c r="FY503" s="10"/>
      <c r="FZ503" s="10"/>
      <c r="GA503" s="10"/>
      <c r="GB503" s="10"/>
      <c r="GC503" s="10"/>
      <c r="GD503" s="10"/>
      <c r="GE503" s="10"/>
      <c r="GF503" s="10"/>
      <c r="GG503" s="10"/>
      <c r="GH503" s="10"/>
      <c r="GI503" s="10"/>
      <c r="GJ503" s="10"/>
      <c r="GK503" s="10"/>
      <c r="GL503" s="11"/>
      <c r="GN503" s="12"/>
      <c r="HI503" s="13"/>
      <c r="HJ503" s="43"/>
      <c r="HK503" s="45"/>
      <c r="HL503" s="152"/>
      <c r="HM503" s="153"/>
      <c r="HN503" s="153"/>
      <c r="HO503" s="153"/>
      <c r="HP503" s="153"/>
      <c r="HQ503" s="153"/>
      <c r="HR503" s="153"/>
      <c r="HS503" s="153"/>
      <c r="HT503" s="153"/>
      <c r="HU503" s="153"/>
      <c r="HV503" s="153"/>
      <c r="HW503" s="153"/>
      <c r="HX503" s="153"/>
      <c r="HY503" s="153"/>
      <c r="HZ503" s="153"/>
      <c r="IA503" s="153"/>
      <c r="IB503" s="153"/>
      <c r="IC503" s="150"/>
      <c r="ID503" s="150"/>
      <c r="IE503" s="151"/>
      <c r="JF503" s="5"/>
      <c r="JO503" s="4"/>
      <c r="KK503" s="9"/>
      <c r="KL503" s="10"/>
      <c r="KM503" s="9"/>
      <c r="KN503" s="10"/>
      <c r="KO503" s="10"/>
      <c r="KP503" s="10"/>
      <c r="KQ503" s="9"/>
      <c r="KR503" s="10"/>
      <c r="KS503" s="10"/>
      <c r="KT503" s="10"/>
      <c r="KU503" s="10"/>
      <c r="KV503" s="10"/>
      <c r="KW503" s="10"/>
      <c r="KX503" s="10"/>
      <c r="KY503" s="10"/>
      <c r="KZ503" s="10"/>
      <c r="LA503" s="10"/>
      <c r="LB503" s="10"/>
      <c r="LC503" s="10"/>
      <c r="LD503" s="10"/>
      <c r="LE503" s="10"/>
      <c r="LF503" s="10"/>
      <c r="LG503" s="10"/>
      <c r="LH503" s="10"/>
      <c r="LI503" s="10"/>
      <c r="LJ503" s="10"/>
      <c r="LK503" s="10"/>
      <c r="MI503" s="13"/>
      <c r="ML503" s="12"/>
      <c r="MW503" s="13"/>
      <c r="MY503" s="12"/>
      <c r="OD503" s="5"/>
    </row>
    <row r="504" spans="8:394" ht="18" customHeight="1">
      <c r="H504" s="4"/>
      <c r="AD504" s="12"/>
      <c r="AF504" s="12"/>
      <c r="BD504" s="18"/>
      <c r="CB504" s="13"/>
      <c r="CD504" s="13"/>
      <c r="CE504" s="9"/>
      <c r="CF504" s="10"/>
      <c r="CG504" s="10"/>
      <c r="CH504" s="10"/>
      <c r="CI504" s="10"/>
      <c r="CJ504" s="10"/>
      <c r="CK504" s="10"/>
      <c r="CL504" s="10"/>
      <c r="CM504" s="10"/>
      <c r="CN504" s="10"/>
      <c r="CO504" s="10"/>
      <c r="CP504" s="10"/>
      <c r="CQ504" s="10"/>
      <c r="CR504" s="10"/>
      <c r="CS504" s="10"/>
      <c r="CT504" s="11"/>
      <c r="CU504" s="13"/>
      <c r="DW504" s="5"/>
      <c r="EQ504" s="4"/>
      <c r="FM504" s="42"/>
      <c r="FN504" s="43"/>
      <c r="FO504" s="12"/>
      <c r="GL504" s="13"/>
      <c r="GN504" s="12"/>
      <c r="HI504" s="13"/>
      <c r="HJ504" s="43"/>
      <c r="HK504" s="45"/>
      <c r="HL504" s="150"/>
      <c r="HM504" s="150"/>
      <c r="HN504" s="150"/>
      <c r="HO504" s="150"/>
      <c r="HP504" s="150"/>
      <c r="HQ504" s="150"/>
      <c r="HR504" s="150"/>
      <c r="HS504" s="150"/>
      <c r="HT504" s="150"/>
      <c r="HU504" s="150"/>
      <c r="HV504" s="150"/>
      <c r="HW504" s="150"/>
      <c r="HX504" s="150"/>
      <c r="HY504" s="150"/>
      <c r="HZ504" s="150"/>
      <c r="IA504" s="150"/>
      <c r="IB504" s="151"/>
      <c r="IC504" s="150"/>
      <c r="ID504" s="150"/>
      <c r="IE504" s="151"/>
      <c r="JF504" s="5"/>
      <c r="JO504" s="4"/>
      <c r="KK504" s="12"/>
      <c r="KM504" s="12"/>
      <c r="KQ504" s="12"/>
      <c r="MI504" s="13"/>
      <c r="ML504" s="12"/>
      <c r="MW504" s="13"/>
      <c r="MY504" s="12"/>
      <c r="OD504" s="5"/>
    </row>
    <row r="505" spans="8:394" ht="18" customHeight="1">
      <c r="H505" s="4"/>
      <c r="AD505" s="12"/>
      <c r="AF505" s="12"/>
      <c r="BD505" s="19"/>
      <c r="CB505" s="13"/>
      <c r="CD505" s="13"/>
      <c r="CE505" s="12"/>
      <c r="CT505" s="13"/>
      <c r="CU505" s="13"/>
      <c r="DW505" s="5"/>
      <c r="EQ505" s="4"/>
      <c r="FM505" s="42"/>
      <c r="FN505" s="43"/>
      <c r="FO505" s="12"/>
      <c r="GL505" s="13"/>
      <c r="GN505" s="12"/>
      <c r="HI505" s="13"/>
      <c r="HJ505" s="43"/>
      <c r="HK505" s="45"/>
      <c r="HL505" s="146"/>
      <c r="HM505" s="147"/>
      <c r="HN505" s="147"/>
      <c r="HO505" s="147"/>
      <c r="HP505" s="147"/>
      <c r="HQ505" s="147"/>
      <c r="HR505" s="147"/>
      <c r="HS505" s="147"/>
      <c r="HT505" s="147"/>
      <c r="HU505" s="147"/>
      <c r="HV505" s="147"/>
      <c r="HW505" s="147"/>
      <c r="HX505" s="147"/>
      <c r="HY505" s="147"/>
      <c r="HZ505" s="147"/>
      <c r="IA505" s="148"/>
      <c r="IB505" s="151"/>
      <c r="IC505" s="150"/>
      <c r="ID505" s="150"/>
      <c r="IE505" s="151"/>
      <c r="JF505" s="5"/>
      <c r="JO505" s="4"/>
      <c r="KK505" s="12"/>
      <c r="KM505" s="12"/>
      <c r="KQ505" s="12"/>
      <c r="MI505" s="13"/>
      <c r="ML505" s="12"/>
      <c r="MW505" s="13"/>
      <c r="MY505" s="12"/>
      <c r="OD505" s="5"/>
    </row>
    <row r="506" spans="8:394" ht="18" customHeight="1">
      <c r="H506" s="4"/>
      <c r="AD506" s="12"/>
      <c r="AF506" s="12"/>
      <c r="AJ506" s="9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  <c r="AY506" s="10"/>
      <c r="AZ506" s="10"/>
      <c r="BA506" s="10"/>
      <c r="BB506" s="10"/>
      <c r="BC506" s="10"/>
      <c r="CB506" s="13"/>
      <c r="CD506" s="13"/>
      <c r="CE506" s="12"/>
      <c r="CT506" s="13"/>
      <c r="CU506" s="13"/>
      <c r="DW506" s="5"/>
      <c r="EQ506" s="4"/>
      <c r="FM506" s="42"/>
      <c r="FN506" s="43"/>
      <c r="FO506" s="12"/>
      <c r="GL506" s="13"/>
      <c r="GN506" s="12"/>
      <c r="HI506" s="13"/>
      <c r="HJ506" s="43"/>
      <c r="HK506" s="45"/>
      <c r="HL506" s="149"/>
      <c r="HM506" s="150"/>
      <c r="HN506" s="150"/>
      <c r="HO506" s="150"/>
      <c r="HP506" s="150"/>
      <c r="HQ506" s="150"/>
      <c r="HR506" s="150"/>
      <c r="HS506" s="150"/>
      <c r="HT506" s="150"/>
      <c r="HU506" s="150"/>
      <c r="HV506" s="150"/>
      <c r="HW506" s="150"/>
      <c r="HX506" s="150"/>
      <c r="HY506" s="150"/>
      <c r="HZ506" s="150"/>
      <c r="IA506" s="151"/>
      <c r="IB506" s="151"/>
      <c r="IC506" s="150"/>
      <c r="ID506" s="150"/>
      <c r="IE506" s="151"/>
      <c r="JF506" s="5"/>
      <c r="JO506" s="4"/>
      <c r="KK506" s="12"/>
      <c r="KM506" s="12"/>
      <c r="KQ506" s="12"/>
      <c r="MI506" s="13"/>
      <c r="ML506" s="12"/>
      <c r="MW506" s="13"/>
      <c r="MY506" s="12"/>
      <c r="OD506" s="5"/>
    </row>
    <row r="507" spans="8:394" ht="18" customHeight="1">
      <c r="H507" s="4"/>
      <c r="AD507" s="17"/>
      <c r="AE507" s="9"/>
      <c r="AF507" s="12"/>
      <c r="AJ507" s="12"/>
      <c r="CB507" s="13"/>
      <c r="CC507" s="17"/>
      <c r="CD507" s="17"/>
      <c r="CE507" s="12"/>
      <c r="CT507" s="13"/>
      <c r="CU507" s="13"/>
      <c r="DW507" s="5"/>
      <c r="EQ507" s="4"/>
      <c r="FM507" s="42"/>
      <c r="FN507" s="43"/>
      <c r="FO507" s="12"/>
      <c r="FS507" s="9"/>
      <c r="FT507" s="10"/>
      <c r="FU507" s="10"/>
      <c r="FV507" s="10"/>
      <c r="FW507" s="10"/>
      <c r="FX507" s="10"/>
      <c r="FY507" s="10"/>
      <c r="FZ507" s="10"/>
      <c r="GA507" s="10"/>
      <c r="GB507" s="10"/>
      <c r="GC507" s="10"/>
      <c r="GD507" s="10"/>
      <c r="GE507" s="10"/>
      <c r="GF507" s="10"/>
      <c r="GG507" s="10"/>
      <c r="GH507" s="10"/>
      <c r="GI507" s="10"/>
      <c r="GJ507" s="10"/>
      <c r="GK507" s="10"/>
      <c r="GL507" s="10"/>
      <c r="GM507" s="10"/>
      <c r="HI507" s="13"/>
      <c r="HJ507" s="43"/>
      <c r="HK507" s="45"/>
      <c r="HL507" s="149"/>
      <c r="HM507" s="150"/>
      <c r="HN507" s="150"/>
      <c r="HO507" s="150"/>
      <c r="HP507" s="150"/>
      <c r="HQ507" s="150"/>
      <c r="HR507" s="150"/>
      <c r="HS507" s="150"/>
      <c r="HT507" s="150"/>
      <c r="HU507" s="150"/>
      <c r="HV507" s="150"/>
      <c r="HW507" s="150"/>
      <c r="HX507" s="150"/>
      <c r="HY507" s="150"/>
      <c r="HZ507" s="150"/>
      <c r="IA507" s="151"/>
      <c r="IB507" s="151"/>
      <c r="IC507" s="150"/>
      <c r="ID507" s="150"/>
      <c r="IE507" s="151"/>
      <c r="JF507" s="5"/>
      <c r="JO507" s="4"/>
      <c r="KK507" s="12"/>
      <c r="KM507" s="12"/>
      <c r="KQ507" s="12"/>
      <c r="MI507" s="13"/>
      <c r="ML507" s="12"/>
      <c r="MW507" s="13"/>
      <c r="MY507" s="12"/>
      <c r="OD507" s="5"/>
    </row>
    <row r="508" spans="8:394" ht="18" customHeight="1">
      <c r="H508" s="4"/>
      <c r="AD508" s="18"/>
      <c r="AE508" s="12"/>
      <c r="AF508" s="12"/>
      <c r="AG508" s="9"/>
      <c r="AH508" s="11"/>
      <c r="AJ508" s="12"/>
      <c r="CB508" s="13"/>
      <c r="CC508" s="18"/>
      <c r="CD508" s="18"/>
      <c r="CE508" s="12"/>
      <c r="CI508" s="9"/>
      <c r="CJ508" s="10"/>
      <c r="CK508" s="10"/>
      <c r="CL508" s="10"/>
      <c r="CM508" s="10"/>
      <c r="CN508" s="10"/>
      <c r="CO508" s="10"/>
      <c r="CP508" s="11"/>
      <c r="CT508" s="13"/>
      <c r="CU508" s="13"/>
      <c r="CV508" s="9"/>
      <c r="CW508" s="10"/>
      <c r="CX508" s="10"/>
      <c r="CY508" s="10"/>
      <c r="CZ508" s="10"/>
      <c r="DA508" s="10"/>
      <c r="DB508" s="10"/>
      <c r="DC508" s="10"/>
      <c r="DD508" s="10"/>
      <c r="DE508" s="10"/>
      <c r="DF508" s="10"/>
      <c r="DG508" s="10"/>
      <c r="DH508" s="10"/>
      <c r="DI508" s="10"/>
      <c r="DJ508" s="10"/>
      <c r="DK508" s="10"/>
      <c r="DL508" s="10"/>
      <c r="DM508" s="10"/>
      <c r="DN508" s="10"/>
      <c r="DO508" s="10"/>
      <c r="DP508" s="10"/>
      <c r="DQ508" s="10"/>
      <c r="DR508" s="10"/>
      <c r="DS508" s="10"/>
      <c r="DT508" s="10"/>
      <c r="DU508" s="10"/>
      <c r="DV508" s="9"/>
      <c r="DW508" s="11"/>
      <c r="EQ508" s="4"/>
      <c r="FM508" s="125"/>
      <c r="FN508" s="125"/>
      <c r="FO508" s="12"/>
      <c r="FS508" s="12"/>
      <c r="HI508" s="13"/>
      <c r="HJ508" s="125"/>
      <c r="HK508" s="125"/>
      <c r="HL508" s="149"/>
      <c r="HM508" s="150"/>
      <c r="HN508" s="150"/>
      <c r="HO508" s="150"/>
      <c r="HP508" s="150"/>
      <c r="HQ508" s="150"/>
      <c r="HR508" s="150"/>
      <c r="HS508" s="150"/>
      <c r="HT508" s="150"/>
      <c r="HU508" s="150"/>
      <c r="HV508" s="150"/>
      <c r="HW508" s="150"/>
      <c r="HX508" s="150"/>
      <c r="HY508" s="150"/>
      <c r="HZ508" s="150"/>
      <c r="IA508" s="151"/>
      <c r="IB508" s="151"/>
      <c r="IC508" s="150"/>
      <c r="ID508" s="150"/>
      <c r="IE508" s="151"/>
      <c r="JF508" s="5"/>
      <c r="JO508" s="4"/>
      <c r="KK508" s="12"/>
      <c r="KM508" s="9"/>
      <c r="KN508" s="10"/>
      <c r="KO508" s="10"/>
      <c r="KP508" s="11"/>
      <c r="KQ508" s="12"/>
      <c r="MI508" s="13"/>
      <c r="ML508" s="12"/>
      <c r="MW508" s="13"/>
      <c r="MY508" s="12"/>
      <c r="OD508" s="5"/>
    </row>
    <row r="509" spans="8:394" ht="18" customHeight="1">
      <c r="H509" s="4"/>
      <c r="AD509" s="18"/>
      <c r="AE509" s="12"/>
      <c r="AF509" s="12"/>
      <c r="AG509" s="12"/>
      <c r="AH509" s="13"/>
      <c r="AJ509" s="12"/>
      <c r="CB509" s="13"/>
      <c r="CC509" s="18"/>
      <c r="CD509" s="18"/>
      <c r="CE509" s="12"/>
      <c r="CI509" s="12"/>
      <c r="CP509" s="13"/>
      <c r="CT509" s="13"/>
      <c r="CU509" s="13"/>
      <c r="CV509" s="12"/>
      <c r="DV509" s="12"/>
      <c r="DW509" s="13"/>
      <c r="EQ509" s="4"/>
      <c r="FM509" s="108"/>
      <c r="FN509" s="108"/>
      <c r="FO509" s="12"/>
      <c r="FP509" s="168"/>
      <c r="FQ509" s="169"/>
      <c r="FS509" s="12"/>
      <c r="HI509" s="13"/>
      <c r="HJ509" s="108"/>
      <c r="HK509" s="108"/>
      <c r="HL509" s="149"/>
      <c r="HM509" s="150"/>
      <c r="HN509" s="150"/>
      <c r="HO509" s="150"/>
      <c r="HP509" s="150"/>
      <c r="HQ509" s="150"/>
      <c r="HR509" s="150"/>
      <c r="HS509" s="150"/>
      <c r="HT509" s="150"/>
      <c r="HU509" s="150"/>
      <c r="HV509" s="150"/>
      <c r="HW509" s="150"/>
      <c r="HX509" s="150"/>
      <c r="HY509" s="150"/>
      <c r="HZ509" s="150"/>
      <c r="IA509" s="151"/>
      <c r="IB509" s="151"/>
      <c r="IC509" s="146"/>
      <c r="ID509" s="147"/>
      <c r="IE509" s="148"/>
      <c r="IF509" s="10"/>
      <c r="IG509" s="10"/>
      <c r="IH509" s="10"/>
      <c r="II509" s="10"/>
      <c r="IJ509" s="10"/>
      <c r="IK509" s="10"/>
      <c r="IL509" s="10"/>
      <c r="IM509" s="10"/>
      <c r="IN509" s="10"/>
      <c r="IO509" s="10"/>
      <c r="IP509" s="10"/>
      <c r="IQ509" s="10"/>
      <c r="IR509" s="10"/>
      <c r="IS509" s="10"/>
      <c r="IT509" s="10"/>
      <c r="IU509" s="10"/>
      <c r="IV509" s="10"/>
      <c r="IW509" s="10"/>
      <c r="IX509" s="10"/>
      <c r="IY509" s="10"/>
      <c r="IZ509" s="10"/>
      <c r="JA509" s="10"/>
      <c r="JB509" s="10"/>
      <c r="JC509" s="10"/>
      <c r="JD509" s="10"/>
      <c r="JE509" s="9"/>
      <c r="JF509" s="11"/>
      <c r="JO509" s="4"/>
      <c r="KK509" s="12"/>
      <c r="KM509" s="12"/>
      <c r="KP509" s="13"/>
      <c r="KQ509" s="12"/>
      <c r="MI509" s="13"/>
      <c r="ML509" s="12"/>
      <c r="MW509" s="13"/>
      <c r="MY509" s="12"/>
      <c r="NF509" s="10"/>
      <c r="NG509" s="10"/>
      <c r="NH509" s="10"/>
      <c r="NI509" s="10"/>
      <c r="NJ509" s="10"/>
      <c r="NK509" s="10"/>
      <c r="NL509" s="10"/>
      <c r="NM509" s="10"/>
      <c r="NN509" s="10"/>
      <c r="NO509" s="10"/>
      <c r="NP509" s="10"/>
      <c r="NQ509" s="10"/>
      <c r="NR509" s="10"/>
      <c r="NS509" s="10"/>
      <c r="NT509" s="10"/>
      <c r="NU509" s="10"/>
      <c r="NV509" s="10"/>
      <c r="NW509" s="10"/>
      <c r="NX509" s="10"/>
      <c r="NY509" s="10"/>
      <c r="NZ509" s="10"/>
      <c r="OA509" s="10"/>
      <c r="OB509" s="10"/>
      <c r="OC509" s="9"/>
      <c r="OD509" s="11"/>
    </row>
    <row r="510" spans="8:394" ht="18" customHeight="1">
      <c r="H510" s="4"/>
      <c r="AD510" s="18"/>
      <c r="AE510" s="12"/>
      <c r="AF510" s="12"/>
      <c r="AG510" s="12"/>
      <c r="AH510" s="13"/>
      <c r="AJ510" s="12"/>
      <c r="CB510" s="13"/>
      <c r="CC510" s="18"/>
      <c r="CD510" s="18"/>
      <c r="CE510" s="12"/>
      <c r="CI510" s="12"/>
      <c r="CP510" s="13"/>
      <c r="CT510" s="13"/>
      <c r="CU510" s="13"/>
      <c r="CV510" s="12"/>
      <c r="DV510" s="12"/>
      <c r="DW510" s="13"/>
      <c r="EQ510" s="4"/>
      <c r="FM510" s="108"/>
      <c r="FN510" s="108"/>
      <c r="FO510" s="12"/>
      <c r="FP510" s="170"/>
      <c r="FQ510" s="172"/>
      <c r="FS510" s="12"/>
      <c r="HI510" s="13"/>
      <c r="HJ510" s="108"/>
      <c r="HK510" s="108"/>
      <c r="HL510" s="149"/>
      <c r="HM510" s="150"/>
      <c r="HN510" s="150"/>
      <c r="HO510" s="150"/>
      <c r="HP510" s="150"/>
      <c r="HQ510" s="150"/>
      <c r="HR510" s="150"/>
      <c r="HS510" s="150"/>
      <c r="HT510" s="150"/>
      <c r="HU510" s="150"/>
      <c r="HV510" s="150"/>
      <c r="HW510" s="150"/>
      <c r="HX510" s="150"/>
      <c r="HY510" s="150"/>
      <c r="HZ510" s="150"/>
      <c r="IA510" s="151"/>
      <c r="IB510" s="151"/>
      <c r="IC510" s="149"/>
      <c r="ID510" s="150"/>
      <c r="IE510" s="151"/>
      <c r="JE510" s="12"/>
      <c r="JF510" s="13"/>
      <c r="JO510" s="4"/>
      <c r="KK510" s="12"/>
      <c r="KM510" s="12"/>
      <c r="KP510" s="13"/>
      <c r="KQ510" s="12"/>
      <c r="KY510" s="15"/>
      <c r="KZ510" s="15"/>
      <c r="LA510" s="15"/>
      <c r="LB510" s="15"/>
      <c r="LC510" s="15"/>
      <c r="LD510" s="15"/>
      <c r="LE510" s="15"/>
      <c r="LF510" s="15"/>
      <c r="LG510" s="15"/>
      <c r="LH510" s="15"/>
      <c r="LI510" s="15"/>
      <c r="LJ510" s="15"/>
      <c r="LK510" s="15"/>
      <c r="LL510" s="15"/>
      <c r="LM510" s="15"/>
      <c r="LN510" s="15"/>
      <c r="LO510" s="15"/>
      <c r="LP510" s="15"/>
      <c r="LQ510" s="15"/>
      <c r="LR510" s="15"/>
      <c r="LS510" s="15"/>
      <c r="LT510" s="15"/>
      <c r="LU510" s="15"/>
      <c r="LV510" s="15"/>
      <c r="LW510" s="15"/>
      <c r="LX510" s="15"/>
      <c r="LY510" s="15"/>
      <c r="LZ510" s="15"/>
      <c r="MA510" s="15"/>
      <c r="MB510" s="15"/>
      <c r="MC510" s="15"/>
      <c r="MD510" s="15"/>
      <c r="ME510" s="15"/>
      <c r="MF510" s="15"/>
      <c r="MG510" s="15"/>
      <c r="MH510" s="15"/>
      <c r="MI510" s="16"/>
      <c r="ML510" s="12"/>
      <c r="MW510" s="13"/>
      <c r="MY510" s="12"/>
      <c r="OC510" s="12"/>
      <c r="OD510" s="13"/>
    </row>
    <row r="511" spans="8:394" ht="18" customHeight="1">
      <c r="H511" s="4"/>
      <c r="AD511" s="18"/>
      <c r="AE511" s="12"/>
      <c r="AF511" s="12"/>
      <c r="AG511" s="14"/>
      <c r="AH511" s="16"/>
      <c r="AJ511" s="12"/>
      <c r="CB511" s="13"/>
      <c r="CC511" s="18"/>
      <c r="CD511" s="18"/>
      <c r="CE511" s="12"/>
      <c r="CI511" s="12"/>
      <c r="CP511" s="13"/>
      <c r="CT511" s="13"/>
      <c r="CU511" s="13"/>
      <c r="CV511" s="12"/>
      <c r="DV511" s="12"/>
      <c r="DW511" s="13"/>
      <c r="EQ511" s="4"/>
      <c r="FM511" s="108"/>
      <c r="FN511" s="108"/>
      <c r="FO511" s="12"/>
      <c r="FP511" s="170"/>
      <c r="FQ511" s="172"/>
      <c r="FS511" s="12"/>
      <c r="HI511" s="13"/>
      <c r="HJ511" s="108"/>
      <c r="HK511" s="108"/>
      <c r="HL511" s="149"/>
      <c r="HM511" s="150"/>
      <c r="HN511" s="150"/>
      <c r="HO511" s="150"/>
      <c r="HP511" s="150"/>
      <c r="HQ511" s="150"/>
      <c r="HR511" s="150"/>
      <c r="HS511" s="150"/>
      <c r="HT511" s="150"/>
      <c r="HU511" s="150"/>
      <c r="HV511" s="150"/>
      <c r="HW511" s="150"/>
      <c r="HX511" s="150"/>
      <c r="HY511" s="150"/>
      <c r="HZ511" s="150"/>
      <c r="IA511" s="151"/>
      <c r="IB511" s="151"/>
      <c r="IC511" s="149"/>
      <c r="ID511" s="150"/>
      <c r="IE511" s="151"/>
      <c r="JE511" s="12"/>
      <c r="JF511" s="13"/>
      <c r="JO511" s="4"/>
      <c r="KK511" s="12"/>
      <c r="KM511" s="14"/>
      <c r="KN511" s="15"/>
      <c r="KO511" s="15"/>
      <c r="KP511" s="16"/>
      <c r="KQ511" s="12"/>
      <c r="KX511" s="13"/>
      <c r="LB511" s="13"/>
      <c r="LD511" s="13"/>
      <c r="MC511" s="127"/>
      <c r="MD511" s="127"/>
      <c r="ME511" s="127"/>
      <c r="MF511" s="127"/>
      <c r="MG511" s="127"/>
      <c r="MH511" s="127"/>
      <c r="ML511" s="12"/>
      <c r="MW511" s="13"/>
      <c r="MY511" s="12"/>
      <c r="OC511" s="12"/>
      <c r="OD511" s="13"/>
    </row>
    <row r="512" spans="8:394" ht="18" customHeight="1">
      <c r="H512" s="4"/>
      <c r="AD512" s="19"/>
      <c r="AE512" s="14"/>
      <c r="AF512" s="12"/>
      <c r="AJ512" s="12"/>
      <c r="CB512" s="13"/>
      <c r="CC512" s="19"/>
      <c r="CD512" s="19"/>
      <c r="CE512" s="12"/>
      <c r="CI512" s="12"/>
      <c r="CP512" s="13"/>
      <c r="CT512" s="13"/>
      <c r="CU512" s="13"/>
      <c r="CV512" s="12"/>
      <c r="DV512" s="12"/>
      <c r="DW512" s="13"/>
      <c r="EQ512" s="4"/>
      <c r="FM512" s="108"/>
      <c r="FN512" s="108"/>
      <c r="FO512" s="12"/>
      <c r="FP512" s="173"/>
      <c r="FQ512" s="174"/>
      <c r="FS512" s="12"/>
      <c r="HI512" s="13"/>
      <c r="HJ512" s="108"/>
      <c r="HK512" s="108"/>
      <c r="HL512" s="149"/>
      <c r="HM512" s="150"/>
      <c r="HN512" s="150"/>
      <c r="HO512" s="150"/>
      <c r="HP512" s="150"/>
      <c r="HQ512" s="150"/>
      <c r="HR512" s="150"/>
      <c r="HS512" s="150"/>
      <c r="HT512" s="150"/>
      <c r="HU512" s="150"/>
      <c r="HV512" s="150"/>
      <c r="HW512" s="150"/>
      <c r="HX512" s="150"/>
      <c r="HY512" s="150"/>
      <c r="HZ512" s="150"/>
      <c r="IA512" s="151"/>
      <c r="IB512" s="151"/>
      <c r="IC512" s="149"/>
      <c r="ID512" s="150"/>
      <c r="IE512" s="151"/>
      <c r="JE512" s="12"/>
      <c r="JF512" s="13"/>
      <c r="JO512" s="4"/>
      <c r="KK512" s="12"/>
      <c r="KM512" s="12"/>
      <c r="KQ512" s="12"/>
      <c r="KX512" s="13"/>
      <c r="LB512" s="13"/>
      <c r="LD512" s="13"/>
      <c r="MC512" s="127"/>
      <c r="MD512" s="127"/>
      <c r="ME512" s="127"/>
      <c r="MF512" s="127"/>
      <c r="MG512" s="127"/>
      <c r="MH512" s="127"/>
      <c r="ML512" s="12"/>
      <c r="MW512" s="13"/>
      <c r="MY512" s="12"/>
      <c r="OC512" s="12"/>
      <c r="OD512" s="13"/>
    </row>
    <row r="513" spans="8:394" ht="18" customHeight="1">
      <c r="H513" s="4"/>
      <c r="AD513" s="12"/>
      <c r="AF513" s="12"/>
      <c r="AJ513" s="14"/>
      <c r="AK513" s="15"/>
      <c r="AL513" s="15"/>
      <c r="AM513" s="15"/>
      <c r="AN513" s="15"/>
      <c r="AO513" s="15"/>
      <c r="AP513" s="15"/>
      <c r="AQ513" s="15"/>
      <c r="AR513" s="15"/>
      <c r="AS513" s="15"/>
      <c r="AT513" s="15"/>
      <c r="AU513" s="15"/>
      <c r="AV513" s="15"/>
      <c r="AW513" s="15"/>
      <c r="AX513" s="15"/>
      <c r="AY513" s="15"/>
      <c r="AZ513" s="15"/>
      <c r="BA513" s="15"/>
      <c r="BB513" s="15"/>
      <c r="BC513" s="15"/>
      <c r="BD513" s="15"/>
      <c r="CB513" s="13"/>
      <c r="CD513" s="13"/>
      <c r="CE513" s="12"/>
      <c r="CI513" s="12"/>
      <c r="CP513" s="13"/>
      <c r="CT513" s="13"/>
      <c r="CU513" s="13"/>
      <c r="CV513" s="12"/>
      <c r="DV513" s="12"/>
      <c r="DW513" s="13"/>
      <c r="EQ513" s="4"/>
      <c r="FM513" s="126"/>
      <c r="FN513" s="126"/>
      <c r="FO513" s="12"/>
      <c r="FS513" s="12"/>
      <c r="HI513" s="13"/>
      <c r="HJ513" s="126"/>
      <c r="HK513" s="126"/>
      <c r="HL513" s="149"/>
      <c r="HM513" s="150"/>
      <c r="HN513" s="150"/>
      <c r="HO513" s="150"/>
      <c r="HP513" s="150"/>
      <c r="HQ513" s="150"/>
      <c r="HR513" s="150"/>
      <c r="HS513" s="150"/>
      <c r="HT513" s="150"/>
      <c r="HU513" s="150"/>
      <c r="HV513" s="150"/>
      <c r="HW513" s="150"/>
      <c r="HX513" s="150"/>
      <c r="HY513" s="150"/>
      <c r="HZ513" s="150"/>
      <c r="IA513" s="151"/>
      <c r="IB513" s="151"/>
      <c r="IC513" s="149"/>
      <c r="ID513" s="150"/>
      <c r="IE513" s="151"/>
      <c r="JE513" s="12"/>
      <c r="JF513" s="13"/>
      <c r="JO513" s="4"/>
      <c r="KK513" s="12"/>
      <c r="KM513" s="12"/>
      <c r="KQ513" s="12"/>
      <c r="KX513" s="13"/>
      <c r="LB513" s="13"/>
      <c r="LE513" s="9"/>
      <c r="LF513" s="10"/>
      <c r="LG513" s="10"/>
      <c r="LH513" s="10"/>
      <c r="LI513" s="10"/>
      <c r="LJ513" s="10"/>
      <c r="LK513" s="10"/>
      <c r="LL513" s="10"/>
      <c r="LM513" s="10"/>
      <c r="LN513" s="10"/>
      <c r="LO513" s="10"/>
      <c r="LP513" s="10"/>
      <c r="LQ513" s="10"/>
      <c r="LR513" s="10"/>
      <c r="LS513" s="10"/>
      <c r="LT513" s="10"/>
      <c r="LU513" s="10"/>
      <c r="LV513" s="10"/>
      <c r="LW513" s="10"/>
      <c r="LX513" s="10"/>
      <c r="LY513" s="10"/>
      <c r="LZ513" s="10"/>
      <c r="MA513" s="10"/>
      <c r="MB513" s="10"/>
      <c r="MC513" s="10"/>
      <c r="MD513" s="10"/>
      <c r="ME513" s="10"/>
      <c r="MF513" s="10"/>
      <c r="MG513" s="10"/>
      <c r="MH513" s="10"/>
      <c r="MI513" s="10"/>
      <c r="MJ513" s="10"/>
      <c r="MK513" s="10"/>
      <c r="ML513" s="10"/>
      <c r="MM513" s="10"/>
      <c r="MN513" s="10"/>
      <c r="MO513" s="10"/>
      <c r="MP513" s="10"/>
      <c r="MQ513" s="10"/>
      <c r="MR513" s="10"/>
      <c r="MS513" s="10"/>
      <c r="MT513" s="10"/>
      <c r="MU513" s="10"/>
      <c r="MV513" s="10"/>
      <c r="MW513" s="11"/>
      <c r="MY513" s="12"/>
      <c r="OC513" s="12"/>
      <c r="OD513" s="13"/>
    </row>
    <row r="514" spans="8:394" ht="18" customHeight="1">
      <c r="H514" s="4"/>
      <c r="AD514" s="12"/>
      <c r="AF514" s="12"/>
      <c r="BC514" s="13"/>
      <c r="BE514" s="12"/>
      <c r="CB514" s="13"/>
      <c r="CD514" s="13"/>
      <c r="CE514" s="12"/>
      <c r="CI514" s="12"/>
      <c r="CP514" s="13"/>
      <c r="CT514" s="13"/>
      <c r="CU514" s="13"/>
      <c r="CV514" s="12"/>
      <c r="DV514" s="12"/>
      <c r="DW514" s="13"/>
      <c r="EQ514" s="4"/>
      <c r="FM514" s="42"/>
      <c r="FN514" s="43"/>
      <c r="FO514" s="12"/>
      <c r="FS514" s="14"/>
      <c r="FT514" s="15"/>
      <c r="FU514" s="15"/>
      <c r="FV514" s="15"/>
      <c r="FW514" s="15"/>
      <c r="FX514" s="15"/>
      <c r="FY514" s="15"/>
      <c r="FZ514" s="15"/>
      <c r="GA514" s="15"/>
      <c r="GB514" s="15"/>
      <c r="GC514" s="15"/>
      <c r="GD514" s="15"/>
      <c r="GE514" s="15"/>
      <c r="GF514" s="15"/>
      <c r="GG514" s="15"/>
      <c r="GH514" s="15"/>
      <c r="GI514" s="15"/>
      <c r="GJ514" s="15"/>
      <c r="GK514" s="15"/>
      <c r="GL514" s="15"/>
      <c r="GM514" s="15"/>
      <c r="HI514" s="13"/>
      <c r="HJ514" s="43"/>
      <c r="HK514" s="45"/>
      <c r="HL514" s="149"/>
      <c r="HM514" s="150"/>
      <c r="HN514" s="150"/>
      <c r="HO514" s="150"/>
      <c r="HP514" s="150"/>
      <c r="HQ514" s="150"/>
      <c r="HR514" s="150"/>
      <c r="HS514" s="150"/>
      <c r="HT514" s="150"/>
      <c r="HU514" s="150"/>
      <c r="HV514" s="150"/>
      <c r="HW514" s="150"/>
      <c r="HX514" s="150"/>
      <c r="HY514" s="150"/>
      <c r="HZ514" s="150"/>
      <c r="IA514" s="151"/>
      <c r="IB514" s="151"/>
      <c r="IC514" s="149"/>
      <c r="ID514" s="150"/>
      <c r="IE514" s="151"/>
      <c r="JE514" s="12"/>
      <c r="JF514" s="13"/>
      <c r="JO514" s="4"/>
      <c r="KK514" s="12"/>
      <c r="KM514" s="12"/>
      <c r="KQ514" s="12"/>
      <c r="KX514" s="13"/>
      <c r="LB514" s="13"/>
      <c r="LE514" s="12"/>
      <c r="MW514" s="13"/>
      <c r="MY514" s="12"/>
      <c r="OC514" s="12"/>
      <c r="OD514" s="13"/>
    </row>
    <row r="515" spans="8:394" ht="18" customHeight="1">
      <c r="H515" s="4"/>
      <c r="AD515" s="12"/>
      <c r="AF515" s="12"/>
      <c r="BC515" s="13"/>
      <c r="BE515" s="12"/>
      <c r="CB515" s="13"/>
      <c r="CD515" s="13"/>
      <c r="CE515" s="12"/>
      <c r="CI515" s="14"/>
      <c r="CJ515" s="15"/>
      <c r="CK515" s="15"/>
      <c r="CL515" s="15"/>
      <c r="CM515" s="15"/>
      <c r="CN515" s="15"/>
      <c r="CO515" s="15"/>
      <c r="CP515" s="16"/>
      <c r="CT515" s="13"/>
      <c r="CU515" s="13"/>
      <c r="CV515" s="14"/>
      <c r="CW515" s="15"/>
      <c r="CX515" s="15"/>
      <c r="CY515" s="15"/>
      <c r="CZ515" s="15"/>
      <c r="DA515" s="15"/>
      <c r="DB515" s="15"/>
      <c r="DC515" s="15"/>
      <c r="DD515" s="15"/>
      <c r="DE515" s="15"/>
      <c r="DF515" s="15"/>
      <c r="DG515" s="15"/>
      <c r="DH515" s="15"/>
      <c r="DI515" s="15"/>
      <c r="DJ515" s="15"/>
      <c r="DK515" s="15"/>
      <c r="DL515" s="15"/>
      <c r="DM515" s="15"/>
      <c r="DN515" s="15"/>
      <c r="DO515" s="15"/>
      <c r="DP515" s="15"/>
      <c r="DQ515" s="15"/>
      <c r="DR515" s="15"/>
      <c r="DS515" s="15"/>
      <c r="DT515" s="15"/>
      <c r="DU515" s="15"/>
      <c r="DV515" s="14"/>
      <c r="DW515" s="16"/>
      <c r="EQ515" s="4"/>
      <c r="FM515" s="42"/>
      <c r="FN515" s="43"/>
      <c r="FO515" s="12"/>
      <c r="GL515" s="13"/>
      <c r="GN515" s="12"/>
      <c r="HI515" s="13"/>
      <c r="HJ515" s="43"/>
      <c r="HK515" s="45"/>
      <c r="HL515" s="149"/>
      <c r="HM515" s="150"/>
      <c r="HN515" s="150"/>
      <c r="HO515" s="150"/>
      <c r="HP515" s="150"/>
      <c r="HQ515" s="150"/>
      <c r="HR515" s="150"/>
      <c r="HS515" s="150"/>
      <c r="HT515" s="150"/>
      <c r="HU515" s="150"/>
      <c r="HV515" s="150"/>
      <c r="HW515" s="150"/>
      <c r="HX515" s="150"/>
      <c r="HY515" s="150"/>
      <c r="HZ515" s="150"/>
      <c r="IA515" s="151"/>
      <c r="IB515" s="151"/>
      <c r="IC515" s="149"/>
      <c r="ID515" s="150"/>
      <c r="IE515" s="151"/>
      <c r="JE515" s="12"/>
      <c r="JF515" s="13"/>
      <c r="JO515" s="4"/>
      <c r="KK515" s="12"/>
      <c r="KM515" s="12"/>
      <c r="KQ515" s="12"/>
      <c r="KX515" s="13"/>
      <c r="LB515" s="13"/>
      <c r="LE515" s="12"/>
      <c r="LL515" s="9"/>
      <c r="LM515" s="10"/>
      <c r="LN515" s="10"/>
      <c r="LO515" s="10"/>
      <c r="LP515" s="10"/>
      <c r="LQ515" s="10"/>
      <c r="LR515" s="11"/>
      <c r="MW515" s="13"/>
      <c r="MY515" s="12"/>
      <c r="OC515" s="12"/>
      <c r="OD515" s="13"/>
    </row>
    <row r="516" spans="8:394" ht="18" customHeight="1">
      <c r="H516" s="4"/>
      <c r="AD516" s="12"/>
      <c r="AF516" s="12"/>
      <c r="BC516" s="13"/>
      <c r="BE516" s="12"/>
      <c r="CB516" s="13"/>
      <c r="CD516" s="13"/>
      <c r="CE516" s="12"/>
      <c r="CT516" s="13"/>
      <c r="CU516" s="13"/>
      <c r="DW516" s="5"/>
      <c r="EQ516" s="4"/>
      <c r="FM516" s="42"/>
      <c r="FN516" s="43"/>
      <c r="FO516" s="12"/>
      <c r="GL516" s="13"/>
      <c r="GN516" s="12"/>
      <c r="HI516" s="13"/>
      <c r="HJ516" s="43"/>
      <c r="HK516" s="45"/>
      <c r="HL516" s="149"/>
      <c r="HM516" s="150"/>
      <c r="HN516" s="150"/>
      <c r="HO516" s="150"/>
      <c r="HP516" s="150"/>
      <c r="HQ516" s="150"/>
      <c r="HR516" s="150"/>
      <c r="HS516" s="150"/>
      <c r="HT516" s="150"/>
      <c r="HU516" s="150"/>
      <c r="HV516" s="150"/>
      <c r="HW516" s="150"/>
      <c r="HX516" s="150"/>
      <c r="HY516" s="150"/>
      <c r="HZ516" s="150"/>
      <c r="IA516" s="151"/>
      <c r="IB516" s="151"/>
      <c r="IC516" s="152"/>
      <c r="ID516" s="153"/>
      <c r="IE516" s="154"/>
      <c r="IF516" s="15"/>
      <c r="IG516" s="15"/>
      <c r="IH516" s="15"/>
      <c r="II516" s="15"/>
      <c r="IJ516" s="15"/>
      <c r="IK516" s="15"/>
      <c r="IL516" s="15"/>
      <c r="IM516" s="15"/>
      <c r="IN516" s="15"/>
      <c r="IO516" s="15"/>
      <c r="IP516" s="15"/>
      <c r="IQ516" s="15"/>
      <c r="IR516" s="15"/>
      <c r="IS516" s="15"/>
      <c r="IT516" s="15"/>
      <c r="IU516" s="15"/>
      <c r="IV516" s="15"/>
      <c r="IW516" s="15"/>
      <c r="IX516" s="15"/>
      <c r="IY516" s="15"/>
      <c r="IZ516" s="15"/>
      <c r="JA516" s="15"/>
      <c r="JB516" s="15"/>
      <c r="JC516" s="15"/>
      <c r="JD516" s="15"/>
      <c r="JE516" s="14"/>
      <c r="JF516" s="16"/>
      <c r="JO516" s="4"/>
      <c r="KK516" s="12"/>
      <c r="KM516" s="9"/>
      <c r="KN516" s="10"/>
      <c r="KO516" s="10"/>
      <c r="KP516" s="11"/>
      <c r="KQ516" s="12"/>
      <c r="KX516" s="13"/>
      <c r="KY516" s="9"/>
      <c r="KZ516" s="10"/>
      <c r="LA516" s="10"/>
      <c r="LB516" s="11"/>
      <c r="LE516" s="12"/>
      <c r="LL516" s="12"/>
      <c r="LR516" s="13"/>
      <c r="MW516" s="13"/>
      <c r="MY516" s="12"/>
      <c r="NF516" s="15"/>
      <c r="NG516" s="15"/>
      <c r="NH516" s="15"/>
      <c r="NI516" s="15"/>
      <c r="NJ516" s="15"/>
      <c r="NK516" s="15"/>
      <c r="NL516" s="15"/>
      <c r="NM516" s="15"/>
      <c r="NN516" s="15"/>
      <c r="NO516" s="15"/>
      <c r="NP516" s="15"/>
      <c r="NQ516" s="15"/>
      <c r="NR516" s="15"/>
      <c r="NS516" s="15"/>
      <c r="NT516" s="15"/>
      <c r="NU516" s="15"/>
      <c r="NV516" s="15"/>
      <c r="NW516" s="15"/>
      <c r="NX516" s="15"/>
      <c r="NY516" s="15"/>
      <c r="NZ516" s="15"/>
      <c r="OA516" s="15"/>
      <c r="OB516" s="15"/>
      <c r="OC516" s="14"/>
      <c r="OD516" s="16"/>
    </row>
    <row r="517" spans="8:394" ht="18" customHeight="1">
      <c r="H517" s="4"/>
      <c r="AD517" s="12"/>
      <c r="AF517" s="14"/>
      <c r="AG517" s="15"/>
      <c r="AH517" s="15"/>
      <c r="AI517" s="15"/>
      <c r="AJ517" s="15"/>
      <c r="AK517" s="15"/>
      <c r="AL517" s="15"/>
      <c r="AM517" s="15"/>
      <c r="AN517" s="15"/>
      <c r="AO517" s="15"/>
      <c r="AP517" s="15"/>
      <c r="AQ517" s="15"/>
      <c r="AR517" s="15"/>
      <c r="AS517" s="15"/>
      <c r="AT517" s="15"/>
      <c r="AU517" s="15"/>
      <c r="AV517" s="15"/>
      <c r="AW517" s="15"/>
      <c r="AX517" s="15"/>
      <c r="AY517" s="15"/>
      <c r="AZ517" s="15"/>
      <c r="BA517" s="15"/>
      <c r="BB517" s="15"/>
      <c r="BC517" s="16"/>
      <c r="BD517" s="15"/>
      <c r="BE517" s="14"/>
      <c r="BF517" s="15"/>
      <c r="BG517" s="15"/>
      <c r="BH517" s="15"/>
      <c r="BI517" s="15"/>
      <c r="BJ517" s="15"/>
      <c r="BK517" s="15"/>
      <c r="BL517" s="15"/>
      <c r="BM517" s="15"/>
      <c r="BN517" s="15"/>
      <c r="BO517" s="15"/>
      <c r="BP517" s="15"/>
      <c r="BQ517" s="15"/>
      <c r="BR517" s="15"/>
      <c r="BS517" s="15"/>
      <c r="BT517" s="15"/>
      <c r="BU517" s="15"/>
      <c r="BV517" s="15"/>
      <c r="BW517" s="15"/>
      <c r="BX517" s="15"/>
      <c r="BY517" s="15"/>
      <c r="BZ517" s="15"/>
      <c r="CA517" s="15"/>
      <c r="CB517" s="16"/>
      <c r="CD517" s="13"/>
      <c r="CE517" s="12"/>
      <c r="CT517" s="13"/>
      <c r="CU517" s="13"/>
      <c r="DW517" s="5"/>
      <c r="EQ517" s="4"/>
      <c r="FM517" s="42"/>
      <c r="FN517" s="43"/>
      <c r="FO517" s="12"/>
      <c r="GL517" s="13"/>
      <c r="GN517" s="12"/>
      <c r="HI517" s="13"/>
      <c r="HJ517" s="43"/>
      <c r="HK517" s="45"/>
      <c r="HL517" s="149"/>
      <c r="HM517" s="150"/>
      <c r="HN517" s="150"/>
      <c r="HO517" s="150"/>
      <c r="HP517" s="150"/>
      <c r="HQ517" s="150"/>
      <c r="HR517" s="150"/>
      <c r="HS517" s="150"/>
      <c r="HT517" s="150"/>
      <c r="HU517" s="150"/>
      <c r="HV517" s="150"/>
      <c r="HW517" s="150"/>
      <c r="HX517" s="150"/>
      <c r="HY517" s="150"/>
      <c r="HZ517" s="150"/>
      <c r="IA517" s="151"/>
      <c r="IB517" s="151"/>
      <c r="IC517" s="150"/>
      <c r="ID517" s="150"/>
      <c r="IE517" s="151"/>
      <c r="JF517" s="5"/>
      <c r="JO517" s="4"/>
      <c r="KK517" s="12"/>
      <c r="KM517" s="12"/>
      <c r="KP517" s="13"/>
      <c r="KQ517" s="12"/>
      <c r="KX517" s="13"/>
      <c r="KY517" s="12"/>
      <c r="LB517" s="13"/>
      <c r="LE517" s="12"/>
      <c r="LL517" s="12"/>
      <c r="LR517" s="13"/>
      <c r="MW517" s="13"/>
      <c r="MY517" s="12"/>
      <c r="OD517" s="5"/>
    </row>
    <row r="518" spans="8:394" ht="18" customHeight="1">
      <c r="H518" s="4"/>
      <c r="AD518" s="12"/>
      <c r="BJ518" s="14"/>
      <c r="BK518" s="15"/>
      <c r="BL518" s="15"/>
      <c r="BM518" s="15"/>
      <c r="BN518" s="15"/>
      <c r="BO518" s="16"/>
      <c r="BV518" s="127"/>
      <c r="BW518" s="127"/>
      <c r="BX518" s="127"/>
      <c r="BY518" s="127"/>
      <c r="BZ518" s="127"/>
      <c r="CA518" s="127"/>
      <c r="CD518" s="13"/>
      <c r="CE518" s="12"/>
      <c r="CT518" s="13"/>
      <c r="CU518" s="13"/>
      <c r="DW518" s="5"/>
      <c r="EQ518" s="4"/>
      <c r="FM518" s="42"/>
      <c r="FN518" s="43"/>
      <c r="FO518" s="14"/>
      <c r="FP518" s="15"/>
      <c r="FQ518" s="15"/>
      <c r="FR518" s="15"/>
      <c r="FS518" s="15"/>
      <c r="FT518" s="15"/>
      <c r="FU518" s="15"/>
      <c r="FV518" s="15"/>
      <c r="FW518" s="15"/>
      <c r="FX518" s="15"/>
      <c r="FY518" s="15"/>
      <c r="FZ518" s="15"/>
      <c r="GA518" s="15"/>
      <c r="GB518" s="15"/>
      <c r="GC518" s="15"/>
      <c r="GD518" s="15"/>
      <c r="GE518" s="15"/>
      <c r="GF518" s="15"/>
      <c r="GG518" s="15"/>
      <c r="GH518" s="15"/>
      <c r="GI518" s="15"/>
      <c r="GJ518" s="15"/>
      <c r="GK518" s="15"/>
      <c r="GL518" s="16"/>
      <c r="GN518" s="14"/>
      <c r="GO518" s="15"/>
      <c r="GP518" s="15"/>
      <c r="GQ518" s="15"/>
      <c r="GR518" s="15"/>
      <c r="GS518" s="15"/>
      <c r="GT518" s="15"/>
      <c r="GU518" s="15"/>
      <c r="GV518" s="15"/>
      <c r="GW518" s="15"/>
      <c r="GX518" s="15"/>
      <c r="GY518" s="15"/>
      <c r="GZ518" s="15"/>
      <c r="HA518" s="15"/>
      <c r="HB518" s="15"/>
      <c r="HC518" s="15"/>
      <c r="HD518" s="15"/>
      <c r="HE518" s="15"/>
      <c r="HF518" s="15"/>
      <c r="HG518" s="15"/>
      <c r="HH518" s="15"/>
      <c r="HI518" s="16"/>
      <c r="HJ518" s="43"/>
      <c r="HK518" s="45"/>
      <c r="HL518" s="149"/>
      <c r="HM518" s="150"/>
      <c r="HN518" s="150"/>
      <c r="HO518" s="150"/>
      <c r="HP518" s="150"/>
      <c r="HQ518" s="150"/>
      <c r="HR518" s="150"/>
      <c r="HS518" s="150"/>
      <c r="HT518" s="150"/>
      <c r="HU518" s="150"/>
      <c r="HV518" s="150"/>
      <c r="HW518" s="150"/>
      <c r="HX518" s="150"/>
      <c r="HY518" s="150"/>
      <c r="HZ518" s="150"/>
      <c r="IA518" s="151"/>
      <c r="IB518" s="151"/>
      <c r="IC518" s="150"/>
      <c r="ID518" s="150"/>
      <c r="IE518" s="151"/>
      <c r="JF518" s="5"/>
      <c r="JO518" s="4"/>
      <c r="KK518" s="12"/>
      <c r="KM518" s="12"/>
      <c r="KP518" s="13"/>
      <c r="KQ518" s="12"/>
      <c r="KX518" s="13"/>
      <c r="KY518" s="12"/>
      <c r="LB518" s="13"/>
      <c r="LE518" s="12"/>
      <c r="LL518" s="12"/>
      <c r="LR518" s="13"/>
      <c r="MW518" s="13"/>
      <c r="MY518" s="12"/>
      <c r="OD518" s="5"/>
    </row>
    <row r="519" spans="8:394" ht="18" customHeight="1">
      <c r="H519" s="4"/>
      <c r="AD519" s="14"/>
      <c r="AE519" s="15"/>
      <c r="AF519" s="15"/>
      <c r="AG519" s="15"/>
      <c r="AH519" s="15"/>
      <c r="AI519" s="15"/>
      <c r="AJ519" s="15"/>
      <c r="AK519" s="15"/>
      <c r="AL519" s="15"/>
      <c r="AM519" s="15"/>
      <c r="AN519" s="15"/>
      <c r="AO519" s="15"/>
      <c r="AP519" s="15"/>
      <c r="AQ519" s="15"/>
      <c r="AR519" s="15"/>
      <c r="AS519" s="15"/>
      <c r="AT519" s="15"/>
      <c r="AU519" s="15"/>
      <c r="AV519" s="15"/>
      <c r="AW519" s="15"/>
      <c r="AX519" s="15"/>
      <c r="AY519" s="15"/>
      <c r="AZ519" s="15"/>
      <c r="BA519" s="15"/>
      <c r="BB519" s="15"/>
      <c r="BC519" s="15"/>
      <c r="BD519" s="15"/>
      <c r="BE519" s="15"/>
      <c r="BF519" s="15"/>
      <c r="BG519" s="15"/>
      <c r="BH519" s="15"/>
      <c r="BI519" s="15"/>
      <c r="BJ519" s="20"/>
      <c r="BK519" s="21"/>
      <c r="BL519" s="21"/>
      <c r="BM519" s="21"/>
      <c r="BN519" s="21"/>
      <c r="BO519" s="22"/>
      <c r="BP519" s="15"/>
      <c r="BQ519" s="15"/>
      <c r="BR519" s="15"/>
      <c r="BS519" s="15"/>
      <c r="BT519" s="15"/>
      <c r="BU519" s="15"/>
      <c r="BV519" s="100"/>
      <c r="BW519" s="100"/>
      <c r="BX519" s="100"/>
      <c r="BY519" s="100"/>
      <c r="BZ519" s="100"/>
      <c r="CA519" s="100"/>
      <c r="CB519" s="15"/>
      <c r="CC519" s="15"/>
      <c r="CD519" s="16"/>
      <c r="CE519" s="14"/>
      <c r="CF519" s="15"/>
      <c r="CG519" s="15"/>
      <c r="CH519" s="15"/>
      <c r="CI519" s="15"/>
      <c r="CJ519" s="15"/>
      <c r="CK519" s="15"/>
      <c r="CL519" s="15"/>
      <c r="CM519" s="15"/>
      <c r="CN519" s="15"/>
      <c r="CO519" s="15"/>
      <c r="CP519" s="15"/>
      <c r="CQ519" s="15"/>
      <c r="CR519" s="15"/>
      <c r="CS519" s="15"/>
      <c r="CT519" s="16"/>
      <c r="CU519" s="13"/>
      <c r="DW519" s="5"/>
      <c r="EQ519" s="4"/>
      <c r="FM519" s="42"/>
      <c r="FN519" s="43"/>
      <c r="FO519" s="43"/>
      <c r="FP519" s="43"/>
      <c r="FQ519" s="43"/>
      <c r="FR519" s="43"/>
      <c r="FS519" s="43"/>
      <c r="FT519" s="43"/>
      <c r="FU519" s="43"/>
      <c r="FV519" s="43"/>
      <c r="FW519" s="43"/>
      <c r="FX519" s="43"/>
      <c r="FY519" s="43"/>
      <c r="FZ519" s="43"/>
      <c r="GA519" s="43"/>
      <c r="GB519" s="43"/>
      <c r="GC519" s="43"/>
      <c r="GD519" s="43"/>
      <c r="GE519" s="43"/>
      <c r="GF519" s="43"/>
      <c r="GG519" s="43"/>
      <c r="GH519" s="43"/>
      <c r="GI519" s="43"/>
      <c r="GJ519" s="43"/>
      <c r="GK519" s="43"/>
      <c r="GL519" s="43"/>
      <c r="GM519" s="43"/>
      <c r="GN519" s="43"/>
      <c r="GO519" s="43"/>
      <c r="GP519" s="43"/>
      <c r="GQ519" s="43"/>
      <c r="GR519" s="43"/>
      <c r="GS519" s="123"/>
      <c r="GT519" s="109"/>
      <c r="GU519" s="109"/>
      <c r="GV519" s="109"/>
      <c r="GW519" s="109"/>
      <c r="GX519" s="124"/>
      <c r="GY519" s="43"/>
      <c r="GZ519" s="43"/>
      <c r="HA519" s="43"/>
      <c r="HB519" s="43"/>
      <c r="HC519" s="127"/>
      <c r="HD519" s="127"/>
      <c r="HE519" s="127"/>
      <c r="HF519" s="127"/>
      <c r="HG519" s="127"/>
      <c r="HH519" s="127"/>
      <c r="HI519" s="43"/>
      <c r="HJ519" s="43"/>
      <c r="HK519" s="45"/>
      <c r="HL519" s="149"/>
      <c r="HM519" s="150"/>
      <c r="HN519" s="150"/>
      <c r="HO519" s="150"/>
      <c r="HP519" s="150"/>
      <c r="HQ519" s="150"/>
      <c r="HR519" s="150"/>
      <c r="HS519" s="150"/>
      <c r="HT519" s="150"/>
      <c r="HU519" s="150"/>
      <c r="HV519" s="150"/>
      <c r="HW519" s="150"/>
      <c r="HX519" s="150"/>
      <c r="HY519" s="150"/>
      <c r="HZ519" s="150"/>
      <c r="IA519" s="151"/>
      <c r="IB519" s="151"/>
      <c r="IC519" s="150"/>
      <c r="ID519" s="150"/>
      <c r="IE519" s="151"/>
      <c r="JF519" s="5"/>
      <c r="JO519" s="4"/>
      <c r="KK519" s="12"/>
      <c r="KM519" s="14"/>
      <c r="KN519" s="15"/>
      <c r="KO519" s="15"/>
      <c r="KP519" s="16"/>
      <c r="KQ519" s="12"/>
      <c r="KX519" s="13"/>
      <c r="KY519" s="14"/>
      <c r="KZ519" s="15"/>
      <c r="LA519" s="15"/>
      <c r="LB519" s="16"/>
      <c r="LE519" s="12"/>
      <c r="LL519" s="12"/>
      <c r="LR519" s="13"/>
      <c r="MW519" s="13"/>
      <c r="MY519" s="12"/>
      <c r="OD519" s="5"/>
    </row>
    <row r="520" spans="8:394" ht="18" customHeight="1">
      <c r="H520" s="4"/>
      <c r="AN520" s="10"/>
      <c r="AQ520" s="10"/>
      <c r="AS520" s="10"/>
      <c r="AV520" s="10"/>
      <c r="AW520" s="10"/>
      <c r="AX520" s="9"/>
      <c r="AY520" s="9"/>
      <c r="AZ520" s="10"/>
      <c r="BA520" s="10"/>
      <c r="BB520" s="10"/>
      <c r="BC520" s="10"/>
      <c r="BD520" s="10"/>
      <c r="BO520" s="9"/>
      <c r="BP520" s="10"/>
      <c r="BQ520" s="10"/>
      <c r="BR520" s="10"/>
      <c r="BS520" s="10"/>
      <c r="BT520" s="10"/>
      <c r="BU520" s="10"/>
      <c r="BV520" s="10"/>
      <c r="BW520" s="10"/>
      <c r="BX520" s="10"/>
      <c r="BY520" s="10"/>
      <c r="BZ520" s="10"/>
      <c r="CA520" s="10"/>
      <c r="CB520" s="10"/>
      <c r="CC520" s="10"/>
      <c r="CD520" s="11"/>
      <c r="CE520" s="9"/>
      <c r="CF520" s="10"/>
      <c r="CG520" s="10"/>
      <c r="CH520" s="10"/>
      <c r="CI520" s="10"/>
      <c r="CJ520" s="10"/>
      <c r="CK520" s="10"/>
      <c r="CL520" s="10"/>
      <c r="CM520" s="10"/>
      <c r="CN520" s="10"/>
      <c r="CO520" s="10"/>
      <c r="CP520" s="10"/>
      <c r="CQ520" s="10"/>
      <c r="CR520" s="10"/>
      <c r="CS520" s="10"/>
      <c r="CT520" s="11"/>
      <c r="CU520" s="13"/>
      <c r="DW520" s="5"/>
      <c r="EQ520" s="4"/>
      <c r="FM520" s="46"/>
      <c r="FN520" s="47"/>
      <c r="FO520" s="47"/>
      <c r="FP520" s="47"/>
      <c r="FQ520" s="47"/>
      <c r="FR520" s="47"/>
      <c r="FS520" s="47"/>
      <c r="FT520" s="47"/>
      <c r="FU520" s="47"/>
      <c r="FV520" s="47"/>
      <c r="FW520" s="43"/>
      <c r="FX520" s="47"/>
      <c r="FY520" s="47"/>
      <c r="FZ520" s="43"/>
      <c r="GA520" s="47"/>
      <c r="GB520" s="43"/>
      <c r="GC520" s="47"/>
      <c r="GD520" s="47"/>
      <c r="GE520" s="43"/>
      <c r="GF520" s="43"/>
      <c r="GG520" s="43"/>
      <c r="GH520" s="43"/>
      <c r="GI520" s="43"/>
      <c r="GJ520" s="43"/>
      <c r="GK520" s="43"/>
      <c r="GL520" s="43"/>
      <c r="GM520" s="43"/>
      <c r="GN520" s="43"/>
      <c r="GO520" s="43"/>
      <c r="GP520" s="43"/>
      <c r="GQ520" s="43"/>
      <c r="GR520" s="43"/>
      <c r="GS520" s="40"/>
      <c r="GT520" s="41"/>
      <c r="GU520" s="41"/>
      <c r="GV520" s="41"/>
      <c r="GW520" s="41"/>
      <c r="GX520" s="44"/>
      <c r="GY520" s="43"/>
      <c r="GZ520" s="43"/>
      <c r="HA520" s="43"/>
      <c r="HB520" s="43"/>
      <c r="HC520" s="127"/>
      <c r="HD520" s="127"/>
      <c r="HE520" s="127"/>
      <c r="HF520" s="127"/>
      <c r="HG520" s="127"/>
      <c r="HH520" s="127"/>
      <c r="HI520" s="43"/>
      <c r="HJ520" s="43"/>
      <c r="HK520" s="45"/>
      <c r="HL520" s="149"/>
      <c r="HM520" s="150"/>
      <c r="HN520" s="150"/>
      <c r="HO520" s="150"/>
      <c r="HP520" s="150"/>
      <c r="HQ520" s="150"/>
      <c r="HR520" s="150"/>
      <c r="HS520" s="150"/>
      <c r="HT520" s="150"/>
      <c r="HU520" s="150"/>
      <c r="HV520" s="150"/>
      <c r="HW520" s="150"/>
      <c r="HX520" s="150"/>
      <c r="HY520" s="150"/>
      <c r="HZ520" s="150"/>
      <c r="IA520" s="151"/>
      <c r="IB520" s="151"/>
      <c r="IC520" s="150"/>
      <c r="ID520" s="150"/>
      <c r="IE520" s="151"/>
      <c r="JF520" s="5"/>
      <c r="JO520" s="4"/>
      <c r="KK520" s="12"/>
      <c r="KM520" s="12"/>
      <c r="KQ520" s="12"/>
      <c r="KX520" s="13"/>
      <c r="KY520" s="9"/>
      <c r="KZ520" s="10"/>
      <c r="LA520" s="10"/>
      <c r="LB520" s="11"/>
      <c r="LE520" s="12"/>
      <c r="LL520" s="12"/>
      <c r="LR520" s="13"/>
      <c r="MW520" s="13"/>
      <c r="MY520" s="12"/>
      <c r="OD520" s="5"/>
    </row>
    <row r="521" spans="8:394" ht="18" customHeight="1">
      <c r="H521" s="4"/>
      <c r="AX521" s="12"/>
      <c r="AY521" s="12"/>
      <c r="BO521" s="12"/>
      <c r="CD521" s="13"/>
      <c r="CE521" s="12"/>
      <c r="CT521" s="13"/>
      <c r="CU521" s="13"/>
      <c r="DW521" s="5"/>
      <c r="EQ521" s="4"/>
      <c r="FW521" s="10"/>
      <c r="FZ521" s="10"/>
      <c r="GB521" s="146"/>
      <c r="GC521" s="147"/>
      <c r="GD521" s="147"/>
      <c r="GE521" s="146"/>
      <c r="GF521" s="146"/>
      <c r="GG521" s="147"/>
      <c r="GH521" s="147"/>
      <c r="GI521" s="147"/>
      <c r="GJ521" s="147"/>
      <c r="GK521" s="147"/>
      <c r="GL521" s="147"/>
      <c r="GM521" s="147"/>
      <c r="GN521" s="147"/>
      <c r="GO521" s="147"/>
      <c r="GP521" s="147"/>
      <c r="GQ521" s="147"/>
      <c r="GR521" s="147"/>
      <c r="GS521" s="147"/>
      <c r="GT521" s="147"/>
      <c r="GU521" s="147"/>
      <c r="GV521" s="147"/>
      <c r="GW521" s="147"/>
      <c r="GX521" s="147"/>
      <c r="GY521" s="147"/>
      <c r="GZ521" s="147"/>
      <c r="HA521" s="147"/>
      <c r="HB521" s="147"/>
      <c r="HC521" s="147"/>
      <c r="HD521" s="147"/>
      <c r="HE521" s="147"/>
      <c r="HF521" s="147"/>
      <c r="HG521" s="147"/>
      <c r="HH521" s="147"/>
      <c r="HI521" s="147"/>
      <c r="HJ521" s="147"/>
      <c r="HK521" s="147"/>
      <c r="HL521" s="147"/>
      <c r="HM521" s="147"/>
      <c r="HN521" s="147"/>
      <c r="HO521" s="147"/>
      <c r="HP521" s="147"/>
      <c r="HQ521" s="147"/>
      <c r="HR521" s="147"/>
      <c r="HS521" s="147"/>
      <c r="HT521" s="147"/>
      <c r="HU521" s="147"/>
      <c r="HV521" s="147"/>
      <c r="HW521" s="147"/>
      <c r="HX521" s="147"/>
      <c r="HY521" s="147"/>
      <c r="HZ521" s="147"/>
      <c r="IA521" s="148"/>
      <c r="IB521" s="151"/>
      <c r="IC521" s="150"/>
      <c r="ID521" s="150"/>
      <c r="IE521" s="151"/>
      <c r="JF521" s="5"/>
      <c r="JO521" s="4"/>
      <c r="KK521" s="12"/>
      <c r="KM521" s="12"/>
      <c r="KQ521" s="12"/>
      <c r="KX521" s="13"/>
      <c r="KY521" s="12"/>
      <c r="LB521" s="13"/>
      <c r="LE521" s="12"/>
      <c r="LL521" s="12"/>
      <c r="LR521" s="13"/>
      <c r="MW521" s="13"/>
      <c r="MY521" s="12"/>
      <c r="OD521" s="5"/>
    </row>
    <row r="522" spans="8:394" ht="18" customHeight="1">
      <c r="H522" s="4"/>
      <c r="AX522" s="12"/>
      <c r="AY522" s="12"/>
      <c r="BO522" s="12"/>
      <c r="CD522" s="13"/>
      <c r="CE522" s="12"/>
      <c r="CT522" s="13"/>
      <c r="CU522" s="13"/>
      <c r="DW522" s="5"/>
      <c r="EQ522" s="4"/>
      <c r="GB522" s="149"/>
      <c r="GC522" s="150"/>
      <c r="GD522" s="150"/>
      <c r="GE522" s="149"/>
      <c r="GF522" s="149"/>
      <c r="GG522" s="150"/>
      <c r="GH522" s="150"/>
      <c r="GI522" s="150"/>
      <c r="GJ522" s="150"/>
      <c r="GK522" s="150"/>
      <c r="GL522" s="150"/>
      <c r="GM522" s="150"/>
      <c r="GN522" s="150"/>
      <c r="GO522" s="150"/>
      <c r="GP522" s="150"/>
      <c r="GQ522" s="150"/>
      <c r="GR522" s="150"/>
      <c r="GS522" s="150"/>
      <c r="GT522" s="150"/>
      <c r="GU522" s="150"/>
      <c r="GV522" s="150"/>
      <c r="GW522" s="150"/>
      <c r="GX522" s="150"/>
      <c r="GY522" s="150"/>
      <c r="GZ522" s="150"/>
      <c r="HA522" s="150"/>
      <c r="HB522" s="150"/>
      <c r="HC522" s="150"/>
      <c r="HD522" s="150"/>
      <c r="HE522" s="150"/>
      <c r="HF522" s="150"/>
      <c r="HG522" s="150"/>
      <c r="HH522" s="150"/>
      <c r="HI522" s="150"/>
      <c r="HJ522" s="150"/>
      <c r="HK522" s="150"/>
      <c r="HL522" s="150"/>
      <c r="HM522" s="150"/>
      <c r="HN522" s="150"/>
      <c r="HO522" s="150"/>
      <c r="HP522" s="150"/>
      <c r="HQ522" s="150"/>
      <c r="HR522" s="150"/>
      <c r="HS522" s="150"/>
      <c r="HT522" s="150"/>
      <c r="HU522" s="150"/>
      <c r="HV522" s="150"/>
      <c r="HW522" s="150"/>
      <c r="HX522" s="150"/>
      <c r="HY522" s="150"/>
      <c r="HZ522" s="150"/>
      <c r="IA522" s="151"/>
      <c r="IB522" s="151"/>
      <c r="IC522" s="150"/>
      <c r="ID522" s="150"/>
      <c r="IE522" s="151"/>
      <c r="JF522" s="5"/>
      <c r="JO522" s="4"/>
      <c r="KK522" s="12"/>
      <c r="KM522" s="12"/>
      <c r="KQ522" s="12"/>
      <c r="KX522" s="13"/>
      <c r="KY522" s="12"/>
      <c r="LB522" s="13"/>
      <c r="LE522" s="12"/>
      <c r="LL522" s="12"/>
      <c r="LR522" s="13"/>
      <c r="MW522" s="13"/>
      <c r="MY522" s="12"/>
      <c r="OD522" s="5"/>
    </row>
    <row r="523" spans="8:394" ht="18" customHeight="1">
      <c r="H523" s="4"/>
      <c r="AX523" s="12"/>
      <c r="AY523" s="12"/>
      <c r="BO523" s="12"/>
      <c r="CD523" s="13"/>
      <c r="CE523" s="12"/>
      <c r="CT523" s="13"/>
      <c r="CU523" s="13"/>
      <c r="DW523" s="5"/>
      <c r="EQ523" s="4"/>
      <c r="GB523" s="149"/>
      <c r="GC523" s="150"/>
      <c r="GD523" s="150"/>
      <c r="GE523" s="149"/>
      <c r="GF523" s="149"/>
      <c r="GG523" s="150"/>
      <c r="GH523" s="150"/>
      <c r="GI523" s="150"/>
      <c r="GJ523" s="150"/>
      <c r="GK523" s="150"/>
      <c r="GL523" s="150"/>
      <c r="GM523" s="150"/>
      <c r="GN523" s="150"/>
      <c r="GO523" s="150"/>
      <c r="GP523" s="150"/>
      <c r="GQ523" s="150"/>
      <c r="GR523" s="150"/>
      <c r="GS523" s="150"/>
      <c r="GT523" s="150"/>
      <c r="GU523" s="150"/>
      <c r="GV523" s="150"/>
      <c r="GW523" s="150"/>
      <c r="GX523" s="150"/>
      <c r="GY523" s="150"/>
      <c r="GZ523" s="150"/>
      <c r="HA523" s="150"/>
      <c r="HB523" s="150"/>
      <c r="HC523" s="150"/>
      <c r="HD523" s="150"/>
      <c r="HE523" s="150"/>
      <c r="HF523" s="150"/>
      <c r="HG523" s="150"/>
      <c r="HH523" s="150"/>
      <c r="HI523" s="150"/>
      <c r="HJ523" s="150"/>
      <c r="HK523" s="150"/>
      <c r="HL523" s="150"/>
      <c r="HM523" s="150"/>
      <c r="HN523" s="150"/>
      <c r="HO523" s="150"/>
      <c r="HP523" s="150"/>
      <c r="HQ523" s="150"/>
      <c r="HR523" s="150"/>
      <c r="HS523" s="150"/>
      <c r="HT523" s="150"/>
      <c r="HU523" s="150"/>
      <c r="HV523" s="150"/>
      <c r="HW523" s="150"/>
      <c r="HX523" s="150"/>
      <c r="HY523" s="150"/>
      <c r="HZ523" s="150"/>
      <c r="IA523" s="151"/>
      <c r="IB523" s="151"/>
      <c r="IC523" s="150"/>
      <c r="ID523" s="150"/>
      <c r="IE523" s="151"/>
      <c r="JF523" s="5"/>
      <c r="JO523" s="4"/>
      <c r="KK523" s="12"/>
      <c r="KM523" s="12"/>
      <c r="KQ523" s="12"/>
      <c r="KX523" s="13"/>
      <c r="KY523" s="14"/>
      <c r="KZ523" s="15"/>
      <c r="LA523" s="15"/>
      <c r="LB523" s="16"/>
      <c r="LE523" s="12"/>
      <c r="LL523" s="12"/>
      <c r="LR523" s="13"/>
      <c r="MW523" s="13"/>
      <c r="MY523" s="12"/>
      <c r="OD523" s="5"/>
    </row>
    <row r="524" spans="8:394" ht="18" customHeight="1">
      <c r="H524" s="4"/>
      <c r="AX524" s="12"/>
      <c r="AY524" s="12"/>
      <c r="BC524" s="9"/>
      <c r="BD524" s="10"/>
      <c r="BE524" s="10"/>
      <c r="BF524" s="10"/>
      <c r="BG524" s="10"/>
      <c r="BH524" s="10"/>
      <c r="BI524" s="10"/>
      <c r="BJ524" s="11"/>
      <c r="BO524" s="12"/>
      <c r="BS524" s="9"/>
      <c r="BT524" s="10"/>
      <c r="BU524" s="10"/>
      <c r="BV524" s="10"/>
      <c r="BW524" s="10"/>
      <c r="BX524" s="10"/>
      <c r="BY524" s="10"/>
      <c r="BZ524" s="11"/>
      <c r="CD524" s="13"/>
      <c r="CE524" s="12"/>
      <c r="CI524" s="9"/>
      <c r="CJ524" s="10"/>
      <c r="CK524" s="10"/>
      <c r="CL524" s="10"/>
      <c r="CM524" s="10"/>
      <c r="CN524" s="10"/>
      <c r="CO524" s="10"/>
      <c r="CP524" s="11"/>
      <c r="CT524" s="13"/>
      <c r="CU524" s="13"/>
      <c r="DW524" s="5"/>
      <c r="EQ524" s="4"/>
      <c r="GB524" s="149"/>
      <c r="GC524" s="150"/>
      <c r="GD524" s="150"/>
      <c r="GE524" s="149"/>
      <c r="GF524" s="149"/>
      <c r="GG524" s="150"/>
      <c r="GH524" s="150"/>
      <c r="GI524" s="150"/>
      <c r="GJ524" s="150"/>
      <c r="GK524" s="150"/>
      <c r="GL524" s="150"/>
      <c r="GM524" s="150"/>
      <c r="GN524" s="150"/>
      <c r="GO524" s="150"/>
      <c r="GP524" s="150"/>
      <c r="GQ524" s="150"/>
      <c r="GR524" s="150"/>
      <c r="GS524" s="150"/>
      <c r="GT524" s="150"/>
      <c r="GU524" s="150"/>
      <c r="GV524" s="150"/>
      <c r="GW524" s="150"/>
      <c r="GX524" s="150"/>
      <c r="GY524" s="150"/>
      <c r="GZ524" s="150"/>
      <c r="HA524" s="150"/>
      <c r="HB524" s="150"/>
      <c r="HC524" s="150"/>
      <c r="HD524" s="150"/>
      <c r="HE524" s="150"/>
      <c r="HF524" s="150"/>
      <c r="HG524" s="150"/>
      <c r="HH524" s="150"/>
      <c r="HI524" s="150"/>
      <c r="HJ524" s="150"/>
      <c r="HK524" s="150"/>
      <c r="HL524" s="150"/>
      <c r="HM524" s="150"/>
      <c r="HN524" s="150"/>
      <c r="HO524" s="150"/>
      <c r="HP524" s="150"/>
      <c r="HQ524" s="150"/>
      <c r="HR524" s="150"/>
      <c r="HS524" s="150"/>
      <c r="HT524" s="150"/>
      <c r="HU524" s="150"/>
      <c r="HV524" s="150"/>
      <c r="HW524" s="150"/>
      <c r="HX524" s="150"/>
      <c r="HY524" s="150"/>
      <c r="HZ524" s="150"/>
      <c r="IA524" s="151"/>
      <c r="IB524" s="151"/>
      <c r="IC524" s="150"/>
      <c r="ID524" s="150"/>
      <c r="IE524" s="151"/>
      <c r="JF524" s="5"/>
      <c r="JO524" s="4"/>
      <c r="KK524" s="12"/>
      <c r="KM524" s="9"/>
      <c r="KN524" s="10"/>
      <c r="KO524" s="10"/>
      <c r="KP524" s="11"/>
      <c r="KQ524" s="10"/>
      <c r="KR524" s="10"/>
      <c r="KS524" s="10"/>
      <c r="KT524" s="10"/>
      <c r="KU524" s="9"/>
      <c r="KV524" s="10"/>
      <c r="KW524" s="10"/>
      <c r="KX524" s="11"/>
      <c r="LB524" s="13"/>
      <c r="LE524" s="12"/>
      <c r="LL524" s="12"/>
      <c r="LR524" s="13"/>
      <c r="MW524" s="13"/>
      <c r="MY524" s="12"/>
      <c r="OD524" s="5"/>
    </row>
    <row r="525" spans="8:394" ht="18" customHeight="1">
      <c r="H525" s="4"/>
      <c r="AX525" s="12"/>
      <c r="AY525" s="12"/>
      <c r="BC525" s="12"/>
      <c r="BJ525" s="13"/>
      <c r="BO525" s="12"/>
      <c r="BS525" s="12"/>
      <c r="BZ525" s="13"/>
      <c r="CD525" s="13"/>
      <c r="CE525" s="12"/>
      <c r="CI525" s="12"/>
      <c r="CP525" s="13"/>
      <c r="CT525" s="13"/>
      <c r="CU525" s="13"/>
      <c r="DW525" s="5"/>
      <c r="EQ525" s="4"/>
      <c r="GB525" s="149"/>
      <c r="GC525" s="150"/>
      <c r="GD525" s="150"/>
      <c r="GE525" s="146"/>
      <c r="GF525" s="149"/>
      <c r="GG525" s="150"/>
      <c r="GH525" s="150"/>
      <c r="GI525" s="150"/>
      <c r="GJ525" s="150"/>
      <c r="GK525" s="150"/>
      <c r="GL525" s="150"/>
      <c r="GM525" s="150"/>
      <c r="GN525" s="150"/>
      <c r="GO525" s="150"/>
      <c r="GP525" s="150"/>
      <c r="GQ525" s="150"/>
      <c r="GR525" s="150"/>
      <c r="GS525" s="150"/>
      <c r="GT525" s="150"/>
      <c r="GU525" s="150"/>
      <c r="GV525" s="150"/>
      <c r="GW525" s="150"/>
      <c r="GX525" s="150"/>
      <c r="GY525" s="150"/>
      <c r="GZ525" s="150"/>
      <c r="HA525" s="150"/>
      <c r="HB525" s="150"/>
      <c r="HC525" s="150"/>
      <c r="HD525" s="150"/>
      <c r="HE525" s="150"/>
      <c r="HF525" s="150"/>
      <c r="HG525" s="150"/>
      <c r="HH525" s="150"/>
      <c r="HI525" s="150"/>
      <c r="HJ525" s="150"/>
      <c r="HK525" s="150"/>
      <c r="HL525" s="150"/>
      <c r="HM525" s="150"/>
      <c r="HN525" s="150"/>
      <c r="HO525" s="150"/>
      <c r="HP525" s="150"/>
      <c r="HQ525" s="150"/>
      <c r="HR525" s="150"/>
      <c r="HS525" s="150"/>
      <c r="HT525" s="150"/>
      <c r="HU525" s="150"/>
      <c r="HV525" s="150"/>
      <c r="HW525" s="150"/>
      <c r="HX525" s="150"/>
      <c r="HY525" s="150"/>
      <c r="HZ525" s="150"/>
      <c r="IA525" s="151"/>
      <c r="IB525" s="151"/>
      <c r="IC525" s="150"/>
      <c r="ID525" s="150"/>
      <c r="IE525" s="151"/>
      <c r="JF525" s="5"/>
      <c r="JO525" s="4"/>
      <c r="KK525" s="12"/>
      <c r="KM525" s="12"/>
      <c r="KP525" s="13"/>
      <c r="KU525" s="12"/>
      <c r="KX525" s="13"/>
      <c r="LB525" s="13"/>
      <c r="LE525" s="12"/>
      <c r="LL525" s="12"/>
      <c r="LR525" s="13"/>
      <c r="MW525" s="13"/>
      <c r="MY525" s="12"/>
      <c r="OD525" s="5"/>
    </row>
    <row r="526" spans="8:394" ht="18" customHeight="1">
      <c r="H526" s="4"/>
      <c r="AX526" s="12"/>
      <c r="AY526" s="12"/>
      <c r="BC526" s="12"/>
      <c r="BJ526" s="13"/>
      <c r="BO526" s="12"/>
      <c r="BS526" s="12"/>
      <c r="BZ526" s="13"/>
      <c r="CD526" s="13"/>
      <c r="CE526" s="12"/>
      <c r="CI526" s="12"/>
      <c r="CP526" s="13"/>
      <c r="CT526" s="13"/>
      <c r="CU526" s="13"/>
      <c r="DW526" s="5"/>
      <c r="EQ526" s="4"/>
      <c r="GB526" s="149"/>
      <c r="GC526" s="150"/>
      <c r="GD526" s="150"/>
      <c r="GE526" s="149"/>
      <c r="GF526" s="149"/>
      <c r="GG526" s="150"/>
      <c r="GH526" s="150"/>
      <c r="GI526" s="150"/>
      <c r="GJ526" s="150"/>
      <c r="GK526" s="150"/>
      <c r="GL526" s="150"/>
      <c r="GM526" s="150"/>
      <c r="GN526" s="150"/>
      <c r="GO526" s="150"/>
      <c r="GP526" s="150"/>
      <c r="GQ526" s="150"/>
      <c r="GR526" s="150"/>
      <c r="GS526" s="150"/>
      <c r="GT526" s="150"/>
      <c r="GU526" s="150"/>
      <c r="GV526" s="150"/>
      <c r="GW526" s="150"/>
      <c r="GX526" s="150"/>
      <c r="GY526" s="150"/>
      <c r="GZ526" s="150"/>
      <c r="HA526" s="150"/>
      <c r="HB526" s="150"/>
      <c r="HC526" s="150"/>
      <c r="HD526" s="150"/>
      <c r="HE526" s="150"/>
      <c r="HF526" s="150"/>
      <c r="HG526" s="150"/>
      <c r="HH526" s="150"/>
      <c r="HI526" s="150"/>
      <c r="HJ526" s="150"/>
      <c r="HK526" s="150"/>
      <c r="HL526" s="150"/>
      <c r="HM526" s="150"/>
      <c r="HN526" s="150"/>
      <c r="HO526" s="150"/>
      <c r="HP526" s="150"/>
      <c r="HQ526" s="150"/>
      <c r="HR526" s="150"/>
      <c r="HS526" s="150"/>
      <c r="HT526" s="150"/>
      <c r="HU526" s="150"/>
      <c r="HV526" s="150"/>
      <c r="HW526" s="150"/>
      <c r="HX526" s="150"/>
      <c r="HY526" s="150"/>
      <c r="HZ526" s="150"/>
      <c r="IA526" s="151"/>
      <c r="IB526" s="151"/>
      <c r="IC526" s="150"/>
      <c r="ID526" s="150"/>
      <c r="IE526" s="151"/>
      <c r="JF526" s="5"/>
      <c r="JO526" s="4"/>
      <c r="KK526" s="12"/>
      <c r="KM526" s="12"/>
      <c r="KP526" s="13"/>
      <c r="KU526" s="12"/>
      <c r="KX526" s="13"/>
      <c r="LB526" s="13"/>
      <c r="LE526" s="12"/>
      <c r="LL526" s="14"/>
      <c r="LM526" s="15"/>
      <c r="LN526" s="15"/>
      <c r="LO526" s="15"/>
      <c r="LP526" s="15"/>
      <c r="LQ526" s="15"/>
      <c r="LR526" s="16"/>
      <c r="MW526" s="13"/>
      <c r="MY526" s="12"/>
      <c r="OD526" s="5"/>
    </row>
    <row r="527" spans="8:394" ht="18" customHeight="1">
      <c r="H527" s="4"/>
      <c r="AX527" s="12"/>
      <c r="AY527" s="12"/>
      <c r="BC527" s="12"/>
      <c r="BJ527" s="13"/>
      <c r="BO527" s="12"/>
      <c r="BS527" s="12"/>
      <c r="BZ527" s="13"/>
      <c r="CD527" s="13"/>
      <c r="CE527" s="12"/>
      <c r="CI527" s="12"/>
      <c r="CP527" s="13"/>
      <c r="CT527" s="13"/>
      <c r="CU527" s="13"/>
      <c r="DW527" s="5"/>
      <c r="EQ527" s="4"/>
      <c r="GB527" s="149"/>
      <c r="GC527" s="150"/>
      <c r="GD527" s="150"/>
      <c r="GE527" s="149"/>
      <c r="GF527" s="149"/>
      <c r="GG527" s="150"/>
      <c r="GH527" s="150"/>
      <c r="GI527" s="150"/>
      <c r="GJ527" s="150"/>
      <c r="GK527" s="150"/>
      <c r="GL527" s="150"/>
      <c r="GM527" s="150"/>
      <c r="GN527" s="150"/>
      <c r="GO527" s="150"/>
      <c r="GP527" s="150"/>
      <c r="GQ527" s="150"/>
      <c r="GR527" s="150"/>
      <c r="GS527" s="150"/>
      <c r="GT527" s="150"/>
      <c r="GU527" s="150"/>
      <c r="GV527" s="150"/>
      <c r="GW527" s="150"/>
      <c r="GX527" s="150"/>
      <c r="GY527" s="150"/>
      <c r="GZ527" s="150"/>
      <c r="HA527" s="150"/>
      <c r="HB527" s="150"/>
      <c r="HC527" s="150"/>
      <c r="HD527" s="150"/>
      <c r="HE527" s="150"/>
      <c r="HF527" s="150"/>
      <c r="HG527" s="150"/>
      <c r="HH527" s="150"/>
      <c r="HI527" s="150"/>
      <c r="HJ527" s="150"/>
      <c r="HK527" s="150"/>
      <c r="HL527" s="150"/>
      <c r="HM527" s="150"/>
      <c r="HN527" s="150"/>
      <c r="HO527" s="150"/>
      <c r="HP527" s="150"/>
      <c r="HQ527" s="150"/>
      <c r="HR527" s="150"/>
      <c r="HS527" s="150"/>
      <c r="HT527" s="150"/>
      <c r="HU527" s="150"/>
      <c r="HV527" s="150"/>
      <c r="HW527" s="150"/>
      <c r="HX527" s="150"/>
      <c r="HY527" s="150"/>
      <c r="HZ527" s="150"/>
      <c r="IA527" s="151"/>
      <c r="IB527" s="151"/>
      <c r="IC527" s="150"/>
      <c r="ID527" s="150"/>
      <c r="IE527" s="151"/>
      <c r="JF527" s="5"/>
      <c r="JO527" s="4"/>
      <c r="KK527" s="12"/>
      <c r="KM527" s="14"/>
      <c r="KN527" s="15"/>
      <c r="KO527" s="15"/>
      <c r="KP527" s="16"/>
      <c r="KQ527" s="15"/>
      <c r="KR527" s="15"/>
      <c r="KS527" s="15"/>
      <c r="KT527" s="15"/>
      <c r="KU527" s="14"/>
      <c r="KV527" s="15"/>
      <c r="KW527" s="15"/>
      <c r="KX527" s="16"/>
      <c r="KY527" s="15"/>
      <c r="KZ527" s="15"/>
      <c r="LA527" s="15"/>
      <c r="LB527" s="16"/>
      <c r="LE527" s="12"/>
      <c r="MW527" s="13"/>
      <c r="MY527" s="12"/>
      <c r="OD527" s="5"/>
    </row>
    <row r="528" spans="8:394" ht="18" customHeight="1">
      <c r="H528" s="4"/>
      <c r="AX528" s="12"/>
      <c r="AY528" s="12"/>
      <c r="BC528" s="12"/>
      <c r="BJ528" s="13"/>
      <c r="BO528" s="12"/>
      <c r="BS528" s="12"/>
      <c r="BZ528" s="13"/>
      <c r="CD528" s="13"/>
      <c r="CE528" s="12"/>
      <c r="CI528" s="12"/>
      <c r="CP528" s="13"/>
      <c r="CT528" s="13"/>
      <c r="CU528" s="13"/>
      <c r="DW528" s="5"/>
      <c r="EQ528" s="4"/>
      <c r="GB528" s="149"/>
      <c r="GC528" s="150"/>
      <c r="GD528" s="150"/>
      <c r="GE528" s="149"/>
      <c r="GF528" s="149"/>
      <c r="GG528" s="150"/>
      <c r="GH528" s="150"/>
      <c r="GI528" s="150"/>
      <c r="GJ528" s="150"/>
      <c r="GK528" s="150"/>
      <c r="GL528" s="150"/>
      <c r="GM528" s="150"/>
      <c r="GN528" s="150"/>
      <c r="GO528" s="150"/>
      <c r="GP528" s="150"/>
      <c r="GQ528" s="150"/>
      <c r="GR528" s="150"/>
      <c r="GS528" s="150"/>
      <c r="GT528" s="150"/>
      <c r="GU528" s="150"/>
      <c r="GV528" s="150"/>
      <c r="GW528" s="150"/>
      <c r="GX528" s="150"/>
      <c r="GY528" s="150"/>
      <c r="GZ528" s="150"/>
      <c r="HA528" s="150"/>
      <c r="HB528" s="150"/>
      <c r="HC528" s="150"/>
      <c r="HD528" s="150"/>
      <c r="HE528" s="150"/>
      <c r="HF528" s="150"/>
      <c r="HG528" s="150"/>
      <c r="HH528" s="150"/>
      <c r="HI528" s="150"/>
      <c r="HJ528" s="150"/>
      <c r="HK528" s="150"/>
      <c r="HL528" s="150"/>
      <c r="HM528" s="150"/>
      <c r="HN528" s="150"/>
      <c r="HO528" s="150"/>
      <c r="HP528" s="150"/>
      <c r="HQ528" s="150"/>
      <c r="HR528" s="150"/>
      <c r="HS528" s="150"/>
      <c r="HT528" s="150"/>
      <c r="HU528" s="150"/>
      <c r="HV528" s="150"/>
      <c r="HW528" s="150"/>
      <c r="HX528" s="150"/>
      <c r="HY528" s="150"/>
      <c r="HZ528" s="150"/>
      <c r="IA528" s="151"/>
      <c r="IB528" s="151"/>
      <c r="IC528" s="150"/>
      <c r="ID528" s="150"/>
      <c r="IE528" s="151"/>
      <c r="JF528" s="5"/>
      <c r="JO528" s="4"/>
      <c r="KK528" s="12"/>
      <c r="LE528" s="12"/>
      <c r="MW528" s="13"/>
      <c r="MY528" s="12"/>
      <c r="OD528" s="5"/>
    </row>
    <row r="529" spans="8:394" ht="18" customHeight="1">
      <c r="H529" s="4"/>
      <c r="AX529" s="12"/>
      <c r="AY529" s="12"/>
      <c r="BC529" s="12"/>
      <c r="BJ529" s="13"/>
      <c r="BO529" s="12"/>
      <c r="BS529" s="12"/>
      <c r="BZ529" s="13"/>
      <c r="CD529" s="13"/>
      <c r="CE529" s="12"/>
      <c r="CI529" s="12"/>
      <c r="CP529" s="13"/>
      <c r="CT529" s="13"/>
      <c r="CU529" s="13"/>
      <c r="DW529" s="5"/>
      <c r="EQ529" s="4"/>
      <c r="GB529" s="149"/>
      <c r="GC529" s="150"/>
      <c r="GD529" s="150"/>
      <c r="GE529" s="149"/>
      <c r="GF529" s="149"/>
      <c r="GG529" s="150"/>
      <c r="GH529" s="150"/>
      <c r="GI529" s="150"/>
      <c r="GJ529" s="150"/>
      <c r="GK529" s="150"/>
      <c r="GL529" s="150"/>
      <c r="GM529" s="150"/>
      <c r="GN529" s="150"/>
      <c r="GO529" s="150"/>
      <c r="GP529" s="150"/>
      <c r="GQ529" s="150"/>
      <c r="GR529" s="150"/>
      <c r="GS529" s="150"/>
      <c r="GT529" s="150"/>
      <c r="GU529" s="150"/>
      <c r="GV529" s="150"/>
      <c r="GW529" s="150"/>
      <c r="GX529" s="150"/>
      <c r="GY529" s="150"/>
      <c r="GZ529" s="150"/>
      <c r="HA529" s="150"/>
      <c r="HB529" s="150"/>
      <c r="HC529" s="150"/>
      <c r="HD529" s="150"/>
      <c r="HE529" s="150"/>
      <c r="HF529" s="150"/>
      <c r="HG529" s="150"/>
      <c r="HH529" s="150"/>
      <c r="HI529" s="150"/>
      <c r="HJ529" s="150"/>
      <c r="HK529" s="150"/>
      <c r="HL529" s="150"/>
      <c r="HM529" s="150"/>
      <c r="HN529" s="150"/>
      <c r="HO529" s="150"/>
      <c r="HP529" s="150"/>
      <c r="HQ529" s="150"/>
      <c r="HR529" s="150"/>
      <c r="HS529" s="150"/>
      <c r="HT529" s="150"/>
      <c r="HU529" s="150"/>
      <c r="HV529" s="150"/>
      <c r="HW529" s="150"/>
      <c r="HX529" s="150"/>
      <c r="HY529" s="150"/>
      <c r="HZ529" s="150"/>
      <c r="IA529" s="151"/>
      <c r="IB529" s="151"/>
      <c r="IC529" s="150"/>
      <c r="ID529" s="150"/>
      <c r="IE529" s="151"/>
      <c r="JF529" s="5"/>
      <c r="JO529" s="4"/>
      <c r="KK529" s="14"/>
      <c r="KL529" s="15"/>
      <c r="KM529" s="15"/>
      <c r="KN529" s="15"/>
      <c r="KO529" s="15"/>
      <c r="KP529" s="15"/>
      <c r="KQ529" s="15"/>
      <c r="KR529" s="15"/>
      <c r="KS529" s="15"/>
      <c r="KT529" s="15"/>
      <c r="KU529" s="15"/>
      <c r="KV529" s="15"/>
      <c r="KW529" s="15"/>
      <c r="KX529" s="15"/>
      <c r="KY529" s="15"/>
      <c r="KZ529" s="15"/>
      <c r="LA529" s="15"/>
      <c r="LB529" s="15"/>
      <c r="LC529" s="15"/>
      <c r="LD529" s="15"/>
      <c r="LE529" s="12"/>
      <c r="MW529" s="13"/>
      <c r="MY529" s="12"/>
      <c r="OD529" s="5"/>
    </row>
    <row r="530" spans="8:394" ht="18" customHeight="1">
      <c r="H530" s="4"/>
      <c r="AX530" s="12"/>
      <c r="AY530" s="12"/>
      <c r="BC530" s="12"/>
      <c r="BJ530" s="13"/>
      <c r="BO530" s="12"/>
      <c r="BS530" s="12"/>
      <c r="BZ530" s="13"/>
      <c r="CD530" s="13"/>
      <c r="CE530" s="12"/>
      <c r="CI530" s="12"/>
      <c r="CP530" s="13"/>
      <c r="CT530" s="13"/>
      <c r="CU530" s="13"/>
      <c r="DW530" s="5"/>
      <c r="EQ530" s="4"/>
      <c r="GB530" s="149"/>
      <c r="GC530" s="150"/>
      <c r="GD530" s="150"/>
      <c r="GE530" s="149"/>
      <c r="GF530" s="149"/>
      <c r="GG530" s="150"/>
      <c r="GH530" s="150"/>
      <c r="GI530" s="150"/>
      <c r="GJ530" s="150"/>
      <c r="GK530" s="150"/>
      <c r="GL530" s="150"/>
      <c r="GM530" s="150"/>
      <c r="GN530" s="150"/>
      <c r="GO530" s="150"/>
      <c r="GP530" s="150"/>
      <c r="GQ530" s="150"/>
      <c r="GR530" s="150"/>
      <c r="GS530" s="150"/>
      <c r="GT530" s="150"/>
      <c r="GU530" s="150"/>
      <c r="GV530" s="150"/>
      <c r="GW530" s="150"/>
      <c r="GX530" s="150"/>
      <c r="GY530" s="150"/>
      <c r="GZ530" s="150"/>
      <c r="HA530" s="150"/>
      <c r="HB530" s="150"/>
      <c r="HC530" s="150"/>
      <c r="HD530" s="150"/>
      <c r="HE530" s="150"/>
      <c r="HF530" s="150"/>
      <c r="HG530" s="150"/>
      <c r="HH530" s="150"/>
      <c r="HI530" s="150"/>
      <c r="HJ530" s="150"/>
      <c r="HK530" s="150"/>
      <c r="HL530" s="150"/>
      <c r="HM530" s="150"/>
      <c r="HN530" s="150"/>
      <c r="HO530" s="150"/>
      <c r="HP530" s="150"/>
      <c r="HQ530" s="150"/>
      <c r="HR530" s="150"/>
      <c r="HS530" s="150"/>
      <c r="HT530" s="150"/>
      <c r="HU530" s="150"/>
      <c r="HV530" s="150"/>
      <c r="HW530" s="150"/>
      <c r="HX530" s="150"/>
      <c r="HY530" s="150"/>
      <c r="HZ530" s="150"/>
      <c r="IA530" s="151"/>
      <c r="IB530" s="151"/>
      <c r="IC530" s="150"/>
      <c r="ID530" s="150"/>
      <c r="IE530" s="151"/>
      <c r="JF530" s="5"/>
      <c r="JO530" s="4"/>
      <c r="LC530" s="11"/>
      <c r="LE530" s="12"/>
      <c r="MW530" s="13"/>
      <c r="MY530" s="12"/>
      <c r="OD530" s="5"/>
    </row>
    <row r="531" spans="8:394" ht="18" customHeight="1">
      <c r="H531" s="4"/>
      <c r="AX531" s="12"/>
      <c r="AY531" s="12"/>
      <c r="BC531" s="14"/>
      <c r="BD531" s="15"/>
      <c r="BE531" s="15"/>
      <c r="BF531" s="15"/>
      <c r="BG531" s="15"/>
      <c r="BH531" s="15"/>
      <c r="BI531" s="15"/>
      <c r="BJ531" s="16"/>
      <c r="BO531" s="12"/>
      <c r="BS531" s="14"/>
      <c r="BT531" s="15"/>
      <c r="BU531" s="15"/>
      <c r="BV531" s="15"/>
      <c r="BW531" s="15"/>
      <c r="BX531" s="15"/>
      <c r="BY531" s="15"/>
      <c r="BZ531" s="16"/>
      <c r="CD531" s="13"/>
      <c r="CE531" s="12"/>
      <c r="CI531" s="14"/>
      <c r="CJ531" s="15"/>
      <c r="CK531" s="15"/>
      <c r="CL531" s="15"/>
      <c r="CM531" s="15"/>
      <c r="CN531" s="15"/>
      <c r="CO531" s="15"/>
      <c r="CP531" s="16"/>
      <c r="CT531" s="13"/>
      <c r="CU531" s="13"/>
      <c r="DW531" s="5"/>
      <c r="EQ531" s="4"/>
      <c r="GB531" s="149"/>
      <c r="GC531" s="150"/>
      <c r="GD531" s="150"/>
      <c r="GE531" s="149"/>
      <c r="GF531" s="149"/>
      <c r="GG531" s="150"/>
      <c r="GH531" s="150"/>
      <c r="GI531" s="150"/>
      <c r="GJ531" s="150"/>
      <c r="GK531" s="150"/>
      <c r="GL531" s="150"/>
      <c r="GM531" s="150"/>
      <c r="GN531" s="150"/>
      <c r="GO531" s="150"/>
      <c r="GP531" s="150"/>
      <c r="GQ531" s="150"/>
      <c r="GR531" s="150"/>
      <c r="GS531" s="150"/>
      <c r="GT531" s="150"/>
      <c r="GU531" s="150"/>
      <c r="GV531" s="150"/>
      <c r="GW531" s="150"/>
      <c r="GX531" s="150"/>
      <c r="GY531" s="150"/>
      <c r="GZ531" s="150"/>
      <c r="HA531" s="150"/>
      <c r="HB531" s="150"/>
      <c r="HC531" s="150"/>
      <c r="HD531" s="150"/>
      <c r="HE531" s="150"/>
      <c r="HF531" s="150"/>
      <c r="HG531" s="150"/>
      <c r="HH531" s="150"/>
      <c r="HI531" s="150"/>
      <c r="HJ531" s="150"/>
      <c r="HK531" s="150"/>
      <c r="HL531" s="150"/>
      <c r="HM531" s="150"/>
      <c r="HN531" s="150"/>
      <c r="HO531" s="150"/>
      <c r="HP531" s="150"/>
      <c r="HQ531" s="150"/>
      <c r="HR531" s="150"/>
      <c r="HS531" s="150"/>
      <c r="HT531" s="150"/>
      <c r="HU531" s="150"/>
      <c r="HV531" s="150"/>
      <c r="HW531" s="150"/>
      <c r="HX531" s="150"/>
      <c r="HY531" s="150"/>
      <c r="HZ531" s="150"/>
      <c r="IA531" s="151"/>
      <c r="IB531" s="151"/>
      <c r="IC531" s="150"/>
      <c r="ID531" s="150"/>
      <c r="IE531" s="151"/>
      <c r="JF531" s="5"/>
      <c r="JO531" s="4"/>
      <c r="LC531" s="13"/>
      <c r="LE531" s="12"/>
      <c r="MW531" s="13"/>
      <c r="MY531" s="12"/>
      <c r="OD531" s="5"/>
    </row>
    <row r="532" spans="8:394" ht="18" customHeight="1">
      <c r="H532" s="4"/>
      <c r="AX532" s="12"/>
      <c r="AY532" s="12"/>
      <c r="BO532" s="12"/>
      <c r="CD532" s="13"/>
      <c r="CE532" s="12"/>
      <c r="CT532" s="13"/>
      <c r="CU532" s="13"/>
      <c r="DW532" s="5"/>
      <c r="EQ532" s="4"/>
      <c r="GB532" s="149"/>
      <c r="GC532" s="150"/>
      <c r="GD532" s="150"/>
      <c r="GE532" s="149"/>
      <c r="GF532" s="149"/>
      <c r="GG532" s="150"/>
      <c r="GH532" s="150"/>
      <c r="GI532" s="150"/>
      <c r="GJ532" s="150"/>
      <c r="GK532" s="150"/>
      <c r="GL532" s="150"/>
      <c r="GM532" s="150"/>
      <c r="GN532" s="150"/>
      <c r="GO532" s="150"/>
      <c r="GP532" s="150"/>
      <c r="GQ532" s="150"/>
      <c r="GR532" s="150"/>
      <c r="GS532" s="150"/>
      <c r="GT532" s="150"/>
      <c r="GU532" s="150"/>
      <c r="GV532" s="150"/>
      <c r="GW532" s="150"/>
      <c r="GX532" s="150"/>
      <c r="GY532" s="150"/>
      <c r="GZ532" s="150"/>
      <c r="HA532" s="150"/>
      <c r="HB532" s="150"/>
      <c r="HC532" s="150"/>
      <c r="HD532" s="150"/>
      <c r="HE532" s="150"/>
      <c r="HF532" s="150"/>
      <c r="HG532" s="150"/>
      <c r="HH532" s="150"/>
      <c r="HI532" s="150"/>
      <c r="HJ532" s="150"/>
      <c r="HK532" s="150"/>
      <c r="HL532" s="150"/>
      <c r="HM532" s="150"/>
      <c r="HN532" s="150"/>
      <c r="HO532" s="150"/>
      <c r="HP532" s="150"/>
      <c r="HQ532" s="150"/>
      <c r="HR532" s="150"/>
      <c r="HS532" s="150"/>
      <c r="HT532" s="150"/>
      <c r="HU532" s="150"/>
      <c r="HV532" s="150"/>
      <c r="HW532" s="150"/>
      <c r="HX532" s="150"/>
      <c r="HY532" s="150"/>
      <c r="HZ532" s="150"/>
      <c r="IA532" s="151"/>
      <c r="IB532" s="151"/>
      <c r="IC532" s="150"/>
      <c r="ID532" s="150"/>
      <c r="IE532" s="151"/>
      <c r="JF532" s="5"/>
      <c r="JO532" s="4"/>
      <c r="LC532" s="13"/>
      <c r="LE532" s="14"/>
      <c r="LF532" s="15"/>
      <c r="LG532" s="15"/>
      <c r="LH532" s="15"/>
      <c r="LI532" s="15"/>
      <c r="LJ532" s="15"/>
      <c r="LK532" s="15"/>
      <c r="LL532" s="15"/>
      <c r="LM532" s="15"/>
      <c r="LN532" s="15"/>
      <c r="LO532" s="15"/>
      <c r="LP532" s="15"/>
      <c r="LQ532" s="15"/>
      <c r="LR532" s="15"/>
      <c r="LS532" s="15"/>
      <c r="LT532" s="15"/>
      <c r="LU532" s="15"/>
      <c r="LV532" s="15"/>
      <c r="LW532" s="15"/>
      <c r="LX532" s="15"/>
      <c r="LY532" s="15"/>
      <c r="LZ532" s="15"/>
      <c r="MA532" s="15"/>
      <c r="MB532" s="15"/>
      <c r="MC532" s="15"/>
      <c r="MD532" s="15"/>
      <c r="ME532" s="15"/>
      <c r="MF532" s="15"/>
      <c r="MG532" s="15"/>
      <c r="MH532" s="15"/>
      <c r="MI532" s="15"/>
      <c r="MJ532" s="15"/>
      <c r="MK532" s="15"/>
      <c r="ML532" s="15"/>
      <c r="MM532" s="15"/>
      <c r="MN532" s="15"/>
      <c r="MO532" s="15"/>
      <c r="MP532" s="15"/>
      <c r="MQ532" s="15"/>
      <c r="MR532" s="15"/>
      <c r="MS532" s="15"/>
      <c r="MT532" s="15"/>
      <c r="MU532" s="15"/>
      <c r="MV532" s="15"/>
      <c r="MW532" s="16"/>
      <c r="MY532" s="12"/>
      <c r="OD532" s="5"/>
    </row>
    <row r="533" spans="8:394" ht="18" customHeight="1">
      <c r="H533" s="4"/>
      <c r="AX533" s="12"/>
      <c r="AY533" s="12"/>
      <c r="BO533" s="12"/>
      <c r="CD533" s="13"/>
      <c r="CE533" s="12"/>
      <c r="CT533" s="13"/>
      <c r="CU533" s="13"/>
      <c r="DW533" s="5"/>
      <c r="EQ533" s="4"/>
      <c r="GB533" s="149"/>
      <c r="GC533" s="150"/>
      <c r="GD533" s="150"/>
      <c r="GE533" s="149"/>
      <c r="GF533" s="149"/>
      <c r="GG533" s="150"/>
      <c r="GH533" s="150"/>
      <c r="GI533" s="150"/>
      <c r="GJ533" s="150"/>
      <c r="GK533" s="150"/>
      <c r="GL533" s="150"/>
      <c r="GM533" s="150"/>
      <c r="GN533" s="150"/>
      <c r="GO533" s="150"/>
      <c r="GP533" s="150"/>
      <c r="GQ533" s="150"/>
      <c r="GR533" s="150"/>
      <c r="GS533" s="150"/>
      <c r="GT533" s="150"/>
      <c r="GU533" s="150"/>
      <c r="GV533" s="150"/>
      <c r="GW533" s="150"/>
      <c r="GX533" s="150"/>
      <c r="GY533" s="150"/>
      <c r="GZ533" s="150"/>
      <c r="HA533" s="150"/>
      <c r="HB533" s="150"/>
      <c r="HC533" s="150"/>
      <c r="HD533" s="150"/>
      <c r="HE533" s="150"/>
      <c r="HF533" s="150"/>
      <c r="HG533" s="150"/>
      <c r="HH533" s="150"/>
      <c r="HI533" s="150"/>
      <c r="HJ533" s="150"/>
      <c r="HK533" s="150"/>
      <c r="HL533" s="150"/>
      <c r="HM533" s="150"/>
      <c r="HN533" s="150"/>
      <c r="HO533" s="150"/>
      <c r="HP533" s="150"/>
      <c r="HQ533" s="150"/>
      <c r="HR533" s="150"/>
      <c r="HS533" s="150"/>
      <c r="HT533" s="150"/>
      <c r="HU533" s="150"/>
      <c r="HV533" s="150"/>
      <c r="HW533" s="150"/>
      <c r="HX533" s="150"/>
      <c r="HY533" s="150"/>
      <c r="HZ533" s="150"/>
      <c r="IA533" s="151"/>
      <c r="IB533" s="151"/>
      <c r="IC533" s="150"/>
      <c r="ID533" s="150"/>
      <c r="IE533" s="151"/>
      <c r="JF533" s="5"/>
      <c r="JO533" s="4"/>
      <c r="LC533" s="13"/>
      <c r="MY533" s="12"/>
      <c r="OD533" s="5"/>
    </row>
    <row r="534" spans="8:394" ht="18" customHeight="1">
      <c r="H534" s="4"/>
      <c r="AX534" s="12"/>
      <c r="AY534" s="12"/>
      <c r="BO534" s="12"/>
      <c r="CD534" s="13"/>
      <c r="CE534" s="12"/>
      <c r="CT534" s="13"/>
      <c r="CU534" s="13"/>
      <c r="DW534" s="5"/>
      <c r="EQ534" s="4"/>
      <c r="GB534" s="149"/>
      <c r="GC534" s="150"/>
      <c r="GD534" s="150"/>
      <c r="GE534" s="149"/>
      <c r="GF534" s="149"/>
      <c r="GG534" s="150"/>
      <c r="GH534" s="150"/>
      <c r="GI534" s="150"/>
      <c r="GJ534" s="150"/>
      <c r="GK534" s="150"/>
      <c r="GL534" s="150"/>
      <c r="GM534" s="150"/>
      <c r="GN534" s="150"/>
      <c r="GO534" s="150"/>
      <c r="GP534" s="150"/>
      <c r="GQ534" s="150"/>
      <c r="GR534" s="150"/>
      <c r="GS534" s="150"/>
      <c r="GT534" s="150"/>
      <c r="GU534" s="150"/>
      <c r="GV534" s="150"/>
      <c r="GW534" s="150"/>
      <c r="GX534" s="150"/>
      <c r="GY534" s="150"/>
      <c r="GZ534" s="150"/>
      <c r="HA534" s="150"/>
      <c r="HB534" s="150"/>
      <c r="HC534" s="150"/>
      <c r="HD534" s="150"/>
      <c r="HE534" s="150"/>
      <c r="HF534" s="150"/>
      <c r="HG534" s="150"/>
      <c r="HH534" s="150"/>
      <c r="HI534" s="150"/>
      <c r="HJ534" s="150"/>
      <c r="HK534" s="150"/>
      <c r="HL534" s="150"/>
      <c r="HM534" s="150"/>
      <c r="HN534" s="150"/>
      <c r="HO534" s="150"/>
      <c r="HP534" s="150"/>
      <c r="HQ534" s="150"/>
      <c r="HR534" s="150"/>
      <c r="HS534" s="150"/>
      <c r="HT534" s="150"/>
      <c r="HU534" s="150"/>
      <c r="HV534" s="150"/>
      <c r="HW534" s="150"/>
      <c r="HX534" s="150"/>
      <c r="HY534" s="150"/>
      <c r="HZ534" s="150"/>
      <c r="IA534" s="151"/>
      <c r="IB534" s="151"/>
      <c r="IC534" s="150"/>
      <c r="ID534" s="150"/>
      <c r="IE534" s="151"/>
      <c r="JF534" s="5"/>
      <c r="JO534" s="4"/>
      <c r="LD534" s="10"/>
      <c r="LE534" s="10"/>
      <c r="LF534" s="10"/>
      <c r="LG534" s="10"/>
      <c r="LH534" s="10"/>
      <c r="LI534" s="10"/>
      <c r="LJ534" s="10"/>
      <c r="LK534" s="10"/>
      <c r="LL534" s="10"/>
      <c r="LM534" s="10"/>
      <c r="LN534" s="10"/>
      <c r="LO534" s="10"/>
      <c r="LP534" s="10"/>
      <c r="LQ534" s="10"/>
      <c r="LR534" s="10"/>
      <c r="LS534" s="10"/>
      <c r="LT534" s="10"/>
      <c r="LU534" s="10"/>
      <c r="LV534" s="10"/>
      <c r="LW534" s="10"/>
      <c r="LX534" s="10"/>
      <c r="LY534" s="10"/>
      <c r="LZ534" s="10"/>
      <c r="MA534" s="10"/>
      <c r="MB534" s="10"/>
      <c r="MC534" s="10"/>
      <c r="MD534" s="10"/>
      <c r="ME534" s="10"/>
      <c r="MF534" s="10"/>
      <c r="MG534" s="10"/>
      <c r="MH534" s="10"/>
      <c r="MI534" s="10"/>
      <c r="MJ534" s="10"/>
      <c r="MK534" s="10"/>
      <c r="ML534" s="10"/>
      <c r="MM534" s="10"/>
      <c r="MN534" s="10"/>
      <c r="MO534" s="10"/>
      <c r="MP534" s="10"/>
      <c r="MQ534" s="10"/>
      <c r="MR534" s="10"/>
      <c r="MS534" s="10"/>
      <c r="MT534" s="10"/>
      <c r="MU534" s="10"/>
      <c r="MV534" s="10"/>
      <c r="MW534" s="10"/>
      <c r="MX534" s="10"/>
      <c r="OD534" s="5"/>
    </row>
    <row r="535" spans="8:394" ht="18" customHeight="1">
      <c r="H535" s="4"/>
      <c r="AX535" s="12"/>
      <c r="AY535" s="14"/>
      <c r="AZ535" s="15"/>
      <c r="BA535" s="15"/>
      <c r="BB535" s="15"/>
      <c r="BC535" s="15"/>
      <c r="BD535" s="15"/>
      <c r="BE535" s="15"/>
      <c r="BF535" s="15"/>
      <c r="BG535" s="15"/>
      <c r="BH535" s="15"/>
      <c r="BI535" s="15"/>
      <c r="BJ535" s="15"/>
      <c r="BK535" s="15"/>
      <c r="BL535" s="15"/>
      <c r="BM535" s="15"/>
      <c r="BN535" s="15"/>
      <c r="BO535" s="14"/>
      <c r="BP535" s="15"/>
      <c r="BQ535" s="15"/>
      <c r="BR535" s="15"/>
      <c r="BS535" s="15"/>
      <c r="BT535" s="15"/>
      <c r="BU535" s="15"/>
      <c r="BV535" s="15"/>
      <c r="BW535" s="15"/>
      <c r="BX535" s="15"/>
      <c r="BY535" s="15"/>
      <c r="BZ535" s="15"/>
      <c r="CA535" s="15"/>
      <c r="CB535" s="15"/>
      <c r="CC535" s="15"/>
      <c r="CD535" s="16"/>
      <c r="CE535" s="14"/>
      <c r="CF535" s="15"/>
      <c r="CG535" s="15"/>
      <c r="CH535" s="15"/>
      <c r="CI535" s="15"/>
      <c r="CJ535" s="15"/>
      <c r="CK535" s="15"/>
      <c r="CL535" s="15"/>
      <c r="CM535" s="15"/>
      <c r="CN535" s="15"/>
      <c r="CO535" s="15"/>
      <c r="CP535" s="15"/>
      <c r="CQ535" s="15"/>
      <c r="CR535" s="15"/>
      <c r="CS535" s="15"/>
      <c r="CT535" s="16"/>
      <c r="CU535" s="13"/>
      <c r="DW535" s="5"/>
      <c r="EQ535" s="4"/>
      <c r="GB535" s="149"/>
      <c r="GC535" s="150"/>
      <c r="GD535" s="150"/>
      <c r="GE535" s="149"/>
      <c r="GF535" s="149"/>
      <c r="GG535" s="150"/>
      <c r="GH535" s="150"/>
      <c r="GI535" s="150"/>
      <c r="GJ535" s="150"/>
      <c r="GK535" s="150"/>
      <c r="GL535" s="150"/>
      <c r="GM535" s="150"/>
      <c r="GN535" s="150"/>
      <c r="GO535" s="150"/>
      <c r="GP535" s="150"/>
      <c r="GQ535" s="150"/>
      <c r="GR535" s="150"/>
      <c r="GS535" s="150"/>
      <c r="GT535" s="150"/>
      <c r="GU535" s="150"/>
      <c r="GV535" s="150"/>
      <c r="GW535" s="150"/>
      <c r="GX535" s="150"/>
      <c r="GY535" s="150"/>
      <c r="GZ535" s="150"/>
      <c r="HA535" s="150"/>
      <c r="HB535" s="150"/>
      <c r="HC535" s="150"/>
      <c r="HD535" s="150"/>
      <c r="HE535" s="150"/>
      <c r="HF535" s="150"/>
      <c r="HG535" s="150"/>
      <c r="HH535" s="150"/>
      <c r="HI535" s="150"/>
      <c r="HJ535" s="150"/>
      <c r="HK535" s="150"/>
      <c r="HL535" s="150"/>
      <c r="HM535" s="150"/>
      <c r="HN535" s="150"/>
      <c r="HO535" s="150"/>
      <c r="HP535" s="150"/>
      <c r="HQ535" s="150"/>
      <c r="HR535" s="150"/>
      <c r="HS535" s="150"/>
      <c r="HT535" s="150"/>
      <c r="HU535" s="150"/>
      <c r="HV535" s="150"/>
      <c r="HW535" s="150"/>
      <c r="HX535" s="150"/>
      <c r="HY535" s="150"/>
      <c r="HZ535" s="150"/>
      <c r="IA535" s="151"/>
      <c r="IB535" s="151"/>
      <c r="IC535" s="150"/>
      <c r="ID535" s="150"/>
      <c r="IE535" s="151"/>
      <c r="JF535" s="5"/>
      <c r="JO535" s="4"/>
      <c r="OD535" s="5"/>
    </row>
    <row r="536" spans="8:394" ht="18" customHeight="1">
      <c r="H536" s="4"/>
      <c r="AX536" s="14"/>
      <c r="AY536" s="15"/>
      <c r="AZ536" s="15"/>
      <c r="BA536" s="15"/>
      <c r="BB536" s="15"/>
      <c r="BC536" s="15"/>
      <c r="BD536" s="15"/>
      <c r="BE536" s="15"/>
      <c r="BF536" s="15"/>
      <c r="BG536" s="15"/>
      <c r="BH536" s="15"/>
      <c r="BI536" s="15"/>
      <c r="BJ536" s="15"/>
      <c r="BK536" s="15"/>
      <c r="BL536" s="15"/>
      <c r="BM536" s="15"/>
      <c r="BN536" s="15"/>
      <c r="BO536" s="15"/>
      <c r="BP536" s="15"/>
      <c r="BQ536" s="15"/>
      <c r="BR536" s="15"/>
      <c r="BS536" s="15"/>
      <c r="BT536" s="15"/>
      <c r="BU536" s="15"/>
      <c r="BV536" s="15"/>
      <c r="BW536" s="15"/>
      <c r="BX536" s="15"/>
      <c r="BY536" s="15"/>
      <c r="BZ536" s="15"/>
      <c r="CA536" s="15"/>
      <c r="CB536" s="15"/>
      <c r="CC536" s="15"/>
      <c r="CD536" s="15"/>
      <c r="CE536" s="15"/>
      <c r="CF536" s="15"/>
      <c r="CG536" s="15"/>
      <c r="CH536" s="15"/>
      <c r="CI536" s="15"/>
      <c r="CJ536" s="15"/>
      <c r="CK536" s="15"/>
      <c r="CL536" s="15"/>
      <c r="CM536" s="15"/>
      <c r="CN536" s="15"/>
      <c r="CO536" s="15"/>
      <c r="CP536" s="15"/>
      <c r="CQ536" s="15"/>
      <c r="CR536" s="15"/>
      <c r="CS536" s="15"/>
      <c r="CT536" s="15"/>
      <c r="CU536" s="16"/>
      <c r="DW536" s="5"/>
      <c r="EQ536" s="4"/>
      <c r="GB536" s="149"/>
      <c r="GC536" s="150"/>
      <c r="GD536" s="150"/>
      <c r="GE536" s="149"/>
      <c r="GF536" s="149"/>
      <c r="GG536" s="150"/>
      <c r="GH536" s="150"/>
      <c r="GI536" s="150"/>
      <c r="GJ536" s="150"/>
      <c r="GK536" s="150"/>
      <c r="GL536" s="150"/>
      <c r="GM536" s="150"/>
      <c r="GN536" s="150"/>
      <c r="GO536" s="150"/>
      <c r="GP536" s="150"/>
      <c r="GQ536" s="150"/>
      <c r="GR536" s="150"/>
      <c r="GS536" s="150"/>
      <c r="GT536" s="150"/>
      <c r="GU536" s="150"/>
      <c r="GV536" s="150"/>
      <c r="GW536" s="150"/>
      <c r="GX536" s="150"/>
      <c r="GY536" s="150"/>
      <c r="GZ536" s="150"/>
      <c r="HA536" s="150"/>
      <c r="HB536" s="150"/>
      <c r="HC536" s="150"/>
      <c r="HD536" s="150"/>
      <c r="HE536" s="150"/>
      <c r="HF536" s="150"/>
      <c r="HG536" s="150"/>
      <c r="HH536" s="150"/>
      <c r="HI536" s="150"/>
      <c r="HJ536" s="150"/>
      <c r="HK536" s="150"/>
      <c r="HL536" s="150"/>
      <c r="HM536" s="150"/>
      <c r="HN536" s="150"/>
      <c r="HO536" s="150"/>
      <c r="HP536" s="150"/>
      <c r="HQ536" s="150"/>
      <c r="HR536" s="150"/>
      <c r="HS536" s="150"/>
      <c r="HT536" s="150"/>
      <c r="HU536" s="150"/>
      <c r="HV536" s="150"/>
      <c r="HW536" s="150"/>
      <c r="HX536" s="150"/>
      <c r="HY536" s="150"/>
      <c r="HZ536" s="150"/>
      <c r="IA536" s="151"/>
      <c r="IB536" s="151"/>
      <c r="IC536" s="150"/>
      <c r="ID536" s="150"/>
      <c r="IE536" s="151"/>
      <c r="JF536" s="5"/>
      <c r="JO536" s="4"/>
      <c r="OD536" s="5"/>
    </row>
    <row r="537" spans="8:394" ht="18" customHeight="1">
      <c r="H537" s="4"/>
      <c r="DW537" s="5"/>
      <c r="EQ537" s="4"/>
      <c r="GB537" s="149"/>
      <c r="GC537" s="150"/>
      <c r="GD537" s="150"/>
      <c r="GE537" s="149"/>
      <c r="GF537" s="149"/>
      <c r="GG537" s="150"/>
      <c r="GH537" s="150"/>
      <c r="GI537" s="150"/>
      <c r="GJ537" s="150"/>
      <c r="GK537" s="150"/>
      <c r="GL537" s="150"/>
      <c r="GM537" s="150"/>
      <c r="GN537" s="150"/>
      <c r="GO537" s="150"/>
      <c r="GP537" s="150"/>
      <c r="GQ537" s="150"/>
      <c r="GR537" s="150"/>
      <c r="GS537" s="150"/>
      <c r="GT537" s="150"/>
      <c r="GU537" s="150"/>
      <c r="GV537" s="150"/>
      <c r="GW537" s="150"/>
      <c r="GX537" s="150"/>
      <c r="GY537" s="150"/>
      <c r="GZ537" s="150"/>
      <c r="HA537" s="150"/>
      <c r="HB537" s="150"/>
      <c r="HC537" s="150"/>
      <c r="HD537" s="150"/>
      <c r="HE537" s="150"/>
      <c r="HF537" s="150"/>
      <c r="HG537" s="150"/>
      <c r="HH537" s="150"/>
      <c r="HI537" s="150"/>
      <c r="HJ537" s="150"/>
      <c r="HK537" s="150"/>
      <c r="HL537" s="150"/>
      <c r="HM537" s="150"/>
      <c r="HN537" s="150"/>
      <c r="HO537" s="150"/>
      <c r="HP537" s="150"/>
      <c r="HQ537" s="150"/>
      <c r="HR537" s="150"/>
      <c r="HS537" s="150"/>
      <c r="HT537" s="150"/>
      <c r="HU537" s="150"/>
      <c r="HV537" s="150"/>
      <c r="HW537" s="150"/>
      <c r="HX537" s="150"/>
      <c r="HY537" s="150"/>
      <c r="HZ537" s="150"/>
      <c r="IA537" s="151"/>
      <c r="IB537" s="151"/>
      <c r="IC537" s="150"/>
      <c r="ID537" s="150"/>
      <c r="IE537" s="151"/>
      <c r="JF537" s="5"/>
      <c r="JO537" s="4"/>
      <c r="OD537" s="5"/>
    </row>
    <row r="538" spans="8:394" ht="18" customHeight="1">
      <c r="H538" s="4"/>
      <c r="DW538" s="5"/>
      <c r="EQ538" s="4"/>
      <c r="GB538" s="149"/>
      <c r="GC538" s="150"/>
      <c r="GD538" s="150"/>
      <c r="GE538" s="149"/>
      <c r="GF538" s="149"/>
      <c r="GG538" s="146"/>
      <c r="GH538" s="148"/>
      <c r="GI538" s="150"/>
      <c r="GJ538" s="150"/>
      <c r="GK538" s="150"/>
      <c r="GL538" s="150"/>
      <c r="GM538" s="150"/>
      <c r="GN538" s="150"/>
      <c r="GO538" s="150"/>
      <c r="GP538" s="150"/>
      <c r="GQ538" s="150"/>
      <c r="GR538" s="150"/>
      <c r="GS538" s="150"/>
      <c r="GT538" s="150"/>
      <c r="GU538" s="150"/>
      <c r="GV538" s="150"/>
      <c r="GW538" s="150"/>
      <c r="GX538" s="150"/>
      <c r="GY538" s="150"/>
      <c r="GZ538" s="150"/>
      <c r="HA538" s="150"/>
      <c r="HB538" s="150"/>
      <c r="HC538" s="146"/>
      <c r="HD538" s="148"/>
      <c r="HE538" s="150"/>
      <c r="HF538" s="150"/>
      <c r="HG538" s="150"/>
      <c r="HH538" s="150"/>
      <c r="HI538" s="150"/>
      <c r="HJ538" s="150"/>
      <c r="HK538" s="150"/>
      <c r="HL538" s="150"/>
      <c r="HM538" s="150"/>
      <c r="HN538" s="150"/>
      <c r="HO538" s="150"/>
      <c r="HP538" s="150"/>
      <c r="HQ538" s="150"/>
      <c r="HR538" s="150"/>
      <c r="HS538" s="150"/>
      <c r="HT538" s="150"/>
      <c r="HU538" s="150"/>
      <c r="HV538" s="150"/>
      <c r="HW538" s="150"/>
      <c r="HX538" s="150"/>
      <c r="HY538" s="146"/>
      <c r="HZ538" s="148"/>
      <c r="IA538" s="151"/>
      <c r="IB538" s="151"/>
      <c r="IC538" s="150"/>
      <c r="ID538" s="150"/>
      <c r="IE538" s="151"/>
      <c r="JF538" s="5"/>
      <c r="JO538" s="4"/>
      <c r="OD538" s="5"/>
    </row>
    <row r="539" spans="8:394" ht="18" customHeight="1">
      <c r="H539" s="4"/>
      <c r="DW539" s="5"/>
      <c r="EQ539" s="4"/>
      <c r="GB539" s="149"/>
      <c r="GC539" s="150"/>
      <c r="GD539" s="150"/>
      <c r="GE539" s="149"/>
      <c r="GF539" s="149"/>
      <c r="GG539" s="152"/>
      <c r="GH539" s="154"/>
      <c r="GI539" s="150"/>
      <c r="GJ539" s="150"/>
      <c r="GK539" s="150"/>
      <c r="GL539" s="150"/>
      <c r="GM539" s="150"/>
      <c r="GN539" s="150"/>
      <c r="GO539" s="150"/>
      <c r="GP539" s="150"/>
      <c r="GQ539" s="150"/>
      <c r="GR539" s="150"/>
      <c r="GS539" s="150"/>
      <c r="GT539" s="150"/>
      <c r="GU539" s="150"/>
      <c r="GV539" s="150"/>
      <c r="GW539" s="150"/>
      <c r="GX539" s="150"/>
      <c r="GY539" s="150"/>
      <c r="GZ539" s="150"/>
      <c r="HA539" s="150"/>
      <c r="HB539" s="150"/>
      <c r="HC539" s="152"/>
      <c r="HD539" s="154"/>
      <c r="HE539" s="150"/>
      <c r="HF539" s="150"/>
      <c r="HG539" s="150"/>
      <c r="HH539" s="150"/>
      <c r="HI539" s="150"/>
      <c r="HJ539" s="150"/>
      <c r="HK539" s="150"/>
      <c r="HL539" s="150"/>
      <c r="HM539" s="150"/>
      <c r="HN539" s="150"/>
      <c r="HO539" s="150"/>
      <c r="HP539" s="150"/>
      <c r="HQ539" s="150"/>
      <c r="HR539" s="150"/>
      <c r="HS539" s="150"/>
      <c r="HT539" s="150"/>
      <c r="HU539" s="150"/>
      <c r="HV539" s="150"/>
      <c r="HW539" s="150"/>
      <c r="HX539" s="150"/>
      <c r="HY539" s="152"/>
      <c r="HZ539" s="154"/>
      <c r="IA539" s="151"/>
      <c r="IB539" s="151"/>
      <c r="IC539" s="150"/>
      <c r="ID539" s="150"/>
      <c r="IE539" s="151"/>
      <c r="JF539" s="5"/>
      <c r="JO539" s="4"/>
      <c r="OD539" s="5"/>
    </row>
    <row r="540" spans="8:394" ht="18" customHeight="1">
      <c r="H540" s="4"/>
      <c r="DW540" s="5"/>
      <c r="EQ540" s="4"/>
      <c r="GB540" s="149"/>
      <c r="GC540" s="150"/>
      <c r="GD540" s="150"/>
      <c r="GE540" s="149"/>
      <c r="GF540" s="152"/>
      <c r="GG540" s="153"/>
      <c r="GH540" s="153"/>
      <c r="GI540" s="153"/>
      <c r="GJ540" s="153"/>
      <c r="GK540" s="153"/>
      <c r="GL540" s="153"/>
      <c r="GM540" s="153"/>
      <c r="GN540" s="153"/>
      <c r="GO540" s="153"/>
      <c r="GP540" s="153"/>
      <c r="GQ540" s="153"/>
      <c r="GR540" s="153"/>
      <c r="GS540" s="153"/>
      <c r="GT540" s="153"/>
      <c r="GU540" s="153"/>
      <c r="GV540" s="153"/>
      <c r="GW540" s="153"/>
      <c r="GX540" s="153"/>
      <c r="GY540" s="153"/>
      <c r="GZ540" s="153"/>
      <c r="HA540" s="153"/>
      <c r="HB540" s="153"/>
      <c r="HC540" s="153"/>
      <c r="HD540" s="153"/>
      <c r="HE540" s="153"/>
      <c r="HF540" s="153"/>
      <c r="HG540" s="153"/>
      <c r="HH540" s="153"/>
      <c r="HI540" s="153"/>
      <c r="HJ540" s="153"/>
      <c r="HK540" s="153"/>
      <c r="HL540" s="153"/>
      <c r="HM540" s="153"/>
      <c r="HN540" s="153"/>
      <c r="HO540" s="153"/>
      <c r="HP540" s="153"/>
      <c r="HQ540" s="153"/>
      <c r="HR540" s="153"/>
      <c r="HS540" s="153"/>
      <c r="HT540" s="153"/>
      <c r="HU540" s="153"/>
      <c r="HV540" s="153"/>
      <c r="HW540" s="153"/>
      <c r="HX540" s="153"/>
      <c r="HY540" s="153"/>
      <c r="HZ540" s="153"/>
      <c r="IA540" s="154"/>
      <c r="IB540" s="151"/>
      <c r="IC540" s="150"/>
      <c r="ID540" s="150"/>
      <c r="IE540" s="151"/>
      <c r="JF540" s="5"/>
      <c r="JO540" s="4"/>
      <c r="OD540" s="5"/>
    </row>
    <row r="541" spans="8:394" ht="18" customHeight="1">
      <c r="H541" s="4"/>
      <c r="DW541" s="5"/>
      <c r="EQ541" s="4"/>
      <c r="GB541" s="149"/>
      <c r="GC541" s="150"/>
      <c r="GD541" s="150"/>
      <c r="GE541" s="152"/>
      <c r="GF541" s="153"/>
      <c r="GG541" s="153"/>
      <c r="GH541" s="153"/>
      <c r="GI541" s="153"/>
      <c r="GJ541" s="153"/>
      <c r="GK541" s="153"/>
      <c r="GL541" s="153"/>
      <c r="GM541" s="153"/>
      <c r="GN541" s="153"/>
      <c r="GO541" s="153"/>
      <c r="GP541" s="153"/>
      <c r="GQ541" s="153"/>
      <c r="GR541" s="153"/>
      <c r="GS541" s="153"/>
      <c r="GT541" s="153"/>
      <c r="GU541" s="153"/>
      <c r="GV541" s="153"/>
      <c r="GW541" s="153"/>
      <c r="GX541" s="153"/>
      <c r="GY541" s="153"/>
      <c r="GZ541" s="153"/>
      <c r="HA541" s="153"/>
      <c r="HB541" s="153"/>
      <c r="HC541" s="153"/>
      <c r="HD541" s="153"/>
      <c r="HE541" s="153"/>
      <c r="HF541" s="153"/>
      <c r="HG541" s="153"/>
      <c r="HH541" s="153"/>
      <c r="HI541" s="153"/>
      <c r="HJ541" s="153"/>
      <c r="HK541" s="153"/>
      <c r="HL541" s="153"/>
      <c r="HM541" s="153"/>
      <c r="HN541" s="153"/>
      <c r="HO541" s="153"/>
      <c r="HP541" s="153"/>
      <c r="HQ541" s="153"/>
      <c r="HR541" s="153"/>
      <c r="HS541" s="153"/>
      <c r="HT541" s="153"/>
      <c r="HU541" s="153"/>
      <c r="HV541" s="153"/>
      <c r="HW541" s="153"/>
      <c r="HX541" s="153"/>
      <c r="HY541" s="153"/>
      <c r="HZ541" s="153"/>
      <c r="IA541" s="153"/>
      <c r="IB541" s="154"/>
      <c r="IC541" s="150"/>
      <c r="ID541" s="150"/>
      <c r="IE541" s="151"/>
      <c r="JF541" s="5"/>
      <c r="JO541" s="4"/>
      <c r="OD541" s="5"/>
    </row>
    <row r="542" spans="8:394" ht="18" customHeight="1">
      <c r="H542" s="4"/>
      <c r="DW542" s="5"/>
      <c r="EQ542" s="4"/>
      <c r="GB542" s="149"/>
      <c r="GC542" s="150"/>
      <c r="GD542" s="150"/>
      <c r="GE542" s="150"/>
      <c r="GF542" s="150"/>
      <c r="GG542" s="150"/>
      <c r="GH542" s="150"/>
      <c r="GI542" s="150"/>
      <c r="GJ542" s="150"/>
      <c r="GK542" s="150"/>
      <c r="GL542" s="150"/>
      <c r="GM542" s="150"/>
      <c r="GN542" s="150"/>
      <c r="GO542" s="150"/>
      <c r="GP542" s="150"/>
      <c r="GQ542" s="150"/>
      <c r="GR542" s="150"/>
      <c r="GS542" s="150"/>
      <c r="GT542" s="150"/>
      <c r="GU542" s="150"/>
      <c r="GV542" s="150"/>
      <c r="GW542" s="150"/>
      <c r="GX542" s="150"/>
      <c r="GY542" s="150"/>
      <c r="GZ542" s="150"/>
      <c r="HA542" s="150"/>
      <c r="HB542" s="150"/>
      <c r="HC542" s="150"/>
      <c r="HD542" s="150"/>
      <c r="HE542" s="150"/>
      <c r="HF542" s="150"/>
      <c r="HG542" s="150"/>
      <c r="HH542" s="150"/>
      <c r="HI542" s="150"/>
      <c r="HJ542" s="150"/>
      <c r="HK542" s="150"/>
      <c r="HL542" s="150"/>
      <c r="HM542" s="150"/>
      <c r="HN542" s="150"/>
      <c r="HO542" s="150"/>
      <c r="HP542" s="150"/>
      <c r="HQ542" s="150"/>
      <c r="HR542" s="150"/>
      <c r="HS542" s="150"/>
      <c r="HT542" s="150"/>
      <c r="HU542" s="150"/>
      <c r="HV542" s="150"/>
      <c r="HW542" s="150"/>
      <c r="HX542" s="150"/>
      <c r="HY542" s="150"/>
      <c r="HZ542" s="150"/>
      <c r="IA542" s="150"/>
      <c r="IB542" s="150"/>
      <c r="IC542" s="150"/>
      <c r="ID542" s="150"/>
      <c r="IE542" s="151"/>
      <c r="JF542" s="5"/>
      <c r="JO542" s="4"/>
      <c r="OD542" s="5"/>
    </row>
    <row r="543" spans="8:394" ht="18" customHeight="1">
      <c r="H543" s="4"/>
      <c r="DW543" s="5"/>
      <c r="EQ543" s="4"/>
      <c r="GB543" s="149"/>
      <c r="GC543" s="150"/>
      <c r="GD543" s="150"/>
      <c r="GE543" s="150"/>
      <c r="GF543" s="150"/>
      <c r="GG543" s="150"/>
      <c r="GH543" s="150"/>
      <c r="GI543" s="150"/>
      <c r="GJ543" s="150"/>
      <c r="GK543" s="150"/>
      <c r="GL543" s="150"/>
      <c r="GM543" s="150"/>
      <c r="GN543" s="150"/>
      <c r="GO543" s="150"/>
      <c r="GP543" s="150"/>
      <c r="GQ543" s="150"/>
      <c r="GR543" s="150"/>
      <c r="GS543" s="150"/>
      <c r="GT543" s="150"/>
      <c r="GU543" s="150"/>
      <c r="GV543" s="150"/>
      <c r="GW543" s="150"/>
      <c r="GX543" s="150"/>
      <c r="GY543" s="150"/>
      <c r="GZ543" s="150"/>
      <c r="HA543" s="150"/>
      <c r="HB543" s="150"/>
      <c r="HC543" s="150"/>
      <c r="HD543" s="150"/>
      <c r="HE543" s="150"/>
      <c r="HF543" s="150"/>
      <c r="HG543" s="150"/>
      <c r="HH543" s="150"/>
      <c r="HI543" s="150"/>
      <c r="HJ543" s="150"/>
      <c r="HK543" s="150"/>
      <c r="HL543" s="150"/>
      <c r="HM543" s="150"/>
      <c r="HN543" s="150"/>
      <c r="HO543" s="150"/>
      <c r="HP543" s="150"/>
      <c r="HQ543" s="150"/>
      <c r="HR543" s="150"/>
      <c r="HS543" s="150"/>
      <c r="HT543" s="150"/>
      <c r="HU543" s="150"/>
      <c r="HV543" s="150"/>
      <c r="HW543" s="150"/>
      <c r="HX543" s="150"/>
      <c r="HY543" s="150"/>
      <c r="HZ543" s="150"/>
      <c r="IA543" s="150"/>
      <c r="IB543" s="150"/>
      <c r="IC543" s="150"/>
      <c r="ID543" s="150"/>
      <c r="IE543" s="151"/>
      <c r="JF543" s="5"/>
      <c r="JO543" s="4"/>
      <c r="OD543" s="5"/>
    </row>
    <row r="544" spans="8:394" ht="18" customHeight="1">
      <c r="H544" s="4"/>
      <c r="DW544" s="5"/>
      <c r="EQ544" s="4"/>
      <c r="GB544" s="152"/>
      <c r="GC544" s="153"/>
      <c r="GD544" s="153"/>
      <c r="GE544" s="153"/>
      <c r="GF544" s="153"/>
      <c r="GG544" s="153"/>
      <c r="GH544" s="153"/>
      <c r="GI544" s="153"/>
      <c r="GJ544" s="153"/>
      <c r="GK544" s="153"/>
      <c r="GL544" s="153"/>
      <c r="GM544" s="153"/>
      <c r="GN544" s="153"/>
      <c r="GO544" s="153"/>
      <c r="GP544" s="153"/>
      <c r="GQ544" s="153"/>
      <c r="GR544" s="153"/>
      <c r="GS544" s="153"/>
      <c r="GT544" s="153"/>
      <c r="GU544" s="153"/>
      <c r="GV544" s="153"/>
      <c r="GW544" s="153"/>
      <c r="GX544" s="153"/>
      <c r="GY544" s="153"/>
      <c r="GZ544" s="153"/>
      <c r="HA544" s="153"/>
      <c r="HB544" s="153"/>
      <c r="HC544" s="153"/>
      <c r="HD544" s="153"/>
      <c r="HE544" s="153"/>
      <c r="HF544" s="153"/>
      <c r="HG544" s="153"/>
      <c r="HH544" s="153"/>
      <c r="HI544" s="153"/>
      <c r="HJ544" s="153"/>
      <c r="HK544" s="153"/>
      <c r="HL544" s="153"/>
      <c r="HM544" s="153"/>
      <c r="HN544" s="153"/>
      <c r="HO544" s="153"/>
      <c r="HP544" s="153"/>
      <c r="HQ544" s="153"/>
      <c r="HR544" s="153"/>
      <c r="HS544" s="153"/>
      <c r="HT544" s="153"/>
      <c r="HU544" s="153"/>
      <c r="HV544" s="153"/>
      <c r="HW544" s="153"/>
      <c r="HX544" s="153"/>
      <c r="HY544" s="153"/>
      <c r="HZ544" s="153"/>
      <c r="IA544" s="153"/>
      <c r="IB544" s="153"/>
      <c r="IC544" s="153"/>
      <c r="ID544" s="153"/>
      <c r="IE544" s="154"/>
      <c r="JF544" s="5"/>
      <c r="JO544" s="4"/>
      <c r="OD544" s="5"/>
    </row>
    <row r="545" spans="8:394" ht="18" customHeight="1">
      <c r="H545" s="4"/>
      <c r="DW545" s="5"/>
      <c r="EQ545" s="4"/>
      <c r="JF545" s="5"/>
      <c r="JO545" s="4"/>
      <c r="OD545" s="5"/>
    </row>
    <row r="546" spans="8:394" ht="18" customHeight="1">
      <c r="H546" s="4"/>
      <c r="DW546" s="5"/>
      <c r="EQ546" s="4"/>
      <c r="JF546" s="5"/>
      <c r="JO546" s="4"/>
      <c r="OD546" s="5"/>
    </row>
    <row r="547" spans="8:394" ht="18" customHeight="1">
      <c r="H547" s="4"/>
      <c r="DW547" s="5"/>
      <c r="EQ547" s="4"/>
      <c r="JF547" s="5"/>
      <c r="JO547" s="4"/>
      <c r="OD547" s="5"/>
    </row>
    <row r="548" spans="8:394" ht="18" customHeight="1">
      <c r="H548" s="4"/>
      <c r="DW548" s="5"/>
      <c r="EQ548" s="4"/>
      <c r="JF548" s="5"/>
      <c r="JO548" s="4"/>
      <c r="OD548" s="5"/>
    </row>
    <row r="549" spans="8:394" ht="18" customHeight="1" thickBot="1">
      <c r="H549" s="6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/>
      <c r="BN549" s="7"/>
      <c r="BO549" s="7"/>
      <c r="BP549" s="7"/>
      <c r="BQ549" s="7"/>
      <c r="BR549" s="7"/>
      <c r="BS549" s="7"/>
      <c r="BT549" s="7"/>
      <c r="BU549" s="7"/>
      <c r="BV549" s="7"/>
      <c r="BW549" s="7"/>
      <c r="BX549" s="7"/>
      <c r="BY549" s="7"/>
      <c r="BZ549" s="7"/>
      <c r="CA549" s="7"/>
      <c r="CB549" s="7"/>
      <c r="CC549" s="7"/>
      <c r="CD549" s="7"/>
      <c r="CE549" s="7"/>
      <c r="CF549" s="7"/>
      <c r="CG549" s="7"/>
      <c r="CH549" s="7"/>
      <c r="CI549" s="7"/>
      <c r="CJ549" s="7"/>
      <c r="CK549" s="7"/>
      <c r="CL549" s="7"/>
      <c r="CM549" s="7"/>
      <c r="CN549" s="7"/>
      <c r="CO549" s="7"/>
      <c r="CP549" s="7"/>
      <c r="CQ549" s="7"/>
      <c r="CR549" s="7"/>
      <c r="CS549" s="7"/>
      <c r="CT549" s="7"/>
      <c r="CU549" s="7"/>
      <c r="CV549" s="7"/>
      <c r="CW549" s="7"/>
      <c r="CX549" s="7"/>
      <c r="CY549" s="7"/>
      <c r="CZ549" s="7"/>
      <c r="DA549" s="7"/>
      <c r="DB549" s="7"/>
      <c r="DC549" s="7"/>
      <c r="DD549" s="7"/>
      <c r="DE549" s="7"/>
      <c r="DF549" s="7"/>
      <c r="DG549" s="7"/>
      <c r="DH549" s="7"/>
      <c r="DI549" s="7"/>
      <c r="DJ549" s="7"/>
      <c r="DK549" s="7"/>
      <c r="DL549" s="7"/>
      <c r="DM549" s="7"/>
      <c r="DN549" s="7"/>
      <c r="DO549" s="7"/>
      <c r="DP549" s="7"/>
      <c r="DQ549" s="7"/>
      <c r="DR549" s="7"/>
      <c r="DS549" s="7"/>
      <c r="DT549" s="7"/>
      <c r="DU549" s="7"/>
      <c r="DV549" s="7"/>
      <c r="DW549" s="8"/>
      <c r="EQ549" s="4"/>
      <c r="JF549" s="5"/>
      <c r="JO549" s="4"/>
      <c r="OD549" s="5"/>
    </row>
    <row r="550" spans="8:394" ht="18" customHeight="1" thickBot="1">
      <c r="EQ550" s="6"/>
      <c r="ER550" s="7"/>
      <c r="ES550" s="7"/>
      <c r="ET550" s="7"/>
      <c r="EU550" s="7"/>
      <c r="EV550" s="7"/>
      <c r="EW550" s="7"/>
      <c r="EX550" s="7"/>
      <c r="EY550" s="7"/>
      <c r="EZ550" s="7"/>
      <c r="FA550" s="7"/>
      <c r="FB550" s="7"/>
      <c r="FC550" s="7"/>
      <c r="FD550" s="7"/>
      <c r="FE550" s="7"/>
      <c r="FF550" s="7"/>
      <c r="FG550" s="7"/>
      <c r="FH550" s="7"/>
      <c r="FI550" s="7"/>
      <c r="FJ550" s="7"/>
      <c r="FK550" s="7"/>
      <c r="FL550" s="7"/>
      <c r="FM550" s="7"/>
      <c r="FN550" s="7"/>
      <c r="FO550" s="7"/>
      <c r="FP550" s="7"/>
      <c r="FQ550" s="7"/>
      <c r="FR550" s="7"/>
      <c r="FS550" s="7"/>
      <c r="FT550" s="7"/>
      <c r="FU550" s="7"/>
      <c r="FV550" s="7"/>
      <c r="FW550" s="7"/>
      <c r="FX550" s="7"/>
      <c r="FY550" s="7"/>
      <c r="FZ550" s="7"/>
      <c r="GA550" s="7"/>
      <c r="GB550" s="7"/>
      <c r="GC550" s="7"/>
      <c r="GD550" s="7"/>
      <c r="GE550" s="7"/>
      <c r="GF550" s="7"/>
      <c r="GG550" s="7"/>
      <c r="GH550" s="7"/>
      <c r="GI550" s="7"/>
      <c r="GJ550" s="7"/>
      <c r="GK550" s="7"/>
      <c r="GL550" s="7"/>
      <c r="GM550" s="7"/>
      <c r="GN550" s="7"/>
      <c r="GO550" s="7"/>
      <c r="GP550" s="7"/>
      <c r="GQ550" s="7"/>
      <c r="GR550" s="7"/>
      <c r="GS550" s="7"/>
      <c r="GT550" s="7"/>
      <c r="GU550" s="7"/>
      <c r="GV550" s="7"/>
      <c r="GW550" s="7"/>
      <c r="GX550" s="7"/>
      <c r="GY550" s="7"/>
      <c r="GZ550" s="7"/>
      <c r="HA550" s="7"/>
      <c r="HB550" s="7"/>
      <c r="HC550" s="7"/>
      <c r="HD550" s="7"/>
      <c r="HE550" s="7"/>
      <c r="HF550" s="7"/>
      <c r="HG550" s="7"/>
      <c r="HH550" s="7"/>
      <c r="HI550" s="7"/>
      <c r="HJ550" s="7"/>
      <c r="HK550" s="7"/>
      <c r="HL550" s="7"/>
      <c r="HM550" s="7"/>
      <c r="HN550" s="7"/>
      <c r="HO550" s="7"/>
      <c r="HP550" s="7"/>
      <c r="HQ550" s="7"/>
      <c r="HR550" s="7"/>
      <c r="HS550" s="7"/>
      <c r="HT550" s="7"/>
      <c r="HU550" s="7"/>
      <c r="HV550" s="7"/>
      <c r="HW550" s="7"/>
      <c r="HX550" s="7"/>
      <c r="HY550" s="7"/>
      <c r="HZ550" s="7"/>
      <c r="IA550" s="7"/>
      <c r="IB550" s="7"/>
      <c r="IC550" s="7"/>
      <c r="ID550" s="7"/>
      <c r="IE550" s="7"/>
      <c r="IF550" s="7"/>
      <c r="IG550" s="7"/>
      <c r="IH550" s="7"/>
      <c r="II550" s="7"/>
      <c r="IJ550" s="7"/>
      <c r="IK550" s="7"/>
      <c r="IL550" s="7"/>
      <c r="IM550" s="7"/>
      <c r="IN550" s="7"/>
      <c r="IO550" s="7"/>
      <c r="IP550" s="7"/>
      <c r="IQ550" s="7"/>
      <c r="IR550" s="7"/>
      <c r="IS550" s="7"/>
      <c r="IT550" s="7"/>
      <c r="IU550" s="7"/>
      <c r="IV550" s="7"/>
      <c r="IW550" s="7"/>
      <c r="IX550" s="7"/>
      <c r="IY550" s="7"/>
      <c r="IZ550" s="7"/>
      <c r="JA550" s="7"/>
      <c r="JB550" s="7"/>
      <c r="JC550" s="7"/>
      <c r="JD550" s="7"/>
      <c r="JE550" s="7"/>
      <c r="JF550" s="8"/>
      <c r="JO550" s="6"/>
      <c r="JP550" s="7"/>
      <c r="JQ550" s="7"/>
      <c r="JR550" s="7"/>
      <c r="JS550" s="7"/>
      <c r="JT550" s="7"/>
      <c r="JU550" s="7"/>
      <c r="JV550" s="7"/>
      <c r="JW550" s="7"/>
      <c r="JX550" s="7"/>
      <c r="JY550" s="7"/>
      <c r="JZ550" s="7"/>
      <c r="KA550" s="7"/>
      <c r="KB550" s="7"/>
      <c r="KC550" s="7"/>
      <c r="KD550" s="7"/>
      <c r="KE550" s="7"/>
      <c r="KF550" s="7"/>
      <c r="KG550" s="7"/>
      <c r="KH550" s="7"/>
      <c r="KI550" s="7"/>
      <c r="KJ550" s="7"/>
      <c r="KK550" s="7"/>
      <c r="KL550" s="7"/>
      <c r="KM550" s="7"/>
      <c r="KN550" s="7"/>
      <c r="KO550" s="7"/>
      <c r="KP550" s="7"/>
      <c r="KQ550" s="7"/>
      <c r="KR550" s="7"/>
      <c r="KS550" s="7"/>
      <c r="KT550" s="7"/>
      <c r="KU550" s="7"/>
      <c r="KV550" s="7"/>
      <c r="KW550" s="7"/>
      <c r="KX550" s="7"/>
      <c r="KY550" s="7"/>
      <c r="KZ550" s="7"/>
      <c r="LA550" s="7"/>
      <c r="LB550" s="7"/>
      <c r="LC550" s="7"/>
      <c r="LD550" s="7"/>
      <c r="LE550" s="7"/>
      <c r="LF550" s="7"/>
      <c r="LG550" s="7"/>
      <c r="LH550" s="7"/>
      <c r="LI550" s="7"/>
      <c r="LJ550" s="7"/>
      <c r="LK550" s="7"/>
      <c r="LL550" s="7"/>
      <c r="LM550" s="7"/>
      <c r="LN550" s="7"/>
      <c r="LO550" s="7"/>
      <c r="LP550" s="7"/>
      <c r="LQ550" s="7"/>
      <c r="LR550" s="7"/>
      <c r="LS550" s="7"/>
      <c r="LT550" s="7"/>
      <c r="LU550" s="7"/>
      <c r="LV550" s="7"/>
      <c r="LW550" s="7"/>
      <c r="LX550" s="7"/>
      <c r="LY550" s="7"/>
      <c r="LZ550" s="7"/>
      <c r="MA550" s="7"/>
      <c r="MB550" s="7"/>
      <c r="MC550" s="7"/>
      <c r="MD550" s="7"/>
      <c r="ME550" s="7"/>
      <c r="MF550" s="7"/>
      <c r="MG550" s="7"/>
      <c r="MH550" s="7"/>
      <c r="MI550" s="7"/>
      <c r="MJ550" s="7"/>
      <c r="MK550" s="7"/>
      <c r="ML550" s="7"/>
      <c r="MM550" s="7"/>
      <c r="MN550" s="7"/>
      <c r="MO550" s="7"/>
      <c r="MP550" s="7"/>
      <c r="MQ550" s="7"/>
      <c r="MR550" s="7"/>
      <c r="MS550" s="7"/>
      <c r="MT550" s="7"/>
      <c r="MU550" s="7"/>
      <c r="MV550" s="7"/>
      <c r="MW550" s="7"/>
      <c r="MX550" s="7"/>
      <c r="MY550" s="7"/>
      <c r="MZ550" s="7"/>
      <c r="NA550" s="7"/>
      <c r="NB550" s="7"/>
      <c r="NC550" s="7"/>
      <c r="ND550" s="7"/>
      <c r="NE550" s="7"/>
      <c r="NF550" s="7"/>
      <c r="NG550" s="7"/>
      <c r="NH550" s="7"/>
      <c r="NI550" s="7"/>
      <c r="NJ550" s="7"/>
      <c r="NK550" s="7"/>
      <c r="NL550" s="7"/>
      <c r="NM550" s="7"/>
      <c r="NN550" s="7"/>
      <c r="NO550" s="7"/>
      <c r="NP550" s="7"/>
      <c r="NQ550" s="7"/>
      <c r="NR550" s="7"/>
      <c r="NS550" s="7"/>
      <c r="NT550" s="7"/>
      <c r="NU550" s="7"/>
      <c r="NV550" s="7"/>
      <c r="NW550" s="7"/>
      <c r="NX550" s="7"/>
      <c r="NY550" s="7"/>
      <c r="NZ550" s="7"/>
      <c r="OA550" s="7"/>
      <c r="OB550" s="7"/>
      <c r="OC550" s="7"/>
      <c r="OD550" s="8"/>
    </row>
    <row r="555" spans="8:394" ht="18" customHeight="1" thickBot="1"/>
    <row r="556" spans="8:394" ht="18" customHeight="1">
      <c r="H556" s="1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2"/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3"/>
    </row>
    <row r="557" spans="8:394" ht="18" customHeight="1">
      <c r="H557" s="4"/>
      <c r="DW557" s="5"/>
      <c r="FC557" s="17"/>
      <c r="HL557" s="17"/>
    </row>
    <row r="558" spans="8:394" ht="18" customHeight="1">
      <c r="H558" s="4"/>
      <c r="DW558" s="5"/>
      <c r="FC558" s="18"/>
      <c r="HL558" s="18"/>
    </row>
    <row r="559" spans="8:394" ht="18" customHeight="1">
      <c r="H559" s="4"/>
      <c r="DW559" s="5"/>
      <c r="FC559" s="18"/>
      <c r="HL559" s="18"/>
    </row>
    <row r="560" spans="8:394" ht="18" customHeight="1">
      <c r="H560" s="4"/>
      <c r="DW560" s="5"/>
      <c r="FC560" s="18"/>
      <c r="HL560" s="18"/>
    </row>
    <row r="561" spans="8:221" ht="18" customHeight="1">
      <c r="H561" s="4"/>
      <c r="DW561" s="5"/>
      <c r="FC561" s="18"/>
      <c r="HL561" s="18"/>
    </row>
    <row r="562" spans="8:221" ht="18" customHeight="1">
      <c r="H562" s="4"/>
      <c r="DW562" s="5"/>
      <c r="FC562" s="18"/>
      <c r="HL562" s="18"/>
    </row>
    <row r="563" spans="8:221" ht="18" customHeight="1">
      <c r="H563" s="4"/>
      <c r="DW563" s="5"/>
      <c r="FB563" s="9"/>
      <c r="FC563" s="10"/>
      <c r="FD563" s="10"/>
      <c r="FE563" s="10"/>
      <c r="FF563" s="10"/>
      <c r="FG563" s="10"/>
      <c r="FH563" s="10"/>
      <c r="FI563" s="10"/>
      <c r="FJ563" s="10"/>
      <c r="FK563" s="10"/>
      <c r="FL563" s="10"/>
      <c r="FM563" s="10"/>
      <c r="FN563" s="10"/>
      <c r="FO563" s="10"/>
      <c r="FP563" s="10"/>
      <c r="FQ563" s="10"/>
      <c r="FR563" s="10"/>
      <c r="FS563" s="10"/>
      <c r="FT563" s="10"/>
      <c r="FU563" s="10"/>
      <c r="FV563" s="10"/>
      <c r="FW563" s="10"/>
      <c r="FX563" s="10"/>
      <c r="FY563" s="10"/>
      <c r="FZ563" s="10"/>
      <c r="GA563" s="10"/>
      <c r="GB563" s="10"/>
      <c r="GC563" s="10"/>
      <c r="GD563" s="10"/>
      <c r="GE563" s="10"/>
      <c r="GF563" s="10"/>
      <c r="GG563" s="10"/>
      <c r="GH563" s="10"/>
      <c r="GI563" s="10"/>
      <c r="GJ563" s="10"/>
      <c r="GK563" s="10"/>
      <c r="GL563" s="10"/>
      <c r="GM563" s="10"/>
      <c r="GN563" s="10"/>
      <c r="GO563" s="10"/>
      <c r="GP563" s="10"/>
      <c r="GQ563" s="10"/>
      <c r="GR563" s="10"/>
      <c r="GS563" s="10"/>
      <c r="GT563" s="10"/>
      <c r="GU563" s="10"/>
      <c r="GV563" s="10"/>
      <c r="GW563" s="10"/>
      <c r="GX563" s="10"/>
      <c r="GY563" s="10"/>
      <c r="GZ563" s="10"/>
      <c r="HA563" s="10"/>
      <c r="HB563" s="10"/>
      <c r="HC563" s="10"/>
      <c r="HD563" s="10"/>
      <c r="HE563" s="10"/>
      <c r="HF563" s="10"/>
      <c r="HG563" s="10"/>
      <c r="HH563" s="10"/>
      <c r="HI563" s="10"/>
      <c r="HJ563" s="10"/>
      <c r="HK563" s="10"/>
      <c r="HL563" s="10"/>
      <c r="HM563" s="11"/>
    </row>
    <row r="564" spans="8:221" ht="18" customHeight="1">
      <c r="H564" s="4"/>
      <c r="DW564" s="5"/>
      <c r="FB564" s="14"/>
      <c r="FC564" s="15"/>
      <c r="FD564" s="15"/>
      <c r="FE564" s="15"/>
      <c r="FF564" s="15"/>
      <c r="FG564" s="15"/>
      <c r="FH564" s="15"/>
      <c r="FI564" s="15"/>
      <c r="FJ564" s="15"/>
      <c r="FK564" s="15"/>
      <c r="FL564" s="15"/>
      <c r="FM564" s="15"/>
      <c r="FN564" s="15"/>
      <c r="FO564" s="15"/>
      <c r="FP564" s="15"/>
      <c r="FQ564" s="15"/>
      <c r="FR564" s="15"/>
      <c r="FS564" s="15"/>
      <c r="FT564" s="15"/>
      <c r="FU564" s="15"/>
      <c r="FV564" s="15"/>
      <c r="FW564" s="15"/>
      <c r="FX564" s="15"/>
      <c r="FY564" s="15"/>
      <c r="FZ564" s="15"/>
      <c r="GA564" s="15"/>
      <c r="GB564" s="15"/>
      <c r="GC564" s="15"/>
      <c r="GD564" s="15"/>
      <c r="GE564" s="15"/>
      <c r="GF564" s="15"/>
      <c r="GG564" s="15"/>
      <c r="GH564" s="15"/>
      <c r="GI564" s="15"/>
      <c r="GJ564" s="15"/>
      <c r="GK564" s="15"/>
      <c r="GL564" s="15"/>
      <c r="GM564" s="15"/>
      <c r="GN564" s="15"/>
      <c r="GO564" s="15"/>
      <c r="GP564" s="15"/>
      <c r="GQ564" s="15"/>
      <c r="GR564" s="15"/>
      <c r="GS564" s="15"/>
      <c r="GT564" s="15"/>
      <c r="GU564" s="15"/>
      <c r="GV564" s="15"/>
      <c r="GW564" s="15"/>
      <c r="GX564" s="15"/>
      <c r="GY564" s="15"/>
      <c r="GZ564" s="15"/>
      <c r="HA564" s="15"/>
      <c r="HB564" s="15"/>
      <c r="HC564" s="15"/>
      <c r="HD564" s="15"/>
      <c r="HE564" s="15"/>
      <c r="HF564" s="15"/>
      <c r="HG564" s="15"/>
      <c r="HH564" s="15"/>
      <c r="HI564" s="15"/>
      <c r="HJ564" s="15"/>
      <c r="HK564" s="15"/>
      <c r="HL564" s="15"/>
      <c r="HM564" s="16"/>
    </row>
    <row r="565" spans="8:221" ht="18" customHeight="1">
      <c r="H565" s="4"/>
      <c r="DW565" s="5"/>
      <c r="FC565" s="12"/>
      <c r="FD565" s="13"/>
      <c r="FY565" s="18"/>
      <c r="FZ565" s="12"/>
      <c r="GK565" s="13"/>
      <c r="GS565" s="13"/>
      <c r="GT565" s="18"/>
      <c r="GU565" s="12"/>
      <c r="HK565" s="12"/>
      <c r="HL565" s="13"/>
    </row>
    <row r="566" spans="8:221" ht="18" customHeight="1">
      <c r="H566" s="4"/>
      <c r="DW566" s="5"/>
      <c r="FC566" s="12"/>
      <c r="FD566" s="13"/>
      <c r="FY566" s="18"/>
      <c r="FZ566" s="12"/>
      <c r="GK566" s="13"/>
      <c r="GS566" s="13"/>
      <c r="GT566" s="18"/>
      <c r="GU566" s="12"/>
      <c r="HK566" s="12"/>
      <c r="HL566" s="13"/>
    </row>
    <row r="567" spans="8:221" ht="18" customHeight="1">
      <c r="H567" s="4"/>
      <c r="DW567" s="5"/>
      <c r="FC567" s="12"/>
      <c r="FD567" s="13"/>
      <c r="FY567" s="18"/>
      <c r="FZ567" s="12"/>
      <c r="GK567" s="13"/>
      <c r="GS567" s="13"/>
      <c r="GT567" s="18"/>
      <c r="GU567" s="12"/>
      <c r="HK567" s="12"/>
      <c r="HL567" s="13"/>
    </row>
    <row r="568" spans="8:221" ht="18" customHeight="1">
      <c r="H568" s="4"/>
      <c r="DW568" s="5"/>
      <c r="FC568" s="12"/>
      <c r="FD568" s="13"/>
      <c r="FY568" s="18"/>
      <c r="FZ568" s="12"/>
      <c r="GK568" s="13"/>
      <c r="GS568" s="13"/>
      <c r="GT568" s="18"/>
      <c r="GU568" s="12"/>
      <c r="HK568" s="12"/>
      <c r="HL568" s="13"/>
    </row>
    <row r="569" spans="8:221" ht="18" customHeight="1">
      <c r="H569" s="4"/>
      <c r="DW569" s="5"/>
      <c r="FC569" s="12"/>
      <c r="FD569" s="13"/>
      <c r="FY569" s="18"/>
      <c r="FZ569" s="12"/>
      <c r="GK569" s="13"/>
      <c r="GS569" s="13"/>
      <c r="GT569" s="18"/>
      <c r="GU569" s="12"/>
      <c r="HK569" s="12"/>
      <c r="HL569" s="13"/>
    </row>
    <row r="570" spans="8:221" ht="18" customHeight="1">
      <c r="H570" s="4"/>
      <c r="DW570" s="5"/>
      <c r="FC570" s="12"/>
      <c r="FD570" s="13"/>
      <c r="FY570" s="18"/>
      <c r="FZ570" s="12"/>
      <c r="GK570" s="13"/>
      <c r="GS570" s="13"/>
      <c r="GT570" s="18"/>
      <c r="GU570" s="12"/>
      <c r="HK570" s="12"/>
      <c r="HL570" s="13"/>
    </row>
    <row r="571" spans="8:221" ht="18" customHeight="1">
      <c r="H571" s="4"/>
      <c r="DW571" s="5"/>
      <c r="FC571" s="12"/>
      <c r="FD571" s="13"/>
      <c r="FY571" s="18"/>
      <c r="FZ571" s="12"/>
      <c r="GK571" s="13"/>
      <c r="GS571" s="13"/>
      <c r="GT571" s="18"/>
      <c r="GU571" s="12"/>
      <c r="HK571" s="12"/>
      <c r="HL571" s="13"/>
    </row>
    <row r="572" spans="8:221" ht="18" customHeight="1">
      <c r="H572" s="4"/>
      <c r="DW572" s="5"/>
      <c r="FC572" s="12"/>
      <c r="FD572" s="13"/>
      <c r="FY572" s="18"/>
      <c r="FZ572" s="12"/>
      <c r="GK572" s="13"/>
      <c r="GS572" s="13"/>
      <c r="GT572" s="18"/>
      <c r="GU572" s="12"/>
      <c r="HK572" s="12"/>
      <c r="HL572" s="13"/>
    </row>
    <row r="573" spans="8:221" ht="18" customHeight="1">
      <c r="H573" s="4"/>
      <c r="DW573" s="5"/>
      <c r="FC573" s="12"/>
      <c r="FD573" s="13"/>
      <c r="FY573" s="18"/>
      <c r="FZ573" s="12"/>
      <c r="GK573" s="13"/>
      <c r="GS573" s="13"/>
      <c r="GT573" s="18"/>
      <c r="GU573" s="12"/>
      <c r="HK573" s="12"/>
      <c r="HL573" s="13"/>
    </row>
    <row r="574" spans="8:221" ht="18" customHeight="1">
      <c r="H574" s="4"/>
      <c r="DW574" s="5"/>
      <c r="FC574" s="12"/>
      <c r="FD574" s="13"/>
      <c r="FY574" s="18"/>
      <c r="FZ574" s="12"/>
      <c r="GK574" s="13"/>
      <c r="GS574" s="13"/>
      <c r="GT574" s="18"/>
      <c r="GU574" s="12"/>
      <c r="HK574" s="12"/>
      <c r="HL574" s="13"/>
    </row>
    <row r="575" spans="8:221" ht="18" customHeight="1">
      <c r="H575" s="4"/>
      <c r="DW575" s="5"/>
      <c r="FC575" s="12"/>
      <c r="FD575" s="13"/>
      <c r="FY575" s="18"/>
      <c r="FZ575" s="12"/>
      <c r="GK575" s="13"/>
      <c r="GS575" s="13"/>
      <c r="GT575" s="18"/>
      <c r="GU575" s="12"/>
      <c r="HK575" s="12"/>
      <c r="HL575" s="13"/>
    </row>
    <row r="576" spans="8:221" ht="18" customHeight="1">
      <c r="H576" s="4"/>
      <c r="DW576" s="5"/>
      <c r="FC576" s="12"/>
      <c r="FD576" s="13"/>
      <c r="FY576" s="18"/>
      <c r="FZ576" s="12"/>
      <c r="GK576" s="13"/>
      <c r="GS576" s="13"/>
      <c r="GT576" s="18"/>
      <c r="GU576" s="12"/>
      <c r="HK576" s="12"/>
      <c r="HL576" s="13"/>
    </row>
    <row r="577" spans="8:252" ht="18" customHeight="1">
      <c r="H577" s="4"/>
      <c r="DW577" s="5"/>
      <c r="FC577" s="12"/>
      <c r="FD577" s="13"/>
      <c r="FY577" s="18"/>
      <c r="FZ577" s="12"/>
      <c r="GK577" s="13"/>
      <c r="GS577" s="13"/>
      <c r="GT577" s="18"/>
      <c r="GU577" s="12"/>
      <c r="HK577" s="12"/>
      <c r="HL577" s="13"/>
      <c r="ID577" s="9"/>
      <c r="IE577" s="11"/>
    </row>
    <row r="578" spans="8:252" ht="18" customHeight="1">
      <c r="H578" s="4"/>
      <c r="DW578" s="5"/>
      <c r="FC578" s="12"/>
      <c r="FD578" s="13"/>
      <c r="FY578" s="18"/>
      <c r="FZ578" s="12"/>
      <c r="GK578" s="13"/>
      <c r="GS578" s="13"/>
      <c r="GT578" s="18"/>
      <c r="GU578" s="12"/>
      <c r="HK578" s="12"/>
      <c r="HL578" s="13"/>
      <c r="ID578" s="12"/>
      <c r="IE578" s="13"/>
    </row>
    <row r="579" spans="8:252" ht="18" customHeight="1">
      <c r="H579" s="4"/>
      <c r="DW579" s="5"/>
      <c r="FC579" s="12"/>
      <c r="FD579" s="13"/>
      <c r="FY579" s="18"/>
      <c r="FZ579" s="12"/>
      <c r="GK579" s="13"/>
      <c r="GS579" s="13"/>
      <c r="GT579" s="18"/>
      <c r="GU579" s="12"/>
      <c r="HK579" s="12"/>
      <c r="HL579" s="13"/>
      <c r="ID579" s="12"/>
      <c r="IE579" s="13"/>
    </row>
    <row r="580" spans="8:252" ht="18" customHeight="1">
      <c r="H580" s="4"/>
      <c r="DW580" s="5"/>
      <c r="FC580" s="12"/>
      <c r="FD580" s="13"/>
      <c r="FY580" s="18"/>
      <c r="FZ580" s="12"/>
      <c r="GK580" s="13"/>
      <c r="GS580" s="13"/>
      <c r="GT580" s="18"/>
      <c r="GU580" s="12"/>
      <c r="HK580" s="12"/>
      <c r="HL580" s="13"/>
      <c r="ID580" s="12"/>
      <c r="IE580" s="13"/>
    </row>
    <row r="581" spans="8:252" ht="18" customHeight="1">
      <c r="H581" s="4"/>
      <c r="DW581" s="5"/>
      <c r="FC581" s="12"/>
      <c r="FD581" s="13"/>
      <c r="FY581" s="18"/>
      <c r="FZ581" s="12"/>
      <c r="GK581" s="13"/>
      <c r="GS581" s="13"/>
      <c r="GT581" s="18"/>
      <c r="GU581" s="12"/>
      <c r="HK581" s="12"/>
      <c r="HL581" s="13"/>
      <c r="ID581" s="12"/>
      <c r="IE581" s="13"/>
    </row>
    <row r="582" spans="8:252" ht="18" customHeight="1">
      <c r="H582" s="4"/>
      <c r="DW582" s="5"/>
      <c r="FC582" s="12"/>
      <c r="FD582" s="13"/>
      <c r="FY582" s="18"/>
      <c r="FZ582" s="12"/>
      <c r="GK582" s="13"/>
      <c r="GS582" s="13"/>
      <c r="GT582" s="18"/>
      <c r="GU582" s="12"/>
      <c r="HK582" s="12"/>
      <c r="HL582" s="13"/>
      <c r="ID582" s="12"/>
      <c r="IE582" s="13"/>
    </row>
    <row r="583" spans="8:252" ht="18" customHeight="1">
      <c r="H583" s="4"/>
      <c r="S583" s="9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  <c r="AY583" s="10"/>
      <c r="AZ583" s="10"/>
      <c r="BA583" s="10"/>
      <c r="BB583" s="10"/>
      <c r="BC583" s="10"/>
      <c r="BD583" s="10"/>
      <c r="BE583" s="10"/>
      <c r="BF583" s="10"/>
      <c r="BG583" s="10"/>
      <c r="BH583" s="10"/>
      <c r="BI583" s="10"/>
      <c r="BJ583" s="10"/>
      <c r="BK583" s="10"/>
      <c r="BL583" s="10"/>
      <c r="BM583" s="10"/>
      <c r="BN583" s="10"/>
      <c r="BO583" s="11"/>
      <c r="DW583" s="5"/>
      <c r="FC583" s="12"/>
      <c r="FD583" s="13"/>
      <c r="FY583" s="18"/>
      <c r="FZ583" s="12"/>
      <c r="GK583" s="13"/>
      <c r="GS583" s="13"/>
      <c r="GT583" s="18"/>
      <c r="GU583" s="12"/>
      <c r="HK583" s="12"/>
      <c r="HL583" s="13"/>
      <c r="ID583" s="12"/>
      <c r="IE583" s="13"/>
      <c r="IG583" s="17"/>
    </row>
    <row r="584" spans="8:252" ht="18" customHeight="1">
      <c r="H584" s="4"/>
      <c r="S584" s="12"/>
      <c r="BO584" s="13"/>
      <c r="DW584" s="5"/>
      <c r="FC584" s="12"/>
      <c r="FD584" s="13"/>
      <c r="FY584" s="18"/>
      <c r="FZ584" s="12"/>
      <c r="GK584" s="13"/>
      <c r="GS584" s="13"/>
      <c r="GT584" s="18"/>
      <c r="GU584" s="12"/>
      <c r="HK584" s="12"/>
      <c r="HL584" s="13"/>
      <c r="ID584" s="12"/>
      <c r="IE584" s="13"/>
      <c r="IG584" s="18"/>
    </row>
    <row r="585" spans="8:252" ht="18" customHeight="1">
      <c r="H585" s="4"/>
      <c r="S585" s="12"/>
      <c r="U585" s="9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1"/>
      <c r="AU585" s="10"/>
      <c r="AV585" s="9"/>
      <c r="AW585" s="10"/>
      <c r="AX585" s="10"/>
      <c r="AY585" s="10"/>
      <c r="AZ585" s="11"/>
      <c r="BA585" s="10"/>
      <c r="BB585" s="10"/>
      <c r="BC585" s="10"/>
      <c r="BD585" s="10"/>
      <c r="BE585" s="11"/>
      <c r="BF585" s="9"/>
      <c r="BG585" s="10"/>
      <c r="BH585" s="10"/>
      <c r="BI585" s="10"/>
      <c r="BJ585" s="10"/>
      <c r="BK585" s="10"/>
      <c r="BL585" s="10"/>
      <c r="BM585" s="11"/>
      <c r="BO585" s="13"/>
      <c r="DW585" s="5"/>
      <c r="FC585" s="12"/>
      <c r="FD585" s="13"/>
      <c r="FY585" s="18"/>
      <c r="FZ585" s="12"/>
      <c r="GK585" s="13"/>
      <c r="GS585" s="13"/>
      <c r="GT585" s="18"/>
      <c r="GU585" s="12"/>
      <c r="HK585" s="12"/>
      <c r="HL585" s="13"/>
      <c r="ID585" s="12"/>
      <c r="IE585" s="13"/>
      <c r="IG585" s="18"/>
    </row>
    <row r="586" spans="8:252" ht="18" customHeight="1">
      <c r="H586" s="4"/>
      <c r="S586" s="12"/>
      <c r="U586" s="12"/>
      <c r="AT586" s="13"/>
      <c r="AV586" s="12"/>
      <c r="AZ586" s="13"/>
      <c r="BE586" s="13"/>
      <c r="BF586" s="12"/>
      <c r="BM586" s="13"/>
      <c r="BO586" s="13"/>
      <c r="DW586" s="5"/>
      <c r="FC586" s="12"/>
      <c r="FD586" s="13"/>
      <c r="FY586" s="18"/>
      <c r="FZ586" s="12"/>
      <c r="GK586" s="13"/>
      <c r="GS586" s="13"/>
      <c r="GT586" s="18"/>
      <c r="GU586" s="12"/>
      <c r="HK586" s="12"/>
      <c r="HL586" s="13"/>
      <c r="ID586" s="12"/>
      <c r="IE586" s="13"/>
      <c r="IG586" s="18"/>
    </row>
    <row r="587" spans="8:252" ht="18" customHeight="1">
      <c r="H587" s="4"/>
      <c r="S587" s="12"/>
      <c r="U587" s="12"/>
      <c r="AT587" s="13"/>
      <c r="AV587" s="12"/>
      <c r="AZ587" s="13"/>
      <c r="BE587" s="13"/>
      <c r="BF587" s="12"/>
      <c r="BM587" s="13"/>
      <c r="BO587" s="13"/>
      <c r="DW587" s="5"/>
      <c r="FC587" s="12"/>
      <c r="FD587" s="13"/>
      <c r="FY587" s="18"/>
      <c r="FZ587" s="12"/>
      <c r="GK587" s="13"/>
      <c r="GS587" s="13"/>
      <c r="GT587" s="18"/>
      <c r="GU587" s="12"/>
      <c r="HK587" s="12"/>
      <c r="HL587" s="13"/>
      <c r="ID587" s="12"/>
      <c r="IE587" s="13"/>
      <c r="IG587" s="18"/>
    </row>
    <row r="588" spans="8:252" ht="18" customHeight="1">
      <c r="H588" s="4"/>
      <c r="S588" s="12"/>
      <c r="U588" s="12"/>
      <c r="AT588" s="13"/>
      <c r="AV588" s="12"/>
      <c r="AZ588" s="13"/>
      <c r="BE588" s="13"/>
      <c r="BF588" s="12"/>
      <c r="BM588" s="13"/>
      <c r="BO588" s="13"/>
      <c r="DW588" s="5"/>
      <c r="FC588" s="12"/>
      <c r="FD588" s="13"/>
      <c r="FE588" s="15"/>
      <c r="FF588" s="15"/>
      <c r="FG588" s="15"/>
      <c r="FH588" s="15"/>
      <c r="FI588" s="15"/>
      <c r="FJ588" s="15"/>
      <c r="FK588" s="15"/>
      <c r="FL588" s="15"/>
      <c r="FM588" s="15"/>
      <c r="FN588" s="15"/>
      <c r="FO588" s="15"/>
      <c r="FP588" s="15"/>
      <c r="FQ588" s="15"/>
      <c r="FR588" s="15"/>
      <c r="FS588" s="15"/>
      <c r="FT588" s="15"/>
      <c r="FU588" s="15"/>
      <c r="FV588" s="15"/>
      <c r="FW588" s="15"/>
      <c r="FX588" s="15"/>
      <c r="FY588" s="19"/>
      <c r="FZ588" s="14"/>
      <c r="GA588" s="15"/>
      <c r="GB588" s="15"/>
      <c r="GC588" s="15"/>
      <c r="GD588" s="15"/>
      <c r="GE588" s="15"/>
      <c r="GF588" s="15"/>
      <c r="GG588" s="15"/>
      <c r="GH588" s="15"/>
      <c r="GI588" s="15"/>
      <c r="GJ588" s="15"/>
      <c r="GK588" s="16"/>
      <c r="GL588" s="15"/>
      <c r="GM588" s="15"/>
      <c r="GN588" s="15"/>
      <c r="GO588" s="15"/>
      <c r="GP588" s="15"/>
      <c r="GQ588" s="15"/>
      <c r="GR588" s="15"/>
      <c r="GS588" s="16"/>
      <c r="GT588" s="19"/>
      <c r="GU588" s="14"/>
      <c r="GV588" s="15"/>
      <c r="GW588" s="15"/>
      <c r="GX588" s="15"/>
      <c r="GY588" s="15"/>
      <c r="GZ588" s="15"/>
      <c r="HA588" s="15"/>
      <c r="HB588" s="15"/>
      <c r="HC588" s="15"/>
      <c r="HD588" s="15"/>
      <c r="HE588" s="15"/>
      <c r="HF588" s="15"/>
      <c r="HG588" s="15"/>
      <c r="HH588" s="15"/>
      <c r="HI588" s="15"/>
      <c r="HJ588" s="15"/>
      <c r="HK588" s="12"/>
      <c r="HL588" s="13"/>
      <c r="ID588" s="12"/>
      <c r="IE588" s="13"/>
      <c r="IG588" s="18"/>
    </row>
    <row r="589" spans="8:252" ht="18" customHeight="1">
      <c r="H589" s="4"/>
      <c r="S589" s="12"/>
      <c r="U589" s="12"/>
      <c r="AT589" s="13"/>
      <c r="AV589" s="14"/>
      <c r="AW589" s="15"/>
      <c r="AX589" s="15"/>
      <c r="AY589" s="15"/>
      <c r="AZ589" s="16"/>
      <c r="BA589" s="15"/>
      <c r="BB589" s="15"/>
      <c r="BC589" s="15"/>
      <c r="BD589" s="15"/>
      <c r="BE589" s="16"/>
      <c r="BF589" s="12"/>
      <c r="BM589" s="13"/>
      <c r="BO589" s="13"/>
      <c r="DW589" s="5"/>
      <c r="FC589" s="12"/>
      <c r="FD589" s="13"/>
      <c r="FE589" s="10"/>
      <c r="FF589" s="10"/>
      <c r="FG589" s="10"/>
      <c r="FH589" s="10"/>
      <c r="FI589" s="10"/>
      <c r="FJ589" s="10"/>
      <c r="FK589" s="10"/>
      <c r="FL589" s="10"/>
      <c r="FM589" s="10"/>
      <c r="FN589" s="10"/>
      <c r="FO589" s="10"/>
      <c r="FP589" s="10"/>
      <c r="FQ589" s="10"/>
      <c r="FR589" s="10"/>
      <c r="FS589" s="10"/>
      <c r="FT589" s="10"/>
      <c r="FU589" s="10"/>
      <c r="FV589" s="10"/>
      <c r="FW589" s="10"/>
      <c r="FX589" s="10"/>
      <c r="FY589" s="10"/>
      <c r="FZ589" s="10"/>
      <c r="GA589" s="10"/>
      <c r="GB589" s="10"/>
      <c r="GC589" s="10"/>
      <c r="GD589" s="10"/>
      <c r="GE589" s="10"/>
      <c r="GF589" s="10"/>
      <c r="GG589" s="10"/>
      <c r="GH589" s="10"/>
      <c r="GI589" s="10"/>
      <c r="GJ589" s="10"/>
      <c r="GK589" s="10"/>
      <c r="GL589" s="10"/>
      <c r="GM589" s="10"/>
      <c r="GN589" s="10"/>
      <c r="GO589" s="10"/>
      <c r="GP589" s="10"/>
      <c r="GQ589" s="10"/>
      <c r="GR589" s="10"/>
      <c r="GS589" s="10"/>
      <c r="GT589" s="10"/>
      <c r="GU589" s="10"/>
      <c r="GV589" s="10"/>
      <c r="GW589" s="10"/>
      <c r="GX589" s="10"/>
      <c r="GY589" s="10"/>
      <c r="GZ589" s="10"/>
      <c r="HA589" s="10"/>
      <c r="HB589" s="10"/>
      <c r="HC589" s="10"/>
      <c r="HD589" s="10"/>
      <c r="HE589" s="10"/>
      <c r="HF589" s="10"/>
      <c r="HG589" s="10"/>
      <c r="HH589" s="10"/>
      <c r="HI589" s="10"/>
      <c r="HJ589" s="10"/>
      <c r="HK589" s="12"/>
      <c r="HL589" s="13"/>
      <c r="HM589" s="10"/>
      <c r="HN589" s="10"/>
      <c r="HO589" s="10"/>
      <c r="HP589" s="10"/>
      <c r="HQ589" s="10"/>
      <c r="HR589" s="10"/>
      <c r="HS589" s="10"/>
      <c r="HT589" s="10"/>
      <c r="HU589" s="10"/>
      <c r="HV589" s="10"/>
      <c r="HW589" s="10"/>
      <c r="HX589" s="10"/>
      <c r="HY589" s="10"/>
      <c r="HZ589" s="10"/>
      <c r="IA589" s="10"/>
      <c r="IB589" s="10"/>
      <c r="IC589" s="10"/>
      <c r="ID589" s="10"/>
      <c r="IE589" s="10"/>
      <c r="IF589" s="10"/>
      <c r="IG589" s="11"/>
    </row>
    <row r="590" spans="8:252" ht="18" customHeight="1">
      <c r="H590" s="4"/>
      <c r="S590" s="12"/>
      <c r="U590" s="12"/>
      <c r="AT590" s="13"/>
      <c r="AV590" s="12"/>
      <c r="BF590" s="12"/>
      <c r="BM590" s="13"/>
      <c r="BO590" s="13"/>
      <c r="DW590" s="5"/>
      <c r="FC590" s="12"/>
      <c r="FD590" s="13"/>
      <c r="HK590" s="12"/>
      <c r="HL590" s="13"/>
      <c r="IG590" s="13"/>
    </row>
    <row r="591" spans="8:252" ht="18" customHeight="1">
      <c r="H591" s="4"/>
      <c r="S591" s="12"/>
      <c r="U591" s="12"/>
      <c r="AT591" s="13"/>
      <c r="AV591" s="12"/>
      <c r="BF591" s="12"/>
      <c r="BM591" s="13"/>
      <c r="BO591" s="13"/>
      <c r="DW591" s="5"/>
      <c r="FC591" s="12"/>
      <c r="FD591" s="13"/>
      <c r="HK591" s="12"/>
      <c r="HL591" s="13"/>
      <c r="IG591" s="13"/>
    </row>
    <row r="592" spans="8:252" ht="18" customHeight="1" thickBot="1">
      <c r="H592" s="4"/>
      <c r="S592" s="12"/>
      <c r="U592" s="12"/>
      <c r="AT592" s="13"/>
      <c r="AV592" s="12"/>
      <c r="BF592" s="12"/>
      <c r="BM592" s="13"/>
      <c r="BO592" s="13"/>
      <c r="DW592" s="5"/>
      <c r="ER592" s="7"/>
      <c r="ES592" s="7"/>
      <c r="ET592" s="7"/>
      <c r="EU592" s="7"/>
      <c r="EV592" s="7"/>
      <c r="EW592" s="7"/>
      <c r="EX592" s="7"/>
      <c r="EY592" s="7"/>
      <c r="EZ592" s="7"/>
      <c r="FA592" s="7"/>
      <c r="FB592" s="7"/>
      <c r="FC592" s="12"/>
      <c r="FD592" s="13"/>
      <c r="FE592" s="7"/>
      <c r="FF592" s="7"/>
      <c r="FG592" s="7"/>
      <c r="FH592" s="7"/>
      <c r="FI592" s="7"/>
      <c r="FJ592" s="7"/>
      <c r="FK592" s="7"/>
      <c r="FL592" s="7"/>
      <c r="FM592" s="7"/>
      <c r="FN592" s="7"/>
      <c r="FO592" s="7"/>
      <c r="FP592" s="7"/>
      <c r="FQ592" s="7"/>
      <c r="FR592" s="7"/>
      <c r="FS592" s="7"/>
      <c r="FT592" s="7"/>
      <c r="FU592" s="7"/>
      <c r="FV592" s="7"/>
      <c r="FW592" s="7"/>
      <c r="FX592" s="7"/>
      <c r="FY592" s="7"/>
      <c r="FZ592" s="7"/>
      <c r="GA592" s="7"/>
      <c r="GB592" s="7"/>
      <c r="GC592" s="7"/>
      <c r="GD592" s="7"/>
      <c r="GE592" s="7"/>
      <c r="GF592" s="7"/>
      <c r="GG592" s="7"/>
      <c r="GH592" s="7"/>
      <c r="GI592" s="7"/>
      <c r="GJ592" s="7"/>
      <c r="GK592" s="7"/>
      <c r="GL592" s="7"/>
      <c r="GM592" s="7"/>
      <c r="GN592" s="7"/>
      <c r="GO592" s="7"/>
      <c r="GP592" s="7"/>
      <c r="GQ592" s="7"/>
      <c r="GR592" s="7"/>
      <c r="GS592" s="7"/>
      <c r="GT592" s="7"/>
      <c r="GU592" s="7"/>
      <c r="GV592" s="7"/>
      <c r="GW592" s="7"/>
      <c r="GX592" s="7"/>
      <c r="GY592" s="7"/>
      <c r="GZ592" s="7"/>
      <c r="HA592" s="7"/>
      <c r="HB592" s="7"/>
      <c r="HC592" s="7"/>
      <c r="HD592" s="7"/>
      <c r="HE592" s="7"/>
      <c r="HF592" s="7"/>
      <c r="HG592" s="7"/>
      <c r="HH592" s="7"/>
      <c r="HI592" s="7"/>
      <c r="HJ592" s="7"/>
      <c r="HK592" s="12"/>
      <c r="HL592" s="13"/>
      <c r="HM592" s="7"/>
      <c r="HN592" s="7"/>
      <c r="HO592" s="7"/>
      <c r="HP592" s="7"/>
      <c r="HQ592" s="7"/>
      <c r="HR592" s="7"/>
      <c r="HS592" s="7"/>
      <c r="HT592" s="7"/>
      <c r="HU592" s="7"/>
      <c r="HV592" s="7"/>
      <c r="HW592" s="7"/>
      <c r="HX592" s="7"/>
      <c r="HY592" s="7"/>
      <c r="HZ592" s="7"/>
      <c r="IA592" s="7"/>
      <c r="IB592" s="7"/>
      <c r="IC592" s="7"/>
      <c r="ID592" s="7"/>
      <c r="IE592" s="7"/>
      <c r="IF592" s="7"/>
      <c r="IG592" s="180"/>
      <c r="IH592" s="7"/>
      <c r="II592" s="7"/>
      <c r="IJ592" s="7"/>
      <c r="IK592" s="7"/>
      <c r="IL592" s="7"/>
      <c r="IM592" s="7"/>
      <c r="IN592" s="7"/>
      <c r="IO592" s="7"/>
      <c r="IP592" s="7"/>
      <c r="IQ592" s="7"/>
      <c r="IR592" s="7"/>
    </row>
    <row r="593" spans="8:220" ht="18" customHeight="1">
      <c r="H593" s="4"/>
      <c r="S593" s="12"/>
      <c r="U593" s="12"/>
      <c r="AT593" s="13"/>
      <c r="AV593" s="12"/>
      <c r="BF593" s="12"/>
      <c r="BM593" s="13"/>
      <c r="BO593" s="13"/>
      <c r="BQ593" s="15"/>
      <c r="BR593" s="15"/>
      <c r="BS593" s="15"/>
      <c r="BT593" s="15"/>
      <c r="BU593" s="15"/>
      <c r="BV593" s="15"/>
      <c r="BW593" s="15"/>
      <c r="BX593" s="15"/>
      <c r="BY593" s="15"/>
      <c r="BZ593" s="15"/>
      <c r="CA593" s="15"/>
      <c r="CB593" s="15"/>
      <c r="CC593" s="15"/>
      <c r="CD593" s="15"/>
      <c r="DW593" s="5"/>
      <c r="FC593" s="12"/>
      <c r="FD593" s="13"/>
      <c r="HK593" s="12"/>
      <c r="HL593" s="13"/>
    </row>
    <row r="594" spans="8:220" ht="18" customHeight="1">
      <c r="H594" s="4"/>
      <c r="S594" s="12"/>
      <c r="U594" s="12"/>
      <c r="AT594" s="13"/>
      <c r="AV594" s="14"/>
      <c r="AW594" s="15"/>
      <c r="AX594" s="15"/>
      <c r="AY594" s="15"/>
      <c r="AZ594" s="15"/>
      <c r="BA594" s="15"/>
      <c r="BB594" s="15"/>
      <c r="BC594" s="15"/>
      <c r="BD594" s="15"/>
      <c r="BE594" s="15"/>
      <c r="BF594" s="14"/>
      <c r="BG594" s="15"/>
      <c r="BH594" s="15"/>
      <c r="BI594" s="15"/>
      <c r="BJ594" s="15"/>
      <c r="BK594" s="15"/>
      <c r="BL594" s="15"/>
      <c r="BM594" s="16"/>
      <c r="BP594" s="10"/>
      <c r="BU594" s="20"/>
      <c r="BV594" s="21"/>
      <c r="BW594" s="21"/>
      <c r="BX594" s="21"/>
      <c r="BY594" s="21"/>
      <c r="BZ594" s="22"/>
      <c r="CD594" s="11"/>
      <c r="DW594" s="5"/>
      <c r="FC594" s="12"/>
      <c r="FD594" s="13"/>
      <c r="HK594" s="12"/>
      <c r="HL594" s="13"/>
    </row>
    <row r="595" spans="8:220" ht="18" customHeight="1">
      <c r="H595" s="4"/>
      <c r="S595" s="12"/>
      <c r="U595" s="12"/>
      <c r="AT595" s="13"/>
      <c r="AV595" s="15"/>
      <c r="AW595" s="15"/>
      <c r="AX595" s="100"/>
      <c r="AY595" s="100"/>
      <c r="AZ595" s="100"/>
      <c r="BA595" s="100"/>
      <c r="BB595" s="100"/>
      <c r="BC595" s="15"/>
      <c r="BD595" s="15"/>
      <c r="BE595" s="15"/>
      <c r="BF595" s="15"/>
      <c r="BG595" s="15"/>
      <c r="BH595" s="15"/>
      <c r="BI595" s="15"/>
      <c r="BJ595" s="15"/>
      <c r="BK595" s="15"/>
      <c r="BL595" s="15"/>
      <c r="BM595" s="15"/>
      <c r="BN595" s="15"/>
      <c r="BO595" s="15"/>
      <c r="BQ595" s="15"/>
      <c r="BR595" s="15"/>
      <c r="BS595" s="15"/>
      <c r="BT595" s="15"/>
      <c r="BU595" s="20"/>
      <c r="BV595" s="21"/>
      <c r="BW595" s="21"/>
      <c r="BX595" s="21"/>
      <c r="BY595" s="21"/>
      <c r="BZ595" s="22"/>
      <c r="CD595" s="13"/>
      <c r="DW595" s="5"/>
      <c r="FC595" s="12"/>
      <c r="FD595" s="13"/>
      <c r="HK595" s="12"/>
      <c r="HL595" s="13"/>
    </row>
    <row r="596" spans="8:220" ht="18" customHeight="1">
      <c r="H596" s="4"/>
      <c r="S596" s="12"/>
      <c r="U596" s="12"/>
      <c r="AT596" s="13"/>
      <c r="AV596" s="9"/>
      <c r="AW596" s="10"/>
      <c r="AX596" s="10"/>
      <c r="AY596" s="10"/>
      <c r="AZ596" s="10"/>
      <c r="BA596" s="10"/>
      <c r="BB596" s="10"/>
      <c r="BC596" s="10"/>
      <c r="BD596" s="10"/>
      <c r="BE596" t="s">
        <v>45</v>
      </c>
      <c r="BF596" s="10"/>
      <c r="BG596" s="10"/>
      <c r="BH596" s="10"/>
      <c r="BI596" s="10"/>
      <c r="BJ596" s="10"/>
      <c r="BK596" s="10"/>
      <c r="BL596" s="10"/>
      <c r="BM596" s="10"/>
      <c r="BN596" s="10"/>
      <c r="BO596" s="10"/>
      <c r="BP596" s="10"/>
      <c r="BQ596" s="10"/>
      <c r="BR596" s="10"/>
      <c r="BS596" s="10"/>
      <c r="BT596" s="10"/>
      <c r="BU596" s="10"/>
      <c r="BV596" s="10"/>
      <c r="BW596" s="10"/>
      <c r="BX596" s="10"/>
      <c r="BY596" s="10"/>
      <c r="BZ596" s="10"/>
      <c r="CA596" s="10"/>
      <c r="CB596" s="11"/>
      <c r="CD596" s="13"/>
      <c r="DW596" s="5"/>
      <c r="FC596" s="14"/>
      <c r="FD596" s="16"/>
      <c r="HK596" s="14"/>
      <c r="HL596" s="16"/>
    </row>
    <row r="597" spans="8:220" ht="18" customHeight="1">
      <c r="H597" s="4"/>
      <c r="S597" s="12"/>
      <c r="U597" s="12"/>
      <c r="AT597" s="13"/>
      <c r="AV597" s="12"/>
      <c r="CB597" s="13"/>
      <c r="CD597" s="13"/>
      <c r="DW597" s="5"/>
    </row>
    <row r="598" spans="8:220" ht="18" customHeight="1">
      <c r="H598" s="4"/>
      <c r="S598" s="12"/>
      <c r="U598" s="12"/>
      <c r="AT598" s="13"/>
      <c r="AV598" s="12"/>
      <c r="CB598" s="13"/>
      <c r="CD598" s="13"/>
      <c r="DW598" s="5"/>
    </row>
    <row r="599" spans="8:220" ht="18" customHeight="1">
      <c r="H599" s="4"/>
      <c r="S599" s="12"/>
      <c r="U599" s="12"/>
      <c r="AT599" s="13"/>
      <c r="AU599" s="127"/>
      <c r="AV599" s="12"/>
      <c r="CB599" s="13"/>
      <c r="CD599" s="13"/>
      <c r="DW599" s="5"/>
    </row>
    <row r="600" spans="8:220" ht="18" customHeight="1">
      <c r="H600" s="4"/>
      <c r="S600" s="12"/>
      <c r="U600" s="12"/>
      <c r="AT600" s="13"/>
      <c r="AU600" s="127"/>
      <c r="AV600" s="12"/>
      <c r="CB600" s="13"/>
      <c r="CD600" s="13"/>
      <c r="DW600" s="5"/>
    </row>
    <row r="601" spans="8:220" ht="18" customHeight="1">
      <c r="H601" s="4"/>
      <c r="S601" s="12"/>
      <c r="U601" s="12"/>
      <c r="AT601" s="13"/>
      <c r="AU601" s="127"/>
      <c r="AV601" s="12"/>
      <c r="BY601" s="9"/>
      <c r="BZ601" s="10"/>
      <c r="CA601" s="10"/>
      <c r="CB601" s="11"/>
      <c r="CD601" s="13"/>
      <c r="DW601" s="5"/>
    </row>
    <row r="602" spans="8:220" ht="18" customHeight="1">
      <c r="H602" s="4"/>
      <c r="S602" s="12"/>
      <c r="U602" s="12"/>
      <c r="AT602" s="13"/>
      <c r="AU602" s="127"/>
      <c r="AV602" s="12"/>
      <c r="BY602" s="12"/>
      <c r="CB602" s="13"/>
      <c r="CD602" s="13"/>
      <c r="DW602" s="5"/>
    </row>
    <row r="603" spans="8:220" ht="18" customHeight="1">
      <c r="H603" s="4"/>
      <c r="S603" s="12"/>
      <c r="U603" s="12"/>
      <c r="AT603" s="13"/>
      <c r="AU603" s="127"/>
      <c r="AV603" s="12"/>
      <c r="BS603" s="9"/>
      <c r="BT603" s="10"/>
      <c r="BU603" s="10"/>
      <c r="BV603" s="11"/>
      <c r="BY603" s="12"/>
      <c r="CB603" s="13"/>
      <c r="CD603" s="13"/>
      <c r="DW603" s="5"/>
    </row>
    <row r="604" spans="8:220" ht="18" customHeight="1">
      <c r="H604" s="4"/>
      <c r="S604" s="12"/>
      <c r="U604" s="12"/>
      <c r="AT604" s="13"/>
      <c r="AU604" s="127"/>
      <c r="AV604" s="12"/>
      <c r="BS604" s="12"/>
      <c r="BV604" s="13"/>
      <c r="BY604" s="12"/>
      <c r="CB604" s="13"/>
      <c r="CD604" s="13"/>
      <c r="DW604" s="5"/>
    </row>
    <row r="605" spans="8:220" ht="18" customHeight="1">
      <c r="H605" s="4"/>
      <c r="S605" s="12"/>
      <c r="U605" s="14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  <c r="AG605" s="15"/>
      <c r="AH605" s="15"/>
      <c r="AI605" s="15"/>
      <c r="AJ605" s="15"/>
      <c r="AK605" s="15"/>
      <c r="AL605" s="15"/>
      <c r="AM605" s="15"/>
      <c r="AN605" s="15"/>
      <c r="AO605" s="15"/>
      <c r="AP605" s="15"/>
      <c r="AQ605" s="15"/>
      <c r="AR605" s="15"/>
      <c r="AS605" s="15"/>
      <c r="AT605" s="16"/>
      <c r="AV605" s="14"/>
      <c r="AW605" s="15"/>
      <c r="AX605" s="15"/>
      <c r="AY605" s="15"/>
      <c r="AZ605" s="15"/>
      <c r="BA605" s="15"/>
      <c r="BB605" s="15"/>
      <c r="BC605" s="15"/>
      <c r="BD605" s="15"/>
      <c r="BS605" s="12"/>
      <c r="BV605" s="13"/>
      <c r="BY605" s="12"/>
      <c r="CB605" s="13"/>
      <c r="CD605" s="13"/>
      <c r="DV605" s="9"/>
      <c r="DW605" s="11"/>
    </row>
    <row r="606" spans="8:220" ht="18" customHeight="1">
      <c r="H606" s="4"/>
      <c r="S606" s="12"/>
      <c r="Y606" s="127"/>
      <c r="Z606" s="127"/>
      <c r="AA606" s="127"/>
      <c r="AB606" s="127"/>
      <c r="AC606" s="127"/>
      <c r="AW606" s="127"/>
      <c r="AX606" s="127"/>
      <c r="AY606" s="127"/>
      <c r="AZ606" s="127"/>
      <c r="BA606" s="127"/>
      <c r="BB606" s="127"/>
      <c r="BE606" s="12"/>
      <c r="BS606" s="14"/>
      <c r="BT606" s="15"/>
      <c r="BU606" s="15"/>
      <c r="BV606" s="16"/>
      <c r="BY606" s="12"/>
      <c r="CB606" s="13"/>
      <c r="CD606" s="13"/>
      <c r="DV606" s="12"/>
      <c r="DW606" s="13"/>
    </row>
    <row r="607" spans="8:220" ht="18" customHeight="1">
      <c r="H607" s="4"/>
      <c r="S607" s="12"/>
      <c r="U607" s="9"/>
      <c r="V607" s="10"/>
      <c r="W607" s="10"/>
      <c r="X607" s="10"/>
      <c r="Y607" s="10"/>
      <c r="Z607" s="10"/>
      <c r="AA607" s="10"/>
      <c r="AB607" s="10"/>
      <c r="AC607" s="10"/>
      <c r="AD607" s="11"/>
      <c r="AF607" s="9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  <c r="AY607" s="10"/>
      <c r="AZ607" s="10"/>
      <c r="BA607" s="10"/>
      <c r="BB607" s="10"/>
      <c r="BC607" s="11"/>
      <c r="BE607" s="12"/>
      <c r="BY607" s="12"/>
      <c r="CB607" s="13"/>
      <c r="CD607" s="13"/>
      <c r="CH607" s="9"/>
      <c r="CI607" s="10"/>
      <c r="CJ607" s="10"/>
      <c r="CK607" s="10"/>
      <c r="CL607" s="10"/>
      <c r="CM607" s="11"/>
      <c r="CN607" s="10"/>
      <c r="CO607" s="10"/>
      <c r="CP607" s="10"/>
      <c r="CQ607" s="10"/>
      <c r="CR607" s="10"/>
      <c r="CS607" s="10"/>
      <c r="CT607" s="10"/>
      <c r="CU607" s="10"/>
      <c r="CV607" s="10"/>
      <c r="CW607" s="10"/>
      <c r="CX607" s="10"/>
      <c r="CY607" s="10"/>
      <c r="CZ607" s="10"/>
      <c r="DA607" s="10"/>
      <c r="DB607" s="10"/>
      <c r="DC607" s="10"/>
      <c r="DD607" s="10"/>
      <c r="DE607" s="10"/>
      <c r="DF607" s="11"/>
      <c r="DV607" s="12"/>
      <c r="DW607" s="13"/>
    </row>
    <row r="608" spans="8:220" ht="18" customHeight="1">
      <c r="H608" s="4"/>
      <c r="S608" s="12"/>
      <c r="U608" s="12"/>
      <c r="AD608" s="13"/>
      <c r="AF608" s="12"/>
      <c r="BC608" s="13"/>
      <c r="BE608" s="12"/>
      <c r="BY608" s="14"/>
      <c r="BZ608" s="15"/>
      <c r="CA608" s="15"/>
      <c r="CB608" s="16"/>
      <c r="CD608" s="13"/>
      <c r="CH608" s="12"/>
      <c r="CM608" s="13"/>
      <c r="DF608" s="13"/>
      <c r="DV608" s="12"/>
      <c r="DW608" s="13"/>
    </row>
    <row r="609" spans="8:127" ht="18" customHeight="1">
      <c r="H609" s="4"/>
      <c r="S609" s="12"/>
      <c r="U609" s="12"/>
      <c r="AD609" s="13"/>
      <c r="AF609" s="12"/>
      <c r="BC609" s="13"/>
      <c r="BE609" s="14"/>
      <c r="BF609" s="15"/>
      <c r="CB609" s="13"/>
      <c r="CD609" s="13"/>
      <c r="CH609" s="12"/>
      <c r="CM609" s="13"/>
      <c r="DF609" s="13"/>
      <c r="DV609" s="12"/>
      <c r="DW609" s="13"/>
    </row>
    <row r="610" spans="8:127" ht="18" customHeight="1">
      <c r="H610" s="4"/>
      <c r="S610" s="12"/>
      <c r="U610" s="12"/>
      <c r="AD610" s="13"/>
      <c r="AF610" s="12"/>
      <c r="BC610" s="13"/>
      <c r="BE610" s="9"/>
      <c r="BF610" s="10"/>
      <c r="BG610" s="11"/>
      <c r="CB610" s="13"/>
      <c r="CD610" s="13"/>
      <c r="CH610" s="12"/>
      <c r="CM610" s="13"/>
      <c r="DF610" s="13"/>
      <c r="DV610" s="12"/>
      <c r="DW610" s="13"/>
    </row>
    <row r="611" spans="8:127" ht="18" customHeight="1">
      <c r="H611" s="4"/>
      <c r="S611" s="12"/>
      <c r="U611" s="14"/>
      <c r="V611" s="15"/>
      <c r="W611" s="15"/>
      <c r="X611" s="15"/>
      <c r="Y611" s="15"/>
      <c r="Z611" s="15"/>
      <c r="AA611" s="15"/>
      <c r="AB611" s="15"/>
      <c r="AC611" s="15"/>
      <c r="AD611" s="16"/>
      <c r="AF611" s="12"/>
      <c r="BC611" s="13"/>
      <c r="BE611" s="12"/>
      <c r="BG611" s="13"/>
      <c r="CB611" s="13"/>
      <c r="CD611" s="13"/>
      <c r="CH611" s="12"/>
      <c r="CM611" s="13"/>
      <c r="DF611" s="13"/>
      <c r="DV611" s="12"/>
      <c r="DW611" s="13"/>
    </row>
    <row r="612" spans="8:127" ht="18" customHeight="1">
      <c r="H612" s="4"/>
      <c r="S612" s="12"/>
      <c r="U612" s="12"/>
      <c r="Z612" s="12"/>
      <c r="AD612" s="13"/>
      <c r="AF612" s="12"/>
      <c r="BC612" s="13"/>
      <c r="BE612" s="14"/>
      <c r="BF612" s="15"/>
      <c r="BG612" s="16"/>
      <c r="CB612" s="13"/>
      <c r="CD612" s="13"/>
      <c r="CE612" s="12"/>
      <c r="CH612" s="12"/>
      <c r="CM612" s="13"/>
      <c r="DF612" s="13"/>
      <c r="DV612" s="12"/>
      <c r="DW612" s="13"/>
    </row>
    <row r="613" spans="8:127" ht="18" customHeight="1">
      <c r="H613" s="4"/>
      <c r="S613" s="12"/>
      <c r="U613" s="12"/>
      <c r="Z613" s="12"/>
      <c r="AD613" s="13"/>
      <c r="AF613" s="12"/>
      <c r="BC613" s="13"/>
      <c r="BE613" s="9"/>
      <c r="BF613" s="10"/>
      <c r="BG613" s="10"/>
      <c r="BH613" s="10"/>
      <c r="BI613" s="10"/>
      <c r="BJ613" s="11"/>
      <c r="CB613" s="13"/>
      <c r="CD613" s="13"/>
      <c r="CH613" s="12"/>
      <c r="CM613" s="13"/>
      <c r="DF613" s="13"/>
      <c r="DV613" s="12"/>
      <c r="DW613" s="13"/>
    </row>
    <row r="614" spans="8:127" ht="18" customHeight="1">
      <c r="H614" s="4"/>
      <c r="S614" s="12"/>
      <c r="U614" s="12"/>
      <c r="Z614" s="12"/>
      <c r="AD614" s="13"/>
      <c r="AF614" s="12"/>
      <c r="BC614" s="13"/>
      <c r="BE614" s="9"/>
      <c r="BF614" s="11"/>
      <c r="BG614" s="10"/>
      <c r="BH614" s="10"/>
      <c r="BI614" s="10"/>
      <c r="BJ614" s="11"/>
      <c r="CB614" s="13"/>
      <c r="CD614" s="13"/>
      <c r="CH614" s="12"/>
      <c r="CM614" s="13"/>
      <c r="DF614" s="13"/>
      <c r="DV614" s="12"/>
      <c r="DW614" s="13"/>
    </row>
    <row r="615" spans="8:127" ht="18" customHeight="1">
      <c r="H615" s="4"/>
      <c r="S615" s="12"/>
      <c r="U615" s="12"/>
      <c r="Z615" s="12"/>
      <c r="AD615" s="13"/>
      <c r="AF615" s="12"/>
      <c r="BC615" s="13"/>
      <c r="BE615" s="12"/>
      <c r="BF615" s="13"/>
      <c r="BJ615" s="13"/>
      <c r="BZ615" s="9"/>
      <c r="CA615" s="10"/>
      <c r="CB615" s="11"/>
      <c r="CD615" s="13"/>
      <c r="CH615" s="12"/>
      <c r="CM615" s="13"/>
      <c r="DF615" s="13"/>
      <c r="DV615" s="12"/>
      <c r="DW615" s="13"/>
    </row>
    <row r="616" spans="8:127" ht="18" customHeight="1">
      <c r="H616" s="4"/>
      <c r="S616" s="12"/>
      <c r="U616" s="14"/>
      <c r="V616" s="15"/>
      <c r="W616" s="15"/>
      <c r="X616" s="15"/>
      <c r="Y616" s="15"/>
      <c r="Z616" s="14"/>
      <c r="AA616" s="15"/>
      <c r="AB616" s="15"/>
      <c r="AC616" s="15"/>
      <c r="AD616" s="13"/>
      <c r="AF616" s="12"/>
      <c r="BC616" s="13"/>
      <c r="BE616" s="12"/>
      <c r="BF616" s="13"/>
      <c r="BJ616" s="13"/>
      <c r="BZ616" s="12"/>
      <c r="CB616" s="17"/>
      <c r="CD616" s="13"/>
      <c r="CH616" s="12"/>
      <c r="CM616" s="13"/>
      <c r="DF616" s="13"/>
      <c r="DV616" s="12"/>
      <c r="DW616" s="13"/>
    </row>
    <row r="617" spans="8:127" ht="18" customHeight="1">
      <c r="H617" s="4"/>
      <c r="S617" s="12"/>
      <c r="AC617" s="10"/>
      <c r="AD617" s="10"/>
      <c r="AE617" s="11"/>
      <c r="BC617" s="13"/>
      <c r="BE617" s="12"/>
      <c r="BF617" s="13"/>
      <c r="BJ617" s="13"/>
      <c r="BZ617" s="12"/>
      <c r="CB617" s="18"/>
      <c r="CD617" s="13"/>
      <c r="CH617" s="14"/>
      <c r="CI617" s="15"/>
      <c r="CJ617" s="15"/>
      <c r="CK617" s="15"/>
      <c r="CL617" s="15"/>
      <c r="CM617" s="16"/>
      <c r="CN617" s="15"/>
      <c r="CO617" s="15"/>
      <c r="CP617" s="15"/>
      <c r="CQ617" s="15"/>
      <c r="CR617" s="15"/>
      <c r="CS617" s="15"/>
      <c r="CT617" s="15"/>
      <c r="CU617" s="15"/>
      <c r="CV617" s="15"/>
      <c r="CW617" s="15"/>
      <c r="CX617" s="15"/>
      <c r="CY617" s="15"/>
      <c r="CZ617" s="15"/>
      <c r="DA617" s="15"/>
      <c r="DB617" s="15"/>
      <c r="DC617" s="15"/>
      <c r="DD617" s="15"/>
      <c r="DE617" s="15"/>
      <c r="DF617" s="16"/>
      <c r="DV617" s="12"/>
      <c r="DW617" s="13"/>
    </row>
    <row r="618" spans="8:127" ht="18" customHeight="1">
      <c r="H618" s="4"/>
      <c r="S618" s="14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E618" s="13"/>
      <c r="BC618" s="13"/>
      <c r="BE618" s="12"/>
      <c r="BF618" s="13"/>
      <c r="BG618" s="15"/>
      <c r="BH618" s="15"/>
      <c r="BI618" s="15"/>
      <c r="BJ618" s="16"/>
      <c r="BZ618" s="12"/>
      <c r="CB618" s="18"/>
      <c r="CD618" s="13"/>
      <c r="DV618" s="12"/>
      <c r="DW618" s="13"/>
    </row>
    <row r="619" spans="8:127" ht="18" customHeight="1">
      <c r="H619" s="4"/>
      <c r="AD619" s="14"/>
      <c r="AE619" s="16"/>
      <c r="BC619" s="13"/>
      <c r="BE619" s="12"/>
      <c r="BF619" s="13"/>
      <c r="BG619" s="10"/>
      <c r="BH619" s="10"/>
      <c r="BI619" s="10"/>
      <c r="BJ619" s="11"/>
      <c r="BZ619" s="12"/>
      <c r="CB619" s="18"/>
      <c r="CD619" s="13"/>
      <c r="DV619" s="12"/>
      <c r="DW619" s="13"/>
    </row>
    <row r="620" spans="8:127" ht="18" customHeight="1">
      <c r="H620" s="4"/>
      <c r="AC620" s="13"/>
      <c r="AD620" s="18"/>
      <c r="AE620" s="12"/>
      <c r="AF620" s="12"/>
      <c r="BC620" s="13"/>
      <c r="BE620" s="12"/>
      <c r="BF620" s="13"/>
      <c r="BJ620" s="13"/>
      <c r="BZ620" s="12"/>
      <c r="CB620" s="18"/>
      <c r="CD620" s="13"/>
      <c r="DV620" s="14"/>
      <c r="DW620" s="16"/>
    </row>
    <row r="621" spans="8:127" ht="18" customHeight="1">
      <c r="H621" s="4"/>
      <c r="AC621" s="13"/>
      <c r="AD621" s="18"/>
      <c r="AE621" s="12"/>
      <c r="AF621" s="12"/>
      <c r="BC621" s="13"/>
      <c r="BE621" s="12"/>
      <c r="BF621" s="13"/>
      <c r="BJ621" s="13"/>
      <c r="BZ621" s="12"/>
      <c r="CB621" s="19"/>
      <c r="CD621" s="13"/>
      <c r="DW621" s="5"/>
    </row>
    <row r="622" spans="8:127" ht="18" customHeight="1">
      <c r="H622" s="4"/>
      <c r="AC622" s="13"/>
      <c r="AD622" s="18"/>
      <c r="AE622" s="12"/>
      <c r="AF622" s="12"/>
      <c r="BC622" s="13"/>
      <c r="BE622" s="12"/>
      <c r="BF622" s="13"/>
      <c r="BJ622" s="13"/>
      <c r="BZ622" s="14"/>
      <c r="CA622" s="15"/>
      <c r="CB622" s="16"/>
      <c r="CD622" s="13"/>
      <c r="DW622" s="5"/>
    </row>
    <row r="623" spans="8:127" ht="18" customHeight="1">
      <c r="H623" s="4"/>
      <c r="AD623" s="18"/>
      <c r="AE623" s="12"/>
      <c r="AF623" s="12"/>
      <c r="BC623" s="13"/>
      <c r="BE623" s="12"/>
      <c r="BF623" s="13"/>
      <c r="BJ623" s="13"/>
      <c r="CB623" s="13"/>
      <c r="CD623" s="13"/>
      <c r="DW623" s="5"/>
    </row>
    <row r="624" spans="8:127" ht="18" customHeight="1">
      <c r="H624" s="4"/>
      <c r="AC624" s="13"/>
      <c r="AD624" s="18"/>
      <c r="AE624" s="12"/>
      <c r="AF624" s="12"/>
      <c r="BC624" s="13"/>
      <c r="BE624" s="20"/>
      <c r="BF624" s="21"/>
      <c r="BG624" s="21"/>
      <c r="BH624" s="21"/>
      <c r="BI624" s="21"/>
      <c r="BJ624" s="22"/>
      <c r="CB624" s="13"/>
      <c r="CD624" s="13"/>
      <c r="DW624" s="5"/>
    </row>
    <row r="625" spans="8:127" ht="18" customHeight="1">
      <c r="H625" s="4"/>
      <c r="AC625" s="13"/>
      <c r="AD625" s="19"/>
      <c r="AE625" s="14"/>
      <c r="AF625" s="12"/>
      <c r="BC625" s="13"/>
      <c r="BE625" s="12"/>
      <c r="BG625" s="13"/>
      <c r="CB625" s="13"/>
      <c r="CD625" s="13"/>
      <c r="DW625" s="5"/>
    </row>
    <row r="626" spans="8:127" ht="18" customHeight="1">
      <c r="H626" s="4"/>
      <c r="AC626" s="13"/>
      <c r="AF626" s="14"/>
      <c r="AG626" s="15"/>
      <c r="AH626" s="15"/>
      <c r="AI626" s="15"/>
      <c r="AJ626" s="15"/>
      <c r="AK626" s="15"/>
      <c r="AL626" s="15"/>
      <c r="AM626" s="15"/>
      <c r="AN626" s="15"/>
      <c r="AO626" s="15"/>
      <c r="AP626" s="15"/>
      <c r="AQ626" s="15"/>
      <c r="AR626" s="15"/>
      <c r="AS626" s="15"/>
      <c r="AT626" s="15"/>
      <c r="AU626" s="15"/>
      <c r="AV626" s="15"/>
      <c r="AW626" s="15"/>
      <c r="AX626" s="15"/>
      <c r="AY626" s="15"/>
      <c r="AZ626" s="15"/>
      <c r="BA626" s="15"/>
      <c r="BB626" s="15"/>
      <c r="BC626" s="16"/>
      <c r="BE626" s="12"/>
      <c r="BG626" s="13"/>
      <c r="CB626" s="13"/>
      <c r="CD626" s="13"/>
      <c r="DW626" s="5"/>
    </row>
    <row r="627" spans="8:127" ht="18" customHeight="1">
      <c r="H627" s="4"/>
      <c r="AC627" s="13"/>
      <c r="BE627" s="14"/>
      <c r="BF627" s="15"/>
      <c r="BG627" s="16"/>
      <c r="CB627" s="13"/>
      <c r="CD627" s="13"/>
      <c r="DW627" s="5"/>
    </row>
    <row r="628" spans="8:127" ht="18" customHeight="1">
      <c r="H628" s="4"/>
      <c r="AC628" s="13"/>
      <c r="AF628" s="9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  <c r="AY628" s="10"/>
      <c r="AZ628" s="74"/>
      <c r="BA628" s="85"/>
      <c r="BB628" s="85"/>
      <c r="BC628" s="75"/>
      <c r="BE628" s="12"/>
      <c r="CB628" s="13"/>
      <c r="CC628" s="12"/>
      <c r="CE628" s="14"/>
      <c r="CF628" s="15"/>
      <c r="CG628" s="15"/>
      <c r="CH628" s="15"/>
      <c r="CI628" s="15"/>
      <c r="CJ628" s="15"/>
      <c r="CK628" s="15"/>
      <c r="CL628" s="15"/>
      <c r="CM628" s="15"/>
      <c r="CN628" s="15"/>
      <c r="CO628" s="15"/>
      <c r="CP628" s="15"/>
      <c r="CQ628" s="15"/>
      <c r="CR628" s="15"/>
      <c r="CS628" s="15"/>
      <c r="CT628" s="15"/>
      <c r="CU628" s="15"/>
      <c r="DW628" s="5"/>
    </row>
    <row r="629" spans="8:127" ht="18" customHeight="1">
      <c r="H629" s="4"/>
      <c r="AD629" s="12"/>
      <c r="AF629" s="12"/>
      <c r="AZ629" s="86"/>
      <c r="BA629" s="87"/>
      <c r="BB629" s="87"/>
      <c r="BC629" s="88"/>
      <c r="BE629" s="12"/>
      <c r="CB629" s="13"/>
      <c r="CC629" s="17"/>
      <c r="CD629" s="17"/>
      <c r="CU629" s="13"/>
      <c r="DW629" s="5"/>
    </row>
    <row r="630" spans="8:127" ht="18" customHeight="1">
      <c r="H630" s="4"/>
      <c r="AD630" s="12"/>
      <c r="AF630" s="12"/>
      <c r="AZ630" s="86"/>
      <c r="BA630" s="87"/>
      <c r="BB630" s="87"/>
      <c r="BC630" s="88"/>
      <c r="BE630" s="12"/>
      <c r="CB630" s="13"/>
      <c r="CC630" s="18"/>
      <c r="CD630" s="18"/>
      <c r="CE630" s="9"/>
      <c r="CF630" s="10"/>
      <c r="CG630" s="10"/>
      <c r="CH630" s="10"/>
      <c r="CI630" s="10"/>
      <c r="CJ630" s="10"/>
      <c r="CK630" s="10"/>
      <c r="CL630" s="10"/>
      <c r="CM630" s="10"/>
      <c r="CN630" s="10"/>
      <c r="CO630" s="10"/>
      <c r="CP630" s="10"/>
      <c r="CQ630" s="10"/>
      <c r="CR630" s="10"/>
      <c r="CS630" s="10"/>
      <c r="CT630" s="11"/>
      <c r="CU630" s="13"/>
      <c r="DW630" s="5"/>
    </row>
    <row r="631" spans="8:127" ht="18" customHeight="1">
      <c r="H631" s="4"/>
      <c r="AD631" s="12"/>
      <c r="AF631" s="12"/>
      <c r="AZ631" s="76"/>
      <c r="BA631" s="89"/>
      <c r="BB631" s="89"/>
      <c r="BC631" s="77"/>
      <c r="BE631" s="12"/>
      <c r="CB631" s="13"/>
      <c r="CC631" s="18"/>
      <c r="CD631" s="18"/>
      <c r="CE631" s="12"/>
      <c r="CT631" s="13"/>
      <c r="CU631" s="13"/>
      <c r="DW631" s="5"/>
    </row>
    <row r="632" spans="8:127" ht="18" customHeight="1">
      <c r="H632" s="4"/>
      <c r="AD632" s="12"/>
      <c r="AF632" s="12"/>
      <c r="AJ632" s="9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  <c r="AY632" s="10"/>
      <c r="AZ632" s="133"/>
      <c r="BA632" s="134"/>
      <c r="BB632" s="134"/>
      <c r="BC632" s="143"/>
      <c r="BD632" s="10"/>
      <c r="CB632" s="13"/>
      <c r="CC632" s="19"/>
      <c r="CD632" s="19"/>
      <c r="CE632" s="12"/>
      <c r="CT632" s="13"/>
      <c r="CU632" s="13"/>
      <c r="DW632" s="5"/>
    </row>
    <row r="633" spans="8:127" ht="18" customHeight="1">
      <c r="H633" s="4"/>
      <c r="AD633" s="17"/>
      <c r="AE633" s="17"/>
      <c r="AF633" s="12"/>
      <c r="AJ633" s="12"/>
      <c r="CB633" s="13"/>
      <c r="CC633" s="12"/>
      <c r="CE633" s="12"/>
      <c r="CT633" s="13"/>
      <c r="CU633" s="13"/>
      <c r="DW633" s="5"/>
    </row>
    <row r="634" spans="8:127" ht="18" customHeight="1">
      <c r="H634" s="4"/>
      <c r="AD634" s="18"/>
      <c r="AE634" s="18"/>
      <c r="AF634" s="12"/>
      <c r="AG634" s="9"/>
      <c r="AH634" s="11"/>
      <c r="AJ634" s="12"/>
      <c r="CB634" s="13"/>
      <c r="CD634" s="13"/>
      <c r="CE634" s="12"/>
      <c r="CI634" s="9"/>
      <c r="CJ634" s="10"/>
      <c r="CK634" s="10"/>
      <c r="CL634" s="10"/>
      <c r="CM634" s="10"/>
      <c r="CN634" s="10"/>
      <c r="CO634" s="10"/>
      <c r="CP634" s="11"/>
      <c r="CT634" s="13"/>
      <c r="CU634" s="13"/>
      <c r="CV634" s="9"/>
      <c r="CW634" s="10"/>
      <c r="CX634" s="10"/>
      <c r="CY634" s="10"/>
      <c r="CZ634" s="10"/>
      <c r="DA634" s="10"/>
      <c r="DB634" s="10"/>
      <c r="DC634" s="10"/>
      <c r="DD634" s="10"/>
      <c r="DE634" s="10"/>
      <c r="DF634" s="10"/>
      <c r="DG634" s="10"/>
      <c r="DH634" s="10"/>
      <c r="DI634" s="10"/>
      <c r="DJ634" s="10"/>
      <c r="DK634" s="10"/>
      <c r="DL634" s="10"/>
      <c r="DM634" s="10"/>
      <c r="DN634" s="10"/>
      <c r="DO634" s="10"/>
      <c r="DP634" s="10"/>
      <c r="DQ634" s="10"/>
      <c r="DR634" s="10"/>
      <c r="DS634" s="10"/>
      <c r="DT634" s="10"/>
      <c r="DU634" s="10"/>
      <c r="DV634" s="9"/>
      <c r="DW634" s="11"/>
    </row>
    <row r="635" spans="8:127" ht="18" customHeight="1">
      <c r="H635" s="4"/>
      <c r="AD635" s="18"/>
      <c r="AE635" s="18"/>
      <c r="AF635" s="12"/>
      <c r="AG635" s="12"/>
      <c r="AH635" s="13"/>
      <c r="AJ635" s="12"/>
      <c r="CB635" s="13"/>
      <c r="CC635" s="12"/>
      <c r="CE635" s="12"/>
      <c r="CI635" s="12"/>
      <c r="CP635" s="13"/>
      <c r="CT635" s="13"/>
      <c r="CU635" s="13"/>
      <c r="CV635" s="12"/>
      <c r="DV635" s="12"/>
      <c r="DW635" s="13"/>
    </row>
    <row r="636" spans="8:127" ht="18" customHeight="1">
      <c r="H636" s="4"/>
      <c r="AD636" s="18"/>
      <c r="AE636" s="18"/>
      <c r="AF636" s="12"/>
      <c r="AG636" s="12"/>
      <c r="AH636" s="13"/>
      <c r="AJ636" s="12"/>
      <c r="CB636" s="13"/>
      <c r="CD636" s="13"/>
      <c r="CE636" s="12"/>
      <c r="CI636" s="12"/>
      <c r="CP636" s="13"/>
      <c r="CT636" s="13"/>
      <c r="CU636" s="13"/>
      <c r="CV636" s="12"/>
      <c r="DV636" s="12"/>
      <c r="DW636" s="13"/>
    </row>
    <row r="637" spans="8:127" ht="18" customHeight="1">
      <c r="H637" s="4"/>
      <c r="AD637" s="18"/>
      <c r="AE637" s="18"/>
      <c r="AF637" s="12"/>
      <c r="AG637" s="14"/>
      <c r="AH637" s="16"/>
      <c r="AJ637" s="12"/>
      <c r="CB637" s="13"/>
      <c r="CD637" s="13"/>
      <c r="CE637" s="12"/>
      <c r="CI637" s="12"/>
      <c r="CP637" s="13"/>
      <c r="CT637" s="13"/>
      <c r="CU637" s="13"/>
      <c r="CV637" s="12"/>
      <c r="DV637" s="12"/>
      <c r="DW637" s="13"/>
    </row>
    <row r="638" spans="8:127" ht="18" customHeight="1">
      <c r="H638" s="4"/>
      <c r="AD638" s="19"/>
      <c r="AE638" s="19"/>
      <c r="AF638" s="12"/>
      <c r="AJ638" s="12"/>
      <c r="CB638" s="13"/>
      <c r="CD638" s="13"/>
      <c r="CE638" s="12"/>
      <c r="CI638" s="12"/>
      <c r="CP638" s="13"/>
      <c r="CT638" s="13"/>
      <c r="CU638" s="13"/>
      <c r="CV638" s="12"/>
      <c r="DV638" s="12"/>
      <c r="DW638" s="13"/>
    </row>
    <row r="639" spans="8:127" ht="18" customHeight="1">
      <c r="H639" s="4"/>
      <c r="AD639" s="12"/>
      <c r="AF639" s="12"/>
      <c r="AJ639" s="14"/>
      <c r="AK639" s="15"/>
      <c r="AL639" s="15"/>
      <c r="AM639" s="15"/>
      <c r="AN639" s="15"/>
      <c r="AO639" s="15"/>
      <c r="AP639" s="15"/>
      <c r="AQ639" s="15"/>
      <c r="AR639" s="15"/>
      <c r="AS639" s="15"/>
      <c r="AT639" s="15"/>
      <c r="AU639" s="15"/>
      <c r="AV639" s="15"/>
      <c r="AY639" s="15"/>
      <c r="AZ639" s="15"/>
      <c r="BA639" s="15"/>
      <c r="BB639" s="15"/>
      <c r="BC639" s="15"/>
      <c r="BD639" s="15"/>
      <c r="BE639" s="15"/>
      <c r="BF639" s="15"/>
      <c r="BG639" s="15"/>
      <c r="BH639" s="15"/>
      <c r="BI639" s="15"/>
      <c r="BJ639" s="15"/>
      <c r="BK639" s="15"/>
      <c r="BL639" s="15"/>
      <c r="BM639" s="15"/>
      <c r="BN639" s="15"/>
      <c r="BO639" s="15"/>
      <c r="BP639" s="15"/>
      <c r="BQ639" s="15"/>
      <c r="BR639" s="15"/>
      <c r="BS639" s="15"/>
      <c r="BT639" s="15"/>
      <c r="BU639" s="15"/>
      <c r="BV639" s="15"/>
      <c r="BW639" s="15"/>
      <c r="BX639" s="15"/>
      <c r="BY639" s="15"/>
      <c r="BZ639" s="15"/>
      <c r="CA639" s="15"/>
      <c r="CB639" s="16"/>
      <c r="CD639" s="13"/>
      <c r="CE639" s="12"/>
      <c r="CI639" s="12"/>
      <c r="CP639" s="13"/>
      <c r="CT639" s="13"/>
      <c r="CU639" s="13"/>
      <c r="CV639" s="12"/>
      <c r="DV639" s="12"/>
      <c r="DW639" s="13"/>
    </row>
    <row r="640" spans="8:127" ht="18" customHeight="1">
      <c r="H640" s="4"/>
      <c r="AD640" s="12"/>
      <c r="AF640" s="12"/>
      <c r="AW640" s="9"/>
      <c r="AX640" s="10"/>
      <c r="AY640" s="10"/>
      <c r="AZ640" s="10"/>
      <c r="BA640" s="10"/>
      <c r="BB640" s="10"/>
      <c r="BC640" s="10"/>
      <c r="BD640" s="10"/>
      <c r="BE640" s="10"/>
      <c r="BF640" s="10"/>
      <c r="BG640" s="10"/>
      <c r="BH640" s="10"/>
      <c r="BI640" s="10"/>
      <c r="BJ640" s="20"/>
      <c r="BK640" s="21"/>
      <c r="BL640" s="21"/>
      <c r="BM640" s="21"/>
      <c r="BN640" s="21"/>
      <c r="BO640" s="22"/>
      <c r="BV640" s="127"/>
      <c r="BW640" s="127"/>
      <c r="BX640" s="127"/>
      <c r="BY640" s="127"/>
      <c r="BZ640" s="127"/>
      <c r="CA640" s="127"/>
      <c r="CD640" s="13"/>
      <c r="CE640" s="12"/>
      <c r="CI640" s="12"/>
      <c r="CP640" s="13"/>
      <c r="CT640" s="13"/>
      <c r="CU640" s="13"/>
      <c r="CV640" s="12"/>
      <c r="DV640" s="12"/>
      <c r="DW640" s="13"/>
    </row>
    <row r="641" spans="8:127" ht="18" customHeight="1">
      <c r="H641" s="4"/>
      <c r="AD641" s="12"/>
      <c r="AF641" s="12"/>
      <c r="AW641" s="12"/>
      <c r="BJ641" s="9"/>
      <c r="BK641" s="10"/>
      <c r="BL641" s="10"/>
      <c r="BM641" s="10"/>
      <c r="BN641" s="10"/>
      <c r="BO641" s="11"/>
      <c r="BV641" s="127"/>
      <c r="BW641" s="127"/>
      <c r="BX641" s="127"/>
      <c r="BY641" s="127"/>
      <c r="BZ641" s="127"/>
      <c r="CA641" s="127"/>
      <c r="CD641" s="13"/>
      <c r="CE641" s="12"/>
      <c r="CI641" s="12"/>
      <c r="CP641" s="13"/>
      <c r="CT641" s="13"/>
      <c r="CU641" s="13"/>
      <c r="CV641" s="14"/>
      <c r="CW641" s="15"/>
      <c r="CX641" s="15"/>
      <c r="CY641" s="15"/>
      <c r="CZ641" s="15"/>
      <c r="DA641" s="15"/>
      <c r="DB641" s="15"/>
      <c r="DC641" s="15"/>
      <c r="DD641" s="15"/>
      <c r="DE641" s="15"/>
      <c r="DF641" s="15"/>
      <c r="DG641" s="15"/>
      <c r="DH641" s="15"/>
      <c r="DI641" s="15"/>
      <c r="DJ641" s="15"/>
      <c r="DK641" s="15"/>
      <c r="DL641" s="15"/>
      <c r="DM641" s="15"/>
      <c r="DN641" s="15"/>
      <c r="DO641" s="15"/>
      <c r="DP641" s="15"/>
      <c r="DQ641" s="15"/>
      <c r="DR641" s="15"/>
      <c r="DS641" s="15"/>
      <c r="DT641" s="15"/>
      <c r="DU641" s="15"/>
      <c r="DV641" s="14"/>
      <c r="DW641" s="16"/>
    </row>
    <row r="642" spans="8:127" ht="18" customHeight="1">
      <c r="H642" s="4"/>
      <c r="AD642" s="12"/>
      <c r="AF642" s="12"/>
      <c r="AW642" s="12"/>
      <c r="AY642" s="9"/>
      <c r="AZ642" s="10"/>
      <c r="BA642" s="10"/>
      <c r="BB642" s="10"/>
      <c r="BC642" s="10"/>
      <c r="BD642" s="10"/>
      <c r="BE642" s="10"/>
      <c r="BF642" s="10"/>
      <c r="BG642" s="10"/>
      <c r="BH642" s="10"/>
      <c r="BI642" s="10"/>
      <c r="BJ642" s="10"/>
      <c r="BK642" s="10"/>
      <c r="BL642" s="10"/>
      <c r="BM642" s="10"/>
      <c r="BN642" s="10"/>
      <c r="BO642" s="10"/>
      <c r="BP642" s="10"/>
      <c r="BQ642" s="10"/>
      <c r="BR642" s="10"/>
      <c r="BS642" s="10"/>
      <c r="BT642" s="10"/>
      <c r="BU642" s="10"/>
      <c r="BV642" s="10"/>
      <c r="BW642" s="10"/>
      <c r="BX642" s="10"/>
      <c r="BY642" s="10"/>
      <c r="BZ642" s="10"/>
      <c r="CA642" s="10"/>
      <c r="CB642" s="10"/>
      <c r="CC642" s="10"/>
      <c r="CD642" s="10"/>
      <c r="CE642" s="10"/>
      <c r="CF642" s="10"/>
      <c r="CG642" s="10"/>
      <c r="CH642" s="10"/>
      <c r="CI642" s="10"/>
      <c r="CJ642" s="10"/>
      <c r="CK642" s="10"/>
      <c r="CL642" s="10"/>
      <c r="CM642" s="10"/>
      <c r="CN642" s="10"/>
      <c r="CO642" s="10"/>
      <c r="CP642" s="10"/>
      <c r="CQ642" s="10"/>
      <c r="CR642" s="10"/>
      <c r="CS642" s="10"/>
      <c r="CT642" s="11"/>
      <c r="CU642" s="13"/>
      <c r="DW642" s="5"/>
    </row>
    <row r="643" spans="8:127" ht="18" customHeight="1">
      <c r="H643" s="4"/>
      <c r="AD643" s="12"/>
      <c r="AF643" s="14"/>
      <c r="AG643" s="15"/>
      <c r="AH643" s="15"/>
      <c r="AI643" s="15"/>
      <c r="AJ643" s="15"/>
      <c r="AK643" s="15"/>
      <c r="AL643" s="15"/>
      <c r="AM643" s="15"/>
      <c r="AN643" s="15"/>
      <c r="AO643" s="15"/>
      <c r="AP643" s="15"/>
      <c r="AQ643" s="15"/>
      <c r="AR643" s="15"/>
      <c r="AS643" s="15"/>
      <c r="AT643" s="15"/>
      <c r="AU643" s="15"/>
      <c r="AV643" s="15"/>
      <c r="AW643" s="12"/>
      <c r="AY643" s="12"/>
      <c r="CT643" s="13"/>
      <c r="CU643" s="13"/>
      <c r="DW643" s="5"/>
    </row>
    <row r="644" spans="8:127" ht="18" customHeight="1">
      <c r="H644" s="4"/>
      <c r="AD644" s="12"/>
      <c r="AX644" s="13"/>
      <c r="AY644" s="12"/>
      <c r="CT644" s="13"/>
      <c r="CU644" s="13"/>
      <c r="DW644" s="5"/>
    </row>
    <row r="645" spans="8:127" ht="18" customHeight="1">
      <c r="H645" s="4"/>
      <c r="AD645" s="14"/>
      <c r="AE645" s="15"/>
      <c r="AF645" s="15"/>
      <c r="AG645" s="15"/>
      <c r="AH645" s="15"/>
      <c r="AI645" s="15"/>
      <c r="AJ645" s="15"/>
      <c r="AK645" s="15"/>
      <c r="AL645" s="15"/>
      <c r="AM645" s="15"/>
      <c r="AO645" s="15"/>
      <c r="AP645" s="15"/>
      <c r="AR645" s="15"/>
      <c r="AT645" s="15"/>
      <c r="AU645" s="15"/>
      <c r="AV645" s="15"/>
      <c r="AW645" s="15"/>
      <c r="AX645" s="15"/>
      <c r="AY645" s="12"/>
      <c r="CT645" s="13"/>
      <c r="CU645" s="13"/>
      <c r="DW645" s="5"/>
    </row>
    <row r="646" spans="8:127" ht="18" customHeight="1">
      <c r="H646" s="4"/>
      <c r="AN646" s="10"/>
      <c r="AQ646" s="10"/>
      <c r="AS646" s="10"/>
      <c r="AV646" s="10"/>
      <c r="AX646" s="12"/>
      <c r="AY646" s="12"/>
      <c r="CT646" s="13"/>
      <c r="CU646" s="13"/>
      <c r="DW646" s="5"/>
    </row>
    <row r="647" spans="8:127" ht="18" customHeight="1">
      <c r="H647" s="4"/>
      <c r="AX647" s="12"/>
      <c r="AY647" s="12"/>
      <c r="CT647" s="13"/>
      <c r="CU647" s="13"/>
      <c r="DW647" s="5"/>
    </row>
    <row r="648" spans="8:127" ht="18" customHeight="1">
      <c r="H648" s="4"/>
      <c r="AX648" s="12"/>
      <c r="AY648" s="12"/>
      <c r="CT648" s="13"/>
      <c r="CU648" s="13"/>
      <c r="DW648" s="5"/>
    </row>
    <row r="649" spans="8:127" ht="18" customHeight="1">
      <c r="H649" s="4"/>
      <c r="AX649" s="12"/>
      <c r="AY649" s="12"/>
      <c r="CT649" s="13"/>
      <c r="CU649" s="13"/>
      <c r="DW649" s="5"/>
    </row>
    <row r="650" spans="8:127" ht="18" customHeight="1">
      <c r="H650" s="4"/>
      <c r="AX650" s="12"/>
      <c r="AY650" s="12"/>
      <c r="CT650" s="13"/>
      <c r="CU650" s="13"/>
      <c r="DW650" s="5"/>
    </row>
    <row r="651" spans="8:127" ht="18" customHeight="1">
      <c r="H651" s="4"/>
      <c r="AX651" s="12"/>
      <c r="AY651" s="12"/>
      <c r="CT651" s="13"/>
      <c r="CU651" s="13"/>
      <c r="DW651" s="5"/>
    </row>
    <row r="652" spans="8:127" ht="18" customHeight="1">
      <c r="H652" s="4"/>
      <c r="AX652" s="12"/>
      <c r="AY652" s="12"/>
      <c r="CT652" s="13"/>
      <c r="CU652" s="13"/>
      <c r="DW652" s="5"/>
    </row>
    <row r="653" spans="8:127" ht="18" customHeight="1">
      <c r="H653" s="4"/>
      <c r="AX653" s="12"/>
      <c r="AY653" s="12"/>
      <c r="CT653" s="13"/>
      <c r="CU653" s="13"/>
      <c r="DW653" s="5"/>
    </row>
    <row r="654" spans="8:127" ht="18" customHeight="1">
      <c r="H654" s="4"/>
      <c r="AX654" s="12"/>
      <c r="AY654" s="12"/>
      <c r="CT654" s="13"/>
      <c r="CU654" s="13"/>
      <c r="DW654" s="5"/>
    </row>
    <row r="655" spans="8:127" ht="18" customHeight="1">
      <c r="H655" s="4"/>
      <c r="AX655" s="12"/>
      <c r="AY655" s="12"/>
      <c r="CT655" s="13"/>
      <c r="CU655" s="13"/>
      <c r="DW655" s="5"/>
    </row>
    <row r="656" spans="8:127" ht="18" customHeight="1">
      <c r="H656" s="4"/>
      <c r="AX656" s="12"/>
      <c r="AY656" s="12"/>
      <c r="CT656" s="13"/>
      <c r="CU656" s="13"/>
      <c r="DW656" s="5"/>
    </row>
    <row r="657" spans="8:127" ht="18" customHeight="1">
      <c r="H657" s="4"/>
      <c r="AX657" s="12"/>
      <c r="AY657" s="12"/>
      <c r="CT657" s="13"/>
      <c r="CU657" s="13"/>
      <c r="DW657" s="5"/>
    </row>
    <row r="658" spans="8:127" ht="18" customHeight="1">
      <c r="H658" s="4"/>
      <c r="AX658" s="12"/>
      <c r="AY658" s="12"/>
      <c r="CT658" s="13"/>
      <c r="CU658" s="13"/>
      <c r="DW658" s="5"/>
    </row>
    <row r="659" spans="8:127" ht="18" customHeight="1">
      <c r="H659" s="4"/>
      <c r="AX659" s="12"/>
      <c r="AY659" s="12"/>
      <c r="CT659" s="13"/>
      <c r="CU659" s="13"/>
      <c r="DW659" s="5"/>
    </row>
    <row r="660" spans="8:127" ht="18" customHeight="1">
      <c r="H660" s="4"/>
      <c r="AX660" s="12"/>
      <c r="AY660" s="12"/>
      <c r="CT660" s="13"/>
      <c r="CU660" s="13"/>
      <c r="DW660" s="5"/>
    </row>
    <row r="661" spans="8:127" ht="18" customHeight="1">
      <c r="H661" s="4"/>
      <c r="AX661" s="12"/>
      <c r="AY661" s="14"/>
      <c r="AZ661" s="15"/>
      <c r="BA661" s="15"/>
      <c r="BB661" s="15"/>
      <c r="BC661" s="15"/>
      <c r="BD661" s="15"/>
      <c r="BE661" s="15"/>
      <c r="BF661" s="15"/>
      <c r="BG661" s="15"/>
      <c r="BH661" s="15"/>
      <c r="BI661" s="15"/>
      <c r="BJ661" s="15"/>
      <c r="BK661" s="15"/>
      <c r="BL661" s="15"/>
      <c r="BM661" s="15"/>
      <c r="BN661" s="15"/>
      <c r="BO661" s="15"/>
      <c r="BP661" s="15"/>
      <c r="BQ661" s="15"/>
      <c r="BR661" s="15"/>
      <c r="BS661" s="15"/>
      <c r="BT661" s="15"/>
      <c r="BU661" s="15"/>
      <c r="BV661" s="15"/>
      <c r="BW661" s="15"/>
      <c r="BX661" s="15"/>
      <c r="BY661" s="15"/>
      <c r="BZ661" s="15"/>
      <c r="CA661" s="15"/>
      <c r="CB661" s="15"/>
      <c r="CC661" s="15"/>
      <c r="CD661" s="15"/>
      <c r="CE661" s="15"/>
      <c r="CF661" s="15"/>
      <c r="CG661" s="15"/>
      <c r="CH661" s="15"/>
      <c r="CI661" s="15"/>
      <c r="CJ661" s="15"/>
      <c r="CK661" s="15"/>
      <c r="CL661" s="15"/>
      <c r="CM661" s="15"/>
      <c r="CN661" s="15"/>
      <c r="CO661" s="15"/>
      <c r="CP661" s="15"/>
      <c r="CQ661" s="15"/>
      <c r="CR661" s="15"/>
      <c r="CS661" s="15"/>
      <c r="CT661" s="16"/>
      <c r="CU661" s="13"/>
      <c r="DW661" s="5"/>
    </row>
    <row r="662" spans="8:127" ht="18" customHeight="1">
      <c r="H662" s="4"/>
      <c r="AX662" s="14"/>
      <c r="AY662" s="15"/>
      <c r="AZ662" s="15"/>
      <c r="BA662" s="15"/>
      <c r="BB662" s="15"/>
      <c r="BC662" s="15"/>
      <c r="BD662" s="15"/>
      <c r="BE662" s="15"/>
      <c r="BF662" s="15"/>
      <c r="BG662" s="15"/>
      <c r="BH662" s="15"/>
      <c r="BI662" s="15"/>
      <c r="BJ662" s="15"/>
      <c r="BK662" s="15"/>
      <c r="BL662" s="15"/>
      <c r="BM662" s="15"/>
      <c r="BN662" s="15"/>
      <c r="BO662" s="15"/>
      <c r="BP662" s="15"/>
      <c r="BQ662" s="15"/>
      <c r="BR662" s="15"/>
      <c r="BS662" s="15"/>
      <c r="BT662" s="15"/>
      <c r="BU662" s="15"/>
      <c r="BV662" s="15"/>
      <c r="BW662" s="15"/>
      <c r="BX662" s="15"/>
      <c r="BY662" s="15"/>
      <c r="BZ662" s="15"/>
      <c r="CA662" s="15"/>
      <c r="CB662" s="15"/>
      <c r="CC662" s="15"/>
      <c r="CD662" s="15"/>
      <c r="CE662" s="15"/>
      <c r="CF662" s="15"/>
      <c r="CG662" s="15"/>
      <c r="CH662" s="15"/>
      <c r="CI662" s="15"/>
      <c r="CJ662" s="15"/>
      <c r="CK662" s="15"/>
      <c r="CL662" s="15"/>
      <c r="CM662" s="15"/>
      <c r="CN662" s="15"/>
      <c r="CO662" s="15"/>
      <c r="CP662" s="15"/>
      <c r="CQ662" s="15"/>
      <c r="CR662" s="15"/>
      <c r="CS662" s="15"/>
      <c r="CT662" s="15"/>
      <c r="CU662" s="16"/>
      <c r="DW662" s="5"/>
    </row>
    <row r="663" spans="8:127" ht="18" customHeight="1">
      <c r="H663" s="4"/>
      <c r="DW663" s="5"/>
    </row>
    <row r="664" spans="8:127" ht="18" customHeight="1">
      <c r="H664" s="4"/>
      <c r="DW664" s="5"/>
    </row>
    <row r="665" spans="8:127" ht="18" customHeight="1">
      <c r="H665" s="4"/>
      <c r="DW665" s="5"/>
    </row>
    <row r="666" spans="8:127" ht="18" customHeight="1">
      <c r="H666" s="4"/>
      <c r="DW666" s="5"/>
    </row>
    <row r="667" spans="8:127" ht="18" customHeight="1">
      <c r="H667" s="4"/>
      <c r="DW667" s="5"/>
    </row>
    <row r="668" spans="8:127" ht="18" customHeight="1">
      <c r="H668" s="4"/>
      <c r="DW668" s="5"/>
    </row>
    <row r="669" spans="8:127" ht="18" customHeight="1">
      <c r="H669" s="4"/>
      <c r="DW669" s="5"/>
    </row>
    <row r="670" spans="8:127" ht="18" customHeight="1">
      <c r="H670" s="4"/>
      <c r="DW670" s="5"/>
    </row>
    <row r="671" spans="8:127" ht="18" customHeight="1">
      <c r="H671" s="4"/>
      <c r="DW671" s="5"/>
    </row>
    <row r="672" spans="8:127" ht="18" customHeight="1">
      <c r="H672" s="4"/>
      <c r="DW672" s="5"/>
    </row>
    <row r="673" spans="8:127" ht="18" customHeight="1">
      <c r="H673" s="4"/>
      <c r="DW673" s="5"/>
    </row>
    <row r="674" spans="8:127" ht="18" customHeight="1">
      <c r="H674" s="4"/>
      <c r="DW674" s="5"/>
    </row>
    <row r="675" spans="8:127" ht="18" customHeight="1" thickBot="1">
      <c r="H675" s="6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  <c r="BE675" s="7"/>
      <c r="BF675" s="7"/>
      <c r="BG675" s="7"/>
      <c r="BH675" s="7"/>
      <c r="BI675" s="7"/>
      <c r="BJ675" s="7"/>
      <c r="BK675" s="7"/>
      <c r="BL675" s="7"/>
      <c r="BM675" s="7"/>
      <c r="BN675" s="7"/>
      <c r="BO675" s="7"/>
      <c r="BP675" s="7"/>
      <c r="BQ675" s="7"/>
      <c r="BR675" s="7"/>
      <c r="BS675" s="7"/>
      <c r="BT675" s="7"/>
      <c r="BU675" s="7"/>
      <c r="BV675" s="7"/>
      <c r="BW675" s="7"/>
      <c r="BX675" s="7"/>
      <c r="BY675" s="7"/>
      <c r="BZ675" s="7"/>
      <c r="CA675" s="7"/>
      <c r="CB675" s="7"/>
      <c r="CC675" s="7"/>
      <c r="CD675" s="7"/>
      <c r="CE675" s="7"/>
      <c r="CF675" s="7"/>
      <c r="CG675" s="7"/>
      <c r="CH675" s="7"/>
      <c r="CI675" s="7"/>
      <c r="CJ675" s="7"/>
      <c r="CK675" s="7"/>
      <c r="CL675" s="7"/>
      <c r="CM675" s="7"/>
      <c r="CN675" s="7"/>
      <c r="CO675" s="7"/>
      <c r="CP675" s="7"/>
      <c r="CQ675" s="7"/>
      <c r="CR675" s="7"/>
      <c r="CS675" s="7"/>
      <c r="CT675" s="7"/>
      <c r="CU675" s="7"/>
      <c r="CV675" s="7"/>
      <c r="CW675" s="7"/>
      <c r="CX675" s="7"/>
      <c r="CY675" s="7"/>
      <c r="CZ675" s="7"/>
      <c r="DA675" s="7"/>
      <c r="DB675" s="7"/>
      <c r="DC675" s="7"/>
      <c r="DD675" s="7"/>
      <c r="DE675" s="7"/>
      <c r="DF675" s="7"/>
      <c r="DG675" s="7"/>
      <c r="DH675" s="7"/>
      <c r="DI675" s="7"/>
      <c r="DJ675" s="7"/>
      <c r="DK675" s="7"/>
      <c r="DL675" s="7"/>
      <c r="DM675" s="7"/>
      <c r="DN675" s="7"/>
      <c r="DO675" s="7"/>
      <c r="DP675" s="7"/>
      <c r="DQ675" s="7"/>
      <c r="DR675" s="7"/>
      <c r="DS675" s="7"/>
      <c r="DT675" s="7"/>
      <c r="DU675" s="7"/>
      <c r="DV675" s="7"/>
      <c r="DW675" s="8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54EC3-A040-2C48-8B06-B13E8C7DACA2}">
  <sheetPr codeName="Sheet4"/>
  <dimension ref="H5:PR494"/>
  <sheetViews>
    <sheetView topLeftCell="A399" zoomScale="32" zoomScaleNormal="56" workbookViewId="0">
      <selection activeCell="MU316" sqref="MU316"/>
    </sheetView>
  </sheetViews>
  <sheetFormatPr baseColWidth="10" defaultColWidth="3" defaultRowHeight="18" customHeight="1"/>
  <cols>
    <col min="18" max="18" width="3" customWidth="1"/>
    <col min="66" max="66" width="3" customWidth="1"/>
    <col min="77" max="77" width="3" customWidth="1"/>
    <col min="103" max="103" width="3" customWidth="1"/>
  </cols>
  <sheetData>
    <row r="5" spans="8:127" ht="18" customHeight="1" thickBot="1"/>
    <row r="6" spans="8:127" ht="18" customHeight="1">
      <c r="H6" s="1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3"/>
    </row>
    <row r="7" spans="8:127" ht="18" customHeight="1">
      <c r="H7" s="4"/>
      <c r="DW7" s="5"/>
    </row>
    <row r="8" spans="8:127" ht="18" customHeight="1">
      <c r="H8" s="4"/>
      <c r="DW8" s="5"/>
    </row>
    <row r="9" spans="8:127" ht="18" customHeight="1">
      <c r="H9" s="4"/>
      <c r="DW9" s="5"/>
    </row>
    <row r="10" spans="8:127" ht="18" customHeight="1">
      <c r="H10" s="4"/>
      <c r="DW10" s="5"/>
    </row>
    <row r="11" spans="8:127" ht="18" customHeight="1">
      <c r="H11" s="4"/>
      <c r="DW11" s="5"/>
    </row>
    <row r="12" spans="8:127" ht="18" customHeight="1">
      <c r="H12" s="4"/>
      <c r="DW12" s="5"/>
    </row>
    <row r="13" spans="8:127" ht="18" customHeight="1">
      <c r="H13" s="4"/>
      <c r="DW13" s="5"/>
    </row>
    <row r="14" spans="8:127" ht="18" customHeight="1">
      <c r="H14" s="4"/>
      <c r="DW14" s="5"/>
    </row>
    <row r="15" spans="8:127" ht="18" customHeight="1">
      <c r="H15" s="4"/>
      <c r="DW15" s="5"/>
    </row>
    <row r="16" spans="8:127" ht="18" customHeight="1">
      <c r="H16" s="4"/>
      <c r="DW16" s="5"/>
    </row>
    <row r="17" spans="8:283" ht="18" customHeight="1">
      <c r="H17" s="4"/>
      <c r="DW17" s="5"/>
    </row>
    <row r="18" spans="8:283" ht="18" customHeight="1">
      <c r="H18" s="4"/>
      <c r="DW18" s="5"/>
      <c r="FJ18" s="15"/>
      <c r="FK18" s="15"/>
      <c r="FL18" s="15"/>
      <c r="FM18" s="15"/>
      <c r="IK18" s="15"/>
      <c r="IL18" s="15"/>
      <c r="IM18" s="15"/>
      <c r="IN18" s="15"/>
    </row>
    <row r="19" spans="8:283" ht="18" customHeight="1">
      <c r="H19" s="4"/>
      <c r="DW19" s="5"/>
      <c r="EM19" s="40"/>
      <c r="EN19" s="41"/>
      <c r="EO19" s="41"/>
      <c r="EP19" s="41"/>
      <c r="EQ19" s="41"/>
      <c r="ER19" s="41"/>
      <c r="ES19" s="41"/>
      <c r="ET19" s="41"/>
      <c r="EU19" s="41"/>
      <c r="EV19" s="41"/>
      <c r="EW19" s="41"/>
      <c r="EX19" s="41"/>
      <c r="EY19" s="41"/>
      <c r="EZ19" s="41"/>
      <c r="FA19" s="41"/>
      <c r="FB19" s="41"/>
      <c r="FC19" s="41"/>
      <c r="FD19" s="41"/>
      <c r="FE19" s="41"/>
      <c r="FF19" s="41"/>
      <c r="FG19" s="41"/>
      <c r="FH19" s="41"/>
      <c r="FI19" s="41"/>
      <c r="FJ19" s="41"/>
      <c r="FK19" s="41"/>
      <c r="FL19" s="41"/>
      <c r="FM19" s="41"/>
      <c r="FN19" s="41"/>
      <c r="FO19" s="41"/>
      <c r="FP19" s="41"/>
      <c r="FQ19" s="41"/>
      <c r="FR19" s="41"/>
      <c r="FS19" s="41"/>
      <c r="FT19" s="41"/>
      <c r="FU19" s="41"/>
      <c r="FV19" s="41"/>
      <c r="FW19" s="41"/>
      <c r="FX19" s="41"/>
      <c r="FY19" s="41"/>
      <c r="FZ19" s="41"/>
      <c r="GA19" s="44"/>
      <c r="HN19" s="40"/>
      <c r="HO19" s="41"/>
      <c r="HP19" s="41"/>
      <c r="HQ19" s="41"/>
      <c r="HR19" s="41"/>
      <c r="HS19" s="41"/>
      <c r="HT19" s="41"/>
      <c r="HU19" s="41"/>
      <c r="HV19" s="41"/>
      <c r="HW19" s="41"/>
      <c r="HX19" s="41"/>
      <c r="HY19" s="41"/>
      <c r="HZ19" s="41"/>
      <c r="IA19" s="41"/>
      <c r="IB19" s="41"/>
      <c r="IC19" s="41"/>
      <c r="ID19" s="41"/>
      <c r="IE19" s="41"/>
      <c r="IF19" s="41"/>
      <c r="IG19" s="41"/>
      <c r="IH19" s="41"/>
      <c r="II19" s="41"/>
      <c r="IJ19" s="41"/>
      <c r="IK19" s="41"/>
      <c r="IL19" s="41"/>
      <c r="IM19" s="41"/>
      <c r="IN19" s="41"/>
      <c r="IO19" s="41"/>
      <c r="IP19" s="41"/>
      <c r="IQ19" s="41"/>
      <c r="IR19" s="41"/>
      <c r="IS19" s="41"/>
      <c r="IT19" s="41"/>
      <c r="IU19" s="41"/>
      <c r="IV19" s="41"/>
      <c r="IW19" s="41"/>
      <c r="IX19" s="41"/>
      <c r="IY19" s="41"/>
      <c r="IZ19" s="41"/>
      <c r="JA19" s="41"/>
      <c r="JB19" s="41"/>
      <c r="JC19" s="41"/>
      <c r="JD19" s="41"/>
      <c r="JE19" s="41"/>
      <c r="JF19" s="41"/>
      <c r="JG19" s="41"/>
      <c r="JH19" s="41"/>
      <c r="JI19" s="41"/>
      <c r="JJ19" s="44"/>
    </row>
    <row r="20" spans="8:283" ht="18" customHeight="1">
      <c r="H20" s="4"/>
      <c r="DW20" s="5"/>
      <c r="EM20" s="42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5"/>
      <c r="HN20" s="42"/>
      <c r="HO20" s="43"/>
      <c r="HP20" s="43"/>
      <c r="HQ20" s="43"/>
      <c r="HR20" s="43"/>
      <c r="HS20" s="43"/>
      <c r="HT20" s="43"/>
      <c r="HU20" s="43"/>
      <c r="HV20" s="43"/>
      <c r="HW20" s="43"/>
      <c r="HX20" s="43"/>
      <c r="HY20" s="43"/>
      <c r="HZ20" s="43"/>
      <c r="IA20" s="43"/>
      <c r="IB20" s="43"/>
      <c r="IC20" s="43"/>
      <c r="ID20" s="43"/>
      <c r="IE20" s="43"/>
      <c r="IF20" s="43"/>
      <c r="IG20" s="43"/>
      <c r="IH20" s="43"/>
      <c r="II20" s="43"/>
      <c r="IJ20" s="43"/>
      <c r="IK20" s="43"/>
      <c r="IL20" s="43"/>
      <c r="IM20" s="43"/>
      <c r="IN20" s="43"/>
      <c r="IO20" s="43"/>
      <c r="IP20" s="43"/>
      <c r="IQ20" s="43"/>
      <c r="IR20" s="43"/>
      <c r="IS20" s="43"/>
      <c r="IT20" s="43"/>
      <c r="IU20" s="43"/>
      <c r="IV20" s="43"/>
      <c r="IW20" s="43"/>
      <c r="IX20" s="43"/>
      <c r="IY20" s="43"/>
      <c r="IZ20" s="43"/>
      <c r="JA20" s="43"/>
      <c r="JB20" s="43"/>
      <c r="JC20" s="43"/>
      <c r="JD20" s="43"/>
      <c r="JE20" s="43"/>
      <c r="JF20" s="43"/>
      <c r="JG20" s="43"/>
      <c r="JH20" s="43"/>
      <c r="JI20" s="43"/>
      <c r="JJ20" s="45"/>
    </row>
    <row r="21" spans="8:283" ht="18" customHeight="1">
      <c r="H21" s="4"/>
      <c r="DW21" s="5"/>
      <c r="EM21" s="42"/>
      <c r="EN21" s="43"/>
      <c r="EO21" s="9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1"/>
      <c r="FO21" s="11"/>
      <c r="FP21" s="10"/>
      <c r="FQ21" s="10"/>
      <c r="FR21" s="10"/>
      <c r="FS21" s="10"/>
      <c r="FT21" s="11"/>
      <c r="FU21" s="10"/>
      <c r="FV21" s="10"/>
      <c r="FW21" s="10"/>
      <c r="FX21" s="10"/>
      <c r="FY21" s="11"/>
      <c r="FZ21" s="43"/>
      <c r="GA21" s="45"/>
      <c r="HN21" s="42"/>
      <c r="HO21" s="43"/>
      <c r="HP21" s="9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1"/>
      <c r="IP21" s="11"/>
      <c r="IQ21" s="10"/>
      <c r="IR21" s="10"/>
      <c r="IS21" s="10"/>
      <c r="IT21" s="10"/>
      <c r="IU21" s="11"/>
      <c r="IV21" s="10"/>
      <c r="IW21" s="10"/>
      <c r="IX21" s="10"/>
      <c r="IY21" s="10"/>
      <c r="IZ21" s="11"/>
      <c r="JA21" s="9"/>
      <c r="JB21" s="10"/>
      <c r="JC21" s="10"/>
      <c r="JD21" s="10"/>
      <c r="JE21" s="10"/>
      <c r="JF21" s="10"/>
      <c r="JG21" s="10"/>
      <c r="JH21" s="11"/>
      <c r="JI21" s="43"/>
      <c r="JJ21" s="45"/>
    </row>
    <row r="22" spans="8:283" ht="18" customHeight="1">
      <c r="H22" s="4"/>
      <c r="DW22" s="5"/>
      <c r="EM22" s="42"/>
      <c r="EN22" s="43"/>
      <c r="EO22" s="12"/>
      <c r="FN22" s="13"/>
      <c r="FO22" s="13"/>
      <c r="FT22" s="13"/>
      <c r="FY22" s="13"/>
      <c r="FZ22" s="43"/>
      <c r="GA22" s="45"/>
      <c r="HN22" s="42"/>
      <c r="HO22" s="43"/>
      <c r="HP22" s="12"/>
      <c r="IO22" s="13"/>
      <c r="IP22" s="13"/>
      <c r="IU22" s="13"/>
      <c r="IZ22" s="13"/>
      <c r="JA22" s="12"/>
      <c r="JH22" s="13"/>
      <c r="JI22" s="43"/>
      <c r="JJ22" s="45"/>
    </row>
    <row r="23" spans="8:283" ht="18" customHeight="1">
      <c r="H23" s="4"/>
      <c r="DW23" s="5"/>
      <c r="EM23" s="42"/>
      <c r="EN23" s="43"/>
      <c r="EO23" s="12"/>
      <c r="FN23" s="13"/>
      <c r="FO23" s="13"/>
      <c r="FT23" s="13"/>
      <c r="FY23" s="13"/>
      <c r="FZ23" s="43"/>
      <c r="GA23" s="45"/>
      <c r="HN23" s="42"/>
      <c r="HO23" s="43"/>
      <c r="HP23" s="12"/>
      <c r="IO23" s="13"/>
      <c r="IP23" s="13"/>
      <c r="IU23" s="13"/>
      <c r="IZ23" s="13"/>
      <c r="JA23" s="12"/>
      <c r="JH23" s="13"/>
      <c r="JI23" s="43"/>
      <c r="JJ23" s="45"/>
    </row>
    <row r="24" spans="8:283" ht="18" customHeight="1">
      <c r="H24" s="4"/>
      <c r="DW24" s="5"/>
      <c r="EM24" s="42"/>
      <c r="EN24" s="43"/>
      <c r="EO24" s="12"/>
      <c r="FN24" s="13"/>
      <c r="FO24" s="13"/>
      <c r="FT24" s="13"/>
      <c r="FY24" s="13"/>
      <c r="FZ24" s="43"/>
      <c r="GA24" s="45"/>
      <c r="HN24" s="42"/>
      <c r="HO24" s="43"/>
      <c r="HP24" s="12"/>
      <c r="IO24" s="13"/>
      <c r="IP24" s="13"/>
      <c r="IU24" s="13"/>
      <c r="IZ24" s="13"/>
      <c r="JA24" s="12"/>
      <c r="JH24" s="13"/>
      <c r="JI24" s="43"/>
      <c r="JJ24" s="45"/>
    </row>
    <row r="25" spans="8:283" ht="18" customHeight="1">
      <c r="H25" s="4"/>
      <c r="DW25" s="5"/>
      <c r="EM25" s="42"/>
      <c r="EN25" s="43"/>
      <c r="EO25" s="12"/>
      <c r="FN25" s="13"/>
      <c r="FO25" s="13"/>
      <c r="FP25" s="15"/>
      <c r="FQ25" s="15"/>
      <c r="FR25" s="15"/>
      <c r="FS25" s="15"/>
      <c r="FT25" s="16"/>
      <c r="FU25" s="15"/>
      <c r="FV25" s="15"/>
      <c r="FW25" s="15"/>
      <c r="FX25" s="15"/>
      <c r="FY25" s="16"/>
      <c r="FZ25" s="43"/>
      <c r="GA25" s="45"/>
      <c r="HN25" s="42"/>
      <c r="HO25" s="43"/>
      <c r="HP25" s="12"/>
      <c r="IO25" s="13"/>
      <c r="IP25" s="13"/>
      <c r="IQ25" s="15"/>
      <c r="IR25" s="15"/>
      <c r="IS25" s="15"/>
      <c r="IT25" s="15"/>
      <c r="IU25" s="16"/>
      <c r="IV25" s="15"/>
      <c r="IW25" s="15"/>
      <c r="IX25" s="15"/>
      <c r="IY25" s="15"/>
      <c r="IZ25" s="16"/>
      <c r="JA25" s="12"/>
      <c r="JH25" s="13"/>
      <c r="JI25" s="43"/>
      <c r="JJ25" s="45"/>
    </row>
    <row r="26" spans="8:283" ht="18" customHeight="1">
      <c r="H26" s="4"/>
      <c r="DW26" s="5"/>
      <c r="EM26" s="42"/>
      <c r="EN26" s="43"/>
      <c r="EO26" s="12"/>
      <c r="FN26" s="13"/>
      <c r="FO26" s="13"/>
      <c r="FY26" s="11"/>
      <c r="FZ26" s="43"/>
      <c r="GA26" s="45"/>
      <c r="HN26" s="42"/>
      <c r="HO26" s="43"/>
      <c r="HP26" s="12"/>
      <c r="IO26" s="13"/>
      <c r="IP26" s="13"/>
      <c r="JA26" s="12"/>
      <c r="JH26" s="13"/>
      <c r="JI26" s="43"/>
      <c r="JJ26" s="45"/>
    </row>
    <row r="27" spans="8:283" ht="18" customHeight="1">
      <c r="H27" s="4"/>
      <c r="DW27" s="5"/>
      <c r="EM27" s="42"/>
      <c r="EN27" s="43"/>
      <c r="EO27" s="12"/>
      <c r="FN27" s="13"/>
      <c r="FO27" s="13"/>
      <c r="FY27" s="13"/>
      <c r="FZ27" s="43"/>
      <c r="GA27" s="45"/>
      <c r="HN27" s="42"/>
      <c r="HO27" s="43"/>
      <c r="HP27" s="12"/>
      <c r="IO27" s="13"/>
      <c r="IP27" s="13"/>
      <c r="JA27" s="12"/>
      <c r="JH27" s="13"/>
      <c r="JI27" s="43"/>
      <c r="JJ27" s="45"/>
    </row>
    <row r="28" spans="8:283" ht="18" customHeight="1">
      <c r="H28" s="4"/>
      <c r="DW28" s="5"/>
      <c r="EM28" s="42"/>
      <c r="EN28" s="43"/>
      <c r="EO28" s="12"/>
      <c r="FN28" s="13"/>
      <c r="FO28" s="13"/>
      <c r="FY28" s="13"/>
      <c r="FZ28" s="43"/>
      <c r="GA28" s="45"/>
      <c r="HN28" s="42"/>
      <c r="HO28" s="43"/>
      <c r="HP28" s="12"/>
      <c r="IO28" s="13"/>
      <c r="IP28" s="13"/>
      <c r="JA28" s="12"/>
      <c r="JH28" s="13"/>
      <c r="JI28" s="43"/>
      <c r="JJ28" s="45"/>
    </row>
    <row r="29" spans="8:283" ht="18" customHeight="1">
      <c r="H29" s="4"/>
      <c r="DW29" s="5"/>
      <c r="EM29" s="42"/>
      <c r="EN29" s="43"/>
      <c r="EO29" s="12"/>
      <c r="FN29" s="13"/>
      <c r="FO29" s="13"/>
      <c r="FY29" s="13"/>
      <c r="FZ29" s="43"/>
      <c r="GA29" s="45"/>
      <c r="GC29" s="15"/>
      <c r="GE29" s="15"/>
      <c r="GG29" s="15"/>
      <c r="GI29" s="15"/>
      <c r="GK29" s="15"/>
      <c r="GL29" s="15"/>
      <c r="GM29" s="15"/>
      <c r="GN29" s="15"/>
      <c r="GO29" s="15"/>
      <c r="GP29" s="15"/>
      <c r="GQ29" s="15"/>
      <c r="GR29" s="15"/>
      <c r="GS29" s="15"/>
      <c r="GT29" s="15"/>
      <c r="GU29" s="15"/>
      <c r="GV29" s="15"/>
      <c r="HN29" s="42"/>
      <c r="HO29" s="43"/>
      <c r="HP29" s="12"/>
      <c r="IO29" s="13"/>
      <c r="IP29" s="13"/>
      <c r="JA29" s="12"/>
      <c r="JH29" s="13"/>
      <c r="JI29" s="43"/>
      <c r="JJ29" s="45"/>
      <c r="JL29" s="15"/>
      <c r="JM29" s="15"/>
      <c r="JN29" s="15"/>
      <c r="JO29" s="15"/>
      <c r="JP29" s="15"/>
      <c r="JQ29" s="15"/>
      <c r="JR29" s="15"/>
      <c r="JS29" s="15"/>
      <c r="JT29" s="15"/>
      <c r="JU29" s="15"/>
      <c r="JV29" s="15"/>
      <c r="JW29" s="15"/>
    </row>
    <row r="30" spans="8:283" ht="18" customHeight="1">
      <c r="H30" s="4"/>
      <c r="DW30" s="5"/>
      <c r="EM30" s="42"/>
      <c r="EN30" s="43"/>
      <c r="EO30" s="12"/>
      <c r="FN30" s="13"/>
      <c r="FO30" s="13"/>
      <c r="FY30" s="16"/>
      <c r="FZ30" s="42"/>
      <c r="GA30" s="43"/>
      <c r="GB30" s="41"/>
      <c r="GC30" s="43"/>
      <c r="GD30" s="41"/>
      <c r="GE30" s="43"/>
      <c r="GF30" s="41"/>
      <c r="GG30" s="43"/>
      <c r="GH30" s="41"/>
      <c r="GI30" s="43"/>
      <c r="GJ30" s="41"/>
      <c r="GK30" s="43"/>
      <c r="GL30" s="43"/>
      <c r="GM30" s="123"/>
      <c r="GN30" s="109"/>
      <c r="GO30" s="109"/>
      <c r="GP30" s="109"/>
      <c r="GQ30" s="109"/>
      <c r="GR30" s="124"/>
      <c r="GS30" s="43"/>
      <c r="GT30" s="43"/>
      <c r="GU30" s="43"/>
      <c r="GV30" s="44"/>
      <c r="HN30" s="42"/>
      <c r="HO30" s="43"/>
      <c r="HP30" s="12"/>
      <c r="IO30" s="13"/>
      <c r="IP30" s="13"/>
      <c r="IY30" s="15"/>
      <c r="IZ30" s="15"/>
      <c r="JA30" s="14"/>
      <c r="JB30" s="15"/>
      <c r="JC30" s="15"/>
      <c r="JD30" s="15"/>
      <c r="JE30" s="15"/>
      <c r="JF30" s="15"/>
      <c r="JG30" s="15"/>
      <c r="JH30" s="16"/>
      <c r="JI30" s="42"/>
      <c r="JJ30" s="43"/>
      <c r="JK30" s="41"/>
      <c r="JL30" s="43"/>
      <c r="JM30" s="43"/>
      <c r="JN30" s="123"/>
      <c r="JO30" s="109"/>
      <c r="JP30" s="109"/>
      <c r="JQ30" s="109"/>
      <c r="JR30" s="109"/>
      <c r="JS30" s="124"/>
      <c r="JT30" s="43"/>
      <c r="JU30" s="43"/>
      <c r="JV30" s="43"/>
      <c r="JW30" s="44"/>
    </row>
    <row r="31" spans="8:283" ht="18" customHeight="1">
      <c r="H31" s="4"/>
      <c r="DW31" s="5"/>
      <c r="EM31" s="42"/>
      <c r="EN31" s="43"/>
      <c r="EO31" s="12"/>
      <c r="FN31" s="13"/>
      <c r="FO31" s="13"/>
      <c r="FP31" s="10"/>
      <c r="FQ31" s="10"/>
      <c r="FR31" s="92"/>
      <c r="FS31" s="92"/>
      <c r="FT31" s="92"/>
      <c r="FU31" s="92"/>
      <c r="FV31" s="92"/>
      <c r="FW31" s="10"/>
      <c r="FX31" s="10"/>
      <c r="FY31" s="15"/>
      <c r="FZ31" s="46"/>
      <c r="GA31" s="47"/>
      <c r="GB31" s="43"/>
      <c r="GC31" s="47"/>
      <c r="GD31" s="43"/>
      <c r="GE31" s="47"/>
      <c r="GF31" s="43"/>
      <c r="GG31" s="47"/>
      <c r="GH31" s="43"/>
      <c r="GI31" s="47"/>
      <c r="GJ31" s="43"/>
      <c r="GK31" s="47"/>
      <c r="GL31" s="47"/>
      <c r="GM31" s="123"/>
      <c r="GN31" s="109"/>
      <c r="GO31" s="109"/>
      <c r="GP31" s="109"/>
      <c r="GQ31" s="109"/>
      <c r="GR31" s="124"/>
      <c r="GS31" s="43"/>
      <c r="GT31" s="43"/>
      <c r="GU31" s="43"/>
      <c r="GV31" s="45"/>
      <c r="HN31" s="42"/>
      <c r="HO31" s="43"/>
      <c r="HP31" s="12"/>
      <c r="IO31" s="13"/>
      <c r="IP31" s="13"/>
      <c r="IQ31" s="10"/>
      <c r="IR31" s="92"/>
      <c r="IS31" s="92"/>
      <c r="IT31" s="92"/>
      <c r="IU31" s="92"/>
      <c r="IV31" s="92"/>
      <c r="IW31" s="10"/>
      <c r="IX31" s="10"/>
      <c r="IY31" s="15"/>
      <c r="IZ31" s="15"/>
      <c r="JA31" s="15"/>
      <c r="JB31" s="15"/>
      <c r="JC31" s="15"/>
      <c r="JD31" s="15"/>
      <c r="JE31" s="15"/>
      <c r="JF31" s="15"/>
      <c r="JG31" s="15"/>
      <c r="JH31" s="15"/>
      <c r="JI31" s="46"/>
      <c r="JJ31" s="47"/>
      <c r="JK31" s="43"/>
      <c r="JL31" s="47"/>
      <c r="JM31" s="47"/>
      <c r="JN31" s="123"/>
      <c r="JO31" s="109"/>
      <c r="JP31" s="109"/>
      <c r="JQ31" s="109"/>
      <c r="JR31" s="109"/>
      <c r="JS31" s="124"/>
      <c r="JT31" s="43"/>
      <c r="JU31" s="43"/>
      <c r="JV31" s="43"/>
      <c r="JW31" s="45"/>
    </row>
    <row r="32" spans="8:283" ht="18" customHeight="1">
      <c r="H32" s="4"/>
      <c r="DW32" s="5"/>
      <c r="EM32" s="42"/>
      <c r="EN32" s="43"/>
      <c r="EO32" s="12"/>
      <c r="FN32" s="13"/>
      <c r="FO32" s="13"/>
      <c r="FP32" s="10"/>
      <c r="FQ32" s="10"/>
      <c r="FR32" s="10"/>
      <c r="FS32" s="10"/>
      <c r="FT32" s="10"/>
      <c r="FU32" s="10"/>
      <c r="FV32" s="10"/>
      <c r="FW32" s="10"/>
      <c r="FX32" s="10"/>
      <c r="FY32" t="s">
        <v>45</v>
      </c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1"/>
      <c r="GU32" s="43"/>
      <c r="GV32" s="45"/>
      <c r="HN32" s="42"/>
      <c r="HO32" s="43"/>
      <c r="HP32" s="12"/>
      <c r="IO32" s="13"/>
      <c r="IP32" s="13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1"/>
      <c r="JV32" s="43"/>
      <c r="JW32" s="45"/>
    </row>
    <row r="33" spans="8:283" ht="18" customHeight="1">
      <c r="H33" s="4"/>
      <c r="AL33" s="15"/>
      <c r="AM33" s="15"/>
      <c r="AN33" s="15"/>
      <c r="AO33" s="15"/>
      <c r="AP33" s="15"/>
      <c r="AQ33" s="15"/>
      <c r="AR33" s="15"/>
      <c r="AS33" s="15"/>
      <c r="DW33" s="5"/>
      <c r="EM33" s="42"/>
      <c r="EN33" s="43"/>
      <c r="EO33" s="12"/>
      <c r="FN33" s="13"/>
      <c r="FO33" s="13"/>
      <c r="GT33" s="13"/>
      <c r="GU33" s="43"/>
      <c r="GV33" s="45"/>
      <c r="HN33" s="42"/>
      <c r="HO33" s="43"/>
      <c r="HP33" s="12"/>
      <c r="IO33" s="13"/>
      <c r="IP33" s="13"/>
      <c r="JU33" s="13"/>
      <c r="JV33" s="43"/>
      <c r="JW33" s="45"/>
    </row>
    <row r="34" spans="8:283" ht="18" customHeight="1">
      <c r="H34" s="4"/>
      <c r="S34" s="40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3"/>
      <c r="AM34" s="123"/>
      <c r="AN34" s="109"/>
      <c r="AO34" s="109"/>
      <c r="AP34" s="109"/>
      <c r="AQ34" s="109"/>
      <c r="AR34" s="124"/>
      <c r="AS34" s="43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4"/>
      <c r="DW34" s="5"/>
      <c r="EM34" s="42"/>
      <c r="EN34" s="43"/>
      <c r="EO34" s="12"/>
      <c r="FN34" s="13"/>
      <c r="FO34" s="90"/>
      <c r="GT34" s="13"/>
      <c r="GU34" s="43"/>
      <c r="GV34" s="45"/>
      <c r="HN34" s="42"/>
      <c r="HO34" s="43"/>
      <c r="HP34" s="12"/>
      <c r="IO34" s="13"/>
      <c r="IP34" s="90"/>
      <c r="JU34" s="13"/>
      <c r="JV34" s="43"/>
      <c r="JW34" s="45"/>
    </row>
    <row r="35" spans="8:283" ht="18" customHeight="1">
      <c r="H35" s="4"/>
      <c r="S35" s="42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7"/>
      <c r="AM35" s="123"/>
      <c r="AN35" s="109"/>
      <c r="AO35" s="109"/>
      <c r="AP35" s="109"/>
      <c r="AQ35" s="109"/>
      <c r="AR35" s="124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5"/>
      <c r="DW35" s="5"/>
      <c r="EM35" s="42"/>
      <c r="EN35" s="43"/>
      <c r="EO35" s="12"/>
      <c r="FN35" s="13"/>
      <c r="FO35" s="90"/>
      <c r="GT35" s="13"/>
      <c r="GU35" s="43"/>
      <c r="GV35" s="45"/>
      <c r="HN35" s="42"/>
      <c r="HO35" s="43"/>
      <c r="HP35" s="12"/>
      <c r="IO35" s="13"/>
      <c r="IP35" s="90"/>
      <c r="JU35" s="13"/>
      <c r="JV35" s="43"/>
      <c r="JW35" s="45"/>
    </row>
    <row r="36" spans="8:283" ht="18" customHeight="1">
      <c r="H36" s="4"/>
      <c r="S36" s="42"/>
      <c r="T36" s="43"/>
      <c r="U36" s="9"/>
      <c r="V36" s="10"/>
      <c r="W36" s="10"/>
      <c r="X36" s="10"/>
      <c r="Y36" s="9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1"/>
      <c r="AK36" s="10"/>
      <c r="AL36" s="10"/>
      <c r="AM36" s="10"/>
      <c r="AN36" s="10"/>
      <c r="AO36" s="10"/>
      <c r="AP36" s="10"/>
      <c r="AQ36" s="10"/>
      <c r="AR36" s="10"/>
      <c r="AS36" s="10"/>
      <c r="AT36" s="11"/>
      <c r="AU36" s="10"/>
      <c r="AV36" s="9"/>
      <c r="AW36" s="10"/>
      <c r="AX36" s="10"/>
      <c r="AY36" s="10"/>
      <c r="AZ36" s="11"/>
      <c r="BA36" s="10"/>
      <c r="BB36" s="10"/>
      <c r="BC36" s="10"/>
      <c r="BD36" s="10"/>
      <c r="BE36" s="11"/>
      <c r="BF36" s="9"/>
      <c r="BG36" s="10"/>
      <c r="BH36" s="10"/>
      <c r="BI36" s="10"/>
      <c r="BJ36" s="10"/>
      <c r="BK36" s="10"/>
      <c r="BL36" s="10"/>
      <c r="BM36" s="11"/>
      <c r="BN36" s="43"/>
      <c r="BO36" s="45"/>
      <c r="DW36" s="5"/>
      <c r="EM36" s="42"/>
      <c r="EN36" s="43"/>
      <c r="EO36" s="12"/>
      <c r="FN36" s="13"/>
      <c r="FO36" s="90"/>
      <c r="GT36" s="13"/>
      <c r="GU36" s="43"/>
      <c r="GV36" s="45"/>
      <c r="HN36" s="42"/>
      <c r="HO36" s="43"/>
      <c r="HP36" s="12"/>
      <c r="IO36" s="13"/>
      <c r="IP36" s="90"/>
      <c r="JU36" s="13"/>
      <c r="JV36" s="43"/>
      <c r="JW36" s="45"/>
    </row>
    <row r="37" spans="8:283" ht="18" customHeight="1">
      <c r="H37" s="4"/>
      <c r="S37" s="42"/>
      <c r="T37" s="43"/>
      <c r="U37" s="12"/>
      <c r="Y37" s="12"/>
      <c r="AJ37" s="13"/>
      <c r="AT37" s="13"/>
      <c r="AV37" s="12"/>
      <c r="AZ37" s="13"/>
      <c r="BE37" s="13"/>
      <c r="BF37" s="12"/>
      <c r="BM37" s="13"/>
      <c r="BN37" s="43"/>
      <c r="BO37" s="45"/>
      <c r="DW37" s="5"/>
      <c r="EM37" s="42"/>
      <c r="EN37" s="43"/>
      <c r="EO37" s="12"/>
      <c r="FN37" s="13"/>
      <c r="FO37" s="90"/>
      <c r="GT37" s="13"/>
      <c r="GU37" s="43"/>
      <c r="GV37" s="45"/>
      <c r="HN37" s="42"/>
      <c r="HO37" s="43"/>
      <c r="HP37" s="12"/>
      <c r="IO37" s="13"/>
      <c r="IP37" s="90"/>
      <c r="JU37" s="13"/>
      <c r="JV37" s="43"/>
      <c r="JW37" s="45"/>
    </row>
    <row r="38" spans="8:283" ht="18" customHeight="1">
      <c r="H38" s="4"/>
      <c r="S38" s="42"/>
      <c r="T38" s="43"/>
      <c r="U38" s="12"/>
      <c r="Y38" s="12"/>
      <c r="AJ38" s="13"/>
      <c r="AT38" s="13"/>
      <c r="AV38" s="12"/>
      <c r="AZ38" s="13"/>
      <c r="BE38" s="13"/>
      <c r="BF38" s="12"/>
      <c r="BM38" s="13"/>
      <c r="BN38" s="43"/>
      <c r="BO38" s="45"/>
      <c r="DW38" s="5"/>
      <c r="EM38" s="42"/>
      <c r="EN38" s="43"/>
      <c r="EO38" s="12"/>
      <c r="FN38" s="13"/>
      <c r="FO38" s="90"/>
      <c r="GT38" s="13"/>
      <c r="GU38" s="43"/>
      <c r="GV38" s="45"/>
      <c r="HN38" s="42"/>
      <c r="HO38" s="43"/>
      <c r="HP38" s="12"/>
      <c r="IO38" s="13"/>
      <c r="IP38" s="90"/>
      <c r="JU38" s="13"/>
      <c r="JV38" s="43"/>
      <c r="JW38" s="45"/>
    </row>
    <row r="39" spans="8:283" ht="18" customHeight="1">
      <c r="H39" s="4"/>
      <c r="S39" s="42"/>
      <c r="T39" s="43"/>
      <c r="U39" s="12"/>
      <c r="Y39" s="12"/>
      <c r="AJ39" s="13"/>
      <c r="AT39" s="13"/>
      <c r="AV39" s="12"/>
      <c r="AZ39" s="13"/>
      <c r="BE39" s="13"/>
      <c r="BF39" s="12"/>
      <c r="BM39" s="13"/>
      <c r="BN39" s="43"/>
      <c r="BO39" s="45"/>
      <c r="DW39" s="5"/>
      <c r="EM39" s="42"/>
      <c r="EN39" s="43"/>
      <c r="EO39" s="12"/>
      <c r="FN39" s="13"/>
      <c r="FO39" s="90"/>
      <c r="GT39" s="13"/>
      <c r="GU39" s="43"/>
      <c r="GV39" s="45"/>
      <c r="HN39" s="42"/>
      <c r="HO39" s="43"/>
      <c r="HP39" s="12"/>
      <c r="IO39" s="13"/>
      <c r="IP39" s="90"/>
      <c r="JU39" s="13"/>
      <c r="JV39" s="43"/>
      <c r="JW39" s="45"/>
    </row>
    <row r="40" spans="8:283" ht="18" customHeight="1">
      <c r="H40" s="4"/>
      <c r="S40" s="42"/>
      <c r="T40" s="43"/>
      <c r="U40" s="12"/>
      <c r="Y40" s="12"/>
      <c r="AJ40" s="13"/>
      <c r="AT40" s="13"/>
      <c r="AV40" s="14"/>
      <c r="AW40" s="15"/>
      <c r="AX40" s="15"/>
      <c r="AY40" s="15"/>
      <c r="AZ40" s="16"/>
      <c r="BA40" s="15"/>
      <c r="BB40" s="15"/>
      <c r="BC40" s="15"/>
      <c r="BD40" s="15"/>
      <c r="BE40" s="16"/>
      <c r="BF40" s="12"/>
      <c r="BM40" s="13"/>
      <c r="BN40" s="43"/>
      <c r="BO40" s="45"/>
      <c r="DW40" s="5"/>
      <c r="EM40" s="42"/>
      <c r="EN40" s="43"/>
      <c r="EO40" s="14"/>
      <c r="EP40" s="15"/>
      <c r="EQ40" s="15"/>
      <c r="ER40" s="15"/>
      <c r="ES40" s="15"/>
      <c r="ET40" s="15"/>
      <c r="EU40" s="15"/>
      <c r="EV40" s="15"/>
      <c r="EW40" s="15"/>
      <c r="EX40" s="15"/>
      <c r="EY40" s="15"/>
      <c r="EZ40" s="15"/>
      <c r="FA40" s="15"/>
      <c r="FB40" s="15"/>
      <c r="FC40" s="15"/>
      <c r="FD40" s="15"/>
      <c r="FE40" s="15"/>
      <c r="FF40" s="15"/>
      <c r="FG40" s="15"/>
      <c r="FH40" s="15"/>
      <c r="FI40" s="15"/>
      <c r="FJ40" s="15"/>
      <c r="FK40" s="15"/>
      <c r="FL40" s="15"/>
      <c r="FM40" s="15"/>
      <c r="FN40" s="16"/>
      <c r="FO40" s="13"/>
      <c r="FX40" s="15"/>
      <c r="GT40" s="13"/>
      <c r="GU40" s="43"/>
      <c r="GV40" s="45"/>
      <c r="HN40" s="42"/>
      <c r="HO40" s="43"/>
      <c r="HP40" s="14"/>
      <c r="HQ40" s="15"/>
      <c r="HR40" s="15"/>
      <c r="HS40" s="15"/>
      <c r="HT40" s="15"/>
      <c r="HU40" s="15"/>
      <c r="HV40" s="15"/>
      <c r="HW40" s="15"/>
      <c r="HX40" s="15"/>
      <c r="HY40" s="15"/>
      <c r="HZ40" s="15"/>
      <c r="IA40" s="15"/>
      <c r="IB40" s="15"/>
      <c r="IC40" s="15"/>
      <c r="ID40" s="15"/>
      <c r="IE40" s="15"/>
      <c r="IF40" s="15"/>
      <c r="IG40" s="15"/>
      <c r="IH40" s="15"/>
      <c r="II40" s="15"/>
      <c r="IJ40" s="15"/>
      <c r="IK40" s="15"/>
      <c r="IL40" s="15"/>
      <c r="IM40" s="15"/>
      <c r="IN40" s="15"/>
      <c r="IO40" s="16"/>
      <c r="IP40" s="13"/>
      <c r="JU40" s="13"/>
      <c r="JV40" s="43"/>
      <c r="JW40" s="45"/>
    </row>
    <row r="41" spans="8:283" ht="18" customHeight="1">
      <c r="H41" s="4"/>
      <c r="S41" s="42"/>
      <c r="T41" s="43"/>
      <c r="U41" s="12"/>
      <c r="Y41" s="12"/>
      <c r="AJ41" s="13"/>
      <c r="AT41" s="13"/>
      <c r="AV41" s="12"/>
      <c r="BF41" s="12"/>
      <c r="BM41" s="13"/>
      <c r="BN41" s="43"/>
      <c r="BO41" s="45"/>
      <c r="DW41" s="5"/>
      <c r="EM41" s="42"/>
      <c r="EN41" s="43"/>
      <c r="EO41" s="14"/>
      <c r="EP41" s="100"/>
      <c r="EQ41" s="100"/>
      <c r="ER41" s="100"/>
      <c r="ES41" s="100"/>
      <c r="ET41" s="100"/>
      <c r="EU41" s="15"/>
      <c r="EV41" s="15"/>
      <c r="EW41" s="15"/>
      <c r="EX41" s="15"/>
      <c r="EY41" s="15"/>
      <c r="EZ41" s="15"/>
      <c r="FA41" s="15"/>
      <c r="FB41" s="15"/>
      <c r="FC41" s="15"/>
      <c r="FD41" s="15"/>
      <c r="FE41" s="15"/>
      <c r="FF41" s="15"/>
      <c r="FG41" s="15"/>
      <c r="FH41" s="15"/>
      <c r="FI41" s="15"/>
      <c r="FJ41" s="15"/>
      <c r="FK41" s="15"/>
      <c r="FL41" s="15"/>
      <c r="FM41" s="15"/>
      <c r="FN41" s="15"/>
      <c r="FO41" s="16"/>
      <c r="FP41" s="207"/>
      <c r="FQ41" s="207"/>
      <c r="FR41" s="207"/>
      <c r="FS41" s="207"/>
      <c r="FT41" s="207"/>
      <c r="FU41" s="207"/>
      <c r="FV41" s="207"/>
      <c r="FW41" s="207"/>
      <c r="FX41" s="209"/>
      <c r="GT41" s="13"/>
      <c r="GU41" s="43"/>
      <c r="GV41" s="45"/>
      <c r="HN41" s="42"/>
      <c r="HO41" s="43"/>
      <c r="HP41" s="14"/>
      <c r="HQ41" s="100"/>
      <c r="HR41" s="100"/>
      <c r="HS41" s="100"/>
      <c r="HT41" s="100"/>
      <c r="HU41" s="100"/>
      <c r="HV41" s="15"/>
      <c r="HW41" s="15"/>
      <c r="HX41" s="15"/>
      <c r="HY41" s="15"/>
      <c r="HZ41" s="15"/>
      <c r="IA41" s="15"/>
      <c r="IB41" s="15"/>
      <c r="IC41" s="15"/>
      <c r="ID41" s="15"/>
      <c r="IE41" s="15"/>
      <c r="IF41" s="15"/>
      <c r="IG41" s="15"/>
      <c r="IH41" s="15"/>
      <c r="II41" s="15"/>
      <c r="IJ41" s="15"/>
      <c r="IK41" s="15"/>
      <c r="IL41" s="15"/>
      <c r="IM41" s="15"/>
      <c r="IN41" s="15"/>
      <c r="IO41" s="15"/>
      <c r="IP41" s="16"/>
      <c r="JU41" s="13"/>
      <c r="JV41" s="43"/>
      <c r="JW41" s="45"/>
    </row>
    <row r="42" spans="8:283" ht="18" customHeight="1">
      <c r="H42" s="4"/>
      <c r="S42" s="42"/>
      <c r="T42" s="43"/>
      <c r="U42" s="12"/>
      <c r="Y42" s="12"/>
      <c r="AJ42" s="13"/>
      <c r="AT42" s="13"/>
      <c r="AV42" s="12"/>
      <c r="BF42" s="12"/>
      <c r="BM42" s="13"/>
      <c r="BN42" s="43"/>
      <c r="BO42" s="45"/>
      <c r="DW42" s="5"/>
      <c r="EM42" s="42"/>
      <c r="EN42" s="43"/>
      <c r="EO42" s="12"/>
      <c r="EY42" s="9"/>
      <c r="EZ42" s="10"/>
      <c r="FA42" s="10"/>
      <c r="FB42" s="10"/>
      <c r="FC42" s="10"/>
      <c r="FD42" s="10"/>
      <c r="FE42" s="10"/>
      <c r="FF42" s="11"/>
      <c r="FH42" s="12"/>
      <c r="FW42" s="13"/>
      <c r="FX42" s="49"/>
      <c r="FY42" s="12"/>
      <c r="GT42" s="13"/>
      <c r="GU42" s="43"/>
      <c r="GV42" s="45"/>
      <c r="HN42" s="42"/>
      <c r="HO42" s="43"/>
      <c r="HP42" s="12"/>
      <c r="HZ42" s="9"/>
      <c r="IA42" s="10"/>
      <c r="IB42" s="10"/>
      <c r="IC42" s="10"/>
      <c r="ID42" s="10"/>
      <c r="IE42" s="10"/>
      <c r="IF42" s="10"/>
      <c r="IG42" s="11"/>
      <c r="II42" s="12"/>
      <c r="IM42" s="12"/>
      <c r="IY42" s="204"/>
      <c r="JU42" s="13"/>
      <c r="JV42" s="43"/>
      <c r="JW42" s="45"/>
    </row>
    <row r="43" spans="8:283" ht="18" customHeight="1">
      <c r="H43" s="4"/>
      <c r="S43" s="42"/>
      <c r="T43" s="43"/>
      <c r="U43" s="12"/>
      <c r="Y43" s="12"/>
      <c r="AJ43" s="13"/>
      <c r="AT43" s="13"/>
      <c r="AV43" s="12"/>
      <c r="BF43" s="12"/>
      <c r="BM43" s="13"/>
      <c r="BN43" s="43"/>
      <c r="BO43" s="45"/>
      <c r="DW43" s="5"/>
      <c r="EM43" s="42"/>
      <c r="EN43" s="43"/>
      <c r="EO43" s="12"/>
      <c r="EY43" s="12"/>
      <c r="FF43" s="13"/>
      <c r="FH43" s="9"/>
      <c r="FI43" s="11"/>
      <c r="FW43" s="13"/>
      <c r="FX43" s="208"/>
      <c r="GT43" s="13"/>
      <c r="GU43" s="43"/>
      <c r="GV43" s="45"/>
      <c r="HN43" s="42"/>
      <c r="HO43" s="43"/>
      <c r="HP43" s="12"/>
      <c r="HZ43" s="12"/>
      <c r="IG43" s="13"/>
      <c r="II43" s="12"/>
      <c r="IM43" s="12"/>
      <c r="IY43" s="205"/>
      <c r="JU43" s="13"/>
      <c r="JV43" s="43"/>
      <c r="JW43" s="45"/>
    </row>
    <row r="44" spans="8:283" ht="18" customHeight="1">
      <c r="H44" s="4"/>
      <c r="S44" s="42"/>
      <c r="T44" s="43"/>
      <c r="U44" s="12"/>
      <c r="Y44" s="12"/>
      <c r="AJ44" s="13"/>
      <c r="AT44" s="13"/>
      <c r="AV44" s="12"/>
      <c r="BF44" s="12"/>
      <c r="BM44" s="13"/>
      <c r="BN44" s="43"/>
      <c r="BO44" s="4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DW44" s="5"/>
      <c r="EM44" s="42"/>
      <c r="EN44" s="43"/>
      <c r="EO44" s="12"/>
      <c r="EY44" s="12"/>
      <c r="FF44" s="13"/>
      <c r="FH44" s="12"/>
      <c r="FI44" s="13"/>
      <c r="FW44" s="13"/>
      <c r="FX44" s="208"/>
      <c r="FY44" s="9"/>
      <c r="FZ44" s="10"/>
      <c r="GA44" s="10"/>
      <c r="GB44" s="10"/>
      <c r="GC44" s="10"/>
      <c r="GD44" s="11"/>
      <c r="GT44" s="13"/>
      <c r="GU44" s="43"/>
      <c r="GV44" s="45"/>
      <c r="HN44" s="42"/>
      <c r="HO44" s="43"/>
      <c r="HP44" s="12"/>
      <c r="HZ44" s="12"/>
      <c r="IG44" s="13"/>
      <c r="II44" s="12"/>
      <c r="IM44" s="12"/>
      <c r="IY44" s="205"/>
      <c r="IZ44" s="10"/>
      <c r="JA44" s="10"/>
      <c r="JB44" s="10"/>
      <c r="JC44" s="10"/>
      <c r="JD44" s="10"/>
      <c r="JE44" s="11"/>
      <c r="JU44" s="13"/>
      <c r="JV44" s="43"/>
      <c r="JW44" s="45"/>
    </row>
    <row r="45" spans="8:283" ht="18" customHeight="1">
      <c r="H45" s="4"/>
      <c r="S45" s="42"/>
      <c r="T45" s="43"/>
      <c r="U45" s="12"/>
      <c r="Y45" s="12"/>
      <c r="AJ45" s="13"/>
      <c r="AT45" s="13"/>
      <c r="AV45" s="14"/>
      <c r="AW45" s="15"/>
      <c r="AX45" s="15"/>
      <c r="AY45" s="15"/>
      <c r="AZ45" s="15"/>
      <c r="BA45" s="15"/>
      <c r="BB45" s="15"/>
      <c r="BC45" s="15"/>
      <c r="BD45" s="15"/>
      <c r="BE45" s="15"/>
      <c r="BF45" s="14"/>
      <c r="BG45" s="15"/>
      <c r="BH45" s="15"/>
      <c r="BI45" s="15"/>
      <c r="BJ45" s="15"/>
      <c r="BK45" s="15"/>
      <c r="BL45" s="15"/>
      <c r="BM45" s="16"/>
      <c r="BN45" s="42"/>
      <c r="BO45" s="43"/>
      <c r="BP45" s="41"/>
      <c r="BQ45" s="43"/>
      <c r="BR45" s="43"/>
      <c r="BS45" s="123"/>
      <c r="BT45" s="109"/>
      <c r="BU45" s="109"/>
      <c r="BV45" s="109"/>
      <c r="BW45" s="109"/>
      <c r="BX45" s="124"/>
      <c r="BY45" s="43"/>
      <c r="BZ45" s="43"/>
      <c r="CA45" s="43"/>
      <c r="CB45" s="44"/>
      <c r="DW45" s="5"/>
      <c r="EM45" s="42"/>
      <c r="EN45" s="43"/>
      <c r="EO45" s="12"/>
      <c r="EY45" s="12"/>
      <c r="FF45" s="13"/>
      <c r="FH45" s="12"/>
      <c r="FI45" s="13"/>
      <c r="FW45" s="13"/>
      <c r="FX45" s="208"/>
      <c r="FY45" s="12"/>
      <c r="GD45" s="13"/>
      <c r="GT45" s="13"/>
      <c r="GU45" s="43"/>
      <c r="GV45" s="45"/>
      <c r="HN45" s="42"/>
      <c r="HO45" s="43"/>
      <c r="HP45" s="12"/>
      <c r="HZ45" s="12"/>
      <c r="IG45" s="13"/>
      <c r="II45" s="12"/>
      <c r="IJ45" s="32"/>
      <c r="IK45" s="32"/>
      <c r="IM45" s="12"/>
      <c r="IY45" s="205"/>
      <c r="JE45" s="13"/>
      <c r="JU45" s="13"/>
      <c r="JV45" s="43"/>
      <c r="JW45" s="45"/>
    </row>
    <row r="46" spans="8:283" ht="18" customHeight="1">
      <c r="H46" s="4"/>
      <c r="S46" s="42"/>
      <c r="T46" s="43"/>
      <c r="U46" s="12"/>
      <c r="Y46" s="12"/>
      <c r="AJ46" s="13"/>
      <c r="AT46" s="13"/>
      <c r="AX46" s="127"/>
      <c r="AY46" s="127"/>
      <c r="AZ46" s="127"/>
      <c r="BA46" s="127"/>
      <c r="BB46" s="127"/>
      <c r="BE46" s="15"/>
      <c r="BF46" s="15"/>
      <c r="BG46" s="15"/>
      <c r="BH46" s="15"/>
      <c r="BI46" s="15"/>
      <c r="BJ46" s="15"/>
      <c r="BK46" s="15"/>
      <c r="BL46" s="15"/>
      <c r="BM46" s="15"/>
      <c r="BN46" s="46"/>
      <c r="BO46" s="47"/>
      <c r="BP46" s="43"/>
      <c r="BQ46" s="47"/>
      <c r="BR46" s="47"/>
      <c r="BS46" s="123"/>
      <c r="BT46" s="109"/>
      <c r="BU46" s="109"/>
      <c r="BV46" s="109"/>
      <c r="BW46" s="109"/>
      <c r="BX46" s="124"/>
      <c r="BY46" s="43"/>
      <c r="BZ46" s="43"/>
      <c r="CA46" s="43"/>
      <c r="CB46" s="45"/>
      <c r="DW46" s="5"/>
      <c r="EM46" s="42"/>
      <c r="EN46" s="43"/>
      <c r="EO46" s="12"/>
      <c r="EY46" s="12"/>
      <c r="FF46" s="13"/>
      <c r="FH46" s="12"/>
      <c r="FI46" s="13"/>
      <c r="FL46" s="9"/>
      <c r="FM46" s="10"/>
      <c r="FN46" s="10"/>
      <c r="FO46" s="10"/>
      <c r="FP46" s="10"/>
      <c r="FQ46" s="10"/>
      <c r="FR46" s="10"/>
      <c r="FS46" s="11"/>
      <c r="FW46" s="13"/>
      <c r="FX46" s="208"/>
      <c r="FY46" s="12"/>
      <c r="GD46" s="13"/>
      <c r="GT46" s="13"/>
      <c r="GU46" s="43"/>
      <c r="GV46" s="45"/>
      <c r="HN46" s="42"/>
      <c r="HO46" s="43"/>
      <c r="HP46" s="12"/>
      <c r="HZ46" s="12"/>
      <c r="IG46" s="13"/>
      <c r="II46" s="12"/>
      <c r="IJ46" s="32"/>
      <c r="IK46" s="32"/>
      <c r="IM46" s="12"/>
      <c r="IY46" s="205"/>
      <c r="JE46" s="13"/>
      <c r="JU46" s="13"/>
      <c r="JV46" s="43"/>
      <c r="JW46" s="45"/>
    </row>
    <row r="47" spans="8:283" ht="18" customHeight="1">
      <c r="H47" s="4"/>
      <c r="S47" s="42"/>
      <c r="T47" s="43"/>
      <c r="U47" s="12"/>
      <c r="Y47" s="14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6"/>
      <c r="AT47" s="13"/>
      <c r="AU47" s="52"/>
      <c r="AV47" s="52"/>
      <c r="AW47" s="52"/>
      <c r="AX47" s="52"/>
      <c r="AY47" s="52"/>
      <c r="AZ47" s="52"/>
      <c r="BA47" s="52"/>
      <c r="BB47" s="52"/>
      <c r="BC47" s="52"/>
      <c r="BD47" s="17"/>
      <c r="BE47" t="s">
        <v>45</v>
      </c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1"/>
      <c r="CA47" s="43"/>
      <c r="CB47" s="45"/>
      <c r="DW47" s="5"/>
      <c r="EM47" s="42"/>
      <c r="EN47" s="43"/>
      <c r="EO47" s="9"/>
      <c r="EP47" s="10"/>
      <c r="EQ47" s="10"/>
      <c r="ER47" s="10"/>
      <c r="ES47" s="10"/>
      <c r="ET47" s="9"/>
      <c r="EU47" s="10"/>
      <c r="EV47" s="10"/>
      <c r="EW47" s="10"/>
      <c r="EX47" s="11"/>
      <c r="EY47" s="12"/>
      <c r="FF47" s="13"/>
      <c r="FH47" s="12"/>
      <c r="FI47" s="13"/>
      <c r="FL47" s="12"/>
      <c r="FS47" s="13"/>
      <c r="FW47" s="13"/>
      <c r="FX47" s="208"/>
      <c r="FY47" s="12"/>
      <c r="GD47" s="13"/>
      <c r="GT47" s="13"/>
      <c r="GU47" s="43"/>
      <c r="GV47" s="45"/>
      <c r="HN47" s="42"/>
      <c r="HO47" s="43"/>
      <c r="HP47" s="9"/>
      <c r="HQ47" s="10"/>
      <c r="HR47" s="10"/>
      <c r="HS47" s="10"/>
      <c r="HT47" s="10"/>
      <c r="HU47" s="9"/>
      <c r="HV47" s="10"/>
      <c r="HW47" s="10"/>
      <c r="HX47" s="10"/>
      <c r="HY47" s="11"/>
      <c r="HZ47" s="12"/>
      <c r="IG47" s="13"/>
      <c r="II47" s="12"/>
      <c r="IM47" s="12"/>
      <c r="IY47" s="205"/>
      <c r="JE47" s="13"/>
      <c r="JU47" s="13"/>
      <c r="JV47" s="43"/>
      <c r="JW47" s="45"/>
    </row>
    <row r="48" spans="8:283" ht="18" customHeight="1">
      <c r="H48" s="4"/>
      <c r="S48" s="42"/>
      <c r="T48" s="43"/>
      <c r="U48" s="12"/>
      <c r="AT48" s="13"/>
      <c r="AU48" s="51"/>
      <c r="AV48" s="51"/>
      <c r="AW48" s="51"/>
      <c r="AX48" s="51"/>
      <c r="AY48" s="51"/>
      <c r="AZ48" s="51"/>
      <c r="BA48" s="51"/>
      <c r="BB48" s="51"/>
      <c r="BC48" s="51"/>
      <c r="BD48" s="18"/>
      <c r="BZ48" s="13"/>
      <c r="CA48" s="43"/>
      <c r="CB48" s="45"/>
      <c r="DW48" s="5"/>
      <c r="EM48" s="42"/>
      <c r="EN48" s="43"/>
      <c r="EO48" s="12"/>
      <c r="ET48" s="12"/>
      <c r="EX48" s="13"/>
      <c r="EY48" s="12"/>
      <c r="FF48" s="13"/>
      <c r="FH48" s="14"/>
      <c r="FI48" s="35"/>
      <c r="FJ48" s="32"/>
      <c r="FL48" s="12"/>
      <c r="FS48" s="13"/>
      <c r="FW48" s="13"/>
      <c r="FX48" s="208"/>
      <c r="FY48" s="12"/>
      <c r="GD48" s="13"/>
      <c r="GT48" s="13"/>
      <c r="GU48" s="43"/>
      <c r="GV48" s="45"/>
      <c r="HN48" s="42"/>
      <c r="HO48" s="43"/>
      <c r="HP48" s="12"/>
      <c r="HU48" s="12"/>
      <c r="HY48" s="13"/>
      <c r="HZ48" s="12"/>
      <c r="IG48" s="13"/>
      <c r="II48" s="12"/>
      <c r="IM48" s="12"/>
      <c r="IY48" s="205"/>
      <c r="JE48" s="13"/>
      <c r="JU48" s="13"/>
      <c r="JV48" s="43"/>
      <c r="JW48" s="45"/>
    </row>
    <row r="49" spans="8:285" ht="18" customHeight="1">
      <c r="H49" s="4"/>
      <c r="S49" s="125"/>
      <c r="T49" s="125"/>
      <c r="U49" s="12"/>
      <c r="AT49" s="13"/>
      <c r="AU49" s="51"/>
      <c r="AV49" s="51"/>
      <c r="AW49" s="51"/>
      <c r="AX49" s="51"/>
      <c r="AY49" s="51"/>
      <c r="AZ49" s="51"/>
      <c r="BA49" s="51"/>
      <c r="BB49" s="51"/>
      <c r="BC49" s="51"/>
      <c r="BD49" s="18"/>
      <c r="BZ49" s="13"/>
      <c r="CA49" s="43"/>
      <c r="CB49" s="45"/>
      <c r="DW49" s="5"/>
      <c r="EM49" s="42"/>
      <c r="EN49" s="43"/>
      <c r="EO49" s="12"/>
      <c r="ET49" s="12"/>
      <c r="EX49" s="13"/>
      <c r="EY49" s="12"/>
      <c r="FF49" s="13"/>
      <c r="FH49" s="12"/>
      <c r="FI49" s="32"/>
      <c r="FJ49" s="32"/>
      <c r="FL49" s="12"/>
      <c r="FS49" s="13"/>
      <c r="FW49" s="13"/>
      <c r="FX49" s="208"/>
      <c r="FY49" s="12"/>
      <c r="GD49" s="13"/>
      <c r="GT49" s="13"/>
      <c r="GU49" s="43"/>
      <c r="GV49" s="45"/>
      <c r="HN49" s="42"/>
      <c r="HO49" s="43"/>
      <c r="HP49" s="12"/>
      <c r="HU49" s="12"/>
      <c r="HY49" s="13"/>
      <c r="HZ49" s="12"/>
      <c r="IG49" s="13"/>
      <c r="II49" s="9"/>
      <c r="IJ49" s="11"/>
      <c r="IM49" s="12"/>
      <c r="IU49" s="15"/>
      <c r="IV49" s="15"/>
      <c r="IW49" s="15"/>
      <c r="IX49" s="15"/>
      <c r="IY49" s="205"/>
      <c r="JE49" s="13"/>
      <c r="JU49" s="13"/>
      <c r="JV49" s="43"/>
      <c r="JW49" s="45"/>
    </row>
    <row r="50" spans="8:285" ht="18" customHeight="1">
      <c r="H50" s="4"/>
      <c r="S50" s="108"/>
      <c r="T50" s="108"/>
      <c r="U50" s="12"/>
      <c r="AT50" s="13"/>
      <c r="AU50" s="51"/>
      <c r="AV50" s="51"/>
      <c r="AW50" s="51"/>
      <c r="AX50" s="51"/>
      <c r="AY50" s="51"/>
      <c r="AZ50" s="51"/>
      <c r="BA50" s="51"/>
      <c r="BB50" s="51"/>
      <c r="BC50" s="51"/>
      <c r="BD50" s="18"/>
      <c r="BZ50" s="13"/>
      <c r="CA50" s="43"/>
      <c r="CB50" s="45"/>
      <c r="DW50" s="5"/>
      <c r="EM50" s="42"/>
      <c r="EN50" s="43"/>
      <c r="EO50" s="12"/>
      <c r="ET50" s="12"/>
      <c r="EX50" s="13"/>
      <c r="EY50" s="12"/>
      <c r="FF50" s="13"/>
      <c r="FH50" s="9"/>
      <c r="FI50" s="11"/>
      <c r="FL50" s="12"/>
      <c r="FS50" s="13"/>
      <c r="FW50" s="13"/>
      <c r="FX50" s="208"/>
      <c r="FY50" s="12"/>
      <c r="GD50" s="13"/>
      <c r="GT50" s="13"/>
      <c r="GU50" s="43"/>
      <c r="GV50" s="45"/>
      <c r="HN50" s="42"/>
      <c r="HO50" s="43"/>
      <c r="HP50" s="12"/>
      <c r="HU50" s="12"/>
      <c r="HY50" s="13"/>
      <c r="HZ50" s="12"/>
      <c r="IG50" s="13"/>
      <c r="II50" s="12"/>
      <c r="IJ50" s="13"/>
      <c r="IM50" s="12"/>
      <c r="IT50" s="13"/>
      <c r="IY50" s="205"/>
      <c r="JE50" s="13"/>
      <c r="JU50" s="13"/>
      <c r="JV50" s="43"/>
      <c r="JW50" s="45"/>
    </row>
    <row r="51" spans="8:285" ht="18" customHeight="1">
      <c r="H51" s="4"/>
      <c r="S51" s="108"/>
      <c r="T51" s="108"/>
      <c r="U51" s="12"/>
      <c r="AT51" s="13"/>
      <c r="AU51" s="51"/>
      <c r="AV51" s="51"/>
      <c r="AW51" s="51"/>
      <c r="AX51" s="51"/>
      <c r="AY51" s="51"/>
      <c r="AZ51" s="51"/>
      <c r="BA51" s="51"/>
      <c r="BB51" s="51"/>
      <c r="BC51" s="51"/>
      <c r="BD51" s="18"/>
      <c r="BW51" s="9"/>
      <c r="BX51" s="10"/>
      <c r="BY51" s="10"/>
      <c r="BZ51" s="11"/>
      <c r="CA51" s="43"/>
      <c r="CB51" s="45"/>
      <c r="DW51" s="5"/>
      <c r="EM51" s="42"/>
      <c r="EN51" s="43"/>
      <c r="EO51" s="14"/>
      <c r="EP51" s="15"/>
      <c r="EQ51" s="15"/>
      <c r="ER51" s="15"/>
      <c r="ES51" s="15"/>
      <c r="ET51" s="14"/>
      <c r="EU51" s="15"/>
      <c r="EV51" s="15"/>
      <c r="EW51" s="15"/>
      <c r="EX51" s="16"/>
      <c r="EY51" s="14"/>
      <c r="EZ51" s="15"/>
      <c r="FA51" s="15"/>
      <c r="FB51" s="15"/>
      <c r="FC51" s="15"/>
      <c r="FD51" s="15"/>
      <c r="FE51" s="15"/>
      <c r="FF51" s="16"/>
      <c r="FG51" s="15"/>
      <c r="FH51" s="12"/>
      <c r="FI51" s="13"/>
      <c r="FL51" s="12"/>
      <c r="FS51" s="13"/>
      <c r="FW51" s="13"/>
      <c r="FX51" s="208"/>
      <c r="FY51" s="12"/>
      <c r="GD51" s="13"/>
      <c r="GT51" s="13"/>
      <c r="GU51" s="43"/>
      <c r="GV51" s="45"/>
      <c r="GW51" s="146"/>
      <c r="GX51" s="147"/>
      <c r="HN51" s="42"/>
      <c r="HO51" s="43"/>
      <c r="HP51" s="14"/>
      <c r="HQ51" s="15"/>
      <c r="HR51" s="15"/>
      <c r="HS51" s="15"/>
      <c r="HT51" s="15"/>
      <c r="HU51" s="14"/>
      <c r="HV51" s="15"/>
      <c r="HW51" s="15"/>
      <c r="HX51" s="15"/>
      <c r="HY51" s="16"/>
      <c r="HZ51" s="14"/>
      <c r="IA51" s="15"/>
      <c r="IB51" s="15"/>
      <c r="IC51" s="15"/>
      <c r="ID51" s="15"/>
      <c r="IE51" s="15"/>
      <c r="IF51" s="15"/>
      <c r="IG51" s="16"/>
      <c r="IH51" s="15"/>
      <c r="II51" s="12"/>
      <c r="IJ51" s="13"/>
      <c r="IM51" s="12"/>
      <c r="IT51" s="13"/>
      <c r="IY51" s="205"/>
      <c r="JE51" s="13"/>
      <c r="JU51" s="13"/>
      <c r="JV51" s="43"/>
      <c r="JW51" s="45"/>
      <c r="JX51" s="146"/>
      <c r="JY51" s="147"/>
    </row>
    <row r="52" spans="8:285" ht="18" customHeight="1">
      <c r="H52" s="4"/>
      <c r="S52" s="108"/>
      <c r="T52" s="108"/>
      <c r="U52" s="12"/>
      <c r="AT52" s="13"/>
      <c r="AU52" s="51"/>
      <c r="AV52" s="51"/>
      <c r="AW52" s="51"/>
      <c r="AX52" s="51"/>
      <c r="AY52" s="51"/>
      <c r="AZ52" s="51"/>
      <c r="BA52" s="51"/>
      <c r="BB52" s="51"/>
      <c r="BC52" s="51"/>
      <c r="BD52" s="18"/>
      <c r="BW52" s="12"/>
      <c r="BZ52" s="13"/>
      <c r="CA52" s="43"/>
      <c r="CB52" s="45"/>
      <c r="DW52" s="5"/>
      <c r="EM52" s="42"/>
      <c r="EN52" s="43"/>
      <c r="EO52" s="43"/>
      <c r="EP52" s="43"/>
      <c r="EQ52" s="43"/>
      <c r="ER52" s="43"/>
      <c r="ES52" s="43"/>
      <c r="ET52" s="43"/>
      <c r="EU52" s="43"/>
      <c r="EV52" s="43"/>
      <c r="EW52" s="43"/>
      <c r="EX52" s="43"/>
      <c r="EY52" s="43"/>
      <c r="EZ52" s="43"/>
      <c r="FA52" s="41"/>
      <c r="FB52" s="41"/>
      <c r="FC52" s="41"/>
      <c r="FD52" s="41"/>
      <c r="FE52" s="41"/>
      <c r="FF52" s="41"/>
      <c r="FG52" s="41"/>
      <c r="FH52" s="12"/>
      <c r="FI52" s="13"/>
      <c r="FL52" s="12"/>
      <c r="FS52" s="13"/>
      <c r="FW52" s="13"/>
      <c r="FX52" s="208"/>
      <c r="FY52" s="12"/>
      <c r="GD52" s="13"/>
      <c r="GT52" s="13"/>
      <c r="GU52" s="43"/>
      <c r="GV52" s="45"/>
      <c r="GW52" s="149"/>
      <c r="GX52" s="150"/>
      <c r="HN52" s="42"/>
      <c r="HO52" s="43"/>
      <c r="HP52" s="43"/>
      <c r="HQ52" s="43"/>
      <c r="HR52" s="43"/>
      <c r="HS52" s="43"/>
      <c r="HT52" s="43"/>
      <c r="HU52" s="43"/>
      <c r="HV52" s="43"/>
      <c r="HW52" s="43"/>
      <c r="HX52" s="43"/>
      <c r="HY52" s="43"/>
      <c r="HZ52" s="43"/>
      <c r="IA52" s="43"/>
      <c r="IB52" s="41"/>
      <c r="IC52" s="41"/>
      <c r="ID52" s="41"/>
      <c r="IE52" s="41"/>
      <c r="IF52" s="41"/>
      <c r="IG52" s="41"/>
      <c r="IH52" s="41"/>
      <c r="II52" s="12"/>
      <c r="IJ52" s="13"/>
      <c r="IM52" s="12"/>
      <c r="IT52" s="13"/>
      <c r="IY52" s="205"/>
      <c r="JE52" s="13"/>
      <c r="JU52" s="13"/>
      <c r="JV52" s="43"/>
      <c r="JW52" s="45"/>
      <c r="JX52" s="149"/>
      <c r="JY52" s="150"/>
    </row>
    <row r="53" spans="8:285" ht="18" customHeight="1">
      <c r="H53" s="4"/>
      <c r="S53" s="108"/>
      <c r="T53" s="108"/>
      <c r="U53" s="12"/>
      <c r="AB53" s="9"/>
      <c r="AC53" s="10"/>
      <c r="AD53" s="10"/>
      <c r="AE53" s="10"/>
      <c r="AF53" s="10"/>
      <c r="AG53" s="10"/>
      <c r="AH53" s="10"/>
      <c r="AI53" s="10"/>
      <c r="AJ53" s="10"/>
      <c r="AK53" s="11"/>
      <c r="AT53" s="13"/>
      <c r="AU53" s="51"/>
      <c r="AV53" s="51"/>
      <c r="AW53" s="51"/>
      <c r="AX53" s="51"/>
      <c r="AY53" s="51"/>
      <c r="AZ53" s="51"/>
      <c r="BA53" s="51"/>
      <c r="BB53" s="51"/>
      <c r="BC53" s="51"/>
      <c r="BD53" s="18"/>
      <c r="BQ53" s="9"/>
      <c r="BR53" s="10"/>
      <c r="BS53" s="10"/>
      <c r="BT53" s="11"/>
      <c r="BW53" s="12"/>
      <c r="BZ53" s="13"/>
      <c r="CA53" s="43"/>
      <c r="CB53" s="45"/>
      <c r="DW53" s="5"/>
      <c r="EM53" s="46"/>
      <c r="EN53" s="47"/>
      <c r="EO53" s="47"/>
      <c r="EP53" s="47"/>
      <c r="EQ53" s="47"/>
      <c r="ER53" s="47"/>
      <c r="ES53" s="47"/>
      <c r="ET53" s="47"/>
      <c r="EU53" s="47"/>
      <c r="EV53" s="47"/>
      <c r="EW53" s="47"/>
      <c r="EX53" s="43"/>
      <c r="EY53" s="47"/>
      <c r="EZ53" s="43"/>
      <c r="FA53" s="43"/>
      <c r="FB53" s="43"/>
      <c r="FC53" s="43"/>
      <c r="FD53" s="43"/>
      <c r="FE53" s="43"/>
      <c r="FF53" s="43"/>
      <c r="FG53" s="43"/>
      <c r="FH53" s="12"/>
      <c r="FI53" s="13"/>
      <c r="FL53" s="12"/>
      <c r="FS53" s="13"/>
      <c r="FW53" s="13"/>
      <c r="FX53" s="208"/>
      <c r="FY53" s="12"/>
      <c r="GD53" s="13"/>
      <c r="GT53" s="13"/>
      <c r="GU53" s="43"/>
      <c r="GV53" s="45"/>
      <c r="GW53" s="184"/>
      <c r="GX53" s="185"/>
      <c r="HN53" s="46"/>
      <c r="HO53" s="47"/>
      <c r="HP53" s="47"/>
      <c r="HQ53" s="47"/>
      <c r="HR53" s="47"/>
      <c r="HS53" s="47"/>
      <c r="HT53" s="47"/>
      <c r="HU53" s="47"/>
      <c r="HV53" s="47"/>
      <c r="HW53" s="47"/>
      <c r="HX53" s="47"/>
      <c r="HY53" s="43"/>
      <c r="HZ53" s="47"/>
      <c r="IA53" s="43"/>
      <c r="IB53" s="43"/>
      <c r="IC53" s="43"/>
      <c r="ID53" s="43"/>
      <c r="IE53" s="43"/>
      <c r="IF53" s="43"/>
      <c r="IG53" s="43"/>
      <c r="IH53" s="43"/>
      <c r="II53" s="12"/>
      <c r="IJ53" s="13"/>
      <c r="IM53" s="12"/>
      <c r="IT53" s="13"/>
      <c r="IY53" s="205"/>
      <c r="JE53" s="13"/>
      <c r="JU53" s="13"/>
      <c r="JV53" s="43"/>
      <c r="JW53" s="45"/>
      <c r="JX53" s="184"/>
      <c r="JY53" s="185"/>
    </row>
    <row r="54" spans="8:285" ht="18" customHeight="1">
      <c r="H54" s="4"/>
      <c r="S54" s="126"/>
      <c r="T54" s="126"/>
      <c r="U54" s="12"/>
      <c r="AB54" s="12"/>
      <c r="AK54" s="13"/>
      <c r="AT54" s="13"/>
      <c r="AU54" s="51"/>
      <c r="AV54" s="51"/>
      <c r="AW54" s="51"/>
      <c r="AX54" s="51"/>
      <c r="AY54" s="51"/>
      <c r="AZ54" s="51"/>
      <c r="BA54" s="51"/>
      <c r="BB54" s="51"/>
      <c r="BC54" s="51"/>
      <c r="BD54" s="18"/>
      <c r="BQ54" s="12"/>
      <c r="BT54" s="13"/>
      <c r="BW54" s="12"/>
      <c r="BZ54" s="13"/>
      <c r="CA54" s="43"/>
      <c r="CB54" s="45"/>
      <c r="DW54" s="5"/>
      <c r="EV54" s="10"/>
      <c r="EW54" s="10"/>
      <c r="EX54" s="10"/>
      <c r="EY54" s="10"/>
      <c r="EZ54" s="10"/>
      <c r="FA54" s="10"/>
      <c r="FB54" s="10"/>
      <c r="FC54" s="10"/>
      <c r="FD54" s="10"/>
      <c r="FE54" s="11"/>
      <c r="FF54" s="42"/>
      <c r="FG54" s="43"/>
      <c r="FH54" s="12"/>
      <c r="FI54" s="13"/>
      <c r="FL54" s="12"/>
      <c r="FS54" s="13"/>
      <c r="FW54" s="13"/>
      <c r="FX54" s="208"/>
      <c r="FY54" s="12"/>
      <c r="GD54" s="13"/>
      <c r="GT54" s="13"/>
      <c r="GU54" s="43"/>
      <c r="GV54" s="45"/>
      <c r="GW54" s="170"/>
      <c r="GX54" s="171"/>
      <c r="HW54" s="10"/>
      <c r="HX54" s="10"/>
      <c r="HY54" s="10"/>
      <c r="HZ54" s="10"/>
      <c r="IA54" s="10"/>
      <c r="IB54" s="10"/>
      <c r="IC54" s="10"/>
      <c r="ID54" s="10"/>
      <c r="IE54" s="10"/>
      <c r="IF54" s="11"/>
      <c r="IG54" s="42"/>
      <c r="IH54" s="43"/>
      <c r="II54" s="14"/>
      <c r="IJ54" s="16"/>
      <c r="IM54" s="12"/>
      <c r="IT54" s="13"/>
      <c r="IY54" s="205"/>
      <c r="JE54" s="13"/>
      <c r="JU54" s="13"/>
      <c r="JV54" s="43"/>
      <c r="JW54" s="45"/>
      <c r="JX54" s="170"/>
      <c r="JY54" s="171"/>
    </row>
    <row r="55" spans="8:285" ht="18" customHeight="1">
      <c r="H55" s="4"/>
      <c r="S55" s="42"/>
      <c r="T55" s="43"/>
      <c r="U55" s="14"/>
      <c r="V55" s="15"/>
      <c r="W55" s="15"/>
      <c r="X55" s="15"/>
      <c r="Y55" s="15"/>
      <c r="Z55" s="15"/>
      <c r="AA55" s="15"/>
      <c r="AB55" s="14"/>
      <c r="AC55" s="15"/>
      <c r="AD55" s="15"/>
      <c r="AE55" s="15"/>
      <c r="AF55" s="15"/>
      <c r="AG55" s="15"/>
      <c r="AH55" s="15"/>
      <c r="AI55" s="15"/>
      <c r="AJ55" s="15"/>
      <c r="AK55" s="16"/>
      <c r="AL55" s="15"/>
      <c r="AM55" s="15"/>
      <c r="AN55" s="15"/>
      <c r="AO55" s="15"/>
      <c r="AP55" s="15"/>
      <c r="AQ55" s="15"/>
      <c r="AR55" s="15"/>
      <c r="AS55" s="15"/>
      <c r="AT55" s="16"/>
      <c r="AU55" s="54"/>
      <c r="AV55" s="54"/>
      <c r="AW55" s="54"/>
      <c r="AX55" s="54"/>
      <c r="AY55" s="54"/>
      <c r="AZ55" s="54"/>
      <c r="BA55" s="54"/>
      <c r="BB55" s="54"/>
      <c r="BC55" s="54"/>
      <c r="BD55" s="19"/>
      <c r="BQ55" s="12"/>
      <c r="BT55" s="13"/>
      <c r="BW55" s="12"/>
      <c r="BZ55" s="13"/>
      <c r="CA55" s="43"/>
      <c r="CB55" s="45"/>
      <c r="CL55" s="17"/>
      <c r="DV55" s="9"/>
      <c r="DW55" s="11"/>
      <c r="FF55" s="42"/>
      <c r="FG55" s="43"/>
      <c r="FH55" s="14"/>
      <c r="FI55" s="16"/>
      <c r="FL55" s="12"/>
      <c r="FS55" s="13"/>
      <c r="FW55" s="13"/>
      <c r="FX55" s="208"/>
      <c r="FY55" s="14"/>
      <c r="FZ55" s="15"/>
      <c r="GA55" s="15"/>
      <c r="GB55" s="15"/>
      <c r="GC55" s="15"/>
      <c r="GD55" s="16"/>
      <c r="GT55" s="13"/>
      <c r="GU55" s="43"/>
      <c r="GV55" s="45"/>
      <c r="GW55" s="149"/>
      <c r="GX55" s="150"/>
      <c r="IG55" s="42"/>
      <c r="IH55" s="43"/>
      <c r="II55" s="12"/>
      <c r="IM55" s="12"/>
      <c r="IT55" s="13"/>
      <c r="IY55" s="205"/>
      <c r="IZ55" s="15"/>
      <c r="JA55" s="15"/>
      <c r="JB55" s="15"/>
      <c r="JC55" s="15"/>
      <c r="JD55" s="15"/>
      <c r="JE55" s="16"/>
      <c r="JU55" s="13"/>
      <c r="JV55" s="43"/>
      <c r="JW55" s="45"/>
      <c r="JX55" s="149"/>
      <c r="JY55" s="150"/>
    </row>
    <row r="56" spans="8:285" ht="18" customHeight="1">
      <c r="H56" s="4"/>
      <c r="S56" s="42"/>
      <c r="T56" s="43"/>
      <c r="U56" s="12"/>
      <c r="V56" s="127"/>
      <c r="W56" s="127"/>
      <c r="X56" s="127"/>
      <c r="Y56" s="127"/>
      <c r="Z56" s="127"/>
      <c r="AW56" s="127"/>
      <c r="AX56" s="127"/>
      <c r="AY56" s="127"/>
      <c r="AZ56" s="127"/>
      <c r="BA56" s="127"/>
      <c r="BB56" s="127"/>
      <c r="BE56" s="12"/>
      <c r="BQ56" s="14"/>
      <c r="BR56" s="15"/>
      <c r="BS56" s="15"/>
      <c r="BT56" s="16"/>
      <c r="BW56" s="12"/>
      <c r="BZ56" s="13"/>
      <c r="CA56" s="43"/>
      <c r="CB56" s="45"/>
      <c r="CL56" s="18"/>
      <c r="DV56" s="12"/>
      <c r="DW56" s="13"/>
      <c r="FF56" s="42"/>
      <c r="FG56" s="43"/>
      <c r="FH56" s="12"/>
      <c r="FL56" s="12"/>
      <c r="FS56" s="13"/>
      <c r="FW56" s="13"/>
      <c r="FX56" s="208"/>
      <c r="GT56" s="13"/>
      <c r="GU56" s="43"/>
      <c r="GV56" s="45"/>
      <c r="GW56" s="149"/>
      <c r="GX56" s="150"/>
      <c r="IG56" s="42"/>
      <c r="IH56" s="43"/>
      <c r="II56" s="9"/>
      <c r="IJ56" s="11"/>
      <c r="IM56" s="12"/>
      <c r="IT56" s="13"/>
      <c r="IY56" s="205"/>
      <c r="JU56" s="13"/>
      <c r="JV56" s="43"/>
      <c r="JW56" s="45"/>
      <c r="JX56" s="149"/>
      <c r="JY56" s="150"/>
    </row>
    <row r="57" spans="8:285" ht="18" customHeight="1">
      <c r="H57" s="4"/>
      <c r="S57" s="42"/>
      <c r="T57" s="43"/>
      <c r="U57" s="9"/>
      <c r="V57" s="10"/>
      <c r="W57" s="10"/>
      <c r="X57" s="10"/>
      <c r="Y57" s="10"/>
      <c r="Z57" s="10"/>
      <c r="AA57" s="10"/>
      <c r="AB57" s="10"/>
      <c r="AC57" s="10"/>
      <c r="AD57" s="11"/>
      <c r="AF57" s="9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1"/>
      <c r="BE57" s="12"/>
      <c r="BW57" s="12"/>
      <c r="BZ57" s="13"/>
      <c r="CA57" s="43"/>
      <c r="CB57" s="45"/>
      <c r="CG57" s="16"/>
      <c r="CH57" s="181"/>
      <c r="CI57" s="10"/>
      <c r="CJ57" s="10"/>
      <c r="CK57" s="10"/>
      <c r="CL57" s="9"/>
      <c r="CM57" s="10"/>
      <c r="CN57" s="10"/>
      <c r="CO57" s="11"/>
      <c r="CP57" s="9"/>
      <c r="CQ57" s="10"/>
      <c r="CR57" s="10"/>
      <c r="CS57" s="10"/>
      <c r="CT57" s="10"/>
      <c r="CU57" s="10"/>
      <c r="CV57" s="10"/>
      <c r="CW57" s="10"/>
      <c r="CX57" s="10"/>
      <c r="CY57" s="10"/>
      <c r="CZ57" s="11"/>
      <c r="DA57" s="10"/>
      <c r="DB57" s="10"/>
      <c r="DC57" s="10"/>
      <c r="DD57" s="10"/>
      <c r="DE57" s="11"/>
      <c r="DF57" s="182"/>
      <c r="DV57" s="12"/>
      <c r="DW57" s="13"/>
      <c r="FF57" s="42"/>
      <c r="FG57" s="43"/>
      <c r="FH57" s="12"/>
      <c r="FL57" s="12"/>
      <c r="FS57" s="13"/>
      <c r="FW57" s="13"/>
      <c r="FX57" s="208"/>
      <c r="GT57" s="13"/>
      <c r="GU57" s="43"/>
      <c r="GV57" s="45"/>
      <c r="GW57" s="149"/>
      <c r="GX57" s="150"/>
      <c r="IG57" s="42"/>
      <c r="IH57" s="43"/>
      <c r="II57" s="12"/>
      <c r="IJ57" s="13"/>
      <c r="IM57" s="12"/>
      <c r="IT57" s="13"/>
      <c r="IY57" s="205"/>
      <c r="JU57" s="13"/>
      <c r="JV57" s="43"/>
      <c r="JW57" s="45"/>
      <c r="JX57" s="149"/>
      <c r="JY57" s="150"/>
    </row>
    <row r="58" spans="8:285" ht="18" customHeight="1">
      <c r="H58" s="4"/>
      <c r="S58" s="42"/>
      <c r="T58" s="43"/>
      <c r="U58" s="12"/>
      <c r="AD58" s="13"/>
      <c r="AF58" s="9"/>
      <c r="AG58" s="10"/>
      <c r="AH58" s="11"/>
      <c r="BC58" s="13"/>
      <c r="BE58" s="12"/>
      <c r="BW58" s="14"/>
      <c r="BX58" s="15"/>
      <c r="BY58" s="15"/>
      <c r="BZ58" s="16"/>
      <c r="CA58" s="43"/>
      <c r="CB58" s="45"/>
      <c r="CF58" s="16"/>
      <c r="CG58" s="181"/>
      <c r="CL58" s="170"/>
      <c r="CM58" s="171"/>
      <c r="CN58" s="171"/>
      <c r="CO58" s="172"/>
      <c r="CP58" s="12"/>
      <c r="CQ58" s="171"/>
      <c r="CR58" s="171"/>
      <c r="CS58" s="171"/>
      <c r="CT58" s="171"/>
      <c r="CV58" s="171"/>
      <c r="CW58" s="171"/>
      <c r="CX58" s="171"/>
      <c r="CY58" s="171"/>
      <c r="CZ58" s="13"/>
      <c r="DF58" s="144"/>
      <c r="DV58" s="12"/>
      <c r="DW58" s="13"/>
      <c r="FF58" s="42"/>
      <c r="FG58" s="43"/>
      <c r="FH58" s="12"/>
      <c r="FL58" s="12"/>
      <c r="FS58" s="13"/>
      <c r="FW58" s="13"/>
      <c r="FX58" s="208"/>
      <c r="GT58" s="13"/>
      <c r="GU58" s="43"/>
      <c r="GV58" s="45"/>
      <c r="GW58" s="149"/>
      <c r="GX58" s="150"/>
      <c r="IG58" s="42"/>
      <c r="IH58" s="43"/>
      <c r="II58" s="12"/>
      <c r="IJ58" s="13"/>
      <c r="IM58" s="12"/>
      <c r="IT58" s="13"/>
      <c r="IY58" s="205"/>
      <c r="JU58" s="13"/>
      <c r="JV58" s="43"/>
      <c r="JW58" s="45"/>
      <c r="JX58" s="149"/>
      <c r="JY58" s="150"/>
    </row>
    <row r="59" spans="8:285" ht="18" customHeight="1">
      <c r="H59" s="4"/>
      <c r="S59" s="42"/>
      <c r="T59" s="43"/>
      <c r="U59" s="12"/>
      <c r="AD59" s="13"/>
      <c r="AF59" s="12"/>
      <c r="AH59" s="13"/>
      <c r="BC59" s="13"/>
      <c r="BE59" s="14"/>
      <c r="BF59" s="15"/>
      <c r="BZ59" s="13"/>
      <c r="CA59" s="43"/>
      <c r="CB59" s="45"/>
      <c r="CF59" s="12"/>
      <c r="CL59" s="170"/>
      <c r="CM59" s="171"/>
      <c r="CN59" s="171"/>
      <c r="CO59" s="172"/>
      <c r="CP59" s="9"/>
      <c r="CQ59" s="10"/>
      <c r="CR59" s="10"/>
      <c r="CS59" s="10"/>
      <c r="CT59" s="10"/>
      <c r="CU59" s="10"/>
      <c r="CV59" s="10"/>
      <c r="CW59" s="10"/>
      <c r="CX59" s="10"/>
      <c r="CY59" s="10"/>
      <c r="CZ59" s="11"/>
      <c r="DB59" s="171"/>
      <c r="DC59" s="171"/>
      <c r="DF59" s="13"/>
      <c r="DV59" s="12"/>
      <c r="DW59" s="13"/>
      <c r="FF59" s="42"/>
      <c r="FG59" s="43"/>
      <c r="FH59" s="12"/>
      <c r="FL59" s="12"/>
      <c r="FS59" s="13"/>
      <c r="FW59" s="13"/>
      <c r="FX59" s="208"/>
      <c r="GT59" s="13"/>
      <c r="GU59" s="43"/>
      <c r="GV59" s="45"/>
      <c r="GW59" s="149"/>
      <c r="GX59" s="150"/>
      <c r="IG59" s="42"/>
      <c r="IH59" s="43"/>
      <c r="II59" s="12"/>
      <c r="IJ59" s="13"/>
      <c r="IM59" s="12"/>
      <c r="IT59" s="13"/>
      <c r="IY59" s="205"/>
      <c r="JU59" s="13"/>
      <c r="JV59" s="43"/>
      <c r="JW59" s="45"/>
      <c r="JX59" s="149"/>
      <c r="JY59" s="150"/>
    </row>
    <row r="60" spans="8:285" ht="18" customHeight="1">
      <c r="H60" s="4"/>
      <c r="S60" s="42"/>
      <c r="T60" s="43"/>
      <c r="U60" s="12"/>
      <c r="AD60" s="13"/>
      <c r="AF60" s="12"/>
      <c r="AH60" s="13"/>
      <c r="BC60" s="13"/>
      <c r="BE60" s="9"/>
      <c r="BF60" s="10"/>
      <c r="BG60" s="11"/>
      <c r="BZ60" s="13"/>
      <c r="CA60" s="43"/>
      <c r="CB60" s="45"/>
      <c r="CF60" s="12"/>
      <c r="CL60" s="170"/>
      <c r="CM60" s="171"/>
      <c r="CN60" s="171"/>
      <c r="CO60" s="172"/>
      <c r="CP60" s="12"/>
      <c r="CZ60" s="13"/>
      <c r="DB60" s="171"/>
      <c r="DC60" s="171"/>
      <c r="DF60" s="13"/>
      <c r="DV60" s="12"/>
      <c r="DW60" s="13"/>
      <c r="FF60" s="42"/>
      <c r="FG60" s="43"/>
      <c r="FH60" s="12"/>
      <c r="FL60" s="12"/>
      <c r="FS60" s="13"/>
      <c r="FW60" s="13"/>
      <c r="FX60" s="208"/>
      <c r="GT60" s="13"/>
      <c r="GU60" s="43"/>
      <c r="GV60" s="45"/>
      <c r="GW60" s="149"/>
      <c r="GX60" s="150"/>
      <c r="IG60" s="42"/>
      <c r="IH60" s="43"/>
      <c r="II60" s="12"/>
      <c r="IJ60" s="13"/>
      <c r="IM60" s="12"/>
      <c r="IT60" s="13"/>
      <c r="IY60" s="205"/>
      <c r="JU60" s="13"/>
      <c r="JV60" s="43"/>
      <c r="JW60" s="45"/>
      <c r="JX60" s="149"/>
      <c r="JY60" s="150"/>
    </row>
    <row r="61" spans="8:285" ht="18" customHeight="1">
      <c r="H61" s="4"/>
      <c r="S61" s="42"/>
      <c r="T61" s="43"/>
      <c r="U61" s="14"/>
      <c r="V61" s="15"/>
      <c r="W61" s="15"/>
      <c r="X61" s="15"/>
      <c r="Y61" s="15"/>
      <c r="Z61" s="15"/>
      <c r="AA61" s="15"/>
      <c r="AB61" s="15"/>
      <c r="AC61" s="15"/>
      <c r="AD61" s="16"/>
      <c r="AF61" s="12"/>
      <c r="AH61" s="13"/>
      <c r="BC61" s="13"/>
      <c r="BE61" s="12"/>
      <c r="BG61" s="13"/>
      <c r="BZ61" s="13"/>
      <c r="CA61" s="43"/>
      <c r="CB61" s="45"/>
      <c r="CF61" s="12"/>
      <c r="CL61" s="170"/>
      <c r="CM61" s="171"/>
      <c r="CN61" s="171"/>
      <c r="CO61" s="172"/>
      <c r="CP61" s="12"/>
      <c r="CZ61" s="13"/>
      <c r="DB61" s="171"/>
      <c r="DC61" s="171"/>
      <c r="DF61" s="13"/>
      <c r="DV61" s="12"/>
      <c r="DW61" s="13"/>
      <c r="FF61" s="42"/>
      <c r="FG61" s="43"/>
      <c r="FH61" s="12"/>
      <c r="FL61" s="12"/>
      <c r="FS61" s="13"/>
      <c r="FW61" s="13"/>
      <c r="FX61" s="208"/>
      <c r="GT61" s="13"/>
      <c r="GU61" s="43"/>
      <c r="GV61" s="45"/>
      <c r="GW61" s="149"/>
      <c r="GX61" s="150"/>
      <c r="IG61" s="42"/>
      <c r="IH61" s="43"/>
      <c r="II61" s="14"/>
      <c r="IJ61" s="16"/>
      <c r="IM61" s="14"/>
      <c r="IN61" s="15"/>
      <c r="IO61" s="15"/>
      <c r="IP61" s="15"/>
      <c r="IQ61" s="15"/>
      <c r="IR61" s="15"/>
      <c r="IS61" s="15"/>
      <c r="IT61" s="16"/>
      <c r="IY61" s="205"/>
      <c r="JU61" s="13"/>
      <c r="JV61" s="43"/>
      <c r="JW61" s="45"/>
      <c r="JX61" s="149"/>
      <c r="JY61" s="150"/>
    </row>
    <row r="62" spans="8:285" ht="18" customHeight="1">
      <c r="H62" s="4"/>
      <c r="S62" s="42"/>
      <c r="T62" s="43"/>
      <c r="U62" s="12"/>
      <c r="Z62" s="12"/>
      <c r="AD62" s="13"/>
      <c r="AF62" s="12"/>
      <c r="AH62" s="13"/>
      <c r="BC62" s="13"/>
      <c r="BE62" s="14"/>
      <c r="BF62" s="15"/>
      <c r="BG62" s="16"/>
      <c r="BZ62" s="13"/>
      <c r="CA62" s="43"/>
      <c r="CB62" s="45"/>
      <c r="CC62" s="12"/>
      <c r="CF62" s="12"/>
      <c r="CL62" s="170"/>
      <c r="CM62" s="171"/>
      <c r="CN62" s="171"/>
      <c r="CO62" s="172"/>
      <c r="CP62" s="12"/>
      <c r="CZ62" s="13"/>
      <c r="DB62" s="171"/>
      <c r="DC62" s="171"/>
      <c r="DF62" s="13"/>
      <c r="DV62" s="12"/>
      <c r="DW62" s="13"/>
      <c r="FF62" s="42"/>
      <c r="FG62" s="43"/>
      <c r="FH62" s="12"/>
      <c r="FL62" s="12"/>
      <c r="FT62" s="10"/>
      <c r="FU62" s="10"/>
      <c r="FV62" s="10"/>
      <c r="FW62" s="10"/>
      <c r="FX62" s="10"/>
      <c r="GT62" s="13"/>
      <c r="GU62" s="43"/>
      <c r="GV62" s="45"/>
      <c r="GW62" s="149"/>
      <c r="GX62" s="150"/>
      <c r="IG62" s="42"/>
      <c r="IH62" s="43"/>
      <c r="II62" s="12"/>
      <c r="IY62" s="205"/>
      <c r="JU62" s="13"/>
      <c r="JV62" s="43"/>
      <c r="JW62" s="45"/>
      <c r="JX62" s="149"/>
      <c r="JY62" s="150"/>
    </row>
    <row r="63" spans="8:285" ht="18" customHeight="1">
      <c r="H63" s="4"/>
      <c r="S63" s="42"/>
      <c r="T63" s="43"/>
      <c r="U63" s="12"/>
      <c r="Z63" s="12"/>
      <c r="AD63" s="13"/>
      <c r="AF63" s="12"/>
      <c r="AH63" s="13"/>
      <c r="BC63" s="13"/>
      <c r="BE63" s="157"/>
      <c r="BF63" s="158"/>
      <c r="BG63" s="158"/>
      <c r="BH63" s="158"/>
      <c r="BI63" s="158"/>
      <c r="BJ63" s="159"/>
      <c r="BZ63" s="13"/>
      <c r="CA63" s="43"/>
      <c r="CB63" s="45"/>
      <c r="CF63" s="12"/>
      <c r="CL63" s="170"/>
      <c r="CM63" s="171"/>
      <c r="CN63" s="171"/>
      <c r="CO63" s="172"/>
      <c r="CP63" s="12"/>
      <c r="CZ63" s="13"/>
      <c r="DB63" s="171"/>
      <c r="DC63" s="171"/>
      <c r="DF63" s="13"/>
      <c r="DV63" s="12"/>
      <c r="DW63" s="13"/>
      <c r="FF63" s="42"/>
      <c r="FG63" s="43"/>
      <c r="FH63" s="12"/>
      <c r="FJ63" s="97"/>
      <c r="FL63" s="12"/>
      <c r="GT63" s="13"/>
      <c r="GU63" s="43"/>
      <c r="GV63" s="45"/>
      <c r="GW63" s="149"/>
      <c r="GX63" s="150"/>
      <c r="IG63" s="42"/>
      <c r="IH63" s="43"/>
      <c r="II63" s="12"/>
      <c r="IO63" s="97"/>
      <c r="IP63" s="97"/>
      <c r="IQ63" s="97"/>
      <c r="IR63" s="97"/>
      <c r="IY63" s="205"/>
      <c r="JU63" s="13"/>
      <c r="JV63" s="43"/>
      <c r="JW63" s="45"/>
      <c r="JX63" s="149"/>
      <c r="JY63" s="150"/>
    </row>
    <row r="64" spans="8:285" ht="18" customHeight="1">
      <c r="H64" s="4"/>
      <c r="S64" s="42"/>
      <c r="T64" s="43"/>
      <c r="U64" s="12"/>
      <c r="Z64" s="12"/>
      <c r="AD64" s="13"/>
      <c r="AF64" s="12"/>
      <c r="AH64" s="13"/>
      <c r="BC64" s="13"/>
      <c r="BE64" s="157"/>
      <c r="BF64" s="159"/>
      <c r="BG64" s="158"/>
      <c r="BH64" s="158"/>
      <c r="BI64" s="158"/>
      <c r="BJ64" s="159"/>
      <c r="BZ64" s="13"/>
      <c r="CA64" s="43"/>
      <c r="CB64" s="45"/>
      <c r="CF64" s="12"/>
      <c r="CL64" s="170"/>
      <c r="CM64" s="171"/>
      <c r="CN64" s="171"/>
      <c r="CO64" s="172"/>
      <c r="CP64" s="12"/>
      <c r="CZ64" s="13"/>
      <c r="DB64" s="171"/>
      <c r="DC64" s="171"/>
      <c r="DF64" s="13"/>
      <c r="DV64" s="12"/>
      <c r="DW64" s="13"/>
      <c r="FF64" s="42"/>
      <c r="FG64" s="43"/>
      <c r="FH64" s="12"/>
      <c r="FJ64" s="97"/>
      <c r="FL64" s="12"/>
      <c r="GT64" s="13"/>
      <c r="GU64" s="43"/>
      <c r="GV64" s="45"/>
      <c r="GW64" s="149"/>
      <c r="GX64" s="150"/>
      <c r="IG64" s="42"/>
      <c r="IH64" s="43"/>
      <c r="II64" s="12"/>
      <c r="IY64" s="205"/>
      <c r="JU64" s="13"/>
      <c r="JV64" s="43"/>
      <c r="JW64" s="45"/>
      <c r="JX64" s="149"/>
      <c r="JY64" s="150"/>
    </row>
    <row r="65" spans="8:285" ht="18" customHeight="1">
      <c r="H65" s="4"/>
      <c r="S65" s="42"/>
      <c r="T65" s="43"/>
      <c r="U65" s="12"/>
      <c r="Z65" s="12"/>
      <c r="AD65" s="13"/>
      <c r="AF65" s="14"/>
      <c r="AG65" s="15"/>
      <c r="AH65" s="16"/>
      <c r="BC65" s="13"/>
      <c r="BE65" s="160"/>
      <c r="BF65" s="161"/>
      <c r="BG65" s="162"/>
      <c r="BH65" s="162"/>
      <c r="BI65" s="162"/>
      <c r="BJ65" s="161"/>
      <c r="BX65" s="9"/>
      <c r="BY65" s="10"/>
      <c r="BZ65" s="11"/>
      <c r="CA65" s="43"/>
      <c r="CB65" s="45"/>
      <c r="CF65" s="14"/>
      <c r="CL65" s="170"/>
      <c r="CM65" s="171"/>
      <c r="CN65" s="171"/>
      <c r="CO65" s="172"/>
      <c r="CP65" s="14"/>
      <c r="CQ65" s="15"/>
      <c r="CR65" s="15"/>
      <c r="CS65" s="15"/>
      <c r="CT65" s="15"/>
      <c r="CU65" s="15"/>
      <c r="CV65" s="15"/>
      <c r="CW65" s="15"/>
      <c r="CX65" s="15"/>
      <c r="CY65" s="15"/>
      <c r="CZ65" s="16"/>
      <c r="DB65" s="171"/>
      <c r="DC65" s="171"/>
      <c r="DF65" s="13"/>
      <c r="DV65" s="12"/>
      <c r="DW65" s="13"/>
      <c r="FF65" s="42"/>
      <c r="FG65" s="43"/>
      <c r="FH65" s="12"/>
      <c r="FJ65" s="97"/>
      <c r="FL65" s="12"/>
      <c r="GT65" s="13"/>
      <c r="GU65" s="43"/>
      <c r="GV65" s="45"/>
      <c r="GW65" s="149"/>
      <c r="GX65" s="150"/>
      <c r="IG65" s="42"/>
      <c r="IH65" s="43"/>
      <c r="II65" s="14"/>
      <c r="IJ65" s="15"/>
      <c r="IK65" s="15"/>
      <c r="IL65" s="15"/>
      <c r="IM65" s="15"/>
      <c r="IN65" s="15"/>
      <c r="IO65" s="15"/>
      <c r="IP65" s="15"/>
      <c r="IQ65" s="15"/>
      <c r="IR65" s="15"/>
      <c r="IS65" s="15"/>
      <c r="IT65" s="15"/>
      <c r="IU65" s="15"/>
      <c r="IV65" s="15"/>
      <c r="IW65" s="15"/>
      <c r="IX65" s="15"/>
      <c r="IY65" s="206"/>
      <c r="IZ65" s="15"/>
      <c r="JA65" s="15"/>
      <c r="JB65" s="15"/>
      <c r="JC65" s="15"/>
      <c r="JD65" s="15"/>
      <c r="JE65" s="15"/>
      <c r="JF65" s="15"/>
      <c r="JG65" s="15"/>
      <c r="JH65" s="15"/>
      <c r="JI65" s="15"/>
      <c r="JJ65" s="15"/>
      <c r="JK65" s="15"/>
      <c r="JL65" s="15"/>
      <c r="JM65" s="15"/>
      <c r="JN65" s="15"/>
      <c r="JO65" s="15"/>
      <c r="JP65" s="15"/>
      <c r="JQ65" s="15"/>
      <c r="JR65" s="15"/>
      <c r="JS65" s="15"/>
      <c r="JT65" s="15"/>
      <c r="JU65" s="16"/>
      <c r="JV65" s="43"/>
      <c r="JW65" s="45"/>
      <c r="JX65" s="149"/>
      <c r="JY65" s="150"/>
    </row>
    <row r="66" spans="8:285" ht="18" customHeight="1">
      <c r="H66" s="4"/>
      <c r="S66" s="42"/>
      <c r="T66" s="43"/>
      <c r="U66" s="14"/>
      <c r="V66" s="15"/>
      <c r="W66" s="15"/>
      <c r="X66" s="15"/>
      <c r="Y66" s="15"/>
      <c r="Z66" s="14"/>
      <c r="AA66" s="15"/>
      <c r="AB66" s="15"/>
      <c r="AC66" s="15"/>
      <c r="AD66" s="16"/>
      <c r="AF66" s="14"/>
      <c r="BC66" s="13"/>
      <c r="BE66" s="160"/>
      <c r="BF66" s="161"/>
      <c r="BG66" s="162"/>
      <c r="BH66" s="162"/>
      <c r="BI66" s="162"/>
      <c r="BJ66" s="161"/>
      <c r="BX66" s="12"/>
      <c r="BZ66" s="176"/>
      <c r="CA66" s="43"/>
      <c r="CB66" s="45"/>
      <c r="CF66" s="11"/>
      <c r="CG66" s="181"/>
      <c r="CL66" s="170"/>
      <c r="CM66" s="171"/>
      <c r="CN66" s="171"/>
      <c r="CO66" s="172"/>
      <c r="CP66" s="12"/>
      <c r="CQ66" s="171"/>
      <c r="CR66" s="171"/>
      <c r="CS66" s="171"/>
      <c r="CT66" s="171"/>
      <c r="CV66" s="171"/>
      <c r="CW66" s="171"/>
      <c r="CX66" s="171"/>
      <c r="CY66" s="171"/>
      <c r="CZ66" s="13"/>
      <c r="DF66" s="145"/>
      <c r="DV66" s="12"/>
      <c r="DW66" s="13"/>
      <c r="FF66" s="42"/>
      <c r="FG66" s="43"/>
      <c r="FH66" s="12"/>
      <c r="FJ66" s="97"/>
      <c r="FL66" s="12"/>
      <c r="GT66" s="13"/>
      <c r="GU66" s="43"/>
      <c r="GV66" s="45"/>
      <c r="GW66" s="149"/>
      <c r="GX66" s="150"/>
      <c r="IG66" s="42"/>
      <c r="IH66" s="43"/>
      <c r="II66" s="43"/>
      <c r="IJ66" s="43"/>
      <c r="IK66" s="43"/>
      <c r="IL66" s="43"/>
      <c r="IM66" s="43"/>
      <c r="IN66" s="43"/>
      <c r="IO66" s="43"/>
      <c r="IP66" s="43"/>
      <c r="IQ66" s="43"/>
      <c r="IR66" s="43"/>
      <c r="IS66" s="43"/>
      <c r="IT66" s="43"/>
      <c r="IU66" s="43"/>
      <c r="IV66" s="43"/>
      <c r="IW66" s="43"/>
      <c r="IX66" s="43"/>
      <c r="IY66" s="43"/>
      <c r="IZ66" s="43"/>
      <c r="JA66" s="43"/>
      <c r="JB66" s="43"/>
      <c r="JC66" s="43"/>
      <c r="JD66" s="43"/>
      <c r="JE66" s="123"/>
      <c r="JF66" s="109"/>
      <c r="JG66" s="109"/>
      <c r="JH66" s="109"/>
      <c r="JI66" s="109"/>
      <c r="JJ66" s="124"/>
      <c r="JK66" s="43"/>
      <c r="JL66" s="43"/>
      <c r="JM66" s="43"/>
      <c r="JN66" s="43"/>
      <c r="JO66" s="127"/>
      <c r="JP66" s="127"/>
      <c r="JQ66" s="127"/>
      <c r="JR66" s="127"/>
      <c r="JS66" s="127"/>
      <c r="JT66" s="127"/>
      <c r="JU66" s="43"/>
      <c r="JV66" s="43"/>
      <c r="JW66" s="45"/>
      <c r="JX66" s="149"/>
      <c r="JY66" s="150"/>
    </row>
    <row r="67" spans="8:285" ht="18" customHeight="1">
      <c r="H67" s="4"/>
      <c r="S67" s="42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1"/>
      <c r="AF67" s="41"/>
      <c r="AG67" s="41"/>
      <c r="AH67" s="44"/>
      <c r="BC67" s="13"/>
      <c r="BE67" s="160"/>
      <c r="BF67" s="161"/>
      <c r="BG67" s="162"/>
      <c r="BH67" s="162"/>
      <c r="BI67" s="162"/>
      <c r="BJ67" s="161"/>
      <c r="BX67" s="12"/>
      <c r="BZ67" s="177"/>
      <c r="CA67" s="43"/>
      <c r="CB67" s="45"/>
      <c r="CG67" s="11"/>
      <c r="CH67" s="181"/>
      <c r="CI67" s="15"/>
      <c r="CJ67" s="15"/>
      <c r="CK67" s="15"/>
      <c r="CL67" s="14"/>
      <c r="CM67" s="15"/>
      <c r="CN67" s="15"/>
      <c r="CO67" s="16"/>
      <c r="CP67" s="14"/>
      <c r="CQ67" s="15"/>
      <c r="CR67" s="15"/>
      <c r="CS67" s="15"/>
      <c r="CT67" s="15"/>
      <c r="CU67" s="15"/>
      <c r="CV67" s="15"/>
      <c r="CW67" s="15"/>
      <c r="CX67" s="15"/>
      <c r="CY67" s="15"/>
      <c r="CZ67" s="16"/>
      <c r="DA67" s="15"/>
      <c r="DB67" s="15"/>
      <c r="DC67" s="15"/>
      <c r="DD67" s="15"/>
      <c r="DE67" s="16"/>
      <c r="DF67" s="183"/>
      <c r="DV67" s="12"/>
      <c r="DW67" s="13"/>
      <c r="FF67" s="42"/>
      <c r="FG67" s="43"/>
      <c r="FH67" s="12"/>
      <c r="FL67" s="12"/>
      <c r="GT67" s="13"/>
      <c r="GU67" s="43"/>
      <c r="GV67" s="45"/>
      <c r="GW67" s="149"/>
      <c r="GX67" s="150"/>
      <c r="IG67" s="46"/>
      <c r="IH67" s="47"/>
      <c r="II67" s="47"/>
      <c r="IJ67" s="47"/>
      <c r="IK67" s="47"/>
      <c r="IL67" s="43"/>
      <c r="IM67" s="47"/>
      <c r="IN67" s="43"/>
      <c r="IO67" s="47"/>
      <c r="IP67" s="43"/>
      <c r="IQ67" s="43"/>
      <c r="IR67" s="43"/>
      <c r="IS67" s="43"/>
      <c r="IT67" s="43"/>
      <c r="IU67" s="43"/>
      <c r="IV67" s="43"/>
      <c r="IW67" s="43"/>
      <c r="IX67" s="43"/>
      <c r="IY67" s="43"/>
      <c r="IZ67" s="43"/>
      <c r="JA67" s="43"/>
      <c r="JB67" s="43"/>
      <c r="JC67" s="43"/>
      <c r="JD67" s="43"/>
      <c r="JE67" s="40"/>
      <c r="JF67" s="41"/>
      <c r="JG67" s="41"/>
      <c r="JH67" s="41"/>
      <c r="JI67" s="41"/>
      <c r="JJ67" s="44"/>
      <c r="JK67" s="43"/>
      <c r="JL67" s="43"/>
      <c r="JM67" s="43"/>
      <c r="JN67" s="43"/>
      <c r="JO67" s="127"/>
      <c r="JP67" s="127"/>
      <c r="JQ67" s="127"/>
      <c r="JR67" s="127"/>
      <c r="JS67" s="127"/>
      <c r="JT67" s="127"/>
      <c r="JU67" s="43"/>
      <c r="JV67" s="43"/>
      <c r="JW67" s="45"/>
      <c r="JX67" s="152"/>
      <c r="JY67" s="153"/>
    </row>
    <row r="68" spans="8:285" ht="18" customHeight="1">
      <c r="H68" s="4"/>
      <c r="S68" s="46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3"/>
      <c r="AE68" s="43"/>
      <c r="AF68" s="43"/>
      <c r="AG68" s="43"/>
      <c r="AH68" s="45"/>
      <c r="BC68" s="13"/>
      <c r="BE68" s="160"/>
      <c r="BF68" s="161"/>
      <c r="BG68" s="163"/>
      <c r="BH68" s="163"/>
      <c r="BI68" s="163"/>
      <c r="BJ68" s="164"/>
      <c r="BX68" s="12"/>
      <c r="BZ68" s="177"/>
      <c r="CA68" s="43"/>
      <c r="CB68" s="45"/>
      <c r="CL68" s="18"/>
      <c r="DV68" s="12"/>
      <c r="DW68" s="13"/>
      <c r="FF68" s="42"/>
      <c r="FG68" s="43"/>
      <c r="FH68" s="12"/>
      <c r="FK68" s="13"/>
      <c r="FL68" s="12"/>
      <c r="GT68" s="13"/>
      <c r="GU68" s="43"/>
      <c r="GV68" s="45"/>
      <c r="GW68" s="149"/>
      <c r="GX68" s="150"/>
      <c r="ID68" s="146"/>
      <c r="IE68" s="147"/>
      <c r="IF68" s="146"/>
      <c r="IG68" s="168"/>
      <c r="IH68" s="146"/>
      <c r="II68" s="147"/>
      <c r="IJ68" s="147"/>
      <c r="IK68" s="147"/>
      <c r="IL68" s="147"/>
      <c r="IM68" s="147"/>
      <c r="IN68" s="147"/>
      <c r="IO68" s="147"/>
      <c r="IP68" s="147"/>
      <c r="IQ68" s="147"/>
      <c r="IR68" s="147"/>
      <c r="IS68" s="147"/>
      <c r="IT68" s="147"/>
      <c r="IU68" s="147"/>
      <c r="IV68" s="147"/>
      <c r="IW68" s="147"/>
      <c r="IX68" s="147"/>
      <c r="IY68" s="147"/>
      <c r="IZ68" s="147"/>
      <c r="JA68" s="147"/>
      <c r="JB68" s="147"/>
      <c r="JC68" s="147"/>
      <c r="JD68" s="147"/>
      <c r="JE68" s="147"/>
      <c r="JF68" s="147"/>
      <c r="JG68" s="148"/>
      <c r="JH68" s="147"/>
      <c r="JI68" s="147"/>
      <c r="JJ68" s="147"/>
      <c r="JK68" s="147"/>
      <c r="JL68" s="147"/>
      <c r="JM68" s="147"/>
      <c r="JN68" s="147"/>
      <c r="JO68" s="147"/>
      <c r="JP68" s="147"/>
      <c r="JQ68" s="147"/>
      <c r="JR68" s="147"/>
      <c r="JS68" s="147"/>
      <c r="JT68" s="147"/>
      <c r="JU68" s="147"/>
      <c r="JV68" s="147"/>
      <c r="JW68" s="147"/>
      <c r="JX68" s="146"/>
      <c r="JY68" s="147"/>
    </row>
    <row r="69" spans="8:285" ht="18" customHeight="1">
      <c r="H69" s="4"/>
      <c r="AB69" s="10"/>
      <c r="AC69" s="10"/>
      <c r="AD69" s="10"/>
      <c r="AE69" s="10"/>
      <c r="AF69" s="11"/>
      <c r="AG69" s="46"/>
      <c r="AH69" s="48"/>
      <c r="BC69" s="13"/>
      <c r="BE69" s="160"/>
      <c r="BF69" s="161"/>
      <c r="BG69" s="158"/>
      <c r="BH69" s="158"/>
      <c r="BI69" s="158"/>
      <c r="BJ69" s="159"/>
      <c r="BX69" s="12"/>
      <c r="BZ69" s="177"/>
      <c r="CA69" s="43"/>
      <c r="CB69" s="45"/>
      <c r="CL69" s="19"/>
      <c r="DV69" s="12"/>
      <c r="DW69" s="13"/>
      <c r="FF69" s="42"/>
      <c r="FG69" s="43"/>
      <c r="FH69" s="14"/>
      <c r="FI69" s="15"/>
      <c r="FJ69" s="15"/>
      <c r="FK69" s="16"/>
      <c r="FL69" s="15"/>
      <c r="FM69" s="15"/>
      <c r="FN69" s="15"/>
      <c r="FO69" s="15"/>
      <c r="FP69" s="15"/>
      <c r="FQ69" s="15"/>
      <c r="FR69" s="15"/>
      <c r="FS69" s="15"/>
      <c r="FT69" s="15"/>
      <c r="FU69" s="15"/>
      <c r="FV69" s="15"/>
      <c r="FW69" s="15"/>
      <c r="FX69" s="15"/>
      <c r="FY69" s="15"/>
      <c r="FZ69" s="15"/>
      <c r="GA69" s="15"/>
      <c r="GB69" s="15"/>
      <c r="GC69" s="15"/>
      <c r="GD69" s="15"/>
      <c r="GE69" s="15"/>
      <c r="GF69" s="15"/>
      <c r="GG69" s="15"/>
      <c r="GH69" s="15"/>
      <c r="GI69" s="15"/>
      <c r="GJ69" s="15"/>
      <c r="GK69" s="15"/>
      <c r="GL69" s="15"/>
      <c r="GM69" s="15"/>
      <c r="GN69" s="15"/>
      <c r="GO69" s="15"/>
      <c r="GP69" s="15"/>
      <c r="GQ69" s="15"/>
      <c r="GR69" s="15"/>
      <c r="GS69" s="15"/>
      <c r="GT69" s="16"/>
      <c r="GU69" s="43"/>
      <c r="GV69" s="45"/>
      <c r="GW69" s="149"/>
      <c r="GX69" s="150"/>
      <c r="ID69" s="149"/>
      <c r="IE69" s="150"/>
      <c r="IF69" s="149"/>
      <c r="IG69" s="170"/>
      <c r="IH69" s="149"/>
      <c r="II69" s="150"/>
      <c r="IJ69" s="150"/>
      <c r="IK69" s="150"/>
      <c r="IL69" s="150"/>
      <c r="IM69" s="150"/>
      <c r="IN69" s="150"/>
      <c r="IO69" s="150"/>
      <c r="IP69" s="150"/>
      <c r="IQ69" s="150"/>
      <c r="IR69" s="150"/>
      <c r="IS69" s="150"/>
      <c r="IT69" s="150"/>
      <c r="IU69" s="150"/>
      <c r="IV69" s="150"/>
      <c r="IW69" s="150"/>
      <c r="IX69" s="150"/>
      <c r="IY69" s="150"/>
      <c r="IZ69" s="150"/>
      <c r="JA69" s="150"/>
      <c r="JB69" s="150"/>
      <c r="JC69" s="150"/>
      <c r="JD69" s="150"/>
      <c r="JE69" s="150"/>
      <c r="JF69" s="150"/>
      <c r="JG69" s="151"/>
      <c r="JH69" s="150"/>
      <c r="JI69" s="150"/>
      <c r="JJ69" s="150"/>
      <c r="JK69" s="150"/>
      <c r="JL69" s="150"/>
      <c r="JM69" s="150"/>
      <c r="JN69" s="150"/>
      <c r="JO69" s="150"/>
      <c r="JP69" s="150"/>
      <c r="JQ69" s="150"/>
      <c r="JR69" s="150"/>
      <c r="JS69" s="150"/>
      <c r="JT69" s="150"/>
      <c r="JU69" s="150"/>
      <c r="JV69" s="150"/>
      <c r="JW69" s="150"/>
      <c r="JX69" s="149"/>
      <c r="JY69" s="150"/>
    </row>
    <row r="70" spans="8:285" ht="18" customHeight="1">
      <c r="H70" s="4"/>
      <c r="AF70" s="13"/>
      <c r="AG70" s="108"/>
      <c r="AH70" s="42"/>
      <c r="AI70" s="12"/>
      <c r="BC70" s="13"/>
      <c r="BE70" s="160"/>
      <c r="BF70" s="161"/>
      <c r="BG70" s="162"/>
      <c r="BH70" s="162"/>
      <c r="BI70" s="162"/>
      <c r="BJ70" s="161"/>
      <c r="BX70" s="12"/>
      <c r="BZ70" s="177"/>
      <c r="CA70" s="43"/>
      <c r="CB70" s="45"/>
      <c r="DV70" s="14"/>
      <c r="DW70" s="16"/>
      <c r="FF70" s="42"/>
      <c r="FG70" s="43"/>
      <c r="FH70" s="43"/>
      <c r="FI70" s="43"/>
      <c r="FJ70" s="43"/>
      <c r="FK70" s="43"/>
      <c r="FL70" s="43"/>
      <c r="FM70" s="43"/>
      <c r="FN70" s="43"/>
      <c r="FO70" s="43"/>
      <c r="FP70" s="43"/>
      <c r="FQ70" s="43"/>
      <c r="FR70" s="43"/>
      <c r="FS70" s="43"/>
      <c r="FT70" s="43"/>
      <c r="FU70" s="43"/>
      <c r="FV70" s="43"/>
      <c r="FW70" s="43"/>
      <c r="FX70" s="43"/>
      <c r="FY70" s="43"/>
      <c r="FZ70" s="43"/>
      <c r="GA70" s="43"/>
      <c r="GB70" s="43"/>
      <c r="GC70" s="43"/>
      <c r="GD70" s="123"/>
      <c r="GE70" s="109"/>
      <c r="GF70" s="109"/>
      <c r="GG70" s="109"/>
      <c r="GH70" s="109"/>
      <c r="GI70" s="124"/>
      <c r="GJ70" s="43"/>
      <c r="GK70" s="43"/>
      <c r="GL70" s="43"/>
      <c r="GM70" s="43"/>
      <c r="GN70" s="127"/>
      <c r="GO70" s="127"/>
      <c r="GP70" s="127"/>
      <c r="GQ70" s="127"/>
      <c r="GR70" s="127"/>
      <c r="GS70" s="127"/>
      <c r="GT70" s="43"/>
      <c r="GU70" s="43"/>
      <c r="GV70" s="45"/>
      <c r="GW70" s="149"/>
      <c r="GX70" s="150"/>
    </row>
    <row r="71" spans="8:285" ht="18" customHeight="1">
      <c r="H71" s="4"/>
      <c r="AF71" s="13"/>
      <c r="AG71" s="108"/>
      <c r="AH71" s="42"/>
      <c r="AI71" s="12"/>
      <c r="BC71" s="13"/>
      <c r="BE71" s="160"/>
      <c r="BF71" s="161"/>
      <c r="BG71" s="162"/>
      <c r="BH71" s="162"/>
      <c r="BI71" s="162"/>
      <c r="BJ71" s="161"/>
      <c r="BX71" s="12"/>
      <c r="BZ71" s="178"/>
      <c r="CA71" s="43"/>
      <c r="CB71" s="45"/>
      <c r="DW71" s="5"/>
      <c r="FF71" s="46"/>
      <c r="FG71" s="47"/>
      <c r="FH71" s="47"/>
      <c r="FI71" s="47"/>
      <c r="FJ71" s="47"/>
      <c r="FK71" s="43"/>
      <c r="FL71" s="47"/>
      <c r="FM71" s="43"/>
      <c r="FN71" s="47"/>
      <c r="FO71" s="43"/>
      <c r="FP71" s="43"/>
      <c r="FQ71" s="43"/>
      <c r="FR71" s="43"/>
      <c r="FS71" s="43"/>
      <c r="FT71" s="43"/>
      <c r="FU71" s="43"/>
      <c r="FV71" s="43"/>
      <c r="FW71" s="43"/>
      <c r="FX71" s="43"/>
      <c r="FY71" s="43"/>
      <c r="FZ71" s="43"/>
      <c r="GA71" s="43"/>
      <c r="GB71" s="43"/>
      <c r="GC71" s="43"/>
      <c r="GD71" s="40"/>
      <c r="GE71" s="41"/>
      <c r="GF71" s="41"/>
      <c r="GG71" s="41"/>
      <c r="GH71" s="41"/>
      <c r="GI71" s="44"/>
      <c r="GJ71" s="43"/>
      <c r="GK71" s="43"/>
      <c r="GL71" s="43"/>
      <c r="GM71" s="43"/>
      <c r="GN71" s="127"/>
      <c r="GO71" s="127"/>
      <c r="GP71" s="127"/>
      <c r="GQ71" s="127"/>
      <c r="GR71" s="127"/>
      <c r="GS71" s="127"/>
      <c r="GT71" s="43"/>
      <c r="GU71" s="43"/>
      <c r="GV71" s="45"/>
      <c r="GW71" s="152"/>
      <c r="GX71" s="153"/>
    </row>
    <row r="72" spans="8:285" ht="18" customHeight="1">
      <c r="H72" s="4"/>
      <c r="AF72" s="13"/>
      <c r="AG72" s="108"/>
      <c r="AH72" s="42"/>
      <c r="AI72" s="12"/>
      <c r="BC72" s="13"/>
      <c r="BE72" s="160"/>
      <c r="BF72" s="161"/>
      <c r="BG72" s="162"/>
      <c r="BH72" s="162"/>
      <c r="BI72" s="162"/>
      <c r="BJ72" s="161"/>
      <c r="BX72" s="14"/>
      <c r="BY72" s="15"/>
      <c r="BZ72" s="16"/>
      <c r="CA72" s="43"/>
      <c r="CB72" s="45"/>
      <c r="DW72" s="5"/>
      <c r="FC72" s="146"/>
      <c r="FD72" s="147"/>
      <c r="FE72" s="146"/>
      <c r="FF72" s="168"/>
      <c r="FG72" s="146"/>
      <c r="FH72" s="147"/>
      <c r="FI72" s="147"/>
      <c r="FJ72" s="147"/>
      <c r="FK72" s="147"/>
      <c r="FL72" s="147"/>
      <c r="FM72" s="147"/>
      <c r="FN72" s="147"/>
      <c r="FO72" s="147"/>
      <c r="FP72" s="147"/>
      <c r="FQ72" s="147"/>
      <c r="FR72" s="147"/>
      <c r="FS72" s="147"/>
      <c r="FT72" s="147"/>
      <c r="FU72" s="147"/>
      <c r="FV72" s="147"/>
      <c r="FW72" s="147"/>
      <c r="FX72" s="147"/>
      <c r="FY72" s="147"/>
      <c r="FZ72" s="147"/>
      <c r="GA72" s="147"/>
      <c r="GB72" s="147"/>
      <c r="GC72" s="147"/>
      <c r="GD72" s="147"/>
      <c r="GE72" s="147"/>
      <c r="GF72" s="148"/>
      <c r="GG72" s="147"/>
      <c r="GH72" s="147"/>
      <c r="GI72" s="147"/>
      <c r="GJ72" s="147"/>
      <c r="GK72" s="147"/>
      <c r="GL72" s="147"/>
      <c r="GM72" s="147"/>
      <c r="GN72" s="147"/>
      <c r="GO72" s="147"/>
      <c r="GP72" s="147"/>
      <c r="GQ72" s="147"/>
      <c r="GR72" s="147"/>
      <c r="GS72" s="147"/>
      <c r="GT72" s="147"/>
      <c r="GU72" s="147"/>
      <c r="GV72" s="147"/>
      <c r="GW72" s="146"/>
      <c r="GX72" s="147"/>
    </row>
    <row r="73" spans="8:285" ht="18" customHeight="1">
      <c r="H73" s="4"/>
      <c r="AG73" s="108"/>
      <c r="AH73" s="42"/>
      <c r="AI73" s="12"/>
      <c r="BC73" s="13"/>
      <c r="BE73" s="160"/>
      <c r="BF73" s="161"/>
      <c r="BG73" s="162"/>
      <c r="BH73" s="162"/>
      <c r="BI73" s="162"/>
      <c r="BJ73" s="161"/>
      <c r="BZ73" s="13"/>
      <c r="CA73" s="43"/>
      <c r="CB73" s="45"/>
      <c r="DW73" s="5"/>
      <c r="FC73" s="149"/>
      <c r="FD73" s="150"/>
      <c r="FE73" s="149"/>
      <c r="FF73" s="170"/>
      <c r="FG73" s="149"/>
      <c r="FH73" s="150"/>
      <c r="FI73" s="150"/>
      <c r="FJ73" s="150"/>
      <c r="FK73" s="150"/>
      <c r="FL73" s="150"/>
      <c r="FM73" s="150"/>
      <c r="FN73" s="150"/>
      <c r="FO73" s="150"/>
      <c r="FP73" s="150"/>
      <c r="FQ73" s="150"/>
      <c r="FR73" s="150"/>
      <c r="FS73" s="150"/>
      <c r="FT73" s="150"/>
      <c r="FU73" s="150"/>
      <c r="FV73" s="150"/>
      <c r="FW73" s="150"/>
      <c r="FX73" s="150"/>
      <c r="FY73" s="150"/>
      <c r="FZ73" s="150"/>
      <c r="GA73" s="150"/>
      <c r="GB73" s="150"/>
      <c r="GC73" s="150"/>
      <c r="GD73" s="150"/>
      <c r="GE73" s="150"/>
      <c r="GF73" s="151"/>
      <c r="GG73" s="150"/>
      <c r="GH73" s="150"/>
      <c r="GI73" s="150"/>
      <c r="GJ73" s="150"/>
      <c r="GK73" s="150"/>
      <c r="GL73" s="150"/>
      <c r="GM73" s="150"/>
      <c r="GN73" s="150"/>
      <c r="GO73" s="150"/>
      <c r="GP73" s="150"/>
      <c r="GQ73" s="150"/>
      <c r="GR73" s="150"/>
      <c r="GS73" s="150"/>
      <c r="GT73" s="150"/>
      <c r="GU73" s="150"/>
      <c r="GV73" s="150"/>
      <c r="GW73" s="149"/>
      <c r="GX73" s="150"/>
    </row>
    <row r="74" spans="8:285" ht="18" customHeight="1">
      <c r="H74" s="4"/>
      <c r="AF74" s="13"/>
      <c r="AG74" s="108"/>
      <c r="AH74" s="42"/>
      <c r="AI74" s="12"/>
      <c r="BC74" s="13"/>
      <c r="BE74" s="165"/>
      <c r="BF74" s="166"/>
      <c r="BG74" s="166"/>
      <c r="BH74" s="166"/>
      <c r="BI74" s="166"/>
      <c r="BJ74" s="167"/>
      <c r="BZ74" s="13"/>
      <c r="CA74" s="43"/>
      <c r="CB74" s="45"/>
      <c r="DW74" s="5"/>
    </row>
    <row r="75" spans="8:285" ht="18" customHeight="1">
      <c r="H75" s="4"/>
      <c r="AF75" s="13"/>
      <c r="AG75" s="126"/>
      <c r="AH75" s="46"/>
      <c r="AI75" s="12"/>
      <c r="BC75" s="13"/>
      <c r="BE75" s="12"/>
      <c r="BG75" s="13"/>
      <c r="BZ75" s="13"/>
      <c r="CA75" s="43"/>
      <c r="CB75" s="45"/>
      <c r="DW75" s="5"/>
    </row>
    <row r="76" spans="8:285" ht="18" customHeight="1">
      <c r="H76" s="4"/>
      <c r="AF76" s="13"/>
      <c r="AG76" s="43"/>
      <c r="AH76" s="43"/>
      <c r="AI76" s="14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6"/>
      <c r="BE76" s="12"/>
      <c r="BG76" s="13"/>
      <c r="BZ76" s="13"/>
      <c r="CA76" s="43"/>
      <c r="CB76" s="45"/>
      <c r="CC76" s="146"/>
      <c r="CD76" s="147"/>
      <c r="CE76" s="147"/>
      <c r="CF76" s="147"/>
      <c r="CG76" s="147"/>
      <c r="CH76" s="147"/>
      <c r="CI76" s="147"/>
      <c r="CJ76" s="147"/>
      <c r="CK76" s="147"/>
      <c r="CL76" s="147"/>
      <c r="CM76" s="147"/>
      <c r="CN76" s="147"/>
      <c r="CO76" s="147"/>
      <c r="CP76" s="147"/>
      <c r="CQ76" s="147"/>
      <c r="CR76" s="147"/>
      <c r="CS76" s="147"/>
      <c r="CT76" s="147"/>
      <c r="CU76" s="147"/>
      <c r="CV76" s="148"/>
      <c r="DW76" s="5"/>
    </row>
    <row r="77" spans="8:285" ht="18" customHeight="1">
      <c r="H77" s="4"/>
      <c r="AF77" s="13"/>
      <c r="AG77" s="42"/>
      <c r="AH77" s="43"/>
      <c r="AI77" s="12"/>
      <c r="BE77" s="14"/>
      <c r="BF77" s="15"/>
      <c r="BG77" s="16"/>
      <c r="BZ77" s="13"/>
      <c r="CA77" s="43"/>
      <c r="CB77" s="45"/>
      <c r="CC77" s="149"/>
      <c r="CD77" s="150"/>
      <c r="CE77" s="150"/>
      <c r="CF77" s="150"/>
      <c r="CG77" s="150"/>
      <c r="CH77" s="150"/>
      <c r="CI77" s="150"/>
      <c r="CJ77" s="150"/>
      <c r="CK77" s="150"/>
      <c r="CL77" s="150"/>
      <c r="CM77" s="150"/>
      <c r="CN77" s="150"/>
      <c r="CO77" s="150"/>
      <c r="CP77" s="150"/>
      <c r="CQ77" s="150"/>
      <c r="CR77" s="150"/>
      <c r="CS77" s="150"/>
      <c r="CT77" s="150"/>
      <c r="CU77" s="150"/>
      <c r="CV77" s="151"/>
      <c r="DW77" s="5"/>
    </row>
    <row r="78" spans="8:285" ht="18" customHeight="1">
      <c r="H78" s="4"/>
      <c r="AF78" s="13"/>
      <c r="AG78" s="43"/>
      <c r="AH78" s="43"/>
      <c r="AI78" s="9"/>
      <c r="AJ78" s="10"/>
      <c r="AK78" s="10"/>
      <c r="AL78" s="10"/>
      <c r="AM78" s="9"/>
      <c r="AN78" s="10"/>
      <c r="AO78" s="10"/>
      <c r="AP78" s="10"/>
      <c r="AQ78" s="10"/>
      <c r="AR78" s="11"/>
      <c r="AS78" s="10"/>
      <c r="AT78" s="10"/>
      <c r="AU78" s="10"/>
      <c r="AV78" s="139"/>
      <c r="AW78" s="52"/>
      <c r="AX78" s="52"/>
      <c r="AY78" s="52"/>
      <c r="AZ78" s="52"/>
      <c r="BA78" s="52"/>
      <c r="BB78" s="52"/>
      <c r="BC78" s="52"/>
      <c r="BD78" s="18"/>
      <c r="BZ78" s="13"/>
      <c r="CA78" s="43"/>
      <c r="CB78" s="45"/>
      <c r="CC78" s="184"/>
      <c r="CD78" s="185"/>
      <c r="CE78" s="185"/>
      <c r="CF78" s="185"/>
      <c r="CG78" s="185"/>
      <c r="CH78" s="185"/>
      <c r="CI78" s="185"/>
      <c r="CJ78" s="185"/>
      <c r="CK78" s="185"/>
      <c r="CL78" s="185"/>
      <c r="CM78" s="185"/>
      <c r="CN78" s="185"/>
      <c r="CO78" s="185"/>
      <c r="CP78" s="185"/>
      <c r="CQ78" s="185"/>
      <c r="CR78" s="185"/>
      <c r="CS78" s="146"/>
      <c r="CT78" s="148"/>
      <c r="CU78" s="150"/>
      <c r="CV78" s="151"/>
      <c r="DW78" s="5"/>
    </row>
    <row r="79" spans="8:285" ht="18" customHeight="1" thickBot="1">
      <c r="H79" s="4"/>
      <c r="AG79" s="42"/>
      <c r="AH79" s="43"/>
      <c r="AI79" s="12"/>
      <c r="AM79" s="14"/>
      <c r="AN79" s="15"/>
      <c r="AO79" s="15"/>
      <c r="AP79" s="15"/>
      <c r="AQ79" s="15"/>
      <c r="AR79" s="16"/>
      <c r="AV79" s="140"/>
      <c r="AW79" s="51"/>
      <c r="AX79" s="51"/>
      <c r="AY79" s="51"/>
      <c r="AZ79" s="51"/>
      <c r="BA79" s="51"/>
      <c r="BB79" s="51"/>
      <c r="BC79" s="51"/>
      <c r="BD79" s="18"/>
      <c r="BZ79" s="13"/>
      <c r="CA79" s="43"/>
      <c r="CB79" s="45"/>
      <c r="CC79" s="170"/>
      <c r="CD79" s="171"/>
      <c r="CE79" s="171"/>
      <c r="CF79" s="171"/>
      <c r="CG79" s="171"/>
      <c r="CH79" s="171"/>
      <c r="CI79" s="171"/>
      <c r="CJ79" s="171"/>
      <c r="CK79" s="171"/>
      <c r="CL79" s="171"/>
      <c r="CM79" s="171"/>
      <c r="CN79" s="171"/>
      <c r="CO79" s="171"/>
      <c r="CP79" s="171"/>
      <c r="CQ79" s="171"/>
      <c r="CR79" s="171"/>
      <c r="CS79" s="152"/>
      <c r="CT79" s="154"/>
      <c r="CU79" s="150"/>
      <c r="CV79" s="151"/>
      <c r="DW79" s="5"/>
      <c r="EA79" s="17"/>
      <c r="EB79" s="197"/>
      <c r="EC79" s="197"/>
      <c r="ED79" s="197"/>
      <c r="EE79" s="197"/>
      <c r="EF79" s="197"/>
      <c r="EG79" s="197"/>
      <c r="EH79" s="197"/>
      <c r="EI79" s="197"/>
      <c r="EJ79" s="197"/>
      <c r="EK79" s="197"/>
      <c r="EL79" s="197"/>
      <c r="EM79" s="197"/>
      <c r="EN79" s="197"/>
      <c r="EO79" s="197"/>
      <c r="EP79" s="197"/>
      <c r="EQ79" s="197"/>
      <c r="ER79" s="197"/>
      <c r="ES79" s="197"/>
      <c r="ET79" s="197"/>
      <c r="EU79" s="197"/>
      <c r="EV79" s="197"/>
      <c r="EW79" s="197"/>
      <c r="EX79" s="197"/>
      <c r="EY79" s="197"/>
      <c r="EZ79" s="197"/>
      <c r="FA79" s="197"/>
      <c r="FB79" s="197"/>
      <c r="FC79" s="197"/>
      <c r="FD79" s="197"/>
      <c r="FE79" s="197"/>
      <c r="FF79" s="197"/>
      <c r="FG79" s="197"/>
      <c r="FH79" s="197"/>
      <c r="FI79" s="197"/>
      <c r="FJ79" s="197"/>
      <c r="FK79" s="197"/>
      <c r="FL79" s="197"/>
      <c r="FM79" s="197"/>
      <c r="FN79" s="197"/>
      <c r="FO79" s="197"/>
      <c r="FP79" s="197"/>
      <c r="FQ79" s="197"/>
      <c r="FR79" s="197"/>
      <c r="FS79" s="197"/>
      <c r="FT79" s="197"/>
      <c r="FU79" s="197"/>
      <c r="FV79" s="197"/>
      <c r="FW79" s="197"/>
      <c r="FX79" s="197"/>
      <c r="FY79" s="197"/>
      <c r="FZ79" s="197"/>
      <c r="GA79" s="197"/>
      <c r="GB79" s="197"/>
      <c r="GC79" s="197"/>
      <c r="GD79" s="197"/>
      <c r="GE79" s="197"/>
      <c r="GF79" s="197"/>
      <c r="GG79" s="197"/>
      <c r="GH79" s="197"/>
      <c r="GI79" s="197"/>
      <c r="GJ79" s="17"/>
    </row>
    <row r="80" spans="8:285" ht="18" customHeight="1" thickTop="1">
      <c r="H80" s="4"/>
      <c r="AG80" s="42"/>
      <c r="AH80" s="43"/>
      <c r="AI80" s="12"/>
      <c r="AV80" s="140"/>
      <c r="AW80" s="51"/>
      <c r="AX80" s="51"/>
      <c r="AY80" s="51"/>
      <c r="AZ80" s="51"/>
      <c r="BA80" s="51"/>
      <c r="BB80" s="51"/>
      <c r="BC80" s="51"/>
      <c r="BD80" s="18"/>
      <c r="BZ80" s="13"/>
      <c r="CA80" s="43"/>
      <c r="CB80" s="45"/>
      <c r="CC80" s="146"/>
      <c r="CD80" s="147"/>
      <c r="CE80" s="147"/>
      <c r="CF80" s="147"/>
      <c r="CG80" s="147"/>
      <c r="CH80" s="147"/>
      <c r="CI80" s="147"/>
      <c r="CJ80" s="147"/>
      <c r="CK80" s="147"/>
      <c r="CL80" s="147"/>
      <c r="CM80" s="147"/>
      <c r="CN80" s="147"/>
      <c r="CO80" s="147"/>
      <c r="CP80" s="147"/>
      <c r="CQ80" s="147"/>
      <c r="CR80" s="148"/>
      <c r="CS80" s="172"/>
      <c r="CT80" s="151"/>
      <c r="CU80" s="150"/>
      <c r="CV80" s="151"/>
      <c r="DW80" s="5"/>
      <c r="EA80" s="18"/>
      <c r="EB80" s="193"/>
      <c r="EC80" s="193"/>
      <c r="ED80" s="193"/>
      <c r="EE80" s="193"/>
      <c r="EF80" s="193"/>
      <c r="EG80" s="193"/>
      <c r="EH80" s="193"/>
      <c r="EI80" s="193"/>
      <c r="EJ80" s="193"/>
      <c r="EK80" s="193"/>
      <c r="EL80" s="193"/>
      <c r="EM80" s="193"/>
      <c r="EN80" s="193"/>
      <c r="EO80" s="193"/>
      <c r="EP80" s="193"/>
      <c r="EQ80" s="193"/>
      <c r="ER80" s="193"/>
      <c r="ES80" s="193"/>
      <c r="ET80" s="193"/>
      <c r="EU80" s="193"/>
      <c r="EV80" s="193"/>
      <c r="EW80" s="193"/>
      <c r="EX80" s="193"/>
      <c r="EY80" s="193"/>
      <c r="EZ80" s="193"/>
      <c r="FA80" s="193"/>
      <c r="FB80" s="193"/>
      <c r="FC80" s="193"/>
      <c r="FD80" s="193"/>
      <c r="FE80" s="193"/>
      <c r="FF80" s="193"/>
      <c r="FG80" s="193"/>
      <c r="FH80" s="193"/>
      <c r="FI80" s="193"/>
      <c r="FJ80" s="193"/>
      <c r="FK80" s="193"/>
      <c r="FL80" s="193"/>
      <c r="FM80" s="193"/>
      <c r="FN80" s="193"/>
      <c r="FO80" s="193"/>
      <c r="FP80" s="193"/>
      <c r="FQ80" s="193"/>
      <c r="FR80" s="193"/>
      <c r="FS80" s="193"/>
      <c r="FT80" s="193"/>
      <c r="FU80" s="193"/>
      <c r="FV80" s="193"/>
      <c r="FW80" s="193"/>
      <c r="FX80" s="193"/>
      <c r="FY80" s="193"/>
      <c r="FZ80" s="193"/>
      <c r="GA80" s="193"/>
      <c r="GB80" s="193"/>
      <c r="GC80" s="193"/>
      <c r="GD80" s="193"/>
      <c r="GE80" s="193"/>
      <c r="GF80" s="193"/>
      <c r="GG80" s="193"/>
      <c r="GH80" s="193"/>
      <c r="GI80" s="193"/>
      <c r="GJ80" s="18"/>
    </row>
    <row r="81" spans="8:288" ht="18" customHeight="1">
      <c r="H81" s="4"/>
      <c r="AG81" s="42"/>
      <c r="AH81" s="43"/>
      <c r="AI81" s="12"/>
      <c r="AV81" s="140"/>
      <c r="AW81" s="51"/>
      <c r="AX81" s="51"/>
      <c r="AY81" s="51"/>
      <c r="AZ81" s="51"/>
      <c r="BA81" s="51"/>
      <c r="BB81" s="51"/>
      <c r="BC81" s="51"/>
      <c r="BD81" s="18"/>
      <c r="BZ81" s="13"/>
      <c r="CA81" s="43"/>
      <c r="CB81" s="45"/>
      <c r="CC81" s="149"/>
      <c r="CD81" s="150"/>
      <c r="CE81" s="150"/>
      <c r="CF81" s="150"/>
      <c r="CG81" s="150"/>
      <c r="CH81" s="150"/>
      <c r="CI81" s="150"/>
      <c r="CJ81" s="150"/>
      <c r="CK81" s="150"/>
      <c r="CL81" s="150"/>
      <c r="CM81" s="150"/>
      <c r="CN81" s="150"/>
      <c r="CO81" s="150"/>
      <c r="CP81" s="150"/>
      <c r="CQ81" s="150"/>
      <c r="CR81" s="151"/>
      <c r="CS81" s="172"/>
      <c r="CT81" s="151"/>
      <c r="CU81" s="150"/>
      <c r="CV81" s="151"/>
      <c r="DW81" s="5"/>
      <c r="EA81" s="18"/>
      <c r="GJ81" s="18"/>
    </row>
    <row r="82" spans="8:288" ht="18" customHeight="1">
      <c r="H82" s="4"/>
      <c r="AG82" s="42"/>
      <c r="AH82" s="43"/>
      <c r="AI82" s="12"/>
      <c r="AM82" s="9"/>
      <c r="AN82" s="10"/>
      <c r="AO82" s="10"/>
      <c r="AP82" s="10"/>
      <c r="AQ82" s="10"/>
      <c r="AR82" s="10"/>
      <c r="AS82" s="10"/>
      <c r="AT82" s="10"/>
      <c r="AU82" s="10"/>
      <c r="AV82" s="139"/>
      <c r="AW82" s="52"/>
      <c r="AX82" s="52"/>
      <c r="AY82" s="52"/>
      <c r="AZ82" s="52"/>
      <c r="BA82" s="52"/>
      <c r="BB82" s="52"/>
      <c r="BC82" s="52"/>
      <c r="BD82" s="17"/>
      <c r="BZ82" s="13"/>
      <c r="CA82" s="43"/>
      <c r="CB82" s="45"/>
      <c r="CC82" s="149"/>
      <c r="CD82" s="150"/>
      <c r="CE82" s="150"/>
      <c r="CF82" s="150"/>
      <c r="CG82" s="150"/>
      <c r="CH82" s="150"/>
      <c r="CI82" s="150"/>
      <c r="CJ82" s="150"/>
      <c r="CK82" s="150"/>
      <c r="CL82" s="150"/>
      <c r="CM82" s="150"/>
      <c r="CN82" s="150"/>
      <c r="CO82" s="150"/>
      <c r="CP82" s="150"/>
      <c r="CQ82" s="150"/>
      <c r="CR82" s="151"/>
      <c r="CS82" s="172"/>
      <c r="CT82" s="151"/>
      <c r="CU82" s="150"/>
      <c r="CV82" s="151"/>
      <c r="DW82" s="5"/>
      <c r="EA82" s="18"/>
      <c r="EB82" s="9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1"/>
      <c r="GJ82" s="18"/>
    </row>
    <row r="83" spans="8:288" ht="18" customHeight="1">
      <c r="H83" s="4"/>
      <c r="AG83" s="125"/>
      <c r="AH83" s="125"/>
      <c r="AI83" s="12"/>
      <c r="AM83" s="12"/>
      <c r="AV83" s="140"/>
      <c r="AW83" s="51"/>
      <c r="AX83" s="51"/>
      <c r="AY83" s="51"/>
      <c r="AZ83" s="51"/>
      <c r="BA83" s="51"/>
      <c r="BB83" s="51"/>
      <c r="BC83" s="51"/>
      <c r="BD83" s="18"/>
      <c r="BZ83" s="13"/>
      <c r="CA83" s="125"/>
      <c r="CB83" s="125"/>
      <c r="CC83" s="149"/>
      <c r="CD83" s="150"/>
      <c r="CE83" s="150"/>
      <c r="CF83" s="150"/>
      <c r="CG83" s="150"/>
      <c r="CH83" s="150"/>
      <c r="CI83" s="150"/>
      <c r="CJ83" s="150"/>
      <c r="CK83" s="150"/>
      <c r="CL83" s="150"/>
      <c r="CM83" s="150"/>
      <c r="CN83" s="150"/>
      <c r="CO83" s="150"/>
      <c r="CP83" s="150"/>
      <c r="CQ83" s="150"/>
      <c r="CR83" s="151"/>
      <c r="CS83" s="172"/>
      <c r="CT83" s="151"/>
      <c r="CU83" s="150"/>
      <c r="CV83" s="151"/>
      <c r="DW83" s="5"/>
      <c r="EA83" s="18"/>
      <c r="EB83" s="12"/>
      <c r="GI83" s="13"/>
      <c r="GJ83" s="18"/>
    </row>
    <row r="84" spans="8:288" ht="18" customHeight="1">
      <c r="H84" s="4"/>
      <c r="AG84" s="108"/>
      <c r="AH84" s="108"/>
      <c r="AI84" s="12"/>
      <c r="AJ84" s="168"/>
      <c r="AK84" s="169"/>
      <c r="AM84" s="12"/>
      <c r="AV84" s="140"/>
      <c r="AW84" s="51"/>
      <c r="AX84" s="51"/>
      <c r="AY84" s="51"/>
      <c r="AZ84" s="51"/>
      <c r="BA84" s="51"/>
      <c r="BB84" s="51"/>
      <c r="BC84" s="51"/>
      <c r="BD84" s="18"/>
      <c r="BZ84" s="13"/>
      <c r="CA84" s="108"/>
      <c r="CB84" s="108"/>
      <c r="CC84" s="149"/>
      <c r="CD84" s="150"/>
      <c r="CE84" s="150"/>
      <c r="CF84" s="150"/>
      <c r="CG84" s="150"/>
      <c r="CH84" s="150"/>
      <c r="CI84" s="150"/>
      <c r="CJ84" s="150"/>
      <c r="CK84" s="150"/>
      <c r="CL84" s="150"/>
      <c r="CM84" s="150"/>
      <c r="CN84" s="150"/>
      <c r="CO84" s="150"/>
      <c r="CP84" s="150"/>
      <c r="CQ84" s="150"/>
      <c r="CR84" s="151"/>
      <c r="CS84" s="172"/>
      <c r="CT84" s="186"/>
      <c r="CU84" s="147"/>
      <c r="CV84" s="148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9"/>
      <c r="DW84" s="11"/>
      <c r="EA84" s="18"/>
      <c r="EB84" s="12"/>
      <c r="GI84" s="13"/>
      <c r="GJ84" s="18"/>
    </row>
    <row r="85" spans="8:288" ht="18" customHeight="1">
      <c r="H85" s="4"/>
      <c r="AG85" s="108"/>
      <c r="AH85" s="108"/>
      <c r="AI85" s="12"/>
      <c r="AJ85" s="170"/>
      <c r="AK85" s="172"/>
      <c r="AM85" s="12"/>
      <c r="AV85" s="140"/>
      <c r="AW85" s="51"/>
      <c r="AX85" s="51"/>
      <c r="AY85" s="51"/>
      <c r="AZ85" s="51"/>
      <c r="BA85" s="51"/>
      <c r="BB85" s="51"/>
      <c r="BC85" s="51"/>
      <c r="BD85" s="18"/>
      <c r="BZ85" s="13"/>
      <c r="CA85" s="108"/>
      <c r="CB85" s="108"/>
      <c r="CC85" s="149"/>
      <c r="CD85" s="150"/>
      <c r="CE85" s="150"/>
      <c r="CF85" s="150"/>
      <c r="CG85" s="150"/>
      <c r="CH85" s="150"/>
      <c r="CI85" s="150"/>
      <c r="CJ85" s="150"/>
      <c r="CK85" s="150"/>
      <c r="CL85" s="150"/>
      <c r="CM85" s="150"/>
      <c r="CN85" s="150"/>
      <c r="CO85" s="150"/>
      <c r="CP85" s="150"/>
      <c r="CQ85" s="150"/>
      <c r="CR85" s="151"/>
      <c r="CS85" s="172"/>
      <c r="CT85" s="187"/>
      <c r="CU85" s="150"/>
      <c r="CV85" s="151"/>
      <c r="DV85" s="12"/>
      <c r="DW85" s="13"/>
      <c r="DZ85" s="20"/>
      <c r="EA85" s="21"/>
      <c r="EB85" s="21"/>
      <c r="EC85" s="21"/>
      <c r="ED85" s="21"/>
      <c r="EE85" s="21"/>
      <c r="EF85" s="21"/>
      <c r="EG85" s="21"/>
      <c r="EH85" s="21"/>
      <c r="EI85" s="21"/>
      <c r="EJ85" s="21"/>
      <c r="EK85" s="21"/>
      <c r="EL85" s="21"/>
      <c r="EM85" s="21"/>
      <c r="EN85" s="21"/>
      <c r="EO85" s="21"/>
      <c r="EP85" s="21"/>
      <c r="EQ85" s="21"/>
      <c r="ER85" s="21"/>
      <c r="ES85" s="21"/>
      <c r="ET85" s="21"/>
      <c r="EU85" s="21"/>
      <c r="EV85" s="21"/>
      <c r="EW85" s="21"/>
      <c r="EX85" s="21"/>
      <c r="EY85" s="21"/>
      <c r="EZ85" s="21"/>
      <c r="FA85" s="21"/>
      <c r="FB85" s="21"/>
      <c r="FC85" s="21"/>
      <c r="FD85" s="21"/>
      <c r="FE85" s="21"/>
      <c r="FF85" s="21"/>
      <c r="FG85" s="21"/>
      <c r="FH85" s="21"/>
      <c r="FI85" s="21"/>
      <c r="FJ85" s="21"/>
      <c r="FK85" s="21"/>
      <c r="FL85" s="21"/>
      <c r="FM85" s="21"/>
      <c r="FN85" s="21"/>
      <c r="FO85" s="21"/>
      <c r="FP85" s="21"/>
      <c r="FQ85" s="21"/>
      <c r="FR85" s="21"/>
      <c r="FS85" s="21"/>
      <c r="FT85" s="21"/>
      <c r="FU85" s="21"/>
      <c r="FV85" s="21"/>
      <c r="FW85" s="21"/>
      <c r="FX85" s="21"/>
      <c r="FY85" s="21"/>
      <c r="FZ85" s="21"/>
      <c r="GA85" s="21"/>
      <c r="GB85" s="21"/>
      <c r="GC85" s="21"/>
      <c r="GD85" s="21"/>
      <c r="GE85" s="21"/>
      <c r="GF85" s="21"/>
      <c r="GG85" s="21"/>
      <c r="GH85" s="21"/>
      <c r="GI85" s="21"/>
      <c r="GJ85" s="21"/>
      <c r="GK85" s="22"/>
    </row>
    <row r="86" spans="8:288" ht="18" customHeight="1">
      <c r="H86" s="4"/>
      <c r="AG86" s="108"/>
      <c r="AH86" s="108"/>
      <c r="AI86" s="12"/>
      <c r="AJ86" s="170"/>
      <c r="AK86" s="172"/>
      <c r="AM86" s="12"/>
      <c r="AV86" s="140"/>
      <c r="AW86" s="51"/>
      <c r="AX86" s="51"/>
      <c r="AY86" s="51"/>
      <c r="AZ86" s="51"/>
      <c r="BA86" s="51"/>
      <c r="BB86" s="51"/>
      <c r="BC86" s="51"/>
      <c r="BD86" s="18"/>
      <c r="BZ86" s="13"/>
      <c r="CA86" s="108"/>
      <c r="CB86" s="108"/>
      <c r="CC86" s="149"/>
      <c r="CD86" s="150"/>
      <c r="CE86" s="150"/>
      <c r="CF86" s="150"/>
      <c r="CG86" s="150"/>
      <c r="CH86" s="150"/>
      <c r="CI86" s="150"/>
      <c r="CJ86" s="150"/>
      <c r="CK86" s="150"/>
      <c r="CL86" s="150"/>
      <c r="CM86" s="150"/>
      <c r="CN86" s="150"/>
      <c r="CO86" s="150"/>
      <c r="CP86" s="150"/>
      <c r="CQ86" s="150"/>
      <c r="CR86" s="151"/>
      <c r="CS86" s="172"/>
      <c r="CT86" s="187"/>
      <c r="CU86" s="150"/>
      <c r="CV86" s="151"/>
      <c r="DV86" s="12"/>
      <c r="DW86" s="13"/>
      <c r="EA86" s="12"/>
      <c r="EB86" s="13"/>
      <c r="EL86" s="189"/>
      <c r="EW86" s="18"/>
      <c r="EX86" s="12"/>
      <c r="FH86" s="9"/>
      <c r="FI86" s="11"/>
      <c r="FQ86" s="13"/>
      <c r="FR86" s="18"/>
      <c r="FS86" s="12"/>
      <c r="GI86" s="12"/>
      <c r="GJ86" s="13"/>
    </row>
    <row r="87" spans="8:288" ht="18" customHeight="1">
      <c r="H87" s="4"/>
      <c r="AG87" s="108"/>
      <c r="AH87" s="108"/>
      <c r="AI87" s="12"/>
      <c r="AJ87" s="173"/>
      <c r="AK87" s="174"/>
      <c r="AM87" s="12"/>
      <c r="AV87" s="140"/>
      <c r="AW87" s="51"/>
      <c r="AX87" s="51"/>
      <c r="AY87" s="51"/>
      <c r="AZ87" s="51"/>
      <c r="BA87" s="51"/>
      <c r="BB87" s="51"/>
      <c r="BC87" s="51"/>
      <c r="BD87" s="18"/>
      <c r="BZ87" s="13"/>
      <c r="CA87" s="108"/>
      <c r="CB87" s="108"/>
      <c r="CC87" s="149"/>
      <c r="CD87" s="150"/>
      <c r="CE87" s="150"/>
      <c r="CF87" s="150"/>
      <c r="CG87" s="150"/>
      <c r="CH87" s="150"/>
      <c r="CI87" s="150"/>
      <c r="CJ87" s="150"/>
      <c r="CK87" s="150"/>
      <c r="CL87" s="150"/>
      <c r="CM87" s="150"/>
      <c r="CN87" s="150"/>
      <c r="CO87" s="150"/>
      <c r="CP87" s="150"/>
      <c r="CQ87" s="150"/>
      <c r="CR87" s="151"/>
      <c r="CS87" s="172"/>
      <c r="CT87" s="187"/>
      <c r="CU87" s="150"/>
      <c r="CV87" s="151"/>
      <c r="DV87" s="12"/>
      <c r="DW87" s="13"/>
      <c r="EA87" s="12"/>
      <c r="EB87" s="13"/>
      <c r="EL87" s="190"/>
      <c r="EW87" s="18"/>
      <c r="EX87" s="12"/>
      <c r="FH87" s="12"/>
      <c r="FI87" s="13"/>
      <c r="FQ87" s="13"/>
      <c r="FR87" s="18"/>
      <c r="FS87" s="12"/>
      <c r="GI87" s="12"/>
      <c r="GJ87" s="13"/>
    </row>
    <row r="88" spans="8:288" ht="18" customHeight="1">
      <c r="H88" s="4"/>
      <c r="AG88" s="126"/>
      <c r="AH88" s="126"/>
      <c r="AI88" s="12"/>
      <c r="AM88" s="12"/>
      <c r="AV88" s="140"/>
      <c r="AW88" s="51"/>
      <c r="AX88" s="51"/>
      <c r="AY88" s="51"/>
      <c r="AZ88" s="51"/>
      <c r="BA88" s="51"/>
      <c r="BB88" s="51"/>
      <c r="BC88" s="51"/>
      <c r="BD88" s="18"/>
      <c r="BZ88" s="13"/>
      <c r="CA88" s="126"/>
      <c r="CB88" s="126"/>
      <c r="CC88" s="149"/>
      <c r="CD88" s="150"/>
      <c r="CE88" s="150"/>
      <c r="CF88" s="150"/>
      <c r="CG88" s="150"/>
      <c r="CH88" s="150"/>
      <c r="CI88" s="150"/>
      <c r="CJ88" s="150"/>
      <c r="CK88" s="150"/>
      <c r="CL88" s="150"/>
      <c r="CM88" s="150"/>
      <c r="CN88" s="150"/>
      <c r="CO88" s="150"/>
      <c r="CP88" s="150"/>
      <c r="CQ88" s="150"/>
      <c r="CR88" s="151"/>
      <c r="CS88" s="172"/>
      <c r="CT88" s="187"/>
      <c r="CU88" s="150"/>
      <c r="CV88" s="151"/>
      <c r="DV88" s="12"/>
      <c r="DW88" s="13"/>
      <c r="EA88" s="12"/>
      <c r="EB88" s="13"/>
      <c r="EL88" s="190"/>
      <c r="EW88" s="18"/>
      <c r="EX88" s="12"/>
      <c r="FH88" s="12"/>
      <c r="FI88" s="13"/>
      <c r="FQ88" s="13"/>
      <c r="FR88" s="18"/>
      <c r="FS88" s="12"/>
      <c r="GI88" s="12"/>
      <c r="GJ88" s="13"/>
    </row>
    <row r="89" spans="8:288" ht="18" customHeight="1">
      <c r="H89" s="4"/>
      <c r="AG89" s="42"/>
      <c r="AH89" s="43"/>
      <c r="AI89" s="12"/>
      <c r="AM89" s="14"/>
      <c r="AN89" s="15"/>
      <c r="AO89" s="15"/>
      <c r="AP89" s="15"/>
      <c r="AQ89" s="15"/>
      <c r="AR89" s="15"/>
      <c r="AS89" s="15"/>
      <c r="AT89" s="15"/>
      <c r="AU89" s="15"/>
      <c r="AV89" s="203"/>
      <c r="AW89" s="54"/>
      <c r="AX89" s="54"/>
      <c r="AY89" s="54"/>
      <c r="AZ89" s="54"/>
      <c r="BA89" s="54"/>
      <c r="BB89" s="54"/>
      <c r="BC89" s="54"/>
      <c r="BD89" s="19"/>
      <c r="BZ89" s="13"/>
      <c r="CA89" s="43"/>
      <c r="CB89" s="45"/>
      <c r="CC89" s="149"/>
      <c r="CD89" s="150"/>
      <c r="CE89" s="150"/>
      <c r="CF89" s="150"/>
      <c r="CG89" s="150"/>
      <c r="CH89" s="150"/>
      <c r="CI89" s="150"/>
      <c r="CJ89" s="150"/>
      <c r="CK89" s="150"/>
      <c r="CL89" s="150"/>
      <c r="CM89" s="150"/>
      <c r="CN89" s="150"/>
      <c r="CO89" s="150"/>
      <c r="CP89" s="150"/>
      <c r="CQ89" s="150"/>
      <c r="CR89" s="151"/>
      <c r="CS89" s="172"/>
      <c r="CT89" s="187"/>
      <c r="CU89" s="150"/>
      <c r="CV89" s="151"/>
      <c r="DV89" s="12"/>
      <c r="DW89" s="13"/>
      <c r="EA89" s="12"/>
      <c r="EB89" s="13"/>
      <c r="EL89" s="190"/>
      <c r="EW89" s="18"/>
      <c r="EX89" s="12"/>
      <c r="FH89" s="12"/>
      <c r="FI89" s="13"/>
      <c r="FQ89" s="13"/>
      <c r="FR89" s="18"/>
      <c r="FS89" s="12"/>
      <c r="GI89" s="12"/>
      <c r="GJ89" s="13"/>
    </row>
    <row r="90" spans="8:288" ht="18" customHeight="1">
      <c r="H90" s="4"/>
      <c r="AG90" s="42"/>
      <c r="AH90" s="43"/>
      <c r="AI90" s="12"/>
      <c r="AV90" s="140"/>
      <c r="AW90" s="51"/>
      <c r="AX90" s="51"/>
      <c r="AY90" s="51"/>
      <c r="AZ90" s="51"/>
      <c r="BA90" s="51"/>
      <c r="BB90" s="51"/>
      <c r="BC90" s="51"/>
      <c r="BD90" s="18"/>
      <c r="BZ90" s="13"/>
      <c r="CA90" s="43"/>
      <c r="CB90" s="45"/>
      <c r="CC90" s="149"/>
      <c r="CD90" s="150"/>
      <c r="CE90" s="150"/>
      <c r="CF90" s="150"/>
      <c r="CG90" s="150"/>
      <c r="CH90" s="150"/>
      <c r="CI90" s="150"/>
      <c r="CJ90" s="150"/>
      <c r="CK90" s="150"/>
      <c r="CL90" s="150"/>
      <c r="CM90" s="150"/>
      <c r="CN90" s="150"/>
      <c r="CO90" s="150"/>
      <c r="CP90" s="150"/>
      <c r="CQ90" s="150"/>
      <c r="CR90" s="151"/>
      <c r="CS90" s="172"/>
      <c r="CT90" s="187"/>
      <c r="CU90" s="150"/>
      <c r="CV90" s="151"/>
      <c r="DV90" s="12"/>
      <c r="DW90" s="13"/>
      <c r="EA90" s="12"/>
      <c r="EB90" s="13"/>
      <c r="EL90" s="190"/>
      <c r="EW90" s="18"/>
      <c r="EX90" s="12"/>
      <c r="FH90" s="12"/>
      <c r="FI90" s="13"/>
      <c r="FQ90" s="13"/>
      <c r="FR90" s="18"/>
      <c r="FS90" s="12"/>
      <c r="GI90" s="12"/>
      <c r="GJ90" s="13"/>
    </row>
    <row r="91" spans="8:288" ht="18" customHeight="1">
      <c r="H91" s="4"/>
      <c r="AG91" s="42"/>
      <c r="AH91" s="43"/>
      <c r="AI91" s="12"/>
      <c r="AV91" s="140"/>
      <c r="AW91" s="51"/>
      <c r="AX91" s="51"/>
      <c r="AY91" s="51"/>
      <c r="AZ91" s="51"/>
      <c r="BA91" s="51"/>
      <c r="BB91" s="51"/>
      <c r="BC91" s="51"/>
      <c r="BD91" s="18"/>
      <c r="BZ91" s="13"/>
      <c r="CA91" s="43"/>
      <c r="CB91" s="45"/>
      <c r="CC91" s="149"/>
      <c r="CD91" s="150"/>
      <c r="CE91" s="150"/>
      <c r="CF91" s="150"/>
      <c r="CG91" s="150"/>
      <c r="CH91" s="150"/>
      <c r="CI91" s="150"/>
      <c r="CJ91" s="150"/>
      <c r="CK91" s="150"/>
      <c r="CL91" s="150"/>
      <c r="CM91" s="150"/>
      <c r="CN91" s="150"/>
      <c r="CO91" s="150"/>
      <c r="CP91" s="150"/>
      <c r="CQ91" s="150"/>
      <c r="CR91" s="151"/>
      <c r="CS91" s="172"/>
      <c r="CT91" s="188"/>
      <c r="CU91" s="153"/>
      <c r="CV91" s="154"/>
      <c r="CW91" s="15"/>
      <c r="CX91" s="15"/>
      <c r="CY91" s="15"/>
      <c r="CZ91" s="15"/>
      <c r="DA91" s="15"/>
      <c r="DB91" s="15"/>
      <c r="DC91" s="15"/>
      <c r="DD91" s="15"/>
      <c r="DE91" s="15"/>
      <c r="DF91" s="15"/>
      <c r="DG91" s="15"/>
      <c r="DH91" s="15"/>
      <c r="DI91" s="15"/>
      <c r="DJ91" s="15"/>
      <c r="DK91" s="15"/>
      <c r="DL91" s="15"/>
      <c r="DM91" s="15"/>
      <c r="DN91" s="15"/>
      <c r="DO91" s="15"/>
      <c r="DP91" s="15"/>
      <c r="DQ91" s="15"/>
      <c r="DR91" s="15"/>
      <c r="DS91" s="15"/>
      <c r="DT91" s="15"/>
      <c r="DU91" s="15"/>
      <c r="DV91" s="14"/>
      <c r="DW91" s="16"/>
      <c r="EA91" s="12"/>
      <c r="EB91" s="13"/>
      <c r="EL91" s="190"/>
      <c r="EW91" s="18"/>
      <c r="EX91" s="12"/>
      <c r="FH91" s="12"/>
      <c r="FI91" s="13"/>
      <c r="FQ91" s="13"/>
      <c r="FR91" s="18"/>
      <c r="FS91" s="12"/>
      <c r="GI91" s="12"/>
      <c r="GJ91" s="13"/>
    </row>
    <row r="92" spans="8:288" ht="18" customHeight="1">
      <c r="H92" s="4"/>
      <c r="AG92" s="42"/>
      <c r="AH92" s="43"/>
      <c r="AI92" s="12"/>
      <c r="AM92" s="9"/>
      <c r="AN92" s="10"/>
      <c r="AO92" s="10"/>
      <c r="AP92" s="10"/>
      <c r="AQ92" s="10"/>
      <c r="AR92" s="11"/>
      <c r="AV92" s="140"/>
      <c r="AW92" s="51"/>
      <c r="AX92" s="51"/>
      <c r="AY92" s="51"/>
      <c r="AZ92" s="51"/>
      <c r="BA92" s="51"/>
      <c r="BB92" s="51"/>
      <c r="BC92" s="51"/>
      <c r="BD92" s="18"/>
      <c r="BZ92" s="13"/>
      <c r="CA92" s="43"/>
      <c r="CB92" s="45"/>
      <c r="CC92" s="149"/>
      <c r="CD92" s="150"/>
      <c r="CE92" s="150"/>
      <c r="CF92" s="150"/>
      <c r="CG92" s="150"/>
      <c r="CH92" s="150"/>
      <c r="CI92" s="150"/>
      <c r="CJ92" s="150"/>
      <c r="CK92" s="150"/>
      <c r="CL92" s="150"/>
      <c r="CM92" s="150"/>
      <c r="CN92" s="150"/>
      <c r="CO92" s="150"/>
      <c r="CP92" s="150"/>
      <c r="CQ92" s="150"/>
      <c r="CR92" s="151"/>
      <c r="CS92" s="172"/>
      <c r="CT92" s="151"/>
      <c r="CU92" s="150"/>
      <c r="CV92" s="151"/>
      <c r="DW92" s="5"/>
      <c r="EA92" s="12"/>
      <c r="EB92" s="13"/>
      <c r="EL92" s="191"/>
      <c r="EW92" s="18"/>
      <c r="EX92" s="12"/>
      <c r="FH92" s="12"/>
      <c r="FI92" s="13"/>
      <c r="FQ92" s="13"/>
      <c r="FR92" s="18"/>
      <c r="FS92" s="12"/>
      <c r="GI92" s="12"/>
      <c r="GJ92" s="13"/>
      <c r="JI92" s="9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1"/>
    </row>
    <row r="93" spans="8:288" ht="18" customHeight="1">
      <c r="H93" s="4"/>
      <c r="AG93" s="42"/>
      <c r="AH93" s="43"/>
      <c r="AI93" s="14"/>
      <c r="AJ93" s="15"/>
      <c r="AK93" s="15"/>
      <c r="AL93" s="15"/>
      <c r="AM93" s="14"/>
      <c r="AN93" s="15"/>
      <c r="AO93" s="15"/>
      <c r="AP93" s="15"/>
      <c r="AQ93" s="15"/>
      <c r="AR93" s="16"/>
      <c r="AS93" s="15"/>
      <c r="AT93" s="15"/>
      <c r="AU93" s="15"/>
      <c r="AV93" s="203"/>
      <c r="AW93" s="54"/>
      <c r="AX93" s="54"/>
      <c r="AY93" s="54"/>
      <c r="AZ93" s="54"/>
      <c r="BA93" s="54"/>
      <c r="BB93" s="54"/>
      <c r="BC93" s="54"/>
      <c r="BD93" s="19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6"/>
      <c r="CA93" s="43"/>
      <c r="CB93" s="45"/>
      <c r="CC93" s="149"/>
      <c r="CD93" s="150"/>
      <c r="CE93" s="150"/>
      <c r="CF93" s="150"/>
      <c r="CG93" s="150"/>
      <c r="CH93" s="150"/>
      <c r="CI93" s="150"/>
      <c r="CJ93" s="150"/>
      <c r="CK93" s="150"/>
      <c r="CL93" s="150"/>
      <c r="CM93" s="150"/>
      <c r="CN93" s="150"/>
      <c r="CO93" s="150"/>
      <c r="CP93" s="150"/>
      <c r="CQ93" s="150"/>
      <c r="CR93" s="151"/>
      <c r="CS93" s="172"/>
      <c r="CT93" s="151"/>
      <c r="CU93" s="150"/>
      <c r="CV93" s="151"/>
      <c r="DW93" s="5"/>
      <c r="EA93" s="12"/>
      <c r="EB93" s="13"/>
      <c r="EL93" s="9"/>
      <c r="EM93" s="11"/>
      <c r="EW93" s="18"/>
      <c r="EX93" s="12"/>
      <c r="FH93" s="12"/>
      <c r="FI93" s="13"/>
      <c r="FQ93" s="13"/>
      <c r="FR93" s="18"/>
      <c r="FS93" s="12"/>
      <c r="GI93" s="12"/>
      <c r="GJ93" s="13"/>
      <c r="JI93" s="12"/>
      <c r="KB93" s="13"/>
    </row>
    <row r="94" spans="8:288" ht="18" customHeight="1">
      <c r="H94" s="4"/>
      <c r="AG94" s="42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123"/>
      <c r="BK94" s="109"/>
      <c r="BL94" s="109"/>
      <c r="BM94" s="109"/>
      <c r="BN94" s="109"/>
      <c r="BO94" s="124"/>
      <c r="BP94" s="43"/>
      <c r="BQ94" s="43"/>
      <c r="BR94" s="43"/>
      <c r="BS94" s="43"/>
      <c r="BT94" s="127"/>
      <c r="BU94" s="127"/>
      <c r="BV94" s="127"/>
      <c r="BW94" s="127"/>
      <c r="BX94" s="127"/>
      <c r="BY94" s="127"/>
      <c r="BZ94" s="43"/>
      <c r="CA94" s="43"/>
      <c r="CB94" s="45"/>
      <c r="CC94" s="149"/>
      <c r="CD94" s="150"/>
      <c r="CE94" s="150"/>
      <c r="CF94" s="150"/>
      <c r="CG94" s="150"/>
      <c r="CH94" s="150"/>
      <c r="CI94" s="150"/>
      <c r="CJ94" s="150"/>
      <c r="CK94" s="150"/>
      <c r="CL94" s="150"/>
      <c r="CM94" s="150"/>
      <c r="CN94" s="150"/>
      <c r="CO94" s="150"/>
      <c r="CP94" s="150"/>
      <c r="CQ94" s="150"/>
      <c r="CR94" s="151"/>
      <c r="CS94" s="172"/>
      <c r="CT94" s="151"/>
      <c r="CU94" s="150"/>
      <c r="CV94" s="151"/>
      <c r="DW94" s="5"/>
      <c r="EA94" s="12"/>
      <c r="EB94" s="13"/>
      <c r="EI94" s="20"/>
      <c r="EJ94" s="21"/>
      <c r="EK94" s="21"/>
      <c r="EL94" s="20"/>
      <c r="EM94" s="22"/>
      <c r="EN94" s="21"/>
      <c r="EO94" s="21"/>
      <c r="EP94" s="22"/>
      <c r="EW94" s="18"/>
      <c r="EX94" s="12"/>
      <c r="FH94" s="12"/>
      <c r="FI94" s="13"/>
      <c r="FQ94" s="13"/>
      <c r="FR94" s="18"/>
      <c r="FS94" s="20"/>
      <c r="FT94" s="21"/>
      <c r="FU94" s="21"/>
      <c r="FV94" s="21"/>
      <c r="FW94" s="21"/>
      <c r="FX94" s="21"/>
      <c r="FY94" s="21"/>
      <c r="FZ94" s="21"/>
      <c r="GA94" s="21"/>
      <c r="GB94" s="21"/>
      <c r="GC94" s="21"/>
      <c r="GD94" s="21"/>
      <c r="GE94" s="21"/>
      <c r="GF94" s="21"/>
      <c r="GG94" s="21"/>
      <c r="GH94" s="22"/>
      <c r="GI94" s="12"/>
      <c r="GJ94" s="13"/>
      <c r="JI94" s="12"/>
      <c r="KB94" s="13"/>
    </row>
    <row r="95" spans="8:288" ht="18" customHeight="1">
      <c r="H95" s="4"/>
      <c r="AG95" s="46"/>
      <c r="AH95" s="47"/>
      <c r="AI95" s="47"/>
      <c r="AJ95" s="47"/>
      <c r="AK95" s="47"/>
      <c r="AL95" s="47"/>
      <c r="AM95" s="47"/>
      <c r="AN95" s="47"/>
      <c r="AO95" s="47"/>
      <c r="AP95" s="47"/>
      <c r="AQ95" s="43"/>
      <c r="AR95" s="47"/>
      <c r="AS95" s="43"/>
      <c r="AT95" s="47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0"/>
      <c r="BK95" s="41"/>
      <c r="BL95" s="41"/>
      <c r="BM95" s="41"/>
      <c r="BN95" s="41"/>
      <c r="BO95" s="44"/>
      <c r="BP95" s="43"/>
      <c r="BQ95" s="43"/>
      <c r="BR95" s="43"/>
      <c r="BS95" s="43"/>
      <c r="BT95" s="127"/>
      <c r="BU95" s="127"/>
      <c r="BV95" s="127"/>
      <c r="BW95" s="127"/>
      <c r="BX95" s="127"/>
      <c r="BY95" s="127"/>
      <c r="BZ95" s="43"/>
      <c r="CA95" s="43"/>
      <c r="CB95" s="45"/>
      <c r="CC95" s="152"/>
      <c r="CD95" s="153"/>
      <c r="CE95" s="153"/>
      <c r="CF95" s="153"/>
      <c r="CG95" s="153"/>
      <c r="CH95" s="153"/>
      <c r="CI95" s="153"/>
      <c r="CJ95" s="153"/>
      <c r="CK95" s="153"/>
      <c r="CL95" s="153"/>
      <c r="CM95" s="153"/>
      <c r="CN95" s="153"/>
      <c r="CO95" s="153"/>
      <c r="CP95" s="153"/>
      <c r="CQ95" s="153"/>
      <c r="CR95" s="154"/>
      <c r="CS95" s="172"/>
      <c r="CT95" s="151"/>
      <c r="CU95" s="150"/>
      <c r="CV95" s="151"/>
      <c r="DW95" s="5"/>
      <c r="EA95" s="12"/>
      <c r="EB95" s="13"/>
      <c r="EW95" s="18"/>
      <c r="EX95" s="12"/>
      <c r="FH95" s="12"/>
      <c r="FI95" s="13"/>
      <c r="FQ95" s="13"/>
      <c r="FR95" s="18"/>
      <c r="FS95" s="12"/>
      <c r="GI95" s="12"/>
      <c r="GJ95" s="13"/>
      <c r="JI95" s="12"/>
      <c r="KB95" s="13"/>
    </row>
    <row r="96" spans="8:288" ht="18" customHeight="1" thickBot="1">
      <c r="H96" s="4"/>
      <c r="AQ96" s="10"/>
      <c r="AS96" s="146"/>
      <c r="AT96" s="147"/>
      <c r="AU96" s="146"/>
      <c r="AV96" s="168"/>
      <c r="AW96" s="146"/>
      <c r="AX96" s="147"/>
      <c r="AY96" s="147"/>
      <c r="AZ96" s="147"/>
      <c r="BA96" s="147"/>
      <c r="BB96" s="147"/>
      <c r="BC96" s="147"/>
      <c r="BD96" s="147"/>
      <c r="BE96" s="147"/>
      <c r="BF96" s="147"/>
      <c r="BG96" s="147"/>
      <c r="BH96" s="147"/>
      <c r="BI96" s="147"/>
      <c r="BJ96" s="147"/>
      <c r="BK96" s="147"/>
      <c r="BL96" s="148"/>
      <c r="BM96" s="147"/>
      <c r="BN96" s="147"/>
      <c r="BO96" s="147"/>
      <c r="BP96" s="147"/>
      <c r="BQ96" s="147"/>
      <c r="BR96" s="147"/>
      <c r="BS96" s="147"/>
      <c r="BT96" s="147"/>
      <c r="BU96" s="147"/>
      <c r="BV96" s="147"/>
      <c r="BW96" s="147"/>
      <c r="BX96" s="147"/>
      <c r="BY96" s="147"/>
      <c r="BZ96" s="147"/>
      <c r="CA96" s="147"/>
      <c r="CB96" s="147"/>
      <c r="CC96" s="146"/>
      <c r="CD96" s="147"/>
      <c r="CE96" s="147"/>
      <c r="CF96" s="147"/>
      <c r="CG96" s="147"/>
      <c r="CH96" s="147"/>
      <c r="CI96" s="147"/>
      <c r="CJ96" s="147"/>
      <c r="CK96" s="147"/>
      <c r="CL96" s="147"/>
      <c r="CM96" s="147"/>
      <c r="CN96" s="147"/>
      <c r="CO96" s="147"/>
      <c r="CP96" s="147"/>
      <c r="CQ96" s="147"/>
      <c r="CR96" s="148"/>
      <c r="CS96" s="172"/>
      <c r="CT96" s="151"/>
      <c r="CU96" s="150"/>
      <c r="CV96" s="151"/>
      <c r="DW96" s="5"/>
      <c r="EA96" s="12"/>
      <c r="EB96" s="13"/>
      <c r="EW96" s="18"/>
      <c r="EX96" s="12"/>
      <c r="FH96" s="12"/>
      <c r="FI96" s="13"/>
      <c r="FQ96" s="13"/>
      <c r="FR96" s="18"/>
      <c r="FS96" s="9"/>
      <c r="FT96" s="11"/>
      <c r="GG96" s="9"/>
      <c r="GH96" s="11"/>
      <c r="GI96" s="12"/>
      <c r="GJ96" s="13"/>
      <c r="JI96" s="12"/>
      <c r="KB96" s="13"/>
    </row>
    <row r="97" spans="8:288" ht="18" customHeight="1" thickTop="1">
      <c r="H97" s="4"/>
      <c r="AS97" s="149"/>
      <c r="AT97" s="150"/>
      <c r="AU97" s="149"/>
      <c r="AV97" s="170"/>
      <c r="AW97" s="149"/>
      <c r="AX97" s="150"/>
      <c r="AY97" s="150"/>
      <c r="AZ97" s="150"/>
      <c r="BA97" s="150"/>
      <c r="BB97" s="150"/>
      <c r="BC97" s="150"/>
      <c r="BD97" s="150"/>
      <c r="BE97" s="150"/>
      <c r="BF97" s="150"/>
      <c r="BG97" s="150"/>
      <c r="BH97" s="150"/>
      <c r="BI97" s="150"/>
      <c r="BJ97" s="150"/>
      <c r="BK97" s="150"/>
      <c r="BL97" s="151"/>
      <c r="BM97" s="150"/>
      <c r="BN97" s="150"/>
      <c r="BO97" s="150"/>
      <c r="BP97" s="150"/>
      <c r="BQ97" s="150"/>
      <c r="BR97" s="150"/>
      <c r="BS97" s="150"/>
      <c r="BT97" s="150"/>
      <c r="BU97" s="150"/>
      <c r="BV97" s="150"/>
      <c r="BW97" s="150"/>
      <c r="BX97" s="150"/>
      <c r="BY97" s="150"/>
      <c r="BZ97" s="150"/>
      <c r="CA97" s="150"/>
      <c r="CB97" s="150"/>
      <c r="CC97" s="149"/>
      <c r="CD97" s="150"/>
      <c r="CE97" s="150"/>
      <c r="CF97" s="150"/>
      <c r="CG97" s="150"/>
      <c r="CH97" s="150"/>
      <c r="CI97" s="150"/>
      <c r="CJ97" s="150"/>
      <c r="CK97" s="150"/>
      <c r="CL97" s="150"/>
      <c r="CM97" s="150"/>
      <c r="CN97" s="150"/>
      <c r="CO97" s="150"/>
      <c r="CP97" s="150"/>
      <c r="CQ97" s="150"/>
      <c r="CR97" s="151"/>
      <c r="CS97" s="172"/>
      <c r="CT97" s="151"/>
      <c r="CU97" s="150"/>
      <c r="CV97" s="151"/>
      <c r="DW97" s="5"/>
      <c r="EA97" s="12"/>
      <c r="EB97" s="13"/>
      <c r="EP97" s="192"/>
      <c r="EQ97" s="193"/>
      <c r="ER97" s="201"/>
      <c r="ES97" s="193"/>
      <c r="ET97" s="193"/>
      <c r="EU97" s="194"/>
      <c r="EW97" s="24"/>
      <c r="EX97" s="12"/>
      <c r="FH97" s="12"/>
      <c r="FI97" s="13"/>
      <c r="FK97" s="192"/>
      <c r="FL97" s="193"/>
      <c r="FM97" s="201"/>
      <c r="FN97" s="193"/>
      <c r="FO97" s="193"/>
      <c r="FP97" s="194"/>
      <c r="FQ97" s="13"/>
      <c r="FR97" s="18"/>
      <c r="FS97" s="12"/>
      <c r="FT97" s="13"/>
      <c r="FX97" s="192"/>
      <c r="FY97" s="193"/>
      <c r="FZ97" s="201"/>
      <c r="GA97" s="193"/>
      <c r="GB97" s="193"/>
      <c r="GC97" s="194"/>
      <c r="GG97" s="12"/>
      <c r="GH97" s="13"/>
      <c r="GI97" s="12"/>
      <c r="GJ97" s="13"/>
      <c r="JI97" s="12"/>
      <c r="KB97" s="13"/>
    </row>
    <row r="98" spans="8:288" ht="18" customHeight="1">
      <c r="H98" s="4"/>
      <c r="AS98" s="149"/>
      <c r="AT98" s="150"/>
      <c r="AU98" s="149"/>
      <c r="AV98" s="170"/>
      <c r="AW98" s="149"/>
      <c r="AX98" s="150"/>
      <c r="AY98" s="150"/>
      <c r="AZ98" s="150"/>
      <c r="BA98" s="150"/>
      <c r="BB98" s="150"/>
      <c r="BC98" s="150"/>
      <c r="BD98" s="150"/>
      <c r="BE98" s="150"/>
      <c r="BF98" s="150"/>
      <c r="BG98" s="150"/>
      <c r="BH98" s="150"/>
      <c r="BI98" s="150"/>
      <c r="BJ98" s="150"/>
      <c r="BK98" s="150"/>
      <c r="BL98" s="151"/>
      <c r="BM98" s="150"/>
      <c r="BN98" s="150"/>
      <c r="BO98" s="150"/>
      <c r="BP98" s="150"/>
      <c r="BQ98" s="150"/>
      <c r="BR98" s="150"/>
      <c r="BS98" s="150"/>
      <c r="BT98" s="150"/>
      <c r="BU98" s="150"/>
      <c r="BV98" s="150"/>
      <c r="BW98" s="150"/>
      <c r="BX98" s="150"/>
      <c r="BY98" s="150"/>
      <c r="BZ98" s="150"/>
      <c r="CA98" s="150"/>
      <c r="CB98" s="150"/>
      <c r="CC98" s="149"/>
      <c r="CD98" s="150"/>
      <c r="CE98" s="150"/>
      <c r="CF98" s="150"/>
      <c r="CG98" s="150"/>
      <c r="CH98" s="150"/>
      <c r="CI98" s="150"/>
      <c r="CJ98" s="150"/>
      <c r="CK98" s="150"/>
      <c r="CL98" s="150"/>
      <c r="CM98" s="150"/>
      <c r="CN98" s="150"/>
      <c r="CO98" s="150"/>
      <c r="CP98" s="150"/>
      <c r="CQ98" s="150"/>
      <c r="CR98" s="151"/>
      <c r="CS98" s="172"/>
      <c r="CT98" s="151"/>
      <c r="CU98" s="150"/>
      <c r="CV98" s="151"/>
      <c r="DW98" s="5"/>
      <c r="EA98" s="12"/>
      <c r="EB98" s="13"/>
      <c r="EP98" s="195"/>
      <c r="ER98" s="13"/>
      <c r="EU98" s="190"/>
      <c r="EW98" s="24"/>
      <c r="EX98" s="12"/>
      <c r="EY98" s="9"/>
      <c r="EZ98" s="10"/>
      <c r="FA98" s="10"/>
      <c r="FB98" s="10"/>
      <c r="FC98" s="11"/>
      <c r="FH98" s="12"/>
      <c r="FI98" s="13"/>
      <c r="FK98" s="195"/>
      <c r="FM98" s="13"/>
      <c r="FP98" s="190"/>
      <c r="FQ98" s="13"/>
      <c r="FR98" s="18"/>
      <c r="FS98" s="12"/>
      <c r="FT98" s="13"/>
      <c r="FX98" s="195"/>
      <c r="FZ98" s="13"/>
      <c r="GC98" s="190"/>
      <c r="GG98" s="12"/>
      <c r="GH98" s="13"/>
      <c r="GI98" s="12"/>
      <c r="GJ98" s="13"/>
      <c r="HA98" s="9"/>
      <c r="HB98" s="11"/>
      <c r="JI98" s="12"/>
      <c r="KB98" s="13"/>
    </row>
    <row r="99" spans="8:288" ht="18" customHeight="1">
      <c r="H99" s="4"/>
      <c r="AS99" s="149"/>
      <c r="AT99" s="150"/>
      <c r="AU99" s="149"/>
      <c r="AV99" s="170"/>
      <c r="AW99" s="149"/>
      <c r="AX99" s="150"/>
      <c r="AY99" s="150"/>
      <c r="AZ99" s="150"/>
      <c r="BA99" s="150"/>
      <c r="BB99" s="150"/>
      <c r="BC99" s="150"/>
      <c r="BD99" s="150"/>
      <c r="BE99" s="150"/>
      <c r="BF99" s="150"/>
      <c r="BG99" s="150"/>
      <c r="BH99" s="150"/>
      <c r="BI99" s="150"/>
      <c r="BJ99" s="150"/>
      <c r="BK99" s="150"/>
      <c r="BL99" s="151"/>
      <c r="BM99" s="150"/>
      <c r="BN99" s="150"/>
      <c r="BO99" s="150"/>
      <c r="BP99" s="150"/>
      <c r="BQ99" s="150"/>
      <c r="BR99" s="150"/>
      <c r="BS99" s="150"/>
      <c r="BT99" s="150"/>
      <c r="BU99" s="150"/>
      <c r="BV99" s="150"/>
      <c r="BW99" s="150"/>
      <c r="BX99" s="150"/>
      <c r="BY99" s="150"/>
      <c r="BZ99" s="150"/>
      <c r="CA99" s="150"/>
      <c r="CB99" s="150"/>
      <c r="CC99" s="149"/>
      <c r="CD99" s="150"/>
      <c r="CE99" s="150"/>
      <c r="CF99" s="150"/>
      <c r="CG99" s="150"/>
      <c r="CH99" s="150"/>
      <c r="CI99" s="150"/>
      <c r="CJ99" s="150"/>
      <c r="CK99" s="150"/>
      <c r="CL99" s="150"/>
      <c r="CM99" s="150"/>
      <c r="CN99" s="150"/>
      <c r="CO99" s="150"/>
      <c r="CP99" s="150"/>
      <c r="CQ99" s="150"/>
      <c r="CR99" s="151"/>
      <c r="CS99" s="172"/>
      <c r="CT99" s="151"/>
      <c r="CU99" s="150"/>
      <c r="CV99" s="151"/>
      <c r="DW99" s="5"/>
      <c r="EA99" s="12"/>
      <c r="EB99" s="13"/>
      <c r="EP99" s="202"/>
      <c r="EQ99" s="15"/>
      <c r="ER99" s="16"/>
      <c r="EU99" s="190"/>
      <c r="EW99" s="24"/>
      <c r="EX99" s="12"/>
      <c r="EY99" s="12"/>
      <c r="FC99" s="13"/>
      <c r="FH99" s="12"/>
      <c r="FI99" s="13"/>
      <c r="FK99" s="202"/>
      <c r="FL99" s="15"/>
      <c r="FM99" s="16"/>
      <c r="FP99" s="190"/>
      <c r="FQ99" s="13"/>
      <c r="FR99" s="18"/>
      <c r="FS99" s="14"/>
      <c r="FT99" s="16"/>
      <c r="FX99" s="202"/>
      <c r="FY99" s="15"/>
      <c r="FZ99" s="16"/>
      <c r="GC99" s="190"/>
      <c r="GG99" s="14"/>
      <c r="GH99" s="16"/>
      <c r="GI99" s="12"/>
      <c r="GJ99" s="13"/>
      <c r="HA99" s="12"/>
      <c r="HB99" s="13"/>
      <c r="JI99" s="12"/>
      <c r="KB99" s="13"/>
    </row>
    <row r="100" spans="8:288" ht="18" customHeight="1">
      <c r="H100" s="4"/>
      <c r="AS100" s="149"/>
      <c r="AT100" s="150"/>
      <c r="AU100" s="149"/>
      <c r="AV100" s="170"/>
      <c r="AW100" s="149"/>
      <c r="AX100" s="150"/>
      <c r="AY100" s="150"/>
      <c r="AZ100" s="150"/>
      <c r="BA100" s="150"/>
      <c r="BB100" s="150"/>
      <c r="BC100" s="150"/>
      <c r="BD100" s="150"/>
      <c r="BE100" s="150"/>
      <c r="BF100" s="150"/>
      <c r="BG100" s="150"/>
      <c r="BH100" s="150"/>
      <c r="BI100" s="150"/>
      <c r="BJ100" s="150"/>
      <c r="BK100" s="150"/>
      <c r="BL100" s="151"/>
      <c r="BM100" s="150"/>
      <c r="BN100" s="150"/>
      <c r="BO100" s="150"/>
      <c r="BP100" s="150"/>
      <c r="BQ100" s="150"/>
      <c r="BR100" s="150"/>
      <c r="BS100" s="150"/>
      <c r="BT100" s="150"/>
      <c r="BU100" s="150"/>
      <c r="BV100" s="150"/>
      <c r="BW100" s="150"/>
      <c r="BX100" s="150"/>
      <c r="BY100" s="150"/>
      <c r="BZ100" s="150"/>
      <c r="CA100" s="150"/>
      <c r="CB100" s="150"/>
      <c r="CC100" s="149"/>
      <c r="CD100" s="150"/>
      <c r="CE100" s="150"/>
      <c r="CF100" s="150"/>
      <c r="CG100" s="150"/>
      <c r="CH100" s="150"/>
      <c r="CI100" s="150"/>
      <c r="CJ100" s="150"/>
      <c r="CK100" s="150"/>
      <c r="CL100" s="150"/>
      <c r="CM100" s="150"/>
      <c r="CN100" s="150"/>
      <c r="CO100" s="150"/>
      <c r="CP100" s="150"/>
      <c r="CQ100" s="150"/>
      <c r="CR100" s="151"/>
      <c r="CS100" s="172"/>
      <c r="CT100" s="151"/>
      <c r="CU100" s="150"/>
      <c r="CV100" s="151"/>
      <c r="DW100" s="5"/>
      <c r="EA100" s="12"/>
      <c r="EB100" s="13"/>
      <c r="EP100" s="195"/>
      <c r="ES100" s="9"/>
      <c r="ET100" s="10"/>
      <c r="EU100" s="189"/>
      <c r="EW100" s="24"/>
      <c r="EX100" s="12"/>
      <c r="EY100" s="12"/>
      <c r="FC100" s="13"/>
      <c r="FH100" s="12"/>
      <c r="FI100" s="13"/>
      <c r="FK100" s="195"/>
      <c r="FN100" s="9"/>
      <c r="FO100" s="10"/>
      <c r="FP100" s="189"/>
      <c r="FQ100" s="13"/>
      <c r="FR100" s="18"/>
      <c r="FS100" s="12"/>
      <c r="FX100" s="195"/>
      <c r="GA100" s="9"/>
      <c r="GB100" s="10"/>
      <c r="GC100" s="189"/>
      <c r="GI100" s="12"/>
      <c r="GJ100" s="13"/>
      <c r="HA100" s="12"/>
      <c r="HB100" s="13"/>
      <c r="JI100" s="12"/>
      <c r="KB100" s="13"/>
    </row>
    <row r="101" spans="8:288" ht="18" customHeight="1">
      <c r="H101" s="4"/>
      <c r="AS101" s="149"/>
      <c r="AT101" s="150"/>
      <c r="AU101" s="149"/>
      <c r="AV101" s="170"/>
      <c r="AW101" s="149"/>
      <c r="AX101" s="150"/>
      <c r="AY101" s="150"/>
      <c r="AZ101" s="150"/>
      <c r="BA101" s="150"/>
      <c r="BB101" s="150"/>
      <c r="BC101" s="150"/>
      <c r="BD101" s="150"/>
      <c r="BE101" s="150"/>
      <c r="BF101" s="150"/>
      <c r="BG101" s="150"/>
      <c r="BH101" s="150"/>
      <c r="BI101" s="150"/>
      <c r="BJ101" s="150"/>
      <c r="BK101" s="150"/>
      <c r="BL101" s="151"/>
      <c r="BM101" s="150"/>
      <c r="BN101" s="150"/>
      <c r="BO101" s="150"/>
      <c r="BP101" s="150"/>
      <c r="BQ101" s="150"/>
      <c r="BR101" s="150"/>
      <c r="BS101" s="150"/>
      <c r="BT101" s="150"/>
      <c r="BU101" s="150"/>
      <c r="BV101" s="150"/>
      <c r="BW101" s="150"/>
      <c r="BX101" s="150"/>
      <c r="BY101" s="150"/>
      <c r="BZ101" s="150"/>
      <c r="CA101" s="150"/>
      <c r="CB101" s="150"/>
      <c r="CC101" s="149"/>
      <c r="CD101" s="150"/>
      <c r="CE101" s="150"/>
      <c r="CF101" s="150"/>
      <c r="CG101" s="150"/>
      <c r="CH101" s="150"/>
      <c r="CI101" s="150"/>
      <c r="CJ101" s="150"/>
      <c r="CK101" s="150"/>
      <c r="CL101" s="150"/>
      <c r="CM101" s="150"/>
      <c r="CN101" s="150"/>
      <c r="CO101" s="150"/>
      <c r="CP101" s="150"/>
      <c r="CQ101" s="150"/>
      <c r="CR101" s="151"/>
      <c r="CS101" s="172"/>
      <c r="CT101" s="151"/>
      <c r="CU101" s="150"/>
      <c r="CV101" s="151"/>
      <c r="DW101" s="5"/>
      <c r="EA101" s="12"/>
      <c r="EB101" s="13"/>
      <c r="EP101" s="195"/>
      <c r="ES101" s="12"/>
      <c r="EU101" s="190"/>
      <c r="EW101" s="24"/>
      <c r="EX101" s="12"/>
      <c r="EY101" s="14"/>
      <c r="EZ101" s="15"/>
      <c r="FA101" s="15"/>
      <c r="FB101" s="15"/>
      <c r="FC101" s="16"/>
      <c r="FH101" s="12"/>
      <c r="FI101" s="13"/>
      <c r="FK101" s="195"/>
      <c r="FN101" s="12"/>
      <c r="FP101" s="190"/>
      <c r="FQ101" s="13"/>
      <c r="FR101" s="18"/>
      <c r="FS101" s="12"/>
      <c r="FX101" s="195"/>
      <c r="GA101" s="12"/>
      <c r="GC101" s="190"/>
      <c r="GI101" s="12"/>
      <c r="GJ101" s="13"/>
      <c r="HA101" s="12"/>
      <c r="HB101" s="13"/>
      <c r="JI101" s="12"/>
      <c r="KB101" s="13"/>
    </row>
    <row r="102" spans="8:288" ht="18" customHeight="1" thickBot="1">
      <c r="H102" s="4"/>
      <c r="AS102" s="149"/>
      <c r="AT102" s="150"/>
      <c r="AU102" s="149"/>
      <c r="AV102" s="170"/>
      <c r="AW102" s="149"/>
      <c r="AX102" s="150"/>
      <c r="AY102" s="150"/>
      <c r="AZ102" s="150"/>
      <c r="BA102" s="150"/>
      <c r="BB102" s="150"/>
      <c r="BC102" s="150"/>
      <c r="BD102" s="150"/>
      <c r="BE102" s="150"/>
      <c r="BF102" s="150"/>
      <c r="BG102" s="150"/>
      <c r="BH102" s="150"/>
      <c r="BI102" s="150"/>
      <c r="BJ102" s="150"/>
      <c r="BK102" s="150"/>
      <c r="BL102" s="151"/>
      <c r="BM102" s="150"/>
      <c r="BN102" s="150"/>
      <c r="BO102" s="150"/>
      <c r="BP102" s="150"/>
      <c r="BQ102" s="150"/>
      <c r="BR102" s="150"/>
      <c r="BS102" s="150"/>
      <c r="BT102" s="150"/>
      <c r="BU102" s="150"/>
      <c r="BV102" s="150"/>
      <c r="BW102" s="150"/>
      <c r="BX102" s="150"/>
      <c r="BY102" s="150"/>
      <c r="BZ102" s="150"/>
      <c r="CA102" s="150"/>
      <c r="CB102" s="150"/>
      <c r="CC102" s="149"/>
      <c r="CD102" s="150"/>
      <c r="CE102" s="150"/>
      <c r="CF102" s="150"/>
      <c r="CG102" s="150"/>
      <c r="CH102" s="150"/>
      <c r="CI102" s="150"/>
      <c r="CJ102" s="150"/>
      <c r="CK102" s="150"/>
      <c r="CL102" s="150"/>
      <c r="CM102" s="150"/>
      <c r="CN102" s="150"/>
      <c r="CO102" s="150"/>
      <c r="CP102" s="150"/>
      <c r="CQ102" s="150"/>
      <c r="CR102" s="151"/>
      <c r="CS102" s="172"/>
      <c r="CT102" s="151"/>
      <c r="CU102" s="150"/>
      <c r="CV102" s="151"/>
      <c r="DW102" s="5"/>
      <c r="EA102" s="12"/>
      <c r="EB102" s="13"/>
      <c r="EP102" s="196"/>
      <c r="EQ102" s="197"/>
      <c r="ER102" s="197"/>
      <c r="ES102" s="199"/>
      <c r="ET102" s="197"/>
      <c r="EU102" s="198"/>
      <c r="EW102" s="24"/>
      <c r="EX102" s="199"/>
      <c r="EY102" s="197"/>
      <c r="EZ102" s="197"/>
      <c r="FA102" s="197"/>
      <c r="FB102" s="197"/>
      <c r="FC102" s="197"/>
      <c r="FD102" s="197"/>
      <c r="FE102" s="197"/>
      <c r="FF102" s="197"/>
      <c r="FG102" s="200"/>
      <c r="FH102" s="12"/>
      <c r="FI102" s="13"/>
      <c r="FK102" s="196"/>
      <c r="FL102" s="197"/>
      <c r="FM102" s="197"/>
      <c r="FN102" s="199"/>
      <c r="FO102" s="197"/>
      <c r="FP102" s="198"/>
      <c r="FQ102" s="13"/>
      <c r="FR102" s="18"/>
      <c r="FS102" s="12"/>
      <c r="FX102" s="196"/>
      <c r="FY102" s="197"/>
      <c r="FZ102" s="197"/>
      <c r="GA102" s="199"/>
      <c r="GB102" s="197"/>
      <c r="GC102" s="198"/>
      <c r="GI102" s="12"/>
      <c r="GJ102" s="13"/>
      <c r="HA102" s="12"/>
      <c r="HB102" s="13"/>
      <c r="JI102" s="12"/>
      <c r="KB102" s="13"/>
    </row>
    <row r="103" spans="8:288" ht="18" customHeight="1" thickTop="1" thickBot="1">
      <c r="H103" s="4"/>
      <c r="AS103" s="149"/>
      <c r="AT103" s="150"/>
      <c r="AU103" s="149"/>
      <c r="AV103" s="170"/>
      <c r="AW103" s="149"/>
      <c r="AX103" s="150"/>
      <c r="AY103" s="150"/>
      <c r="AZ103" s="150"/>
      <c r="BA103" s="150"/>
      <c r="BB103" s="150"/>
      <c r="BC103" s="150"/>
      <c r="BD103" s="150"/>
      <c r="BE103" s="150"/>
      <c r="BF103" s="150"/>
      <c r="BG103" s="150"/>
      <c r="BH103" s="150"/>
      <c r="BI103" s="150"/>
      <c r="BJ103" s="150"/>
      <c r="BK103" s="150"/>
      <c r="BL103" s="151"/>
      <c r="BM103" s="150"/>
      <c r="BN103" s="150"/>
      <c r="BO103" s="150"/>
      <c r="BP103" s="150"/>
      <c r="BQ103" s="150"/>
      <c r="BR103" s="150"/>
      <c r="BS103" s="150"/>
      <c r="BT103" s="150"/>
      <c r="BU103" s="150"/>
      <c r="BV103" s="150"/>
      <c r="BW103" s="150"/>
      <c r="BX103" s="150"/>
      <c r="BY103" s="150"/>
      <c r="BZ103" s="150"/>
      <c r="CA103" s="150"/>
      <c r="CB103" s="150"/>
      <c r="CC103" s="149"/>
      <c r="CD103" s="150"/>
      <c r="CE103" s="150"/>
      <c r="CF103" s="150"/>
      <c r="CG103" s="150"/>
      <c r="CH103" s="150"/>
      <c r="CI103" s="150"/>
      <c r="CJ103" s="150"/>
      <c r="CK103" s="150"/>
      <c r="CL103" s="150"/>
      <c r="CM103" s="150"/>
      <c r="CN103" s="150"/>
      <c r="CO103" s="150"/>
      <c r="CP103" s="150"/>
      <c r="CQ103" s="150"/>
      <c r="CR103" s="151"/>
      <c r="CS103" s="172"/>
      <c r="CT103" s="151"/>
      <c r="CU103" s="150"/>
      <c r="CV103" s="151"/>
      <c r="DW103" s="5"/>
      <c r="EA103" s="12"/>
      <c r="EB103" s="13"/>
      <c r="EW103" s="24"/>
      <c r="EX103" s="12"/>
      <c r="FH103" s="12"/>
      <c r="FI103" s="13"/>
      <c r="FQ103" s="13"/>
      <c r="FR103" s="18"/>
      <c r="FS103" s="199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200"/>
      <c r="GI103" s="12"/>
      <c r="GJ103" s="13"/>
      <c r="HA103" s="12"/>
      <c r="HB103" s="13"/>
      <c r="JI103" s="12"/>
      <c r="KB103" s="13"/>
    </row>
    <row r="104" spans="8:288" ht="18" customHeight="1" thickTop="1">
      <c r="H104" s="4"/>
      <c r="AS104" s="149"/>
      <c r="AT104" s="150"/>
      <c r="AU104" s="149"/>
      <c r="AV104" s="170"/>
      <c r="AW104" s="149"/>
      <c r="AX104" s="150"/>
      <c r="AY104" s="150"/>
      <c r="AZ104" s="150"/>
      <c r="BA104" s="150"/>
      <c r="BB104" s="150"/>
      <c r="BC104" s="150"/>
      <c r="BD104" s="150"/>
      <c r="BE104" s="150"/>
      <c r="BF104" s="150"/>
      <c r="BG104" s="150"/>
      <c r="BH104" s="150"/>
      <c r="BI104" s="150"/>
      <c r="BJ104" s="150"/>
      <c r="BK104" s="150"/>
      <c r="BL104" s="151"/>
      <c r="BM104" s="150"/>
      <c r="BN104" s="150"/>
      <c r="BO104" s="150"/>
      <c r="BP104" s="150"/>
      <c r="BQ104" s="150"/>
      <c r="BR104" s="150"/>
      <c r="BS104" s="150"/>
      <c r="BT104" s="150"/>
      <c r="BU104" s="150"/>
      <c r="BV104" s="150"/>
      <c r="BW104" s="150"/>
      <c r="BX104" s="150"/>
      <c r="BY104" s="150"/>
      <c r="BZ104" s="150"/>
      <c r="CA104" s="150"/>
      <c r="CB104" s="150"/>
      <c r="CC104" s="149"/>
      <c r="CD104" s="150"/>
      <c r="CE104" s="150"/>
      <c r="CF104" s="150"/>
      <c r="CG104" s="150"/>
      <c r="CH104" s="150"/>
      <c r="CI104" s="150"/>
      <c r="CJ104" s="150"/>
      <c r="CK104" s="150"/>
      <c r="CL104" s="150"/>
      <c r="CM104" s="150"/>
      <c r="CN104" s="150"/>
      <c r="CO104" s="150"/>
      <c r="CP104" s="150"/>
      <c r="CQ104" s="150"/>
      <c r="CR104" s="151"/>
      <c r="CS104" s="172"/>
      <c r="CT104" s="151"/>
      <c r="CU104" s="150"/>
      <c r="CV104" s="151"/>
      <c r="DW104" s="5"/>
      <c r="EA104" s="12"/>
      <c r="EB104" s="13"/>
      <c r="EW104" s="24"/>
      <c r="EX104" s="12"/>
      <c r="EZ104" s="20"/>
      <c r="FA104" s="21"/>
      <c r="FB104" s="22"/>
      <c r="FH104" s="12"/>
      <c r="FI104" s="13"/>
      <c r="FQ104" s="13"/>
      <c r="FR104" s="18"/>
      <c r="FS104" s="12"/>
      <c r="FW104" s="12"/>
      <c r="GD104" s="13"/>
      <c r="GH104" s="13"/>
      <c r="GI104" s="12"/>
      <c r="GJ104" s="13"/>
      <c r="HA104" s="17"/>
      <c r="HB104" s="13"/>
      <c r="JI104" s="12"/>
      <c r="KB104" s="13"/>
    </row>
    <row r="105" spans="8:288" ht="18" customHeight="1">
      <c r="H105" s="4"/>
      <c r="AS105" s="149"/>
      <c r="AT105" s="150"/>
      <c r="AU105" s="149"/>
      <c r="AV105" s="170"/>
      <c r="AW105" s="149"/>
      <c r="AX105" s="150"/>
      <c r="AY105" s="150"/>
      <c r="AZ105" s="150"/>
      <c r="BA105" s="150"/>
      <c r="BB105" s="150"/>
      <c r="BC105" s="150"/>
      <c r="BD105" s="150"/>
      <c r="BE105" s="150"/>
      <c r="BF105" s="150"/>
      <c r="BG105" s="150"/>
      <c r="BH105" s="150"/>
      <c r="BI105" s="150"/>
      <c r="BJ105" s="150"/>
      <c r="BK105" s="150"/>
      <c r="BL105" s="151"/>
      <c r="BM105" s="150"/>
      <c r="BN105" s="150"/>
      <c r="BO105" s="150"/>
      <c r="BP105" s="150"/>
      <c r="BQ105" s="150"/>
      <c r="BR105" s="150"/>
      <c r="BS105" s="150"/>
      <c r="BT105" s="150"/>
      <c r="BU105" s="150"/>
      <c r="BV105" s="150"/>
      <c r="BW105" s="150"/>
      <c r="BX105" s="150"/>
      <c r="BY105" s="150"/>
      <c r="BZ105" s="150"/>
      <c r="CA105" s="150"/>
      <c r="CB105" s="150"/>
      <c r="CC105" s="149"/>
      <c r="CD105" s="150"/>
      <c r="CE105" s="150"/>
      <c r="CF105" s="150"/>
      <c r="CG105" s="150"/>
      <c r="CH105" s="150"/>
      <c r="CI105" s="150"/>
      <c r="CJ105" s="150"/>
      <c r="CK105" s="150"/>
      <c r="CL105" s="150"/>
      <c r="CM105" s="150"/>
      <c r="CN105" s="150"/>
      <c r="CO105" s="150"/>
      <c r="CP105" s="150"/>
      <c r="CQ105" s="150"/>
      <c r="CR105" s="151"/>
      <c r="CS105" s="172"/>
      <c r="CT105" s="151"/>
      <c r="CU105" s="150"/>
      <c r="CV105" s="151"/>
      <c r="DW105" s="5"/>
      <c r="EA105" s="12"/>
      <c r="EB105" s="13"/>
      <c r="EW105" s="24"/>
      <c r="EX105" s="12"/>
      <c r="FA105" s="131"/>
      <c r="FH105" s="12"/>
      <c r="FI105" s="13"/>
      <c r="FQ105" s="13"/>
      <c r="FR105" s="12"/>
      <c r="FS105" s="12"/>
      <c r="FW105" s="12"/>
      <c r="GD105" s="13"/>
      <c r="GE105" s="9"/>
      <c r="GF105" s="10"/>
      <c r="GG105" s="10"/>
      <c r="GH105" s="11"/>
      <c r="GI105" s="12"/>
      <c r="GJ105" s="13"/>
      <c r="HA105" s="18"/>
      <c r="HB105" s="13"/>
      <c r="JI105" s="12"/>
      <c r="KB105" s="13"/>
    </row>
    <row r="106" spans="8:288" ht="18" customHeight="1">
      <c r="H106" s="4"/>
      <c r="AS106" s="149"/>
      <c r="AT106" s="150"/>
      <c r="AU106" s="149"/>
      <c r="AV106" s="170"/>
      <c r="AW106" s="149"/>
      <c r="AX106" s="150"/>
      <c r="AY106" s="150"/>
      <c r="AZ106" s="150"/>
      <c r="BA106" s="150"/>
      <c r="BB106" s="150"/>
      <c r="BC106" s="150"/>
      <c r="BD106" s="150"/>
      <c r="BE106" s="150"/>
      <c r="BF106" s="150"/>
      <c r="BG106" s="150"/>
      <c r="BH106" s="150"/>
      <c r="BI106" s="150"/>
      <c r="BJ106" s="150"/>
      <c r="BK106" s="150"/>
      <c r="BL106" s="151"/>
      <c r="BM106" s="150"/>
      <c r="BN106" s="150"/>
      <c r="BO106" s="150"/>
      <c r="BP106" s="150"/>
      <c r="BQ106" s="150"/>
      <c r="BR106" s="150"/>
      <c r="BS106" s="150"/>
      <c r="BT106" s="150"/>
      <c r="BU106" s="150"/>
      <c r="BV106" s="150"/>
      <c r="BW106" s="150"/>
      <c r="BX106" s="150"/>
      <c r="BY106" s="150"/>
      <c r="BZ106" s="150"/>
      <c r="CA106" s="150"/>
      <c r="CB106" s="150"/>
      <c r="CC106" s="149"/>
      <c r="CD106" s="150"/>
      <c r="CE106" s="150"/>
      <c r="CF106" s="150"/>
      <c r="CG106" s="150"/>
      <c r="CH106" s="150"/>
      <c r="CI106" s="150"/>
      <c r="CJ106" s="150"/>
      <c r="CK106" s="150"/>
      <c r="CL106" s="150"/>
      <c r="CM106" s="150"/>
      <c r="CN106" s="150"/>
      <c r="CO106" s="150"/>
      <c r="CP106" s="150"/>
      <c r="CQ106" s="150"/>
      <c r="CR106" s="151"/>
      <c r="CS106" s="172"/>
      <c r="CT106" s="151"/>
      <c r="CU106" s="150"/>
      <c r="CV106" s="151"/>
      <c r="DW106" s="5"/>
      <c r="EA106" s="12"/>
      <c r="EB106" s="13"/>
      <c r="EC106" s="9"/>
      <c r="ED106" s="10"/>
      <c r="EE106" s="10"/>
      <c r="EF106" s="10"/>
      <c r="EG106" s="10"/>
      <c r="EH106" s="10"/>
      <c r="EI106" s="10"/>
      <c r="EJ106" s="10"/>
      <c r="EK106" s="10"/>
      <c r="EL106" s="10"/>
      <c r="EM106" s="10"/>
      <c r="EN106" s="11"/>
      <c r="EW106" s="24"/>
      <c r="EX106" s="12"/>
      <c r="FH106" s="12"/>
      <c r="FI106" s="13"/>
      <c r="FQ106" s="13"/>
      <c r="FR106" s="12"/>
      <c r="FS106" s="12"/>
      <c r="FW106" s="12"/>
      <c r="GD106" s="13"/>
      <c r="GE106" s="14"/>
      <c r="GF106" s="15"/>
      <c r="GG106" s="15"/>
      <c r="GH106" s="16"/>
      <c r="GI106" s="12"/>
      <c r="GJ106" s="13"/>
      <c r="GL106" s="131"/>
      <c r="GW106" s="131"/>
      <c r="HA106" s="18"/>
      <c r="HB106" s="13"/>
      <c r="JI106" s="12"/>
      <c r="KB106" s="13"/>
    </row>
    <row r="107" spans="8:288" ht="18" customHeight="1">
      <c r="H107" s="4"/>
      <c r="AS107" s="149"/>
      <c r="AT107" s="150"/>
      <c r="AU107" s="149"/>
      <c r="AV107" s="170"/>
      <c r="AW107" s="149"/>
      <c r="AX107" s="150"/>
      <c r="AY107" s="150"/>
      <c r="AZ107" s="150"/>
      <c r="BA107" s="150"/>
      <c r="BB107" s="150"/>
      <c r="BC107" s="150"/>
      <c r="BD107" s="150"/>
      <c r="BE107" s="150"/>
      <c r="BF107" s="150"/>
      <c r="BG107" s="150"/>
      <c r="BH107" s="150"/>
      <c r="BI107" s="150"/>
      <c r="BJ107" s="150"/>
      <c r="BK107" s="150"/>
      <c r="BL107" s="151"/>
      <c r="BM107" s="150"/>
      <c r="BN107" s="150"/>
      <c r="BO107" s="150"/>
      <c r="BP107" s="150"/>
      <c r="BQ107" s="150"/>
      <c r="BR107" s="150"/>
      <c r="BS107" s="150"/>
      <c r="BT107" s="150"/>
      <c r="BU107" s="150"/>
      <c r="BV107" s="150"/>
      <c r="BW107" s="150"/>
      <c r="BX107" s="150"/>
      <c r="BY107" s="150"/>
      <c r="BZ107" s="150"/>
      <c r="CA107" s="150"/>
      <c r="CB107" s="150"/>
      <c r="CC107" s="149"/>
      <c r="CD107" s="150"/>
      <c r="CE107" s="150"/>
      <c r="CF107" s="150"/>
      <c r="CG107" s="150"/>
      <c r="CH107" s="150"/>
      <c r="CI107" s="150"/>
      <c r="CJ107" s="150"/>
      <c r="CK107" s="150"/>
      <c r="CL107" s="150"/>
      <c r="CM107" s="150"/>
      <c r="CN107" s="150"/>
      <c r="CO107" s="150"/>
      <c r="CP107" s="150"/>
      <c r="CQ107" s="150"/>
      <c r="CR107" s="151"/>
      <c r="CS107" s="172"/>
      <c r="CT107" s="151"/>
      <c r="CU107" s="150"/>
      <c r="CV107" s="151"/>
      <c r="DW107" s="5"/>
      <c r="EA107" s="12"/>
      <c r="EC107" s="9"/>
      <c r="ED107" s="10"/>
      <c r="EE107" s="10"/>
      <c r="EF107" s="10"/>
      <c r="EG107" s="10"/>
      <c r="EH107" s="10"/>
      <c r="EI107" s="10"/>
      <c r="EJ107" s="10"/>
      <c r="EK107" s="10"/>
      <c r="EL107" s="10"/>
      <c r="EM107" s="10"/>
      <c r="EN107" s="11"/>
      <c r="EW107" s="24"/>
      <c r="EX107" s="12"/>
      <c r="FD107" s="9"/>
      <c r="FE107" s="11"/>
      <c r="FH107" s="12"/>
      <c r="FI107" s="13"/>
      <c r="FQ107" s="13"/>
      <c r="FR107" s="12"/>
      <c r="FS107" s="12"/>
      <c r="FW107" s="12"/>
      <c r="GD107" s="13"/>
      <c r="GE107" s="9"/>
      <c r="GF107" s="10"/>
      <c r="GG107" s="10"/>
      <c r="GH107" s="11"/>
      <c r="GI107" s="12"/>
      <c r="GJ107" s="13"/>
      <c r="GL107" s="9"/>
      <c r="GM107" s="10"/>
      <c r="GN107" s="10"/>
      <c r="GO107" s="10"/>
      <c r="GP107" s="10"/>
      <c r="GQ107" s="10"/>
      <c r="GR107" s="10"/>
      <c r="GS107" s="10"/>
      <c r="GT107" s="10"/>
      <c r="GU107" s="10"/>
      <c r="GV107" s="10"/>
      <c r="GW107" s="11"/>
      <c r="HA107" s="18"/>
      <c r="HB107" s="13"/>
      <c r="JI107" s="12"/>
      <c r="KB107" s="13"/>
    </row>
    <row r="108" spans="8:288" ht="18" customHeight="1">
      <c r="H108" s="4"/>
      <c r="AS108" s="149"/>
      <c r="AT108" s="150"/>
      <c r="AU108" s="149"/>
      <c r="AV108" s="170"/>
      <c r="AW108" s="149"/>
      <c r="AX108" s="150"/>
      <c r="AY108" s="150"/>
      <c r="AZ108" s="150"/>
      <c r="BA108" s="150"/>
      <c r="BB108" s="150"/>
      <c r="BC108" s="150"/>
      <c r="BD108" s="150"/>
      <c r="BE108" s="150"/>
      <c r="BF108" s="150"/>
      <c r="BG108" s="150"/>
      <c r="BH108" s="150"/>
      <c r="BI108" s="150"/>
      <c r="BJ108" s="150"/>
      <c r="BK108" s="150"/>
      <c r="BL108" s="151"/>
      <c r="BM108" s="150"/>
      <c r="BN108" s="150"/>
      <c r="BO108" s="150"/>
      <c r="BP108" s="150"/>
      <c r="BQ108" s="150"/>
      <c r="BR108" s="150"/>
      <c r="BS108" s="150"/>
      <c r="BT108" s="150"/>
      <c r="BU108" s="150"/>
      <c r="BV108" s="150"/>
      <c r="BW108" s="150"/>
      <c r="BX108" s="150"/>
      <c r="BY108" s="150"/>
      <c r="BZ108" s="150"/>
      <c r="CA108" s="150"/>
      <c r="CB108" s="150"/>
      <c r="CC108" s="149"/>
      <c r="CD108" s="150"/>
      <c r="CE108" s="150"/>
      <c r="CF108" s="150"/>
      <c r="CG108" s="150"/>
      <c r="CH108" s="150"/>
      <c r="CI108" s="150"/>
      <c r="CJ108" s="150"/>
      <c r="CK108" s="150"/>
      <c r="CL108" s="150"/>
      <c r="CM108" s="150"/>
      <c r="CN108" s="150"/>
      <c r="CO108" s="150"/>
      <c r="CP108" s="150"/>
      <c r="CQ108" s="150"/>
      <c r="CR108" s="151"/>
      <c r="CS108" s="172"/>
      <c r="CT108" s="151"/>
      <c r="CU108" s="150"/>
      <c r="CV108" s="151"/>
      <c r="DW108" s="5"/>
      <c r="EA108" s="12"/>
      <c r="EC108" s="12"/>
      <c r="EN108" s="13"/>
      <c r="EW108" s="24"/>
      <c r="EX108" s="12"/>
      <c r="FD108" s="12"/>
      <c r="FE108" s="13"/>
      <c r="FH108" s="12"/>
      <c r="FI108" s="13"/>
      <c r="FQ108" s="13"/>
      <c r="FR108" s="12"/>
      <c r="FS108" s="12"/>
      <c r="FW108" s="12"/>
      <c r="GD108" s="13"/>
      <c r="GE108" s="14"/>
      <c r="GF108" s="15"/>
      <c r="GG108" s="15"/>
      <c r="GH108" s="16"/>
      <c r="GI108" s="12"/>
      <c r="GJ108" s="13"/>
      <c r="GL108" s="12"/>
      <c r="GM108" s="9"/>
      <c r="GN108" s="10"/>
      <c r="GO108" s="10"/>
      <c r="GP108" s="10"/>
      <c r="GQ108" s="10"/>
      <c r="GR108" s="10"/>
      <c r="GS108" s="10"/>
      <c r="GT108" s="10"/>
      <c r="GU108" s="10"/>
      <c r="GV108" s="11"/>
      <c r="GW108" s="13"/>
      <c r="HA108" s="18"/>
      <c r="HB108" s="13"/>
      <c r="JI108" s="12"/>
      <c r="KB108" s="13"/>
    </row>
    <row r="109" spans="8:288" ht="18" customHeight="1">
      <c r="H109" s="4"/>
      <c r="AS109" s="149"/>
      <c r="AT109" s="150"/>
      <c r="AU109" s="149"/>
      <c r="AV109" s="170"/>
      <c r="AW109" s="149"/>
      <c r="AX109" s="150"/>
      <c r="AY109" s="150"/>
      <c r="AZ109" s="150"/>
      <c r="BA109" s="150"/>
      <c r="BB109" s="150"/>
      <c r="BC109" s="150"/>
      <c r="BD109" s="150"/>
      <c r="BE109" s="150"/>
      <c r="BF109" s="150"/>
      <c r="BG109" s="150"/>
      <c r="BH109" s="150"/>
      <c r="BI109" s="150"/>
      <c r="BJ109" s="150"/>
      <c r="BK109" s="150"/>
      <c r="BL109" s="151"/>
      <c r="BM109" s="150"/>
      <c r="BN109" s="150"/>
      <c r="BO109" s="150"/>
      <c r="BP109" s="150"/>
      <c r="BQ109" s="150"/>
      <c r="BR109" s="150"/>
      <c r="BS109" s="150"/>
      <c r="BT109" s="150"/>
      <c r="BU109" s="150"/>
      <c r="BV109" s="150"/>
      <c r="BW109" s="150"/>
      <c r="BX109" s="150"/>
      <c r="BY109" s="150"/>
      <c r="BZ109" s="150"/>
      <c r="CA109" s="150"/>
      <c r="CB109" s="150"/>
      <c r="CC109" s="149"/>
      <c r="CD109" s="150"/>
      <c r="CE109" s="150"/>
      <c r="CF109" s="150"/>
      <c r="CG109" s="150"/>
      <c r="CH109" s="150"/>
      <c r="CI109" s="150"/>
      <c r="CJ109" s="150"/>
      <c r="CK109" s="150"/>
      <c r="CL109" s="150"/>
      <c r="CM109" s="150"/>
      <c r="CN109" s="150"/>
      <c r="CO109" s="150"/>
      <c r="CP109" s="150"/>
      <c r="CQ109" s="150"/>
      <c r="CR109" s="151"/>
      <c r="CS109" s="172"/>
      <c r="CT109" s="151"/>
      <c r="CU109" s="150"/>
      <c r="CV109" s="151"/>
      <c r="DW109" s="5"/>
      <c r="EA109" s="12"/>
      <c r="EC109" s="14"/>
      <c r="ED109" s="20"/>
      <c r="EE109" s="21"/>
      <c r="EF109" s="21"/>
      <c r="EG109" s="21"/>
      <c r="EH109" s="21"/>
      <c r="EI109" s="21"/>
      <c r="EJ109" s="21"/>
      <c r="EK109" s="21"/>
      <c r="EL109" s="21"/>
      <c r="EM109" s="22"/>
      <c r="EN109" s="16"/>
      <c r="EO109" s="15"/>
      <c r="EP109" s="15"/>
      <c r="EQ109" s="15"/>
      <c r="ER109" s="15"/>
      <c r="ES109" s="15"/>
      <c r="ET109" s="15"/>
      <c r="EU109" s="15"/>
      <c r="EV109" s="15"/>
      <c r="EW109" s="25"/>
      <c r="EX109" s="14"/>
      <c r="EY109" s="15"/>
      <c r="EZ109" s="15"/>
      <c r="FA109" s="15"/>
      <c r="FB109" s="15"/>
      <c r="FC109" s="15"/>
      <c r="FD109" s="14"/>
      <c r="FE109" s="16"/>
      <c r="FF109" s="15"/>
      <c r="FG109" s="15"/>
      <c r="FH109" s="14"/>
      <c r="FI109" s="16"/>
      <c r="FJ109" s="15"/>
      <c r="FK109" s="15"/>
      <c r="FL109" s="15"/>
      <c r="FM109" s="15"/>
      <c r="FN109" s="15"/>
      <c r="FO109" s="15"/>
      <c r="FP109" s="15"/>
      <c r="FQ109" s="16"/>
      <c r="FR109" s="14"/>
      <c r="FS109" s="20"/>
      <c r="FT109" s="21"/>
      <c r="FU109" s="21"/>
      <c r="FV109" s="22"/>
      <c r="FW109" s="14"/>
      <c r="FX109" s="15"/>
      <c r="FY109" s="15"/>
      <c r="FZ109" s="15"/>
      <c r="GA109" s="15"/>
      <c r="GB109" s="15"/>
      <c r="GC109" s="15"/>
      <c r="GD109" s="16"/>
      <c r="GE109" s="15"/>
      <c r="GF109" s="15"/>
      <c r="GG109" s="15"/>
      <c r="GH109" s="16"/>
      <c r="GI109" s="12"/>
      <c r="GJ109" s="13"/>
      <c r="GL109" s="14"/>
      <c r="GM109" s="14"/>
      <c r="GN109" s="15"/>
      <c r="GO109" s="15"/>
      <c r="GP109" s="15"/>
      <c r="GQ109" s="15"/>
      <c r="GR109" s="15"/>
      <c r="GS109" s="15"/>
      <c r="GT109" s="15"/>
      <c r="GU109" s="15"/>
      <c r="GV109" s="16"/>
      <c r="GW109" s="16"/>
      <c r="HA109" s="19"/>
      <c r="HB109" s="13"/>
      <c r="JI109" s="12"/>
      <c r="KB109" s="13"/>
    </row>
    <row r="110" spans="8:288" ht="18" customHeight="1">
      <c r="H110" s="4"/>
      <c r="AS110" s="149"/>
      <c r="AT110" s="150"/>
      <c r="AU110" s="149"/>
      <c r="AV110" s="170"/>
      <c r="AW110" s="149"/>
      <c r="AX110" s="150"/>
      <c r="AY110" s="150"/>
      <c r="AZ110" s="150"/>
      <c r="BA110" s="150"/>
      <c r="BB110" s="150"/>
      <c r="BC110" s="150"/>
      <c r="BD110" s="150"/>
      <c r="BE110" s="150"/>
      <c r="BF110" s="150"/>
      <c r="BG110" s="150"/>
      <c r="BH110" s="150"/>
      <c r="BI110" s="150"/>
      <c r="BJ110" s="150"/>
      <c r="BK110" s="150"/>
      <c r="BL110" s="151"/>
      <c r="BM110" s="150"/>
      <c r="BN110" s="150"/>
      <c r="BO110" s="150"/>
      <c r="BP110" s="150"/>
      <c r="BQ110" s="150"/>
      <c r="BR110" s="150"/>
      <c r="BS110" s="150"/>
      <c r="BT110" s="150"/>
      <c r="BU110" s="150"/>
      <c r="BV110" s="150"/>
      <c r="BW110" s="150"/>
      <c r="BX110" s="150"/>
      <c r="BY110" s="150"/>
      <c r="BZ110" s="150"/>
      <c r="CA110" s="150"/>
      <c r="CB110" s="150"/>
      <c r="CC110" s="149"/>
      <c r="CD110" s="150"/>
      <c r="CE110" s="150"/>
      <c r="CF110" s="150"/>
      <c r="CG110" s="150"/>
      <c r="CH110" s="150"/>
      <c r="CI110" s="150"/>
      <c r="CJ110" s="150"/>
      <c r="CK110" s="150"/>
      <c r="CL110" s="150"/>
      <c r="CM110" s="150"/>
      <c r="CN110" s="150"/>
      <c r="CO110" s="150"/>
      <c r="CP110" s="150"/>
      <c r="CQ110" s="150"/>
      <c r="CR110" s="151"/>
      <c r="CS110" s="172"/>
      <c r="CT110" s="151"/>
      <c r="CU110" s="150"/>
      <c r="CV110" s="151"/>
      <c r="DW110" s="5"/>
      <c r="EA110" s="12"/>
      <c r="EB110" s="13"/>
      <c r="EO110" s="10"/>
      <c r="EP110" s="10"/>
      <c r="EQ110" s="10"/>
      <c r="ER110" s="10"/>
      <c r="ES110" s="10"/>
      <c r="ET110" s="10"/>
      <c r="EU110" s="10"/>
      <c r="EV110" s="10"/>
      <c r="EW110" s="10"/>
      <c r="EX110" s="10"/>
      <c r="EY110" s="10"/>
      <c r="EZ110" s="10"/>
      <c r="FA110" s="10"/>
      <c r="FB110" s="10"/>
      <c r="FC110" s="10"/>
      <c r="FD110" s="10"/>
      <c r="FE110" s="10"/>
      <c r="FF110" s="10"/>
      <c r="FG110" s="10"/>
      <c r="FH110" s="10"/>
      <c r="FI110" s="10"/>
      <c r="FJ110" s="10"/>
      <c r="FK110" s="10"/>
      <c r="FL110" s="10"/>
      <c r="FM110" s="10"/>
      <c r="FN110" s="10"/>
      <c r="FO110" s="10"/>
      <c r="FP110" s="10"/>
      <c r="FQ110" s="10"/>
      <c r="FR110" s="10"/>
      <c r="GI110" s="12"/>
      <c r="GJ110" s="13"/>
      <c r="GK110" s="9"/>
      <c r="GL110" s="10"/>
      <c r="GM110" s="10"/>
      <c r="GN110" s="10"/>
      <c r="GO110" s="10"/>
      <c r="GP110" s="10"/>
      <c r="GQ110" s="10"/>
      <c r="GR110" s="10"/>
      <c r="GS110" s="10"/>
      <c r="GT110" s="10"/>
      <c r="GU110" s="10"/>
      <c r="GV110" s="10"/>
      <c r="GW110" s="10"/>
      <c r="GX110" s="10"/>
      <c r="GY110" s="10"/>
      <c r="GZ110" s="10"/>
      <c r="HA110" s="11"/>
      <c r="HB110" s="13"/>
      <c r="JI110" s="12"/>
      <c r="KB110" s="13"/>
    </row>
    <row r="111" spans="8:288" ht="18" customHeight="1">
      <c r="H111" s="4"/>
      <c r="AS111" s="149"/>
      <c r="AT111" s="150"/>
      <c r="AU111" s="149"/>
      <c r="AV111" s="170"/>
      <c r="AW111" s="152"/>
      <c r="AX111" s="153"/>
      <c r="AY111" s="153"/>
      <c r="AZ111" s="153"/>
      <c r="BA111" s="153"/>
      <c r="BB111" s="153"/>
      <c r="BC111" s="153"/>
      <c r="BD111" s="153"/>
      <c r="BE111" s="153"/>
      <c r="BF111" s="153"/>
      <c r="BG111" s="153"/>
      <c r="BH111" s="153"/>
      <c r="BI111" s="153"/>
      <c r="BJ111" s="153"/>
      <c r="BK111" s="153"/>
      <c r="BL111" s="154"/>
      <c r="BM111" s="153"/>
      <c r="BN111" s="153"/>
      <c r="BO111" s="153"/>
      <c r="BP111" s="153"/>
      <c r="BQ111" s="153"/>
      <c r="BR111" s="153"/>
      <c r="BS111" s="153"/>
      <c r="BT111" s="150"/>
      <c r="BU111" s="150"/>
      <c r="BV111" s="153"/>
      <c r="BW111" s="153"/>
      <c r="BX111" s="153"/>
      <c r="BY111" s="153"/>
      <c r="BZ111" s="153"/>
      <c r="CA111" s="153"/>
      <c r="CB111" s="153"/>
      <c r="CC111" s="152"/>
      <c r="CD111" s="153"/>
      <c r="CE111" s="153"/>
      <c r="CF111" s="153"/>
      <c r="CG111" s="153"/>
      <c r="CH111" s="153"/>
      <c r="CI111" s="153"/>
      <c r="CJ111" s="153"/>
      <c r="CK111" s="153"/>
      <c r="CL111" s="153"/>
      <c r="CM111" s="153"/>
      <c r="CN111" s="153"/>
      <c r="CO111" s="153"/>
      <c r="CP111" s="153"/>
      <c r="CQ111" s="153"/>
      <c r="CR111" s="154"/>
      <c r="CS111" s="172"/>
      <c r="CT111" s="151"/>
      <c r="CU111" s="150"/>
      <c r="CV111" s="151"/>
      <c r="DW111" s="5"/>
      <c r="EA111" s="12"/>
      <c r="EB111" s="13"/>
      <c r="GI111" s="12"/>
      <c r="GK111" s="12"/>
      <c r="HA111" s="13"/>
      <c r="HB111" s="13"/>
      <c r="JI111" s="14"/>
      <c r="JJ111" s="15"/>
      <c r="JK111" s="15"/>
      <c r="JL111" s="15"/>
      <c r="JM111" s="15"/>
      <c r="JN111" s="15"/>
      <c r="JO111" s="15"/>
      <c r="JP111" s="15"/>
      <c r="JQ111" s="15"/>
      <c r="JR111" s="15"/>
      <c r="JS111" s="15"/>
      <c r="JT111" s="15"/>
      <c r="JU111" s="15"/>
      <c r="JV111" s="15"/>
      <c r="JW111" s="15"/>
      <c r="JX111" s="15"/>
      <c r="JY111" s="15"/>
      <c r="JZ111" s="15"/>
      <c r="KA111" s="15"/>
      <c r="KB111" s="16"/>
    </row>
    <row r="112" spans="8:288" ht="18" customHeight="1">
      <c r="H112" s="4"/>
      <c r="AS112" s="149"/>
      <c r="AT112" s="150"/>
      <c r="AU112" s="146"/>
      <c r="AV112" s="148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75"/>
      <c r="BI112" s="175"/>
      <c r="BJ112" s="175"/>
      <c r="BK112" s="175"/>
      <c r="BL112" s="175"/>
      <c r="BM112" s="175"/>
      <c r="BN112" s="175"/>
      <c r="BO112" s="175"/>
      <c r="BP112" s="175"/>
      <c r="BQ112" s="175"/>
      <c r="BR112" s="175"/>
      <c r="BS112" s="175"/>
      <c r="BT112" s="146"/>
      <c r="BU112" s="148"/>
      <c r="BV112" s="175"/>
      <c r="BW112" s="175"/>
      <c r="BX112" s="175"/>
      <c r="BY112" s="175"/>
      <c r="BZ112" s="175"/>
      <c r="CA112" s="175"/>
      <c r="CB112" s="175"/>
      <c r="CC112" s="175"/>
      <c r="CD112" s="175"/>
      <c r="CE112" s="175"/>
      <c r="CF112" s="175"/>
      <c r="CG112" s="175"/>
      <c r="CH112" s="175"/>
      <c r="CI112" s="175"/>
      <c r="CJ112" s="175"/>
      <c r="CK112" s="175"/>
      <c r="CL112" s="175"/>
      <c r="CM112" s="175"/>
      <c r="CN112" s="175"/>
      <c r="CO112" s="175"/>
      <c r="CP112" s="175"/>
      <c r="CQ112" s="175"/>
      <c r="CR112" s="175"/>
      <c r="CS112" s="146"/>
      <c r="CT112" s="148"/>
      <c r="CU112" s="150"/>
      <c r="CV112" s="151"/>
      <c r="DW112" s="5"/>
      <c r="EA112" s="12"/>
      <c r="EB112" s="13"/>
      <c r="GI112" s="12"/>
      <c r="GK112" s="12"/>
      <c r="HA112" s="13"/>
      <c r="HB112" s="13"/>
    </row>
    <row r="113" spans="8:217" ht="18" customHeight="1" thickBot="1">
      <c r="H113" s="4"/>
      <c r="AS113" s="149"/>
      <c r="AT113" s="150"/>
      <c r="AU113" s="152"/>
      <c r="AV113" s="154"/>
      <c r="AW113" s="153"/>
      <c r="AX113" s="153"/>
      <c r="AY113" s="153"/>
      <c r="AZ113" s="153"/>
      <c r="BA113" s="153"/>
      <c r="BB113" s="153"/>
      <c r="BC113" s="153"/>
      <c r="BD113" s="153"/>
      <c r="BE113" s="153"/>
      <c r="BF113" s="153"/>
      <c r="BG113" s="153"/>
      <c r="BH113" s="153"/>
      <c r="BI113" s="153"/>
      <c r="BJ113" s="153"/>
      <c r="BK113" s="153"/>
      <c r="BL113" s="153"/>
      <c r="BM113" s="153"/>
      <c r="BN113" s="153"/>
      <c r="BO113" s="153"/>
      <c r="BP113" s="153"/>
      <c r="BQ113" s="153"/>
      <c r="BR113" s="153"/>
      <c r="BS113" s="153"/>
      <c r="BT113" s="152"/>
      <c r="BU113" s="154"/>
      <c r="BV113" s="153"/>
      <c r="BW113" s="153"/>
      <c r="BX113" s="153"/>
      <c r="BY113" s="153"/>
      <c r="BZ113" s="153"/>
      <c r="CA113" s="153"/>
      <c r="CB113" s="153"/>
      <c r="CC113" s="153"/>
      <c r="CD113" s="153"/>
      <c r="CE113" s="153"/>
      <c r="CF113" s="153"/>
      <c r="CG113" s="153"/>
      <c r="CH113" s="153"/>
      <c r="CI113" s="153"/>
      <c r="CJ113" s="153"/>
      <c r="CK113" s="153"/>
      <c r="CL113" s="153"/>
      <c r="CM113" s="153"/>
      <c r="CN113" s="153"/>
      <c r="CO113" s="153"/>
      <c r="CP113" s="153"/>
      <c r="CQ113" s="153"/>
      <c r="CR113" s="153"/>
      <c r="CS113" s="152"/>
      <c r="CT113" s="154"/>
      <c r="CU113" s="150"/>
      <c r="CV113" s="151"/>
      <c r="DW113" s="5"/>
      <c r="DY113" s="7"/>
      <c r="DZ113" s="7"/>
      <c r="EA113" s="12"/>
      <c r="EB113" s="13"/>
      <c r="EC113" s="7"/>
      <c r="ED113" s="7"/>
      <c r="EE113" s="7"/>
      <c r="EF113" s="7"/>
      <c r="EG113" s="7"/>
      <c r="EH113" s="7"/>
      <c r="EI113" s="7"/>
      <c r="EJ113" s="7"/>
      <c r="EK113" s="7"/>
      <c r="EL113" s="7"/>
      <c r="EM113" s="7"/>
      <c r="EN113" s="7"/>
      <c r="EO113" s="7"/>
      <c r="EP113" s="7"/>
      <c r="EQ113" s="7"/>
      <c r="ER113" s="7"/>
      <c r="ES113" s="7"/>
      <c r="ET113" s="7"/>
      <c r="EU113" s="7"/>
      <c r="EV113" s="7"/>
      <c r="EW113" s="7"/>
      <c r="EX113" s="7"/>
      <c r="EY113" s="7"/>
      <c r="EZ113" s="7"/>
      <c r="FA113" s="7"/>
      <c r="FB113" s="7"/>
      <c r="FC113" s="7"/>
      <c r="FD113" s="7"/>
      <c r="FE113" s="7"/>
      <c r="FF113" s="7"/>
      <c r="FG113" s="7"/>
      <c r="FH113" s="7"/>
      <c r="FI113" s="7"/>
      <c r="FJ113" s="7"/>
      <c r="FK113" s="7"/>
      <c r="FL113" s="7"/>
      <c r="FM113" s="7"/>
      <c r="FN113" s="7"/>
      <c r="FO113" s="7"/>
      <c r="FP113" s="7"/>
      <c r="FQ113" s="7"/>
      <c r="FR113" s="7"/>
      <c r="FS113" s="7"/>
      <c r="FT113" s="7"/>
      <c r="FU113" s="7"/>
      <c r="FV113" s="7"/>
      <c r="FW113" s="7"/>
      <c r="FX113" s="7"/>
      <c r="FY113" s="7"/>
      <c r="FZ113" s="7"/>
      <c r="GA113" s="7"/>
      <c r="GB113" s="7"/>
      <c r="GC113" s="7"/>
      <c r="GD113" s="7"/>
      <c r="GE113" s="7"/>
      <c r="GF113" s="7"/>
      <c r="GG113" s="7"/>
      <c r="GH113" s="7"/>
      <c r="GI113" s="12"/>
      <c r="GK113" s="179"/>
      <c r="GL113" s="7"/>
      <c r="GM113" s="7"/>
      <c r="GN113" s="7"/>
      <c r="GO113" s="7"/>
      <c r="GP113" s="7"/>
      <c r="GQ113" s="7"/>
      <c r="GR113" s="7"/>
      <c r="GS113" s="7"/>
      <c r="GT113" s="7"/>
      <c r="GU113" s="7"/>
      <c r="GV113" s="7"/>
      <c r="GW113" s="7"/>
      <c r="GX113" s="7"/>
      <c r="GY113" s="7"/>
      <c r="GZ113" s="7"/>
      <c r="HA113" s="180"/>
      <c r="HB113" s="180"/>
      <c r="HC113" s="7"/>
      <c r="HD113" s="7"/>
      <c r="HE113" s="7"/>
      <c r="HF113" s="7"/>
      <c r="HG113" s="7"/>
      <c r="HH113" s="7"/>
      <c r="HI113" s="7"/>
    </row>
    <row r="114" spans="8:217" ht="18" customHeight="1">
      <c r="H114" s="4"/>
      <c r="AS114" s="149"/>
      <c r="AT114" s="150"/>
      <c r="AU114" s="150"/>
      <c r="AV114" s="150"/>
      <c r="AW114" s="150"/>
      <c r="AX114" s="150"/>
      <c r="AY114" s="150"/>
      <c r="AZ114" s="150"/>
      <c r="BA114" s="150"/>
      <c r="BB114" s="150"/>
      <c r="BC114" s="150"/>
      <c r="BD114" s="150"/>
      <c r="BE114" s="150"/>
      <c r="BF114" s="150"/>
      <c r="BG114" s="150"/>
      <c r="BH114" s="150"/>
      <c r="BI114" s="150"/>
      <c r="BJ114" s="150"/>
      <c r="BK114" s="150"/>
      <c r="BL114" s="150"/>
      <c r="BM114" s="150"/>
      <c r="BN114" s="150"/>
      <c r="BO114" s="150"/>
      <c r="BP114" s="150"/>
      <c r="BQ114" s="150"/>
      <c r="BR114" s="150"/>
      <c r="BS114" s="150"/>
      <c r="BT114" s="150"/>
      <c r="BU114" s="150"/>
      <c r="BV114" s="150"/>
      <c r="BW114" s="150"/>
      <c r="BX114" s="150"/>
      <c r="BY114" s="150"/>
      <c r="BZ114" s="150"/>
      <c r="CA114" s="150"/>
      <c r="CB114" s="150"/>
      <c r="CC114" s="150"/>
      <c r="CD114" s="150"/>
      <c r="CE114" s="150"/>
      <c r="CF114" s="150"/>
      <c r="CG114" s="150"/>
      <c r="CH114" s="150"/>
      <c r="CI114" s="150"/>
      <c r="CJ114" s="150"/>
      <c r="CK114" s="150"/>
      <c r="CL114" s="150"/>
      <c r="CM114" s="150"/>
      <c r="CN114" s="150"/>
      <c r="CO114" s="150"/>
      <c r="CP114" s="150"/>
      <c r="CQ114" s="150"/>
      <c r="CR114" s="150"/>
      <c r="CS114" s="150"/>
      <c r="CT114" s="150"/>
      <c r="CU114" s="150"/>
      <c r="CV114" s="151"/>
      <c r="DW114" s="5"/>
      <c r="EA114" s="12"/>
      <c r="EB114" s="13"/>
      <c r="GI114" s="12"/>
      <c r="GJ114" s="13"/>
    </row>
    <row r="115" spans="8:217" ht="18" customHeight="1">
      <c r="H115" s="4"/>
      <c r="AS115" s="152"/>
      <c r="AT115" s="153"/>
      <c r="AU115" s="153"/>
      <c r="AV115" s="153"/>
      <c r="AW115" s="153"/>
      <c r="AX115" s="153"/>
      <c r="AY115" s="153"/>
      <c r="AZ115" s="153"/>
      <c r="BA115" s="153"/>
      <c r="BB115" s="153"/>
      <c r="BC115" s="153"/>
      <c r="BD115" s="153"/>
      <c r="BE115" s="153"/>
      <c r="BF115" s="153"/>
      <c r="BG115" s="153"/>
      <c r="BH115" s="153"/>
      <c r="BI115" s="153"/>
      <c r="BJ115" s="153"/>
      <c r="BK115" s="153"/>
      <c r="BL115" s="153"/>
      <c r="BM115" s="153"/>
      <c r="BN115" s="153"/>
      <c r="BO115" s="153"/>
      <c r="BP115" s="153"/>
      <c r="BQ115" s="153"/>
      <c r="BR115" s="153"/>
      <c r="BS115" s="153"/>
      <c r="BT115" s="153"/>
      <c r="BU115" s="153"/>
      <c r="BV115" s="153"/>
      <c r="BW115" s="153"/>
      <c r="BX115" s="153"/>
      <c r="BY115" s="153"/>
      <c r="BZ115" s="153"/>
      <c r="CA115" s="153"/>
      <c r="CB115" s="153"/>
      <c r="CC115" s="153"/>
      <c r="CD115" s="153"/>
      <c r="CE115" s="153"/>
      <c r="CF115" s="153"/>
      <c r="CG115" s="153"/>
      <c r="CH115" s="153"/>
      <c r="CI115" s="153"/>
      <c r="CJ115" s="153"/>
      <c r="CK115" s="153"/>
      <c r="CL115" s="153"/>
      <c r="CM115" s="153"/>
      <c r="CN115" s="153"/>
      <c r="CO115" s="153"/>
      <c r="CP115" s="153"/>
      <c r="CQ115" s="153"/>
      <c r="CR115" s="153"/>
      <c r="CS115" s="153"/>
      <c r="CT115" s="153"/>
      <c r="CU115" s="153"/>
      <c r="CV115" s="154"/>
      <c r="DW115" s="5"/>
      <c r="EA115" s="12"/>
      <c r="EB115" s="13"/>
      <c r="GI115" s="12"/>
      <c r="GJ115" s="13"/>
    </row>
    <row r="116" spans="8:217" ht="18" customHeight="1">
      <c r="H116" s="4"/>
      <c r="DW116" s="5"/>
      <c r="EA116" s="12"/>
      <c r="EB116" s="13"/>
      <c r="GI116" s="12"/>
      <c r="GJ116" s="13"/>
    </row>
    <row r="117" spans="8:217" ht="18" customHeight="1">
      <c r="H117" s="4"/>
      <c r="DW117" s="5"/>
      <c r="EA117" s="14"/>
      <c r="EB117" s="16"/>
      <c r="GI117" s="14"/>
      <c r="GJ117" s="16"/>
    </row>
    <row r="118" spans="8:217" ht="18" customHeight="1">
      <c r="H118" s="4"/>
      <c r="DW118" s="5"/>
    </row>
    <row r="119" spans="8:217" ht="18" customHeight="1">
      <c r="H119" s="4"/>
      <c r="DW119" s="5"/>
    </row>
    <row r="120" spans="8:217" ht="18" customHeight="1">
      <c r="H120" s="4"/>
      <c r="DW120" s="5"/>
    </row>
    <row r="121" spans="8:217" ht="18" customHeight="1">
      <c r="H121" s="4"/>
      <c r="DW121" s="5"/>
    </row>
    <row r="122" spans="8:217" ht="18" customHeight="1">
      <c r="H122" s="4"/>
      <c r="DW122" s="5"/>
    </row>
    <row r="123" spans="8:217" ht="18" customHeight="1">
      <c r="H123" s="4"/>
      <c r="DW123" s="5"/>
    </row>
    <row r="124" spans="8:217" ht="18" customHeight="1">
      <c r="H124" s="4"/>
      <c r="DW124" s="5"/>
    </row>
    <row r="125" spans="8:217" ht="18" customHeight="1" thickBot="1">
      <c r="H125" s="6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  <c r="DR125" s="7"/>
      <c r="DS125" s="7"/>
      <c r="DT125" s="7"/>
      <c r="DU125" s="7"/>
      <c r="DV125" s="7"/>
      <c r="DW125" s="8"/>
    </row>
    <row r="142" spans="158:434" ht="18" customHeight="1">
      <c r="LH142" s="15"/>
      <c r="LI142" s="15"/>
      <c r="LJ142" s="15"/>
      <c r="LK142" s="15"/>
      <c r="LL142" s="15"/>
      <c r="LM142" s="15"/>
    </row>
    <row r="143" spans="158:434" ht="18" customHeight="1">
      <c r="IB143" s="9"/>
      <c r="IC143" s="10"/>
      <c r="ID143" s="10"/>
      <c r="IE143" s="10"/>
      <c r="IF143" s="10"/>
      <c r="IG143" s="10"/>
      <c r="IH143" s="10"/>
      <c r="II143" s="10"/>
      <c r="IJ143" s="10"/>
      <c r="IK143" s="10"/>
      <c r="IL143" s="10"/>
      <c r="IM143" s="10"/>
      <c r="IN143" s="10"/>
      <c r="IO143" s="10"/>
      <c r="IP143" s="10"/>
      <c r="IQ143" s="10"/>
      <c r="IR143" s="10"/>
      <c r="IS143" s="10"/>
      <c r="IT143" s="10"/>
      <c r="IU143" s="10"/>
      <c r="IV143" s="10"/>
      <c r="IW143" s="10"/>
      <c r="IX143" s="10"/>
      <c r="IY143" s="10"/>
      <c r="IZ143" s="10"/>
      <c r="JA143" s="10"/>
      <c r="JB143" s="10"/>
      <c r="JC143" s="10"/>
      <c r="JD143" s="10"/>
      <c r="JE143" s="10"/>
      <c r="JF143" s="10"/>
      <c r="JG143" s="10"/>
      <c r="JH143" s="10"/>
      <c r="JI143" s="10"/>
      <c r="JJ143" s="10"/>
      <c r="JK143" s="10"/>
      <c r="JL143" s="10"/>
      <c r="JM143" s="10"/>
      <c r="JN143" s="10"/>
      <c r="JO143" s="10"/>
      <c r="JP143" s="10"/>
      <c r="JQ143" s="10"/>
      <c r="JR143" s="10"/>
      <c r="JS143" s="10"/>
      <c r="JT143" s="10"/>
      <c r="JU143" s="10"/>
      <c r="JV143" s="10"/>
      <c r="JW143" s="10"/>
      <c r="JX143" s="10"/>
      <c r="JY143" s="10"/>
      <c r="JZ143" s="10"/>
      <c r="KA143" s="10"/>
      <c r="KB143" s="10"/>
      <c r="KC143" s="12"/>
      <c r="KM143" s="9"/>
      <c r="KN143" s="10"/>
      <c r="KO143" s="10"/>
      <c r="KP143" s="10"/>
      <c r="KQ143" s="10"/>
      <c r="KR143" s="10"/>
      <c r="KS143" s="10"/>
      <c r="KT143" s="10"/>
      <c r="KU143" s="10"/>
      <c r="KV143" s="10"/>
      <c r="KW143" s="10"/>
      <c r="KX143" s="10"/>
      <c r="KY143" s="10"/>
      <c r="KZ143" s="10"/>
      <c r="LA143" s="10"/>
      <c r="LB143" s="10"/>
      <c r="LC143" s="10"/>
      <c r="LD143" s="10"/>
      <c r="LE143" s="10"/>
      <c r="LF143" s="10"/>
      <c r="LG143" s="10"/>
      <c r="LH143" s="10"/>
      <c r="LI143" s="10"/>
      <c r="LJ143" s="10"/>
      <c r="LK143" s="10"/>
      <c r="LL143" s="10"/>
      <c r="LM143" s="10"/>
      <c r="LN143" s="10"/>
      <c r="LO143" s="10"/>
      <c r="LP143" s="10"/>
      <c r="LQ143" s="10"/>
      <c r="LR143" s="10"/>
      <c r="LS143" s="10"/>
      <c r="LT143" s="10"/>
      <c r="LU143" s="10"/>
      <c r="LV143" s="10"/>
      <c r="LW143" s="10"/>
      <c r="LX143" s="10"/>
      <c r="LY143" s="10"/>
      <c r="LZ143" s="10"/>
      <c r="MA143" s="11"/>
    </row>
    <row r="144" spans="158:434" ht="18" customHeight="1">
      <c r="FB144" s="15"/>
      <c r="FC144" s="15"/>
      <c r="FD144" s="15"/>
      <c r="FE144" s="15"/>
      <c r="FF144" s="15"/>
      <c r="FG144" s="15"/>
      <c r="FH144" s="15"/>
      <c r="FI144" s="15"/>
      <c r="IB144" s="12"/>
      <c r="KC144" s="12"/>
      <c r="KM144" s="12"/>
      <c r="MA144" s="13"/>
      <c r="NV144" s="9"/>
      <c r="NW144" s="10"/>
      <c r="NX144" s="10"/>
      <c r="NY144" s="10"/>
      <c r="NZ144" s="10"/>
      <c r="OA144" s="10"/>
      <c r="OB144" s="10"/>
      <c r="OC144" s="10"/>
      <c r="OD144" s="10"/>
      <c r="OE144" s="10"/>
      <c r="OF144" s="10"/>
      <c r="OG144" s="10"/>
      <c r="OH144" s="10"/>
      <c r="OI144" s="10"/>
      <c r="OJ144" s="10"/>
      <c r="OK144" s="10"/>
      <c r="OL144" s="10"/>
      <c r="OM144" s="10"/>
      <c r="ON144" s="10"/>
      <c r="OO144" s="10"/>
      <c r="OP144" s="10"/>
      <c r="OQ144" s="10"/>
      <c r="OR144" s="10"/>
      <c r="OS144" s="10"/>
      <c r="OT144" s="10"/>
      <c r="OU144" s="10"/>
      <c r="OV144" s="10"/>
      <c r="OW144" s="10"/>
      <c r="OX144" s="10"/>
      <c r="OY144" s="10"/>
      <c r="OZ144" s="10"/>
      <c r="PA144" s="10"/>
      <c r="PB144" s="10"/>
      <c r="PC144" s="10"/>
      <c r="PD144" s="10"/>
      <c r="PE144" s="10"/>
      <c r="PF144" s="10"/>
      <c r="PG144" s="10"/>
      <c r="PH144" s="10"/>
      <c r="PI144" s="10"/>
      <c r="PJ144" s="10"/>
      <c r="PK144" s="10"/>
      <c r="PL144" s="10"/>
      <c r="PM144" s="10"/>
      <c r="PN144" s="10"/>
      <c r="PO144" s="10"/>
      <c r="PP144" s="10"/>
      <c r="PQ144" s="10"/>
      <c r="PR144" s="11"/>
    </row>
    <row r="145" spans="32:434" ht="18" customHeight="1">
      <c r="EH145" s="40"/>
      <c r="EI145" s="41"/>
      <c r="EJ145" s="41"/>
      <c r="EK145" s="41"/>
      <c r="EL145" s="41"/>
      <c r="EM145" s="41"/>
      <c r="EN145" s="41"/>
      <c r="EO145" s="41"/>
      <c r="EP145" s="41"/>
      <c r="EQ145" s="41"/>
      <c r="ER145" s="41"/>
      <c r="ES145" s="41"/>
      <c r="ET145" s="41"/>
      <c r="EU145" s="41"/>
      <c r="EV145" s="41"/>
      <c r="EW145" s="41"/>
      <c r="EX145" s="41"/>
      <c r="EY145" s="41"/>
      <c r="EZ145" s="41"/>
      <c r="FA145" s="41"/>
      <c r="FB145" s="43"/>
      <c r="FC145" s="123"/>
      <c r="FD145" s="109"/>
      <c r="FE145" s="109"/>
      <c r="FF145" s="109"/>
      <c r="FG145" s="109"/>
      <c r="FH145" s="124"/>
      <c r="FI145" s="43"/>
      <c r="FJ145" s="41"/>
      <c r="FK145" s="41"/>
      <c r="FL145" s="41"/>
      <c r="FM145" s="41"/>
      <c r="FN145" s="41"/>
      <c r="FO145" s="41"/>
      <c r="FP145" s="41"/>
      <c r="FQ145" s="41"/>
      <c r="FR145" s="41"/>
      <c r="FS145" s="41"/>
      <c r="FT145" s="41"/>
      <c r="FU145" s="41"/>
      <c r="FV145" s="44"/>
      <c r="IB145" s="12"/>
      <c r="ID145" s="9"/>
      <c r="IE145" s="10"/>
      <c r="IF145" s="10"/>
      <c r="IG145" s="10"/>
      <c r="IH145" s="11"/>
      <c r="II145" s="9"/>
      <c r="IJ145" s="10"/>
      <c r="IK145" s="10"/>
      <c r="IL145" s="10"/>
      <c r="IM145" s="11"/>
      <c r="IN145" s="9"/>
      <c r="IO145" s="10"/>
      <c r="IP145" s="10"/>
      <c r="IQ145" s="10"/>
      <c r="IR145" s="10"/>
      <c r="IS145" s="10"/>
      <c r="IT145" s="10"/>
      <c r="IU145" s="11"/>
      <c r="IV145" s="17"/>
      <c r="IW145" s="9"/>
      <c r="IX145" s="10"/>
      <c r="IY145" s="10"/>
      <c r="IZ145" s="10"/>
      <c r="JA145" s="11"/>
      <c r="JB145" s="10"/>
      <c r="JC145" s="10"/>
      <c r="JD145" s="10"/>
      <c r="JE145" s="10"/>
      <c r="JF145" s="11"/>
      <c r="JG145" s="11"/>
      <c r="JH145" s="10"/>
      <c r="JI145" s="10"/>
      <c r="JJ145" s="10"/>
      <c r="JK145" s="10"/>
      <c r="JL145" s="10"/>
      <c r="JM145" s="10"/>
      <c r="JN145" s="10"/>
      <c r="JO145" s="10"/>
      <c r="JP145" s="10"/>
      <c r="JQ145" s="10"/>
      <c r="JR145" s="10"/>
      <c r="JS145" s="10"/>
      <c r="JT145" s="10"/>
      <c r="JU145" s="10"/>
      <c r="JV145" s="10"/>
      <c r="JW145" s="10"/>
      <c r="JX145" s="10"/>
      <c r="JY145" s="10"/>
      <c r="JZ145" s="11"/>
      <c r="KC145" s="12"/>
      <c r="KM145" s="12"/>
      <c r="KO145" s="9"/>
      <c r="KP145" s="10"/>
      <c r="KQ145" s="10"/>
      <c r="KR145" s="10"/>
      <c r="KS145" s="10"/>
      <c r="KT145" s="10"/>
      <c r="KU145" s="10"/>
      <c r="KV145" s="10"/>
      <c r="KW145" s="10"/>
      <c r="KX145" s="10"/>
      <c r="KY145" s="10"/>
      <c r="KZ145" s="10"/>
      <c r="LA145" s="10"/>
      <c r="LB145" s="10"/>
      <c r="LC145" s="10"/>
      <c r="LD145" s="10"/>
      <c r="LE145" s="10"/>
      <c r="LF145" s="10"/>
      <c r="LG145" s="10"/>
      <c r="LH145" s="10"/>
      <c r="LI145" s="10"/>
      <c r="LJ145" s="10"/>
      <c r="LK145" s="10"/>
      <c r="LL145" s="10"/>
      <c r="LM145" s="10"/>
      <c r="LN145" s="11"/>
      <c r="LO145" s="11"/>
      <c r="LP145" s="10"/>
      <c r="LQ145" s="10"/>
      <c r="LR145" s="10"/>
      <c r="LS145" s="10"/>
      <c r="LT145" s="11"/>
      <c r="LU145" s="10"/>
      <c r="LV145" s="10"/>
      <c r="LW145" s="10"/>
      <c r="LX145" s="10"/>
      <c r="LY145" s="11"/>
      <c r="MA145" s="13"/>
      <c r="NV145" s="12"/>
      <c r="PR145" s="13"/>
    </row>
    <row r="146" spans="32:434" ht="18" customHeight="1">
      <c r="EH146" s="42"/>
      <c r="EI146" s="43"/>
      <c r="EJ146" s="43"/>
      <c r="EK146" s="43"/>
      <c r="EL146" s="43"/>
      <c r="EM146" s="43"/>
      <c r="EN146" s="43"/>
      <c r="EO146" s="43"/>
      <c r="EP146" s="43"/>
      <c r="EQ146" s="43"/>
      <c r="ER146" s="43"/>
      <c r="ES146" s="43"/>
      <c r="ET146" s="43"/>
      <c r="EU146" s="43"/>
      <c r="EV146" s="43"/>
      <c r="EW146" s="43"/>
      <c r="EX146" s="43"/>
      <c r="EY146" s="43"/>
      <c r="EZ146" s="43"/>
      <c r="FA146" s="43"/>
      <c r="FB146" s="43"/>
      <c r="FC146" s="40"/>
      <c r="FD146" s="41"/>
      <c r="FE146" s="41"/>
      <c r="FF146" s="41"/>
      <c r="FG146" s="41"/>
      <c r="FH146" s="44"/>
      <c r="FI146" s="43"/>
      <c r="FJ146" s="43"/>
      <c r="FK146" s="43"/>
      <c r="FL146" s="43"/>
      <c r="FM146" s="43"/>
      <c r="FN146" s="43"/>
      <c r="FO146" s="43"/>
      <c r="FP146" s="43"/>
      <c r="FQ146" s="43"/>
      <c r="FR146" s="43"/>
      <c r="FS146" s="43"/>
      <c r="FT146" s="43"/>
      <c r="FU146" s="43"/>
      <c r="FV146" s="45"/>
      <c r="IB146" s="12"/>
      <c r="ID146" s="12"/>
      <c r="IH146" s="13"/>
      <c r="II146" s="12"/>
      <c r="IM146" s="13"/>
      <c r="IN146" s="12"/>
      <c r="IU146" s="13"/>
      <c r="IV146" s="18"/>
      <c r="IW146" s="12"/>
      <c r="JA146" s="13"/>
      <c r="JF146" s="13"/>
      <c r="JG146" s="13"/>
      <c r="JZ146" s="13"/>
      <c r="KC146" s="12"/>
      <c r="KM146" s="12"/>
      <c r="KO146" s="12"/>
      <c r="LN146" s="13"/>
      <c r="LO146" s="13"/>
      <c r="LT146" s="13"/>
      <c r="LY146" s="13"/>
      <c r="MA146" s="13"/>
      <c r="NV146" s="12"/>
      <c r="NX146" s="9"/>
      <c r="NY146" s="10"/>
      <c r="NZ146" s="10"/>
      <c r="OA146" s="10"/>
      <c r="OB146" s="10"/>
      <c r="OC146" s="10"/>
      <c r="OD146" s="10"/>
      <c r="OE146" s="10"/>
      <c r="OF146" s="10"/>
      <c r="OG146" s="10"/>
      <c r="OH146" s="10"/>
      <c r="OI146" s="10"/>
      <c r="OJ146" s="10"/>
      <c r="OK146" s="10"/>
      <c r="OL146" s="10"/>
      <c r="OM146" s="10"/>
      <c r="ON146" s="10"/>
      <c r="OO146" s="10"/>
      <c r="OP146" s="10"/>
      <c r="OQ146" s="11"/>
      <c r="OR146" s="10"/>
      <c r="OS146" s="9"/>
      <c r="OT146" s="10"/>
      <c r="OU146" s="10"/>
      <c r="OV146" s="10"/>
      <c r="OW146" s="10"/>
      <c r="OX146" s="10"/>
      <c r="OY146" s="10"/>
      <c r="OZ146" s="10"/>
      <c r="PA146" s="10"/>
      <c r="PB146" s="11"/>
      <c r="PC146" s="11"/>
      <c r="PD146" s="10"/>
      <c r="PE146" s="10"/>
      <c r="PF146" s="10"/>
      <c r="PG146" s="10"/>
      <c r="PH146" s="10"/>
      <c r="PI146" s="10"/>
      <c r="PJ146" s="10"/>
      <c r="PK146" s="10"/>
      <c r="PL146" s="10"/>
      <c r="PM146" s="10"/>
      <c r="PN146" s="10"/>
      <c r="PO146" s="10"/>
      <c r="PP146" s="11"/>
      <c r="PR146" s="13"/>
    </row>
    <row r="147" spans="32:434" ht="18" customHeight="1">
      <c r="EH147" s="42"/>
      <c r="EI147" s="43"/>
      <c r="EJ147" s="9"/>
      <c r="EK147" s="10"/>
      <c r="EL147" s="10"/>
      <c r="EM147" s="10"/>
      <c r="EN147" s="10"/>
      <c r="EO147" s="10"/>
      <c r="EP147" s="10"/>
      <c r="EQ147" s="10"/>
      <c r="ER147" s="10"/>
      <c r="ES147" s="10"/>
      <c r="ET147" s="10"/>
      <c r="EU147" s="10"/>
      <c r="EV147" s="10"/>
      <c r="EW147" s="10"/>
      <c r="EX147" s="10"/>
      <c r="EY147" s="10"/>
      <c r="EZ147" s="10"/>
      <c r="FA147" s="10"/>
      <c r="FB147" s="10"/>
      <c r="FC147" s="10"/>
      <c r="FD147" s="10"/>
      <c r="FE147" s="10"/>
      <c r="FF147" s="10"/>
      <c r="FG147" s="10"/>
      <c r="FH147" s="10"/>
      <c r="FI147" s="11"/>
      <c r="FJ147" s="11"/>
      <c r="FK147" s="10"/>
      <c r="FL147" s="10"/>
      <c r="FM147" s="10"/>
      <c r="FN147" s="10"/>
      <c r="FO147" s="11"/>
      <c r="FP147" s="10"/>
      <c r="FQ147" s="10"/>
      <c r="FR147" s="10"/>
      <c r="FS147" s="10"/>
      <c r="FT147" s="11"/>
      <c r="FU147" s="43"/>
      <c r="FV147" s="45"/>
      <c r="IB147" s="12"/>
      <c r="ID147" s="12"/>
      <c r="IH147" s="13"/>
      <c r="II147" s="12"/>
      <c r="IM147" s="13"/>
      <c r="IN147" s="12"/>
      <c r="IU147" s="13"/>
      <c r="IV147" s="18"/>
      <c r="IW147" s="12"/>
      <c r="JA147" s="13"/>
      <c r="JF147" s="13"/>
      <c r="JG147" s="13"/>
      <c r="JZ147" s="13"/>
      <c r="KC147" s="12"/>
      <c r="KM147" s="12"/>
      <c r="KO147" s="12"/>
      <c r="LN147" s="13"/>
      <c r="LO147" s="13"/>
      <c r="LT147" s="13"/>
      <c r="LY147" s="13"/>
      <c r="MA147" s="13"/>
      <c r="NV147" s="12"/>
      <c r="NX147" s="12"/>
      <c r="OQ147" s="13"/>
      <c r="OS147" s="12"/>
      <c r="PB147" s="13"/>
      <c r="PC147" s="90"/>
      <c r="PP147" s="13"/>
      <c r="PR147" s="13"/>
    </row>
    <row r="148" spans="32:434" ht="18" customHeight="1">
      <c r="EH148" s="42"/>
      <c r="EI148" s="43"/>
      <c r="EJ148" s="12"/>
      <c r="FI148" s="13"/>
      <c r="FJ148" s="13"/>
      <c r="FO148" s="13"/>
      <c r="FT148" s="13"/>
      <c r="FU148" s="43"/>
      <c r="FV148" s="45"/>
      <c r="IB148" s="12"/>
      <c r="ID148" s="12"/>
      <c r="IH148" s="13"/>
      <c r="II148" s="12"/>
      <c r="IM148" s="13"/>
      <c r="IN148" s="12"/>
      <c r="IU148" s="13"/>
      <c r="IV148" s="18"/>
      <c r="IW148" s="12"/>
      <c r="JA148" s="13"/>
      <c r="JF148" s="13"/>
      <c r="JG148" s="13"/>
      <c r="JZ148" s="13"/>
      <c r="KC148" s="12"/>
      <c r="KM148" s="12"/>
      <c r="KO148" s="12"/>
      <c r="LN148" s="13"/>
      <c r="LO148" s="13"/>
      <c r="LT148" s="13"/>
      <c r="LY148" s="13"/>
      <c r="MA148" s="13"/>
      <c r="NV148" s="12"/>
      <c r="NX148" s="12"/>
      <c r="OQ148" s="13"/>
      <c r="OS148" s="12"/>
      <c r="PB148" s="13"/>
      <c r="PC148" s="90"/>
      <c r="PP148" s="13"/>
      <c r="PR148" s="13"/>
    </row>
    <row r="149" spans="32:434" ht="18" customHeight="1">
      <c r="EH149" s="42"/>
      <c r="EI149" s="43"/>
      <c r="EJ149" s="12"/>
      <c r="FI149" s="13"/>
      <c r="FJ149" s="13"/>
      <c r="FO149" s="13"/>
      <c r="FT149" s="13"/>
      <c r="FU149" s="43"/>
      <c r="FV149" s="45"/>
      <c r="IB149" s="12"/>
      <c r="ID149" s="14"/>
      <c r="IE149" s="15"/>
      <c r="IF149" s="15"/>
      <c r="IG149" s="15"/>
      <c r="IH149" s="16"/>
      <c r="II149" s="14"/>
      <c r="IJ149" s="15"/>
      <c r="IK149" s="15"/>
      <c r="IL149" s="15"/>
      <c r="IM149" s="16"/>
      <c r="IN149" s="12"/>
      <c r="IU149" s="13"/>
      <c r="IV149" s="18"/>
      <c r="IW149" s="14"/>
      <c r="IX149" s="15"/>
      <c r="IY149" s="15"/>
      <c r="IZ149" s="15"/>
      <c r="JA149" s="16"/>
      <c r="JB149" s="15"/>
      <c r="JC149" s="15"/>
      <c r="JD149" s="15"/>
      <c r="JE149" s="15"/>
      <c r="JF149" s="16"/>
      <c r="JG149" s="13"/>
      <c r="JZ149" s="13"/>
      <c r="KC149" s="12"/>
      <c r="KM149" s="12"/>
      <c r="KO149" s="12"/>
      <c r="LN149" s="13"/>
      <c r="LO149" s="13"/>
      <c r="LP149" s="15"/>
      <c r="LQ149" s="15"/>
      <c r="LR149" s="15"/>
      <c r="LS149" s="15"/>
      <c r="LT149" s="16"/>
      <c r="LU149" s="15"/>
      <c r="LV149" s="15"/>
      <c r="LW149" s="15"/>
      <c r="LX149" s="15"/>
      <c r="LY149" s="16"/>
      <c r="MA149" s="13"/>
      <c r="NV149" s="12"/>
      <c r="NX149" s="12"/>
      <c r="OQ149" s="13"/>
      <c r="OS149" s="12"/>
      <c r="PB149" s="13"/>
      <c r="PC149" s="90"/>
      <c r="PP149" s="13"/>
      <c r="PR149" s="13"/>
    </row>
    <row r="150" spans="32:434" ht="18" customHeight="1">
      <c r="EH150" s="42"/>
      <c r="EI150" s="43"/>
      <c r="EJ150" s="12"/>
      <c r="FI150" s="13"/>
      <c r="FJ150" s="13"/>
      <c r="FO150" s="13"/>
      <c r="FT150" s="13"/>
      <c r="FU150" s="43"/>
      <c r="FV150" s="45"/>
      <c r="IB150" s="12"/>
      <c r="ID150" s="12"/>
      <c r="IN150" s="12"/>
      <c r="IU150" s="13"/>
      <c r="IV150" s="18"/>
      <c r="JF150" s="13"/>
      <c r="JG150" s="13"/>
      <c r="JZ150" s="13"/>
      <c r="KC150" s="12"/>
      <c r="KM150" s="12"/>
      <c r="KO150" s="12"/>
      <c r="LN150" s="13"/>
      <c r="LO150" s="13"/>
      <c r="LY150" s="11"/>
      <c r="MA150" s="13"/>
      <c r="NV150" s="12"/>
      <c r="NX150" s="12"/>
      <c r="OQ150" s="13"/>
      <c r="OS150" s="12"/>
      <c r="PB150" s="13"/>
      <c r="PC150" s="90"/>
      <c r="PP150" s="13"/>
      <c r="PR150" s="13"/>
    </row>
    <row r="151" spans="32:434" ht="18" customHeight="1">
      <c r="EH151" s="42"/>
      <c r="EI151" s="43"/>
      <c r="EJ151" s="12"/>
      <c r="FI151" s="13"/>
      <c r="FJ151" s="13"/>
      <c r="FK151" s="15"/>
      <c r="FL151" s="15"/>
      <c r="FM151" s="15"/>
      <c r="FN151" s="15"/>
      <c r="FO151" s="16"/>
      <c r="FP151" s="15"/>
      <c r="FQ151" s="15"/>
      <c r="FR151" s="15"/>
      <c r="FS151" s="15"/>
      <c r="FT151" s="16"/>
      <c r="FU151" s="43"/>
      <c r="FV151" s="45"/>
      <c r="IB151" s="12"/>
      <c r="ID151" s="12"/>
      <c r="IN151" s="12"/>
      <c r="IU151" s="13"/>
      <c r="IV151" s="18"/>
      <c r="JF151" s="13"/>
      <c r="JG151" s="13"/>
      <c r="JZ151" s="13"/>
      <c r="KC151" s="12"/>
      <c r="KM151" s="12"/>
      <c r="KO151" s="12"/>
      <c r="LN151" s="13"/>
      <c r="LO151" s="13"/>
      <c r="LY151" s="13"/>
      <c r="MA151" s="13"/>
      <c r="NV151" s="12"/>
      <c r="NX151" s="12"/>
      <c r="OQ151" s="13"/>
      <c r="OS151" s="12"/>
      <c r="PB151" s="13"/>
      <c r="PC151" s="90"/>
      <c r="PP151" s="13"/>
      <c r="PR151" s="13"/>
    </row>
    <row r="152" spans="32:434" ht="18" customHeight="1">
      <c r="AF152" s="40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4"/>
      <c r="EH152" s="42"/>
      <c r="EI152" s="43"/>
      <c r="EJ152" s="12"/>
      <c r="FI152" s="13"/>
      <c r="FJ152" s="13"/>
      <c r="FT152" s="11"/>
      <c r="FU152" s="43"/>
      <c r="FV152" s="45"/>
      <c r="IB152" s="12"/>
      <c r="ID152" s="12"/>
      <c r="IN152" s="12"/>
      <c r="IU152" s="13"/>
      <c r="IV152" s="18"/>
      <c r="JF152" s="13"/>
      <c r="JG152" s="13"/>
      <c r="JZ152" s="13"/>
      <c r="KC152" s="12"/>
      <c r="KM152" s="12"/>
      <c r="KO152" s="12"/>
      <c r="LN152" s="13"/>
      <c r="LO152" s="13"/>
      <c r="LY152" s="13"/>
      <c r="MA152" s="13"/>
      <c r="NV152" s="12"/>
      <c r="NX152" s="12"/>
      <c r="OQ152" s="13"/>
      <c r="OS152" s="12"/>
      <c r="PB152" s="13"/>
      <c r="PC152" s="13"/>
      <c r="PP152" s="13"/>
      <c r="PR152" s="13"/>
    </row>
    <row r="153" spans="32:434" ht="18" customHeight="1">
      <c r="AF153" s="42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43"/>
      <c r="BN153" s="43"/>
      <c r="BO153" s="43"/>
      <c r="BP153" s="43"/>
      <c r="BQ153" s="43"/>
      <c r="BR153" s="43"/>
      <c r="BS153" s="43"/>
      <c r="BT153" s="43"/>
      <c r="BU153" s="43"/>
      <c r="BV153" s="43"/>
      <c r="BW153" s="43"/>
      <c r="BX153" s="43"/>
      <c r="BY153" s="43"/>
      <c r="BZ153" s="43"/>
      <c r="CA153" s="43"/>
      <c r="CB153" s="43"/>
      <c r="CC153" s="43"/>
      <c r="CD153" s="43"/>
      <c r="CE153" s="43"/>
      <c r="CF153" s="43"/>
      <c r="CG153" s="43"/>
      <c r="CH153" s="43"/>
      <c r="CI153" s="43"/>
      <c r="CJ153" s="43"/>
      <c r="CK153" s="43"/>
      <c r="CL153" s="43"/>
      <c r="CM153" s="45"/>
      <c r="EH153" s="42"/>
      <c r="EI153" s="43"/>
      <c r="EJ153" s="12"/>
      <c r="FI153" s="13"/>
      <c r="FJ153" s="13"/>
      <c r="FT153" s="13"/>
      <c r="FU153" s="43"/>
      <c r="FV153" s="45"/>
      <c r="IB153" s="12"/>
      <c r="ID153" s="12"/>
      <c r="IN153" s="12"/>
      <c r="IU153" s="13"/>
      <c r="IV153" s="18"/>
      <c r="JF153" s="13"/>
      <c r="JG153" s="13"/>
      <c r="JZ153" s="13"/>
      <c r="KC153" s="12"/>
      <c r="KM153" s="12"/>
      <c r="KO153" s="12"/>
      <c r="LN153" s="13"/>
      <c r="LO153" s="13"/>
      <c r="LY153" s="13"/>
      <c r="MA153" s="13"/>
      <c r="MC153" s="15"/>
      <c r="ME153" s="15"/>
      <c r="MG153" s="15"/>
      <c r="MI153" s="15"/>
      <c r="MK153" s="15"/>
      <c r="ML153" s="15"/>
      <c r="MM153" s="15"/>
      <c r="MN153" s="15"/>
      <c r="MO153" s="15"/>
      <c r="MP153" s="15"/>
      <c r="MQ153" s="15"/>
      <c r="MR153" s="15"/>
      <c r="MS153" s="15"/>
      <c r="MT153" s="15"/>
      <c r="MU153" s="15"/>
      <c r="MV153" s="15"/>
      <c r="MW153" s="15"/>
      <c r="MX153" s="15"/>
      <c r="NV153" s="12"/>
      <c r="NX153" s="12"/>
      <c r="OQ153" s="13"/>
      <c r="OS153" s="12"/>
      <c r="PB153" s="13"/>
      <c r="PC153" s="13"/>
      <c r="PP153" s="13"/>
      <c r="PR153" s="13"/>
    </row>
    <row r="154" spans="32:434" ht="18" customHeight="1">
      <c r="AF154" s="42"/>
      <c r="AG154" s="43"/>
      <c r="AH154" s="9"/>
      <c r="AI154" s="10"/>
      <c r="AJ154" s="10"/>
      <c r="AK154" s="10"/>
      <c r="AL154" s="10"/>
      <c r="AM154" s="9"/>
      <c r="AN154" s="10"/>
      <c r="AO154" s="10"/>
      <c r="AP154" s="10"/>
      <c r="AQ154" s="10"/>
      <c r="AR154" s="9"/>
      <c r="AS154" s="10"/>
      <c r="AT154" s="10"/>
      <c r="AU154" s="10"/>
      <c r="AV154" s="10"/>
      <c r="AW154" s="10"/>
      <c r="AX154" s="10"/>
      <c r="AY154" s="11"/>
      <c r="AZ154" s="10"/>
      <c r="BA154" s="9"/>
      <c r="BB154" s="10"/>
      <c r="BC154" s="10"/>
      <c r="BD154" s="10"/>
      <c r="BE154" s="11"/>
      <c r="BF154" s="10"/>
      <c r="BG154" s="10"/>
      <c r="BH154" s="10"/>
      <c r="BI154" s="10"/>
      <c r="BJ154" s="11"/>
      <c r="BK154" s="11"/>
      <c r="BL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1"/>
      <c r="CL154" s="43"/>
      <c r="CM154" s="45"/>
      <c r="EH154" s="42"/>
      <c r="EI154" s="43"/>
      <c r="EJ154" s="12"/>
      <c r="FI154" s="13"/>
      <c r="FJ154" s="13"/>
      <c r="FT154" s="13"/>
      <c r="FU154" s="43"/>
      <c r="FV154" s="45"/>
      <c r="IB154" s="12"/>
      <c r="ID154" s="14"/>
      <c r="IE154" s="15"/>
      <c r="IF154" s="15"/>
      <c r="IG154" s="15"/>
      <c r="IH154" s="15"/>
      <c r="II154" s="15"/>
      <c r="IJ154" s="15"/>
      <c r="IK154" s="15"/>
      <c r="IL154" s="15"/>
      <c r="IM154" s="15"/>
      <c r="IN154" s="14"/>
      <c r="IO154" s="15"/>
      <c r="IP154" s="15"/>
      <c r="IQ154" s="15"/>
      <c r="IR154" s="15"/>
      <c r="IS154" s="15"/>
      <c r="IT154" s="15"/>
      <c r="IU154" s="16"/>
      <c r="IV154" s="19"/>
      <c r="IW154" s="15"/>
      <c r="IX154" s="15"/>
      <c r="IY154" s="15"/>
      <c r="IZ154" s="15"/>
      <c r="JA154" s="15"/>
      <c r="JB154" s="15"/>
      <c r="JC154" s="15"/>
      <c r="JD154" s="15"/>
      <c r="JE154" s="15"/>
      <c r="JF154" s="16"/>
      <c r="JG154" s="16"/>
      <c r="JZ154" s="13"/>
      <c r="KC154" s="12"/>
      <c r="KM154" s="12"/>
      <c r="KO154" s="12"/>
      <c r="LN154" s="13"/>
      <c r="LO154" s="13"/>
      <c r="LY154" s="16"/>
      <c r="LZ154" s="12"/>
      <c r="MB154" s="10"/>
      <c r="MD154" s="10"/>
      <c r="MF154" s="10"/>
      <c r="MH154" s="10"/>
      <c r="MJ154" s="10"/>
      <c r="MO154" s="20"/>
      <c r="MP154" s="21"/>
      <c r="MQ154" s="21"/>
      <c r="MR154" s="21"/>
      <c r="MS154" s="21"/>
      <c r="MT154" s="22"/>
      <c r="MX154" s="11"/>
      <c r="NV154" s="12"/>
      <c r="NX154" s="12"/>
      <c r="OQ154" s="13"/>
      <c r="OS154" s="12"/>
      <c r="PB154" s="13"/>
      <c r="PC154" s="13"/>
      <c r="PP154" s="13"/>
      <c r="PR154" s="13"/>
    </row>
    <row r="155" spans="32:434" ht="18" customHeight="1">
      <c r="AF155" s="42"/>
      <c r="AG155" s="43"/>
      <c r="AH155" s="12"/>
      <c r="AM155" s="12"/>
      <c r="AR155" s="12"/>
      <c r="AY155" s="13"/>
      <c r="BA155" s="12"/>
      <c r="BE155" s="13"/>
      <c r="BJ155" s="13"/>
      <c r="BK155" s="13"/>
      <c r="CK155" s="13"/>
      <c r="CL155" s="43"/>
      <c r="CM155" s="45"/>
      <c r="EH155" s="42"/>
      <c r="EI155" s="43"/>
      <c r="EJ155" s="12"/>
      <c r="FI155" s="13"/>
      <c r="FJ155" s="13"/>
      <c r="FT155" s="13"/>
      <c r="FU155" s="43"/>
      <c r="FV155" s="45"/>
      <c r="FX155" s="15"/>
      <c r="FZ155" s="15"/>
      <c r="GB155" s="15"/>
      <c r="GD155" s="15"/>
      <c r="GF155" s="15"/>
      <c r="GG155" s="15"/>
      <c r="GH155" s="15"/>
      <c r="GI155" s="15"/>
      <c r="GJ155" s="15"/>
      <c r="GK155" s="15"/>
      <c r="GL155" s="15"/>
      <c r="GM155" s="15"/>
      <c r="GN155" s="15"/>
      <c r="GO155" s="15"/>
      <c r="GP155" s="15"/>
      <c r="GQ155" s="15"/>
      <c r="IB155" s="12"/>
      <c r="ID155" s="14"/>
      <c r="IE155" s="15"/>
      <c r="IF155" s="15"/>
      <c r="IG155" s="15"/>
      <c r="IH155" s="15"/>
      <c r="II155" s="15"/>
      <c r="IJ155" s="15"/>
      <c r="IK155" s="15"/>
      <c r="IL155" s="15"/>
      <c r="IM155" s="15"/>
      <c r="IN155" s="15"/>
      <c r="IO155" s="15"/>
      <c r="IP155" s="15"/>
      <c r="IQ155" s="15"/>
      <c r="IR155" s="15"/>
      <c r="IS155" s="15"/>
      <c r="IT155" s="15"/>
      <c r="IU155" s="15"/>
      <c r="IV155" s="15"/>
      <c r="IW155" s="15"/>
      <c r="IX155" s="15"/>
      <c r="IY155" s="15"/>
      <c r="IZ155" s="15"/>
      <c r="JA155" s="15"/>
      <c r="JB155" s="15"/>
      <c r="JC155" s="15"/>
      <c r="JD155" s="15"/>
      <c r="JE155" s="15"/>
      <c r="JF155" s="15"/>
      <c r="JG155" s="16"/>
      <c r="JZ155" s="13"/>
      <c r="KC155" s="12"/>
      <c r="KM155" s="12"/>
      <c r="KO155" s="12"/>
      <c r="LN155" s="13"/>
      <c r="LO155" s="13"/>
      <c r="LP155" s="10"/>
      <c r="LQ155" s="92"/>
      <c r="LR155" s="92"/>
      <c r="LS155" s="92"/>
      <c r="LT155" s="92"/>
      <c r="LU155" s="92"/>
      <c r="LV155" s="10"/>
      <c r="LW155" s="10"/>
      <c r="LX155" s="10"/>
      <c r="LY155" s="15"/>
      <c r="LZ155" s="14"/>
      <c r="MA155" s="15"/>
      <c r="MC155" s="15"/>
      <c r="ME155" s="15"/>
      <c r="MG155" s="15"/>
      <c r="MI155" s="15"/>
      <c r="MK155" s="15"/>
      <c r="ML155" s="15"/>
      <c r="MM155" s="15"/>
      <c r="MN155" s="15"/>
      <c r="MO155" s="20"/>
      <c r="MP155" s="21"/>
      <c r="MQ155" s="21"/>
      <c r="MR155" s="21"/>
      <c r="MS155" s="21"/>
      <c r="MT155" s="22"/>
      <c r="MX155" s="13"/>
      <c r="NV155" s="12"/>
      <c r="NX155" s="12"/>
      <c r="OQ155" s="13"/>
      <c r="OS155" s="14"/>
      <c r="OT155" s="15"/>
      <c r="OU155" s="15"/>
      <c r="OV155" s="15"/>
      <c r="OW155" s="15"/>
      <c r="OX155" s="15"/>
      <c r="OY155" s="15"/>
      <c r="OZ155" s="15"/>
      <c r="PA155" s="15"/>
      <c r="PB155" s="16"/>
      <c r="PC155" s="13"/>
      <c r="PP155" s="13"/>
      <c r="PR155" s="13"/>
    </row>
    <row r="156" spans="32:434" ht="18" customHeight="1">
      <c r="AF156" s="42"/>
      <c r="AG156" s="43"/>
      <c r="AH156" s="12"/>
      <c r="AM156" s="12"/>
      <c r="AR156" s="12"/>
      <c r="AY156" s="13"/>
      <c r="BA156" s="12"/>
      <c r="BE156" s="13"/>
      <c r="BJ156" s="13"/>
      <c r="BK156" s="13"/>
      <c r="CK156" s="13"/>
      <c r="CL156" s="43"/>
      <c r="CM156" s="45"/>
      <c r="EH156" s="42"/>
      <c r="EI156" s="43"/>
      <c r="EJ156" s="12"/>
      <c r="FI156" s="13"/>
      <c r="FJ156" s="13"/>
      <c r="FT156" s="16"/>
      <c r="FU156" s="42"/>
      <c r="FV156" s="43"/>
      <c r="FW156" s="41"/>
      <c r="FX156" s="43"/>
      <c r="FY156" s="41"/>
      <c r="FZ156" s="43"/>
      <c r="GA156" s="41"/>
      <c r="GB156" s="43"/>
      <c r="GC156" s="41"/>
      <c r="GD156" s="43"/>
      <c r="GE156" s="41"/>
      <c r="GF156" s="43"/>
      <c r="GG156" s="43"/>
      <c r="GH156" s="123"/>
      <c r="GI156" s="109"/>
      <c r="GJ156" s="109"/>
      <c r="GK156" s="109"/>
      <c r="GL156" s="109"/>
      <c r="GM156" s="124"/>
      <c r="GN156" s="43"/>
      <c r="GO156" s="43"/>
      <c r="GP156" s="43"/>
      <c r="GQ156" s="44"/>
      <c r="IB156" s="12"/>
      <c r="ID156" s="12"/>
      <c r="JA156" s="13"/>
      <c r="JC156" s="12" t="s">
        <v>45</v>
      </c>
      <c r="JZ156" s="13"/>
      <c r="KC156" s="12"/>
      <c r="KM156" s="12"/>
      <c r="KO156" s="12"/>
      <c r="LN156" s="13"/>
      <c r="LO156" s="13"/>
      <c r="LP156" s="10"/>
      <c r="LQ156" s="10"/>
      <c r="LR156" s="10"/>
      <c r="LS156" s="10"/>
      <c r="LT156" s="10"/>
      <c r="LU156" s="10"/>
      <c r="LV156" s="10"/>
      <c r="LW156" s="10"/>
      <c r="LX156" s="17"/>
      <c r="LY156" t="s">
        <v>45</v>
      </c>
      <c r="LZ156" s="10"/>
      <c r="MA156" s="10"/>
      <c r="MB156" s="10"/>
      <c r="MC156" s="10"/>
      <c r="MD156" s="10"/>
      <c r="ME156" s="10"/>
      <c r="MF156" s="10"/>
      <c r="MG156" s="10"/>
      <c r="MH156" s="10"/>
      <c r="MI156" s="10"/>
      <c r="MJ156" s="10"/>
      <c r="MK156" s="10"/>
      <c r="ML156" s="10"/>
      <c r="MM156" s="10"/>
      <c r="MN156" s="10"/>
      <c r="MO156" s="10"/>
      <c r="MP156" s="10"/>
      <c r="MQ156" s="10"/>
      <c r="MR156" s="10"/>
      <c r="MS156" s="10"/>
      <c r="MT156" s="10"/>
      <c r="MU156" s="10"/>
      <c r="MV156" s="11"/>
      <c r="MX156" s="13"/>
      <c r="NV156" s="12"/>
      <c r="NX156" s="12"/>
      <c r="OQ156" s="13"/>
      <c r="OS156" s="14"/>
      <c r="OT156" s="15"/>
      <c r="OU156" s="15"/>
      <c r="OV156" s="15"/>
      <c r="OW156" s="15"/>
      <c r="OX156" s="15"/>
      <c r="OY156" s="15"/>
      <c r="OZ156" s="15"/>
      <c r="PA156" s="15"/>
      <c r="PB156" s="15"/>
      <c r="PC156" s="16"/>
      <c r="PP156" s="13"/>
      <c r="PR156" s="13"/>
    </row>
    <row r="157" spans="32:434" ht="18" customHeight="1">
      <c r="AF157" s="42"/>
      <c r="AG157" s="43"/>
      <c r="AH157" s="12"/>
      <c r="AM157" s="12"/>
      <c r="AR157" s="12"/>
      <c r="AY157" s="13"/>
      <c r="BA157" s="12"/>
      <c r="BE157" s="13"/>
      <c r="BJ157" s="13"/>
      <c r="BK157" s="13"/>
      <c r="CK157" s="13"/>
      <c r="CL157" s="43"/>
      <c r="CM157" s="45"/>
      <c r="EH157" s="42"/>
      <c r="EI157" s="43"/>
      <c r="EJ157" s="12"/>
      <c r="FI157" s="13"/>
      <c r="FJ157" s="13"/>
      <c r="FK157" s="10"/>
      <c r="FL157" s="10"/>
      <c r="FM157" s="92"/>
      <c r="FN157" s="92"/>
      <c r="FO157" s="92"/>
      <c r="FP157" s="92"/>
      <c r="FQ157" s="92"/>
      <c r="FR157" s="10"/>
      <c r="FS157" s="10"/>
      <c r="FT157" s="15"/>
      <c r="FU157" s="46"/>
      <c r="FV157" s="47"/>
      <c r="FW157" s="43"/>
      <c r="FX157" s="47"/>
      <c r="FY157" s="43"/>
      <c r="FZ157" s="47"/>
      <c r="GA157" s="43"/>
      <c r="GB157" s="47"/>
      <c r="GC157" s="43"/>
      <c r="GD157" s="47"/>
      <c r="GE157" s="43"/>
      <c r="GF157" s="47"/>
      <c r="GG157" s="47"/>
      <c r="GH157" s="123"/>
      <c r="GI157" s="109"/>
      <c r="GJ157" s="109"/>
      <c r="GK157" s="109"/>
      <c r="GL157" s="109"/>
      <c r="GM157" s="124"/>
      <c r="GN157" s="43"/>
      <c r="GO157" s="43"/>
      <c r="GP157" s="43"/>
      <c r="GQ157" s="45"/>
      <c r="IB157" s="12"/>
      <c r="ID157" s="12"/>
      <c r="JA157" s="13"/>
      <c r="JC157" s="12"/>
      <c r="JZ157" s="13"/>
      <c r="KC157" s="12"/>
      <c r="KM157" s="12"/>
      <c r="KO157" s="12"/>
      <c r="LN157" s="13"/>
      <c r="LO157" s="13"/>
      <c r="LX157" s="18"/>
      <c r="MV157" s="13"/>
      <c r="MX157" s="13"/>
      <c r="NV157" s="12"/>
      <c r="NX157" s="12"/>
      <c r="OQ157" s="13"/>
      <c r="OS157" s="12"/>
      <c r="PP157" s="13"/>
      <c r="PR157" s="13"/>
    </row>
    <row r="158" spans="32:434" ht="18" customHeight="1">
      <c r="AF158" s="42"/>
      <c r="AG158" s="43"/>
      <c r="AH158" s="14"/>
      <c r="AI158" s="15"/>
      <c r="AJ158" s="15"/>
      <c r="AK158" s="15"/>
      <c r="AL158" s="15"/>
      <c r="AM158" s="14"/>
      <c r="AN158" s="15"/>
      <c r="AO158" s="15"/>
      <c r="AP158" s="15"/>
      <c r="AQ158" s="15"/>
      <c r="AR158" s="12"/>
      <c r="AY158" s="13"/>
      <c r="BA158" s="14"/>
      <c r="BB158" s="15"/>
      <c r="BC158" s="15"/>
      <c r="BD158" s="15"/>
      <c r="BE158" s="16"/>
      <c r="BF158" s="15"/>
      <c r="BG158" s="15"/>
      <c r="BH158" s="15"/>
      <c r="BI158" s="15"/>
      <c r="BJ158" s="16"/>
      <c r="BK158" s="90"/>
      <c r="CK158" s="13"/>
      <c r="CL158" s="43"/>
      <c r="CM158" s="45"/>
      <c r="EG158" s="13"/>
      <c r="EH158" s="43"/>
      <c r="EI158" s="45"/>
      <c r="FI158" s="13"/>
      <c r="FJ158" s="13"/>
      <c r="FK158" s="10"/>
      <c r="FL158" s="10"/>
      <c r="FM158" s="10"/>
      <c r="FN158" s="10"/>
      <c r="FO158" s="10"/>
      <c r="FP158" s="10"/>
      <c r="FQ158" s="10"/>
      <c r="FR158" s="10"/>
      <c r="FS158" s="10"/>
      <c r="FT158" t="s">
        <v>45</v>
      </c>
      <c r="FU158" s="10"/>
      <c r="FV158" s="10"/>
      <c r="FW158" s="10"/>
      <c r="FX158" s="10"/>
      <c r="FY158" s="10"/>
      <c r="FZ158" s="10"/>
      <c r="GA158" s="10"/>
      <c r="GB158" s="10"/>
      <c r="GC158" s="10"/>
      <c r="GD158" s="10"/>
      <c r="GE158" s="10"/>
      <c r="GF158" s="10"/>
      <c r="GG158" s="10"/>
      <c r="GH158" s="10"/>
      <c r="GI158" s="10"/>
      <c r="GJ158" s="10"/>
      <c r="GK158" s="10"/>
      <c r="GL158" s="10"/>
      <c r="GM158" s="10"/>
      <c r="GN158" s="10"/>
      <c r="GO158" s="11"/>
      <c r="GP158" s="43"/>
      <c r="GQ158" s="45"/>
      <c r="IB158" s="12"/>
      <c r="ID158" s="12"/>
      <c r="JA158" s="13"/>
      <c r="JC158" s="12"/>
      <c r="JZ158" s="13"/>
      <c r="KC158" s="12"/>
      <c r="KM158" s="12"/>
      <c r="KO158" s="12"/>
      <c r="LN158" s="13"/>
      <c r="LO158" s="13"/>
      <c r="LX158" s="18"/>
      <c r="MV158" s="13"/>
      <c r="MX158" s="13"/>
      <c r="NV158" s="12"/>
      <c r="NX158" s="12"/>
      <c r="OQ158" s="13"/>
      <c r="OS158" s="12"/>
      <c r="PP158" s="13"/>
      <c r="PR158" s="13"/>
    </row>
    <row r="159" spans="32:434" ht="18" customHeight="1">
      <c r="AF159" s="42"/>
      <c r="AG159" s="43"/>
      <c r="AH159" s="12"/>
      <c r="AR159" s="12"/>
      <c r="AY159" s="13"/>
      <c r="BA159" s="12"/>
      <c r="BJ159" s="13"/>
      <c r="BK159" s="90"/>
      <c r="CK159" s="13"/>
      <c r="CL159" s="43"/>
      <c r="CM159" s="45"/>
      <c r="EG159" s="13"/>
      <c r="EH159" s="43"/>
      <c r="EI159" s="45"/>
      <c r="FI159" s="13"/>
      <c r="FJ159" s="13"/>
      <c r="GO159" s="13"/>
      <c r="GP159" s="43"/>
      <c r="GQ159" s="45"/>
      <c r="IB159" s="12"/>
      <c r="ID159" s="12"/>
      <c r="JA159" s="13"/>
      <c r="JC159" s="12"/>
      <c r="JZ159" s="13"/>
      <c r="KC159" s="12"/>
      <c r="KM159" s="12"/>
      <c r="KO159" s="12"/>
      <c r="LN159" s="13"/>
      <c r="LO159" s="13"/>
      <c r="LX159" s="18"/>
      <c r="MV159" s="13"/>
      <c r="MX159" s="13"/>
      <c r="NV159" s="12"/>
      <c r="NX159" s="12"/>
      <c r="OQ159" s="13"/>
      <c r="OS159" s="12"/>
      <c r="PP159" s="13"/>
      <c r="PR159" s="13"/>
    </row>
    <row r="160" spans="32:434" ht="18" customHeight="1">
      <c r="AF160" s="42"/>
      <c r="AG160" s="43"/>
      <c r="AH160" s="12"/>
      <c r="AR160" s="12"/>
      <c r="AY160" s="13"/>
      <c r="BA160" s="12"/>
      <c r="BJ160" s="13"/>
      <c r="BK160" s="90"/>
      <c r="CK160" s="13"/>
      <c r="CL160" s="43"/>
      <c r="CM160" s="45"/>
      <c r="EG160" s="13"/>
      <c r="EH160" s="125"/>
      <c r="EI160" s="125"/>
      <c r="FI160" s="13"/>
      <c r="FJ160" s="90"/>
      <c r="GO160" s="13"/>
      <c r="GP160" s="43"/>
      <c r="GQ160" s="45"/>
      <c r="IB160" s="12"/>
      <c r="ID160" s="12"/>
      <c r="JA160" s="13"/>
      <c r="JC160" s="12"/>
      <c r="JZ160" s="13"/>
      <c r="KC160" s="12"/>
      <c r="KM160" s="12"/>
      <c r="KO160" s="12"/>
      <c r="LN160" s="13"/>
      <c r="LO160" s="13"/>
      <c r="LX160" s="18"/>
      <c r="MV160" s="13"/>
      <c r="MX160" s="13"/>
      <c r="NV160" s="12"/>
      <c r="NX160" s="12"/>
      <c r="OQ160" s="13"/>
      <c r="OS160" s="12"/>
      <c r="PP160" s="13"/>
      <c r="PR160" s="13"/>
    </row>
    <row r="161" spans="32:434" ht="18" customHeight="1">
      <c r="AF161" s="42"/>
      <c r="AG161" s="43"/>
      <c r="AH161" s="12"/>
      <c r="AR161" s="12"/>
      <c r="AY161" s="13"/>
      <c r="BA161" s="12"/>
      <c r="BJ161" s="13"/>
      <c r="BK161" s="90"/>
      <c r="CK161" s="13"/>
      <c r="CL161" s="43"/>
      <c r="CM161" s="45"/>
      <c r="EG161" s="13"/>
      <c r="EH161" s="108"/>
      <c r="EI161" s="108"/>
      <c r="FI161" s="13"/>
      <c r="FJ161" s="90"/>
      <c r="GO161" s="13"/>
      <c r="GP161" s="43"/>
      <c r="GQ161" s="45"/>
      <c r="IB161" s="12"/>
      <c r="ID161" s="12"/>
      <c r="JA161" s="210"/>
      <c r="JB161" s="211"/>
      <c r="JC161" s="12"/>
      <c r="JZ161" s="13"/>
      <c r="KC161" s="12"/>
      <c r="KM161" s="12"/>
      <c r="KO161" s="12"/>
      <c r="LN161" s="13"/>
      <c r="LO161" s="13"/>
      <c r="LX161" s="18"/>
      <c r="MV161" s="13"/>
      <c r="MX161" s="13"/>
      <c r="NV161" s="12"/>
      <c r="NX161" s="12"/>
      <c r="OQ161" s="13"/>
      <c r="OR161" s="127"/>
      <c r="OS161" s="12"/>
      <c r="PP161" s="13"/>
      <c r="PR161" s="13"/>
    </row>
    <row r="162" spans="32:434" ht="18" customHeight="1">
      <c r="AF162" s="42"/>
      <c r="AG162" s="43"/>
      <c r="AH162" s="12"/>
      <c r="AR162" s="12"/>
      <c r="AY162" s="13"/>
      <c r="BA162" s="12"/>
      <c r="BJ162" s="13"/>
      <c r="BK162" s="90"/>
      <c r="CK162" s="13"/>
      <c r="CL162" s="43"/>
      <c r="CM162" s="45"/>
      <c r="EG162" s="13"/>
      <c r="EH162" s="108"/>
      <c r="EI162" s="108"/>
      <c r="FI162" s="13"/>
      <c r="FJ162" s="90"/>
      <c r="GO162" s="13"/>
      <c r="GP162" s="43"/>
      <c r="GQ162" s="45"/>
      <c r="IB162" s="12"/>
      <c r="ID162" s="12"/>
      <c r="JA162" s="13"/>
      <c r="JC162" s="12"/>
      <c r="JZ162" s="13"/>
      <c r="KC162" s="12"/>
      <c r="KM162" s="12"/>
      <c r="KO162" s="12"/>
      <c r="LN162" s="13"/>
      <c r="LO162" s="13"/>
      <c r="LX162" s="18"/>
      <c r="MV162" s="13"/>
      <c r="MX162" s="13"/>
      <c r="NV162" s="12"/>
      <c r="NX162" s="12"/>
      <c r="OQ162" s="13"/>
      <c r="OR162" s="127"/>
      <c r="OS162" s="12"/>
      <c r="PP162" s="13"/>
      <c r="PR162" s="13"/>
    </row>
    <row r="163" spans="32:434" ht="18" customHeight="1">
      <c r="AF163" s="42"/>
      <c r="AG163" s="43"/>
      <c r="AH163" s="14"/>
      <c r="AI163" s="15"/>
      <c r="AJ163" s="15"/>
      <c r="AK163" s="15"/>
      <c r="AL163" s="15"/>
      <c r="AM163" s="15"/>
      <c r="AN163" s="15"/>
      <c r="AO163" s="15"/>
      <c r="AP163" s="15"/>
      <c r="AQ163" s="15"/>
      <c r="AR163" s="14"/>
      <c r="AS163" s="15"/>
      <c r="AT163" s="15"/>
      <c r="AU163" s="15"/>
      <c r="AV163" s="15"/>
      <c r="AW163" s="15"/>
      <c r="AX163" s="15"/>
      <c r="AY163" s="16"/>
      <c r="AZ163" s="15"/>
      <c r="BA163" s="14"/>
      <c r="BB163" s="15"/>
      <c r="BC163" s="15"/>
      <c r="BD163" s="15"/>
      <c r="BE163" s="15"/>
      <c r="BF163" s="15"/>
      <c r="BG163" s="15"/>
      <c r="BH163" s="15"/>
      <c r="BI163" s="15"/>
      <c r="BJ163" s="16"/>
      <c r="BK163" s="13"/>
      <c r="CK163" s="13"/>
      <c r="CL163" s="43"/>
      <c r="CM163" s="45"/>
      <c r="EG163" s="13"/>
      <c r="EH163" s="108"/>
      <c r="EI163" s="108"/>
      <c r="FI163" s="13"/>
      <c r="FJ163" s="90"/>
      <c r="GO163" s="13"/>
      <c r="GP163" s="43"/>
      <c r="GQ163" s="45"/>
      <c r="IB163" s="12"/>
      <c r="ID163" s="12"/>
      <c r="JA163" s="13"/>
      <c r="JC163" s="12"/>
      <c r="JZ163" s="13"/>
      <c r="KC163" s="12"/>
      <c r="KM163" s="12"/>
      <c r="KO163" s="12"/>
      <c r="LN163" s="13"/>
      <c r="LO163" s="13"/>
      <c r="LX163" s="18"/>
      <c r="MV163" s="13"/>
      <c r="MX163" s="13"/>
      <c r="NV163" s="12"/>
      <c r="NX163" s="12"/>
      <c r="OQ163" s="13"/>
      <c r="OR163" s="127"/>
      <c r="OS163" s="12"/>
      <c r="PP163" s="13"/>
      <c r="PR163" s="13"/>
    </row>
    <row r="164" spans="32:434" ht="18" customHeight="1">
      <c r="AF164" s="42"/>
      <c r="AG164" s="43"/>
      <c r="AH164" s="14"/>
      <c r="AI164" s="100"/>
      <c r="AJ164" s="100"/>
      <c r="AK164" s="100"/>
      <c r="AL164" s="100"/>
      <c r="AM164" s="100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6"/>
      <c r="CK164" s="13"/>
      <c r="CL164" s="43"/>
      <c r="CM164" s="45"/>
      <c r="EG164" s="13"/>
      <c r="EH164" s="108"/>
      <c r="EI164" s="108"/>
      <c r="EQ164" s="9"/>
      <c r="ER164" s="10"/>
      <c r="ES164" s="10"/>
      <c r="ET164" s="10"/>
      <c r="EU164" s="10"/>
      <c r="EV164" s="10"/>
      <c r="EW164" s="10"/>
      <c r="EX164" s="10"/>
      <c r="EY164" s="10"/>
      <c r="EZ164" s="11"/>
      <c r="FI164" s="13"/>
      <c r="FJ164" s="90"/>
      <c r="GO164" s="13"/>
      <c r="GP164" s="43"/>
      <c r="GQ164" s="45"/>
      <c r="IB164" s="12"/>
      <c r="ID164" s="12"/>
      <c r="JA164" s="13"/>
      <c r="JC164" s="12"/>
      <c r="JZ164" s="13"/>
      <c r="KC164" s="12"/>
      <c r="KM164" s="12"/>
      <c r="KO164" s="12"/>
      <c r="LN164" s="13"/>
      <c r="LO164" s="13"/>
      <c r="LX164" s="18"/>
      <c r="MV164" s="13"/>
      <c r="MX164" s="13"/>
      <c r="NV164" s="12"/>
      <c r="NX164" s="12"/>
      <c r="OQ164" s="13"/>
      <c r="OR164" s="127"/>
      <c r="OS164" s="12"/>
      <c r="PP164" s="13"/>
      <c r="PR164" s="13"/>
    </row>
    <row r="165" spans="32:434" ht="18" customHeight="1">
      <c r="AF165" s="42"/>
      <c r="AG165" s="43"/>
      <c r="AH165" s="9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9"/>
      <c r="BA165" s="9"/>
      <c r="BB165" s="10"/>
      <c r="BC165" s="10"/>
      <c r="BD165" s="10"/>
      <c r="BE165" s="10"/>
      <c r="BF165" s="10"/>
      <c r="BG165" s="10"/>
      <c r="BH165" s="10"/>
      <c r="BI165" s="10"/>
      <c r="BJ165" s="11"/>
      <c r="BK165" s="11"/>
      <c r="CK165" s="13"/>
      <c r="CL165" s="43"/>
      <c r="CM165" s="45"/>
      <c r="EG165" s="13"/>
      <c r="EH165" s="126"/>
      <c r="EI165" s="126"/>
      <c r="EQ165" s="12"/>
      <c r="EZ165" s="13"/>
      <c r="FI165" s="13"/>
      <c r="FJ165" s="90"/>
      <c r="GO165" s="13"/>
      <c r="GP165" s="43"/>
      <c r="GQ165" s="45"/>
      <c r="IB165" s="12"/>
      <c r="ID165" s="12"/>
      <c r="JA165" s="13"/>
      <c r="JC165" s="12"/>
      <c r="JZ165" s="13"/>
      <c r="KC165" s="12"/>
      <c r="KM165" s="12"/>
      <c r="KO165" s="12"/>
      <c r="LN165" s="13"/>
      <c r="LO165" s="13"/>
      <c r="LX165" s="18"/>
      <c r="MV165" s="13"/>
      <c r="MX165" s="13"/>
      <c r="NV165" s="12"/>
      <c r="NX165" s="12"/>
      <c r="OQ165" s="13"/>
      <c r="OR165" s="127"/>
      <c r="OS165" s="12"/>
      <c r="PP165" s="13"/>
      <c r="PR165" s="13"/>
    </row>
    <row r="166" spans="32:434" ht="18" customHeight="1">
      <c r="AF166" s="42"/>
      <c r="AG166" s="43"/>
      <c r="AH166" s="12"/>
      <c r="AZ166" s="12"/>
      <c r="BA166" s="12"/>
      <c r="BJ166" s="13"/>
      <c r="BK166" s="90"/>
      <c r="CK166" s="13"/>
      <c r="CL166" s="43"/>
      <c r="CM166" s="45"/>
      <c r="EH166" s="42"/>
      <c r="EI166" s="43"/>
      <c r="EJ166" s="14"/>
      <c r="EK166" s="15"/>
      <c r="EL166" s="15"/>
      <c r="EM166" s="15"/>
      <c r="EN166" s="15"/>
      <c r="EO166" s="15"/>
      <c r="EP166" s="15"/>
      <c r="EQ166" s="14"/>
      <c r="ER166" s="15"/>
      <c r="ES166" s="15"/>
      <c r="ET166" s="15"/>
      <c r="EU166" s="15"/>
      <c r="EV166" s="15"/>
      <c r="EW166" s="15"/>
      <c r="EX166" s="15"/>
      <c r="EY166" s="15"/>
      <c r="EZ166" s="16"/>
      <c r="FA166" s="15"/>
      <c r="FB166" s="15"/>
      <c r="FC166" s="15"/>
      <c r="FD166" s="15"/>
      <c r="FE166" s="15"/>
      <c r="FF166" s="15"/>
      <c r="FG166" s="15"/>
      <c r="FH166" s="15"/>
      <c r="FI166" s="16"/>
      <c r="FJ166" s="13"/>
      <c r="FS166" s="15"/>
      <c r="GO166" s="13"/>
      <c r="GP166" s="43"/>
      <c r="GQ166" s="45"/>
      <c r="IB166" s="12"/>
      <c r="ID166" s="12"/>
      <c r="JA166" s="13"/>
      <c r="JC166" s="12"/>
      <c r="JZ166" s="13"/>
      <c r="KC166" s="12"/>
      <c r="KM166" s="12"/>
      <c r="KO166" s="12"/>
      <c r="LN166" s="13"/>
      <c r="LO166" s="13"/>
      <c r="LX166" s="18"/>
      <c r="MV166" s="13"/>
      <c r="MX166" s="13"/>
      <c r="NV166" s="12"/>
      <c r="NX166" s="12"/>
      <c r="OQ166" s="13"/>
      <c r="OR166" s="127"/>
      <c r="OS166" s="12"/>
      <c r="PP166" s="13"/>
      <c r="PR166" s="13"/>
    </row>
    <row r="167" spans="32:434" ht="18" customHeight="1">
      <c r="AF167" s="42"/>
      <c r="AG167" s="43"/>
      <c r="AH167" s="12"/>
      <c r="AZ167" s="12"/>
      <c r="BA167" s="12"/>
      <c r="BJ167" s="13"/>
      <c r="BK167" s="90"/>
      <c r="CK167" s="13"/>
      <c r="CL167" s="43"/>
      <c r="CM167" s="45"/>
      <c r="EH167" s="42"/>
      <c r="EI167" s="43"/>
      <c r="EJ167" s="14"/>
      <c r="EK167" s="100"/>
      <c r="EL167" s="100"/>
      <c r="EM167" s="100"/>
      <c r="EN167" s="100"/>
      <c r="EO167" s="100"/>
      <c r="EP167" s="15"/>
      <c r="EQ167" s="15"/>
      <c r="ER167" s="15"/>
      <c r="ES167" s="15"/>
      <c r="ET167" s="15"/>
      <c r="EU167" s="15"/>
      <c r="EV167" s="15"/>
      <c r="EW167" s="15"/>
      <c r="EX167" s="15"/>
      <c r="EY167" s="15"/>
      <c r="EZ167" s="15"/>
      <c r="FA167" s="15"/>
      <c r="FB167" s="15"/>
      <c r="FC167" s="15"/>
      <c r="FD167" s="15"/>
      <c r="FE167" s="15"/>
      <c r="FF167" s="15"/>
      <c r="FG167" s="15"/>
      <c r="FH167" s="15"/>
      <c r="FI167" s="15"/>
      <c r="FJ167" s="16"/>
      <c r="FK167" s="207"/>
      <c r="FL167" s="207"/>
      <c r="FM167" s="207"/>
      <c r="FN167" s="207"/>
      <c r="FO167" s="207"/>
      <c r="FP167" s="207"/>
      <c r="FQ167" s="207"/>
      <c r="FR167" s="207"/>
      <c r="FS167" s="209"/>
      <c r="GO167" s="13"/>
      <c r="GP167" s="43"/>
      <c r="GQ167" s="45"/>
      <c r="IB167" s="12"/>
      <c r="ID167" s="12"/>
      <c r="JA167" s="13"/>
      <c r="JC167" s="12"/>
      <c r="JZ167" s="13"/>
      <c r="KC167" s="12"/>
      <c r="KM167" s="12"/>
      <c r="KO167" s="12"/>
      <c r="LN167" s="13"/>
      <c r="LO167" s="13"/>
      <c r="LX167" s="18"/>
      <c r="MV167" s="13"/>
      <c r="MX167" s="13"/>
      <c r="NV167" s="12"/>
      <c r="NX167" s="14"/>
      <c r="NY167" s="15"/>
      <c r="NZ167" s="15"/>
      <c r="OA167" s="15"/>
      <c r="OB167" s="15"/>
      <c r="OC167" s="15"/>
      <c r="OD167" s="15"/>
      <c r="OE167" s="15"/>
      <c r="OF167" s="15"/>
      <c r="OG167" s="15"/>
      <c r="OH167" s="15"/>
      <c r="OI167" s="15"/>
      <c r="OJ167" s="15"/>
      <c r="OK167" s="15"/>
      <c r="OL167" s="15"/>
      <c r="OM167" s="15"/>
      <c r="ON167" s="15"/>
      <c r="OO167" s="15"/>
      <c r="OP167" s="15"/>
      <c r="OQ167" s="16"/>
      <c r="OS167" s="12"/>
      <c r="PP167" s="13"/>
      <c r="PR167" s="13"/>
    </row>
    <row r="168" spans="32:434" ht="18" customHeight="1">
      <c r="AF168" s="42"/>
      <c r="AG168" s="43"/>
      <c r="AH168" s="12"/>
      <c r="AZ168" s="12"/>
      <c r="BA168" s="12"/>
      <c r="BJ168" s="13"/>
      <c r="BK168" s="90"/>
      <c r="CK168" s="13"/>
      <c r="CL168" s="43"/>
      <c r="CM168" s="45"/>
      <c r="EH168" s="42"/>
      <c r="EI168" s="43"/>
      <c r="EJ168" s="12"/>
      <c r="ET168" s="9"/>
      <c r="EU168" s="10"/>
      <c r="EV168" s="10"/>
      <c r="EW168" s="10"/>
      <c r="EX168" s="10"/>
      <c r="EY168" s="10"/>
      <c r="EZ168" s="10"/>
      <c r="FA168" s="11"/>
      <c r="FC168" s="12"/>
      <c r="FR168" s="13"/>
      <c r="FS168" s="49"/>
      <c r="FT168" s="12"/>
      <c r="GO168" s="13"/>
      <c r="GP168" s="43"/>
      <c r="GQ168" s="45"/>
      <c r="IB168" s="12"/>
      <c r="ID168" s="12"/>
      <c r="JA168" s="13"/>
      <c r="JC168" s="12"/>
      <c r="JZ168" s="13"/>
      <c r="KC168" s="12"/>
      <c r="KM168" s="12"/>
      <c r="KO168" s="12"/>
      <c r="LN168" s="13"/>
      <c r="LO168" s="13"/>
      <c r="LX168" s="19"/>
      <c r="MV168" s="13"/>
      <c r="MX168" s="13"/>
      <c r="NV168" s="12"/>
      <c r="NX168" s="12"/>
      <c r="NY168" s="127"/>
      <c r="NZ168" s="127"/>
      <c r="OA168" s="127"/>
      <c r="OB168" s="127"/>
      <c r="OC168" s="127"/>
      <c r="OS168" s="12"/>
      <c r="PP168" s="13"/>
      <c r="PR168" s="13"/>
    </row>
    <row r="169" spans="32:434" ht="18" customHeight="1">
      <c r="AF169" s="42"/>
      <c r="AG169" s="43"/>
      <c r="AH169" s="12"/>
      <c r="AZ169" s="12"/>
      <c r="BA169" s="12"/>
      <c r="BJ169" s="13"/>
      <c r="BK169" s="90"/>
      <c r="CK169" s="13"/>
      <c r="CL169" s="43"/>
      <c r="CM169" s="45"/>
      <c r="EH169" s="42"/>
      <c r="EI169" s="43"/>
      <c r="EJ169" s="12"/>
      <c r="ET169" s="12"/>
      <c r="FA169" s="13"/>
      <c r="FC169" s="12"/>
      <c r="FR169" s="13"/>
      <c r="FS169" s="208"/>
      <c r="GO169" s="13"/>
      <c r="GP169" s="43"/>
      <c r="GQ169" s="45"/>
      <c r="IB169" s="12"/>
      <c r="ID169" s="12"/>
      <c r="JA169" s="13"/>
      <c r="JC169" s="12"/>
      <c r="JZ169" s="13"/>
      <c r="KC169" s="12"/>
      <c r="KM169" s="12"/>
      <c r="KO169" s="20"/>
      <c r="KP169" s="21"/>
      <c r="KQ169" s="21"/>
      <c r="KR169" s="21"/>
      <c r="KS169" s="21"/>
      <c r="KT169" s="21"/>
      <c r="KU169" s="21"/>
      <c r="KV169" s="21"/>
      <c r="KW169" s="21"/>
      <c r="KX169" s="21"/>
      <c r="KY169" s="21"/>
      <c r="KZ169" s="21"/>
      <c r="LA169" s="21"/>
      <c r="LB169" s="21"/>
      <c r="LC169" s="21"/>
      <c r="LD169" s="21"/>
      <c r="LE169" s="21"/>
      <c r="LF169" s="21"/>
      <c r="LG169" s="21"/>
      <c r="LH169" s="21"/>
      <c r="LI169" s="21"/>
      <c r="LJ169" s="21"/>
      <c r="LK169" s="21"/>
      <c r="LL169" s="21"/>
      <c r="LM169" s="21"/>
      <c r="LN169" s="21"/>
      <c r="LO169" s="21"/>
      <c r="LP169" s="21"/>
      <c r="LQ169" s="21"/>
      <c r="LR169" s="21"/>
      <c r="LS169" s="21"/>
      <c r="LT169" s="21"/>
      <c r="LU169" s="21"/>
      <c r="LV169" s="21"/>
      <c r="LW169" s="21"/>
      <c r="LX169" s="22"/>
      <c r="MV169" s="13"/>
      <c r="MX169" s="13"/>
      <c r="NV169" s="12"/>
      <c r="NX169" s="9"/>
      <c r="NY169" s="10"/>
      <c r="NZ169" s="10"/>
      <c r="OA169" s="10"/>
      <c r="OB169" s="10"/>
      <c r="OC169" s="10"/>
      <c r="OD169" s="10"/>
      <c r="OE169" s="10"/>
      <c r="OF169" s="10"/>
      <c r="OG169" s="10"/>
      <c r="OH169" s="10"/>
      <c r="OI169" s="10"/>
      <c r="OJ169" s="10"/>
      <c r="OK169" s="10"/>
      <c r="OL169" s="10"/>
      <c r="OM169" s="10"/>
      <c r="ON169" s="10"/>
      <c r="OO169" s="10"/>
      <c r="OP169" s="10"/>
      <c r="OQ169" s="11"/>
      <c r="OS169" s="12"/>
      <c r="PP169" s="13"/>
      <c r="PR169" s="13"/>
    </row>
    <row r="170" spans="32:434" ht="18" customHeight="1">
      <c r="AF170" s="42"/>
      <c r="AG170" s="43"/>
      <c r="AH170" s="12"/>
      <c r="AZ170" s="12"/>
      <c r="BA170" s="12"/>
      <c r="BJ170" s="13"/>
      <c r="BK170" s="90"/>
      <c r="CK170" s="13"/>
      <c r="CL170" s="43"/>
      <c r="CM170" s="43"/>
      <c r="CN170" s="9"/>
      <c r="CO170" s="10"/>
      <c r="CP170" s="10"/>
      <c r="CQ170" s="10"/>
      <c r="CR170" s="10"/>
      <c r="CS170" s="10"/>
      <c r="CT170" s="10"/>
      <c r="CU170" s="10"/>
      <c r="CV170" s="10"/>
      <c r="CW170" s="10"/>
      <c r="CX170" s="10"/>
      <c r="CY170" s="10"/>
      <c r="CZ170" s="10"/>
      <c r="DA170" s="10"/>
      <c r="DB170" s="10"/>
      <c r="DC170" s="10"/>
      <c r="DD170" s="10"/>
      <c r="DE170" s="10"/>
      <c r="DF170" s="10"/>
      <c r="DG170" s="11"/>
      <c r="EH170" s="42"/>
      <c r="EI170" s="43"/>
      <c r="EJ170" s="12"/>
      <c r="ET170" s="12"/>
      <c r="FA170" s="13"/>
      <c r="FC170" s="12"/>
      <c r="FR170" s="13"/>
      <c r="FS170" s="208"/>
      <c r="FT170" s="9"/>
      <c r="FU170" s="10"/>
      <c r="FV170" s="10"/>
      <c r="FW170" s="10"/>
      <c r="FX170" s="10"/>
      <c r="FY170" s="11"/>
      <c r="GO170" s="13"/>
      <c r="GP170" s="43"/>
      <c r="GQ170" s="45"/>
      <c r="IB170" s="12"/>
      <c r="ID170" s="12"/>
      <c r="JA170" s="13"/>
      <c r="JC170" s="12"/>
      <c r="JZ170" s="13"/>
      <c r="KC170" s="12"/>
      <c r="KM170" s="12"/>
      <c r="KO170" s="12"/>
      <c r="KY170" s="12"/>
      <c r="LF170" s="13"/>
      <c r="LH170" s="12"/>
      <c r="LW170" s="13"/>
      <c r="LY170" s="12"/>
      <c r="MV170" s="13"/>
      <c r="MX170" s="13"/>
      <c r="NV170" s="12"/>
      <c r="NX170" s="12"/>
      <c r="OQ170" s="13"/>
      <c r="OS170" s="12"/>
      <c r="PP170" s="13"/>
      <c r="PR170" s="13"/>
    </row>
    <row r="171" spans="32:434" ht="18" customHeight="1">
      <c r="AF171" s="42"/>
      <c r="AG171" s="43"/>
      <c r="AH171" s="12"/>
      <c r="AZ171" s="12"/>
      <c r="BA171" s="12"/>
      <c r="BJ171" s="13"/>
      <c r="BK171" s="90"/>
      <c r="CK171" s="13"/>
      <c r="CL171" s="43"/>
      <c r="CM171" s="43"/>
      <c r="CN171" s="12"/>
      <c r="DG171" s="13"/>
      <c r="EH171" s="42"/>
      <c r="EI171" s="43"/>
      <c r="EJ171" s="12"/>
      <c r="ET171" s="12"/>
      <c r="FA171" s="13"/>
      <c r="FC171" s="12"/>
      <c r="FR171" s="13"/>
      <c r="FS171" s="208"/>
      <c r="FT171" s="12"/>
      <c r="FY171" s="13"/>
      <c r="GO171" s="13"/>
      <c r="GP171" s="43"/>
      <c r="GQ171" s="45"/>
      <c r="IB171" s="12"/>
      <c r="ID171" s="12"/>
      <c r="JA171" s="13"/>
      <c r="JC171" s="12"/>
      <c r="JZ171" s="13"/>
      <c r="KC171" s="12"/>
      <c r="KM171" s="12"/>
      <c r="KO171" s="12"/>
      <c r="KY171" s="12"/>
      <c r="LF171" s="13"/>
      <c r="LH171" s="9"/>
      <c r="LI171" s="11"/>
      <c r="LW171" s="13"/>
      <c r="LX171" s="13"/>
      <c r="MV171" s="13"/>
      <c r="MX171" s="13"/>
      <c r="NV171" s="12"/>
      <c r="NX171" s="12"/>
      <c r="OQ171" s="13"/>
      <c r="OS171" s="12"/>
      <c r="PP171" s="13"/>
      <c r="PR171" s="13"/>
    </row>
    <row r="172" spans="32:434" ht="18" customHeight="1">
      <c r="AF172" s="42"/>
      <c r="AG172" s="43"/>
      <c r="AH172" s="12"/>
      <c r="AZ172" s="12"/>
      <c r="BA172" s="14"/>
      <c r="BB172" s="15"/>
      <c r="BC172" s="15"/>
      <c r="BD172" s="15"/>
      <c r="BE172" s="15"/>
      <c r="BF172" s="15"/>
      <c r="BG172" s="15"/>
      <c r="BH172" s="15"/>
      <c r="BI172" s="15"/>
      <c r="BJ172" s="16"/>
      <c r="BK172" s="13"/>
      <c r="CK172" s="13"/>
      <c r="CL172" s="43"/>
      <c r="CM172" s="43"/>
      <c r="CN172" s="12"/>
      <c r="DG172" s="13"/>
      <c r="EH172" s="42"/>
      <c r="EI172" s="43"/>
      <c r="EJ172" s="12"/>
      <c r="ET172" s="12"/>
      <c r="FA172" s="13"/>
      <c r="FC172" s="9"/>
      <c r="FD172" s="11"/>
      <c r="FG172" s="9"/>
      <c r="FH172" s="10"/>
      <c r="FI172" s="10"/>
      <c r="FJ172" s="10"/>
      <c r="FK172" s="10"/>
      <c r="FL172" s="10"/>
      <c r="FM172" s="10"/>
      <c r="FN172" s="11"/>
      <c r="FR172" s="13"/>
      <c r="FS172" s="208"/>
      <c r="FT172" s="12"/>
      <c r="FY172" s="13"/>
      <c r="GM172" s="9"/>
      <c r="GN172" s="10"/>
      <c r="GO172" s="11"/>
      <c r="GP172" s="43"/>
      <c r="GQ172" s="45"/>
      <c r="IB172" s="12"/>
      <c r="ID172" s="12"/>
      <c r="JA172" s="13"/>
      <c r="JC172" s="12"/>
      <c r="JZ172" s="13"/>
      <c r="KC172" s="12"/>
      <c r="KM172" s="12"/>
      <c r="KO172" s="12"/>
      <c r="KY172" s="12"/>
      <c r="LF172" s="13"/>
      <c r="LH172" s="12"/>
      <c r="LI172" s="13"/>
      <c r="LW172" s="13"/>
      <c r="LX172" s="13"/>
      <c r="LY172" s="9"/>
      <c r="LZ172" s="10"/>
      <c r="MA172" s="10"/>
      <c r="MB172" s="10"/>
      <c r="MC172" s="10"/>
      <c r="MD172" s="11"/>
      <c r="MV172" s="13"/>
      <c r="MX172" s="13"/>
      <c r="NV172" s="12"/>
      <c r="NX172" s="12"/>
      <c r="OQ172" s="13"/>
      <c r="OS172" s="12"/>
      <c r="PP172" s="13"/>
      <c r="PR172" s="13"/>
    </row>
    <row r="173" spans="32:434" ht="18" customHeight="1">
      <c r="AF173" s="42"/>
      <c r="AG173" s="43"/>
      <c r="AH173" s="12"/>
      <c r="AZ173" s="14"/>
      <c r="BA173" s="15"/>
      <c r="BB173" s="15"/>
      <c r="BC173" s="15"/>
      <c r="BD173" s="15"/>
      <c r="BE173" s="15"/>
      <c r="BF173" s="15"/>
      <c r="BG173" s="15"/>
      <c r="BH173" s="15"/>
      <c r="BI173" s="15"/>
      <c r="BJ173" s="16"/>
      <c r="BK173" s="13"/>
      <c r="CK173" s="13"/>
      <c r="CL173" s="43"/>
      <c r="CM173" s="43"/>
      <c r="CN173" s="12"/>
      <c r="DG173" s="13"/>
      <c r="EH173" s="42"/>
      <c r="EI173" s="43"/>
      <c r="EJ173" s="9"/>
      <c r="EK173" s="10"/>
      <c r="EL173" s="10"/>
      <c r="EM173" s="10"/>
      <c r="EN173" s="10"/>
      <c r="EO173" s="9"/>
      <c r="EP173" s="10"/>
      <c r="EQ173" s="10"/>
      <c r="ER173" s="10"/>
      <c r="ES173" s="11"/>
      <c r="ET173" s="12"/>
      <c r="FA173" s="13"/>
      <c r="FC173" s="12"/>
      <c r="FD173" s="33"/>
      <c r="FE173" s="32"/>
      <c r="FG173" s="12"/>
      <c r="FN173" s="13"/>
      <c r="FR173" s="13"/>
      <c r="FS173" s="208"/>
      <c r="FT173" s="12"/>
      <c r="FY173" s="13"/>
      <c r="GM173" s="12"/>
      <c r="GO173" s="176"/>
      <c r="GP173" s="43"/>
      <c r="GQ173" s="45"/>
      <c r="IB173" s="12"/>
      <c r="ID173" s="12"/>
      <c r="JA173" s="13"/>
      <c r="JC173" s="12"/>
      <c r="JZ173" s="13"/>
      <c r="KC173" s="12"/>
      <c r="KM173" s="12"/>
      <c r="KO173" s="12"/>
      <c r="KY173" s="12"/>
      <c r="LF173" s="13"/>
      <c r="LH173" s="12"/>
      <c r="LI173" s="13"/>
      <c r="LW173" s="13"/>
      <c r="LX173" s="13"/>
      <c r="LY173" s="12"/>
      <c r="MD173" s="13"/>
      <c r="MV173" s="13"/>
      <c r="MX173" s="13"/>
      <c r="NV173" s="12"/>
      <c r="NX173" s="12"/>
      <c r="OQ173" s="13"/>
      <c r="OS173" s="12"/>
      <c r="PP173" s="13"/>
      <c r="PR173" s="13"/>
    </row>
    <row r="174" spans="32:434" ht="18" customHeight="1">
      <c r="AF174" s="42"/>
      <c r="AG174" s="43"/>
      <c r="AH174" s="12"/>
      <c r="BJ174" s="13"/>
      <c r="BK174" s="13"/>
      <c r="CK174" s="13"/>
      <c r="CL174" s="43"/>
      <c r="CM174" s="43"/>
      <c r="CN174" s="9"/>
      <c r="CO174" s="10"/>
      <c r="CP174" s="10"/>
      <c r="CQ174" s="10"/>
      <c r="CR174" s="10"/>
      <c r="CS174" s="10"/>
      <c r="CT174" s="10"/>
      <c r="CU174" s="10"/>
      <c r="CV174" s="10"/>
      <c r="CW174" s="10"/>
      <c r="CX174" s="10"/>
      <c r="CY174" s="10"/>
      <c r="CZ174" s="10"/>
      <c r="DA174" s="10"/>
      <c r="DB174" s="10"/>
      <c r="DC174" s="11"/>
      <c r="DG174" s="13"/>
      <c r="EH174" s="42"/>
      <c r="EI174" s="43"/>
      <c r="EJ174" s="12"/>
      <c r="EO174" s="12"/>
      <c r="ES174" s="13"/>
      <c r="ET174" s="12"/>
      <c r="FA174" s="13"/>
      <c r="FC174" s="12"/>
      <c r="FD174" s="33"/>
      <c r="FE174" s="32"/>
      <c r="FG174" s="12"/>
      <c r="FN174" s="13"/>
      <c r="FR174" s="13"/>
      <c r="FS174" s="208"/>
      <c r="FT174" s="12"/>
      <c r="FY174" s="13"/>
      <c r="GM174" s="12"/>
      <c r="GO174" s="177"/>
      <c r="GP174" s="43"/>
      <c r="GQ174" s="45"/>
      <c r="IB174" s="12"/>
      <c r="ID174" s="12"/>
      <c r="JA174" s="13"/>
      <c r="JC174" s="12"/>
      <c r="JZ174" s="13"/>
      <c r="KC174" s="12"/>
      <c r="KM174" s="12"/>
      <c r="KO174" s="12"/>
      <c r="KY174" s="12"/>
      <c r="LF174" s="13"/>
      <c r="LH174" s="12"/>
      <c r="LI174" s="13"/>
      <c r="LL174" s="9"/>
      <c r="LM174" s="10"/>
      <c r="LN174" s="10"/>
      <c r="LO174" s="10"/>
      <c r="LP174" s="10"/>
      <c r="LQ174" s="10"/>
      <c r="LR174" s="10"/>
      <c r="LS174" s="11"/>
      <c r="LW174" s="13"/>
      <c r="LX174" s="13"/>
      <c r="LY174" s="12"/>
      <c r="MD174" s="13"/>
      <c r="MV174" s="13"/>
      <c r="MX174" s="13"/>
      <c r="NV174" s="12"/>
      <c r="NX174" s="12"/>
      <c r="OQ174" s="13"/>
      <c r="OS174" s="12"/>
      <c r="PP174" s="13"/>
      <c r="PR174" s="13"/>
    </row>
    <row r="175" spans="32:434" ht="18" customHeight="1">
      <c r="AF175" s="42"/>
      <c r="AG175" s="43"/>
      <c r="AH175" s="12"/>
      <c r="BJ175" s="13"/>
      <c r="BK175" s="13"/>
      <c r="BL175" s="9"/>
      <c r="BM175" s="11"/>
      <c r="BN175" s="20"/>
      <c r="BO175" s="21"/>
      <c r="BP175" s="21"/>
      <c r="BQ175" s="22"/>
      <c r="CK175" s="13"/>
      <c r="CL175" s="43"/>
      <c r="CM175" s="43"/>
      <c r="CN175" s="12"/>
      <c r="DC175" s="13"/>
      <c r="DG175" s="13"/>
      <c r="EH175" s="42"/>
      <c r="EI175" s="43"/>
      <c r="EJ175" s="12"/>
      <c r="EO175" s="12"/>
      <c r="ES175" s="13"/>
      <c r="ET175" s="12"/>
      <c r="FA175" s="13"/>
      <c r="FC175" s="12"/>
      <c r="FD175" s="13"/>
      <c r="FG175" s="12"/>
      <c r="FN175" s="13"/>
      <c r="FR175" s="13"/>
      <c r="FS175" s="208"/>
      <c r="FT175" s="12"/>
      <c r="FY175" s="13"/>
      <c r="GM175" s="12"/>
      <c r="GO175" s="177"/>
      <c r="GP175" s="43"/>
      <c r="GQ175" s="45"/>
      <c r="IB175" s="12"/>
      <c r="ID175" s="14"/>
      <c r="IE175" s="15"/>
      <c r="IF175" s="15"/>
      <c r="IG175" s="15"/>
      <c r="IH175" s="15"/>
      <c r="II175" s="15"/>
      <c r="IJ175" s="15"/>
      <c r="IK175" s="15"/>
      <c r="IL175" s="15"/>
      <c r="IM175" s="15"/>
      <c r="IN175" s="15"/>
      <c r="IO175" s="15"/>
      <c r="IP175" s="15"/>
      <c r="IQ175" s="15"/>
      <c r="IR175" s="15"/>
      <c r="IS175" s="15"/>
      <c r="IT175" s="15"/>
      <c r="IU175" s="15"/>
      <c r="IV175" s="15"/>
      <c r="IW175" s="15"/>
      <c r="IX175" s="15"/>
      <c r="IY175" s="15"/>
      <c r="IZ175" s="15"/>
      <c r="JA175" s="16"/>
      <c r="JC175" s="12"/>
      <c r="JZ175" s="13"/>
      <c r="KC175" s="12"/>
      <c r="KM175" s="12"/>
      <c r="KO175" s="9"/>
      <c r="KP175" s="10"/>
      <c r="KQ175" s="10"/>
      <c r="KR175" s="10"/>
      <c r="KS175" s="10"/>
      <c r="KT175" s="9"/>
      <c r="KU175" s="10"/>
      <c r="KV175" s="10"/>
      <c r="KW175" s="10"/>
      <c r="KX175" s="11"/>
      <c r="KY175" s="12"/>
      <c r="LF175" s="13"/>
      <c r="LH175" s="12"/>
      <c r="LI175" s="13"/>
      <c r="LL175" s="12"/>
      <c r="LS175" s="13"/>
      <c r="LW175" s="13"/>
      <c r="LX175" s="13"/>
      <c r="LY175" s="12"/>
      <c r="MD175" s="13"/>
      <c r="MV175" s="13"/>
      <c r="MX175" s="13"/>
      <c r="NV175" s="12"/>
      <c r="NX175" s="12"/>
      <c r="OQ175" s="13"/>
      <c r="OS175" s="12"/>
      <c r="PP175" s="13"/>
      <c r="PR175" s="13"/>
    </row>
    <row r="176" spans="32:434" ht="18" customHeight="1">
      <c r="AF176" s="42"/>
      <c r="AG176" s="43"/>
      <c r="AH176" s="12"/>
      <c r="BJ176" s="13"/>
      <c r="BK176" s="13"/>
      <c r="BL176" s="12"/>
      <c r="BM176" s="13"/>
      <c r="BQ176" s="13"/>
      <c r="CK176" s="13"/>
      <c r="CL176" s="43"/>
      <c r="CM176" s="43"/>
      <c r="CN176" s="12"/>
      <c r="DC176" s="13"/>
      <c r="DG176" s="13"/>
      <c r="EH176" s="42"/>
      <c r="EI176" s="43"/>
      <c r="EJ176" s="12"/>
      <c r="EO176" s="12"/>
      <c r="ES176" s="13"/>
      <c r="ET176" s="12"/>
      <c r="FA176" s="13"/>
      <c r="FC176" s="12"/>
      <c r="FD176" s="13"/>
      <c r="FG176" s="12"/>
      <c r="FN176" s="13"/>
      <c r="FR176" s="13"/>
      <c r="FS176" s="208"/>
      <c r="FT176" s="12"/>
      <c r="FY176" s="13"/>
      <c r="GM176" s="12"/>
      <c r="GO176" s="177"/>
      <c r="GP176" s="43"/>
      <c r="GQ176" s="45"/>
      <c r="IB176" s="12"/>
      <c r="ID176" s="12"/>
      <c r="JB176" s="12"/>
      <c r="JC176" s="12"/>
      <c r="JZ176" s="13"/>
      <c r="KC176" s="12"/>
      <c r="KM176" s="12"/>
      <c r="KO176" s="12"/>
      <c r="KT176" s="12"/>
      <c r="KX176" s="13"/>
      <c r="KY176" s="12"/>
      <c r="LF176" s="13"/>
      <c r="LH176" s="14"/>
      <c r="LI176" s="16"/>
      <c r="LL176" s="12"/>
      <c r="LS176" s="13"/>
      <c r="LW176" s="13"/>
      <c r="LX176" s="13"/>
      <c r="LY176" s="12"/>
      <c r="MD176" s="13"/>
      <c r="MV176" s="13"/>
      <c r="MX176" s="13"/>
      <c r="NV176" s="12"/>
      <c r="NX176" s="12"/>
      <c r="OQ176" s="13"/>
      <c r="OS176" s="12"/>
      <c r="PP176" s="13"/>
      <c r="PR176" s="13"/>
    </row>
    <row r="177" spans="32:434" ht="18" customHeight="1">
      <c r="AF177" s="42"/>
      <c r="AG177" s="43"/>
      <c r="AH177" s="12"/>
      <c r="BJ177" s="13"/>
      <c r="BK177" s="13"/>
      <c r="BL177" s="12"/>
      <c r="BM177" s="13"/>
      <c r="BQ177" s="13"/>
      <c r="CK177" s="13"/>
      <c r="CL177" s="43"/>
      <c r="CM177" s="43"/>
      <c r="CN177" s="12"/>
      <c r="DC177" s="13"/>
      <c r="DG177" s="13"/>
      <c r="EH177" s="42"/>
      <c r="EI177" s="43"/>
      <c r="EJ177" s="14"/>
      <c r="EK177" s="15"/>
      <c r="EL177" s="15"/>
      <c r="EM177" s="15"/>
      <c r="EN177" s="15"/>
      <c r="EO177" s="14"/>
      <c r="EP177" s="15"/>
      <c r="EQ177" s="15"/>
      <c r="ER177" s="15"/>
      <c r="ES177" s="16"/>
      <c r="ET177" s="14"/>
      <c r="EU177" s="15"/>
      <c r="EV177" s="15"/>
      <c r="EW177" s="15"/>
      <c r="EX177" s="15"/>
      <c r="EY177" s="15"/>
      <c r="EZ177" s="15"/>
      <c r="FA177" s="16"/>
      <c r="FB177" s="15"/>
      <c r="FC177" s="14"/>
      <c r="FD177" s="16"/>
      <c r="FG177" s="12"/>
      <c r="FN177" s="13"/>
      <c r="FR177" s="13"/>
      <c r="FS177" s="208"/>
      <c r="FT177" s="12"/>
      <c r="FY177" s="13"/>
      <c r="GM177" s="12"/>
      <c r="GO177" s="177"/>
      <c r="GP177" s="43"/>
      <c r="GQ177" s="45"/>
      <c r="IB177" s="12"/>
      <c r="ID177" s="9"/>
      <c r="IE177" s="10"/>
      <c r="IF177" s="10"/>
      <c r="IG177" s="10"/>
      <c r="IH177" s="10"/>
      <c r="II177" s="10"/>
      <c r="IJ177" s="10"/>
      <c r="IK177" s="10"/>
      <c r="IL177" s="10"/>
      <c r="IM177" s="10"/>
      <c r="IN177" s="10"/>
      <c r="IO177" s="10"/>
      <c r="IP177" s="10"/>
      <c r="IQ177" s="10"/>
      <c r="IR177" s="10"/>
      <c r="IS177" s="10"/>
      <c r="IT177" s="10"/>
      <c r="IU177" s="10"/>
      <c r="IV177" s="10"/>
      <c r="IW177" s="10"/>
      <c r="IX177" s="10"/>
      <c r="IY177" s="10"/>
      <c r="IZ177" s="10"/>
      <c r="JA177" s="10"/>
      <c r="JB177" s="12"/>
      <c r="JC177" s="12"/>
      <c r="JZ177" s="13"/>
      <c r="KC177" s="12"/>
      <c r="KM177" s="12"/>
      <c r="KO177" s="12"/>
      <c r="KT177" s="12"/>
      <c r="KX177" s="13"/>
      <c r="KY177" s="12"/>
      <c r="LF177" s="13"/>
      <c r="LH177" s="12"/>
      <c r="LL177" s="12"/>
      <c r="LS177" s="13"/>
      <c r="LW177" s="13"/>
      <c r="LX177" s="13"/>
      <c r="LY177" s="12"/>
      <c r="MD177" s="13"/>
      <c r="MV177" s="13"/>
      <c r="MX177" s="13"/>
      <c r="NV177" s="12"/>
      <c r="NX177" s="12"/>
      <c r="OQ177" s="13"/>
      <c r="OS177" s="12"/>
      <c r="PP177" s="13"/>
      <c r="PR177" s="13"/>
    </row>
    <row r="178" spans="32:434" ht="18" customHeight="1">
      <c r="AF178" s="42"/>
      <c r="AG178" s="43"/>
      <c r="AH178" s="12"/>
      <c r="BJ178" s="13"/>
      <c r="BK178" s="13"/>
      <c r="BL178" s="12"/>
      <c r="BM178" s="13"/>
      <c r="BQ178" s="13"/>
      <c r="CK178" s="13"/>
      <c r="CL178" s="43"/>
      <c r="CM178" s="43"/>
      <c r="CN178" s="12"/>
      <c r="DC178" s="13"/>
      <c r="DG178" s="13"/>
      <c r="EH178" s="42"/>
      <c r="EI178" s="43"/>
      <c r="EJ178" s="43"/>
      <c r="EK178" s="43"/>
      <c r="EL178" s="43"/>
      <c r="EM178" s="43"/>
      <c r="EN178" s="43"/>
      <c r="EO178" s="43"/>
      <c r="EP178" s="43"/>
      <c r="EQ178" s="43"/>
      <c r="ER178" s="43"/>
      <c r="ES178" s="43"/>
      <c r="ET178" s="43"/>
      <c r="EU178" s="43"/>
      <c r="EV178" s="41"/>
      <c r="EW178" s="41"/>
      <c r="EX178" s="41"/>
      <c r="EY178" s="41"/>
      <c r="EZ178" s="41"/>
      <c r="FA178" s="41"/>
      <c r="FB178" s="41"/>
      <c r="FC178" s="12"/>
      <c r="FG178" s="12"/>
      <c r="FN178" s="13"/>
      <c r="FR178" s="13"/>
      <c r="FS178" s="208"/>
      <c r="FT178" s="12"/>
      <c r="FY178" s="13"/>
      <c r="GM178" s="12"/>
      <c r="GO178" s="178"/>
      <c r="GP178" s="43"/>
      <c r="GQ178" s="45"/>
      <c r="IB178" s="12"/>
      <c r="ID178" s="12"/>
      <c r="JB178" s="12"/>
      <c r="JC178" s="12"/>
      <c r="JZ178" s="13"/>
      <c r="KC178" s="12"/>
      <c r="KM178" s="12"/>
      <c r="KO178" s="12"/>
      <c r="KT178" s="12"/>
      <c r="KX178" s="13"/>
      <c r="KY178" s="12"/>
      <c r="LF178" s="13"/>
      <c r="LH178" s="9"/>
      <c r="LI178" s="11"/>
      <c r="LL178" s="12"/>
      <c r="LS178" s="13"/>
      <c r="LW178" s="13"/>
      <c r="LX178" s="13"/>
      <c r="LY178" s="12"/>
      <c r="MD178" s="13"/>
      <c r="MV178" s="13"/>
      <c r="MX178" s="13"/>
      <c r="MY178" s="12"/>
      <c r="NV178" s="12"/>
      <c r="NX178" s="14"/>
      <c r="NY178" s="15"/>
      <c r="NZ178" s="15"/>
      <c r="OA178" s="15"/>
      <c r="OB178" s="15"/>
      <c r="OC178" s="15"/>
      <c r="OD178" s="15"/>
      <c r="OE178" s="15"/>
      <c r="OF178" s="15"/>
      <c r="OG178" s="15"/>
      <c r="OH178" s="15"/>
      <c r="OI178" s="15"/>
      <c r="OJ178" s="15"/>
      <c r="OK178" s="15"/>
      <c r="OL178" s="15"/>
      <c r="OM178" s="15"/>
      <c r="ON178" s="15"/>
      <c r="OO178" s="15"/>
      <c r="OP178" s="15"/>
      <c r="OQ178" s="16"/>
      <c r="OS178" s="12"/>
      <c r="PP178" s="13"/>
      <c r="PR178" s="13"/>
    </row>
    <row r="179" spans="32:434" ht="18" customHeight="1">
      <c r="AF179" s="42"/>
      <c r="AG179" s="43"/>
      <c r="AH179" s="12"/>
      <c r="BJ179" s="13"/>
      <c r="BK179" s="13"/>
      <c r="BL179" s="12"/>
      <c r="BM179" s="13"/>
      <c r="BQ179" s="13"/>
      <c r="CK179" s="13"/>
      <c r="CL179" s="43"/>
      <c r="CM179" s="43"/>
      <c r="CN179" s="12"/>
      <c r="DC179" s="13"/>
      <c r="DG179" s="13"/>
      <c r="EH179" s="46"/>
      <c r="EI179" s="47"/>
      <c r="EJ179" s="47"/>
      <c r="EK179" s="47"/>
      <c r="EL179" s="47"/>
      <c r="EM179" s="47"/>
      <c r="EN179" s="47"/>
      <c r="EO179" s="47"/>
      <c r="EP179" s="47"/>
      <c r="EQ179" s="47"/>
      <c r="ER179" s="47"/>
      <c r="ES179" s="43"/>
      <c r="ET179" s="47"/>
      <c r="EU179" s="43"/>
      <c r="EV179" s="43"/>
      <c r="EW179" s="43"/>
      <c r="EX179" s="43"/>
      <c r="EY179" s="43"/>
      <c r="EZ179" s="43"/>
      <c r="FA179" s="43"/>
      <c r="FB179" s="43"/>
      <c r="FC179" s="9"/>
      <c r="FD179" s="11"/>
      <c r="FG179" s="12"/>
      <c r="FN179" s="13"/>
      <c r="FR179" s="13"/>
      <c r="FS179" s="208"/>
      <c r="FT179" s="12"/>
      <c r="FY179" s="13"/>
      <c r="GM179" s="14"/>
      <c r="GN179" s="15"/>
      <c r="GO179" s="16"/>
      <c r="GP179" s="43"/>
      <c r="GQ179" s="45"/>
      <c r="IB179" s="12"/>
      <c r="ID179" s="12"/>
      <c r="JB179" s="12"/>
      <c r="JC179" s="12"/>
      <c r="JZ179" s="13"/>
      <c r="KC179" s="12"/>
      <c r="KM179" s="12"/>
      <c r="KO179" s="14"/>
      <c r="KP179" s="15"/>
      <c r="KQ179" s="15"/>
      <c r="KR179" s="15"/>
      <c r="KS179" s="15"/>
      <c r="KT179" s="14"/>
      <c r="KU179" s="15"/>
      <c r="KV179" s="15"/>
      <c r="KW179" s="15"/>
      <c r="KX179" s="16"/>
      <c r="KY179" s="14"/>
      <c r="KZ179" s="15"/>
      <c r="LA179" s="15"/>
      <c r="LB179" s="15"/>
      <c r="LC179" s="15"/>
      <c r="LD179" s="15"/>
      <c r="LE179" s="15"/>
      <c r="LF179" s="16"/>
      <c r="LG179" s="15"/>
      <c r="LH179" s="12"/>
      <c r="LI179" s="13"/>
      <c r="LL179" s="12"/>
      <c r="LS179" s="13"/>
      <c r="LW179" s="13"/>
      <c r="LX179" s="13"/>
      <c r="LY179" s="12"/>
      <c r="MD179" s="13"/>
      <c r="MV179" s="13"/>
      <c r="MX179" s="13"/>
      <c r="MY179" s="12"/>
      <c r="NV179" s="12"/>
      <c r="NX179" s="12"/>
      <c r="OS179" s="12"/>
      <c r="PP179" s="13"/>
      <c r="PR179" s="13"/>
    </row>
    <row r="180" spans="32:434" ht="18" customHeight="1">
      <c r="AF180" s="42"/>
      <c r="AG180" s="43"/>
      <c r="AH180" s="12"/>
      <c r="BJ180" s="13"/>
      <c r="BK180" s="13"/>
      <c r="BL180" s="12"/>
      <c r="BM180" s="13"/>
      <c r="BQ180" s="13"/>
      <c r="CK180" s="13"/>
      <c r="CL180" s="43"/>
      <c r="CM180" s="43"/>
      <c r="CN180" s="12"/>
      <c r="DC180" s="13"/>
      <c r="DG180" s="13"/>
      <c r="EQ180" s="10"/>
      <c r="ER180" s="10"/>
      <c r="ES180" s="10"/>
      <c r="ET180" s="10"/>
      <c r="EU180" s="10"/>
      <c r="EV180" s="10"/>
      <c r="EW180" s="10"/>
      <c r="EX180" s="10"/>
      <c r="EY180" s="10"/>
      <c r="EZ180" s="11"/>
      <c r="FA180" s="42"/>
      <c r="FB180" s="43"/>
      <c r="FC180" s="12"/>
      <c r="FD180" s="13"/>
      <c r="FG180" s="12"/>
      <c r="FN180" s="13"/>
      <c r="FR180" s="13"/>
      <c r="FS180" s="208"/>
      <c r="FT180" s="12"/>
      <c r="FY180" s="13"/>
      <c r="GO180" s="13"/>
      <c r="GP180" s="43"/>
      <c r="GQ180" s="45"/>
      <c r="IB180" s="12"/>
      <c r="ID180" s="12"/>
      <c r="JB180" s="14"/>
      <c r="JC180" s="12"/>
      <c r="JZ180" s="13"/>
      <c r="KC180" s="12"/>
      <c r="KM180" s="12"/>
      <c r="LA180" s="10"/>
      <c r="LB180" s="10"/>
      <c r="LC180" s="10"/>
      <c r="LD180" s="10"/>
      <c r="LE180" s="10"/>
      <c r="LF180" s="10"/>
      <c r="LG180" s="10"/>
      <c r="LH180" s="12"/>
      <c r="LI180" s="13"/>
      <c r="LL180" s="12"/>
      <c r="LS180" s="13"/>
      <c r="LW180" s="13"/>
      <c r="LX180" s="13"/>
      <c r="LY180" s="12"/>
      <c r="MD180" s="13"/>
      <c r="MV180" s="13"/>
      <c r="MX180" s="13"/>
      <c r="MY180" s="12"/>
      <c r="NV180" s="12"/>
      <c r="NX180" s="9"/>
      <c r="NY180" s="10"/>
      <c r="NZ180" s="10"/>
      <c r="OA180" s="10"/>
      <c r="OB180" s="10"/>
      <c r="OC180" s="10"/>
      <c r="OD180" s="10"/>
      <c r="OE180" s="10"/>
      <c r="OF180" s="10"/>
      <c r="OG180" s="10"/>
      <c r="OH180" s="10"/>
      <c r="OI180" s="10"/>
      <c r="OJ180" s="10"/>
      <c r="OK180" s="10"/>
      <c r="OL180" s="10"/>
      <c r="OM180" s="10"/>
      <c r="ON180" s="10"/>
      <c r="OO180" s="10"/>
      <c r="OP180" s="10"/>
      <c r="OQ180" s="10"/>
      <c r="OR180" s="17"/>
      <c r="OS180" s="12"/>
      <c r="PP180" s="13"/>
      <c r="PR180" s="13"/>
    </row>
    <row r="181" spans="32:434" ht="18" customHeight="1">
      <c r="AF181" s="42"/>
      <c r="AG181" s="43"/>
      <c r="AH181" s="12"/>
      <c r="BJ181" s="13"/>
      <c r="BK181" s="13"/>
      <c r="BL181" s="12"/>
      <c r="BM181" s="13"/>
      <c r="BN181" s="9"/>
      <c r="BO181" s="10"/>
      <c r="BP181" s="10"/>
      <c r="BQ181" s="11"/>
      <c r="CK181" s="13"/>
      <c r="CL181" s="43"/>
      <c r="CM181" s="43"/>
      <c r="CN181" s="12"/>
      <c r="DC181" s="13"/>
      <c r="DG181" s="13"/>
      <c r="FA181" s="42"/>
      <c r="FB181" s="43"/>
      <c r="FC181" s="12"/>
      <c r="FD181" s="13"/>
      <c r="FG181" s="12"/>
      <c r="FN181" s="13"/>
      <c r="FR181" s="13"/>
      <c r="FS181" s="208"/>
      <c r="FT181" s="14"/>
      <c r="FU181" s="15"/>
      <c r="FV181" s="15"/>
      <c r="FW181" s="15"/>
      <c r="FX181" s="15"/>
      <c r="FY181" s="16"/>
      <c r="GO181" s="13"/>
      <c r="GP181" s="43"/>
      <c r="GQ181" s="45"/>
      <c r="IB181" s="12"/>
      <c r="ID181" s="12"/>
      <c r="IH181" s="9"/>
      <c r="II181" s="10"/>
      <c r="IJ181" s="10"/>
      <c r="IK181" s="10"/>
      <c r="IL181" s="10"/>
      <c r="IM181" s="10"/>
      <c r="IN181" s="10"/>
      <c r="IO181" s="10"/>
      <c r="IP181" s="10"/>
      <c r="IQ181" s="10"/>
      <c r="IR181" s="10"/>
      <c r="IS181" s="10"/>
      <c r="IT181" s="10"/>
      <c r="IU181" s="10"/>
      <c r="IV181" s="10"/>
      <c r="IW181" s="10"/>
      <c r="IX181" s="10"/>
      <c r="IY181" s="10"/>
      <c r="IZ181" s="10"/>
      <c r="JA181" s="10"/>
      <c r="JZ181" s="13"/>
      <c r="KC181" s="12"/>
      <c r="KM181" s="14"/>
      <c r="KN181" s="15"/>
      <c r="KO181" s="15"/>
      <c r="KP181" s="15"/>
      <c r="KQ181" s="15"/>
      <c r="KR181" s="15"/>
      <c r="KS181" s="15"/>
      <c r="KT181" s="15"/>
      <c r="KU181" s="15"/>
      <c r="KV181" s="15"/>
      <c r="KW181" s="15"/>
      <c r="KY181" s="15"/>
      <c r="LH181" s="12"/>
      <c r="LI181" s="13"/>
      <c r="LL181" s="12"/>
      <c r="LS181" s="13"/>
      <c r="LW181" s="13"/>
      <c r="LX181" s="13"/>
      <c r="LY181" s="12"/>
      <c r="MD181" s="13"/>
      <c r="MV181" s="13"/>
      <c r="MX181" s="13"/>
      <c r="MY181" s="12"/>
      <c r="NV181" s="12"/>
      <c r="NX181" s="12"/>
      <c r="OR181" s="18"/>
      <c r="OS181" s="12"/>
      <c r="PP181" s="13"/>
      <c r="PR181" s="13"/>
    </row>
    <row r="182" spans="32:434" ht="18" customHeight="1">
      <c r="AF182" s="42"/>
      <c r="AG182" s="43"/>
      <c r="AH182" s="12"/>
      <c r="BJ182" s="13"/>
      <c r="BK182" s="13"/>
      <c r="BL182" s="12"/>
      <c r="BM182" s="13"/>
      <c r="BN182" s="12"/>
      <c r="BQ182" s="13"/>
      <c r="CK182" s="13"/>
      <c r="CL182" s="43"/>
      <c r="CM182" s="43"/>
      <c r="CN182" s="12"/>
      <c r="DC182" s="13"/>
      <c r="DG182" s="13"/>
      <c r="FA182" s="42"/>
      <c r="FB182" s="43"/>
      <c r="FC182" s="12"/>
      <c r="FD182" s="13"/>
      <c r="FG182" s="12"/>
      <c r="FN182" s="13"/>
      <c r="FR182" s="13"/>
      <c r="FS182" s="208"/>
      <c r="GO182" s="13"/>
      <c r="GP182" s="43"/>
      <c r="GQ182" s="45"/>
      <c r="IB182" s="17"/>
      <c r="IC182" s="9"/>
      <c r="ID182" s="12"/>
      <c r="IH182" s="12"/>
      <c r="JZ182" s="13"/>
      <c r="KA182" s="11"/>
      <c r="KB182" s="9"/>
      <c r="KC182" s="12"/>
      <c r="KV182" s="10"/>
      <c r="KW182" s="10"/>
      <c r="KX182" s="10"/>
      <c r="KY182" s="10"/>
      <c r="KZ182" s="10"/>
      <c r="LA182" s="10"/>
      <c r="LB182" s="10"/>
      <c r="LC182" s="10"/>
      <c r="LD182" s="10"/>
      <c r="LE182" s="11"/>
      <c r="LF182" s="12"/>
      <c r="LH182" s="12"/>
      <c r="LI182" s="13"/>
      <c r="LL182" s="12"/>
      <c r="LS182" s="13"/>
      <c r="LW182" s="13"/>
      <c r="LX182" s="13"/>
      <c r="LY182" s="12"/>
      <c r="MD182" s="13"/>
      <c r="MV182" s="13"/>
      <c r="MX182" s="13"/>
      <c r="MY182" s="12"/>
      <c r="NV182" s="12"/>
      <c r="NX182" s="12"/>
      <c r="OR182" s="18"/>
      <c r="OS182" s="12"/>
      <c r="PP182" s="13"/>
      <c r="PR182" s="13"/>
    </row>
    <row r="183" spans="32:434" ht="18" customHeight="1">
      <c r="AF183" s="42"/>
      <c r="AG183" s="43"/>
      <c r="AH183" s="12"/>
      <c r="BJ183" s="13"/>
      <c r="BK183" s="13"/>
      <c r="BL183" s="12"/>
      <c r="BM183" s="13"/>
      <c r="BN183" s="12"/>
      <c r="BQ183" s="13"/>
      <c r="CK183" s="13"/>
      <c r="CL183" s="43"/>
      <c r="CM183" s="43"/>
      <c r="CN183" s="12"/>
      <c r="DC183" s="13"/>
      <c r="DG183" s="13"/>
      <c r="FA183" s="42"/>
      <c r="FB183" s="43"/>
      <c r="FC183" s="12"/>
      <c r="FD183" s="13"/>
      <c r="FG183" s="12"/>
      <c r="FN183" s="13"/>
      <c r="FR183" s="13"/>
      <c r="FS183" s="208"/>
      <c r="GO183" s="13"/>
      <c r="GP183" s="43"/>
      <c r="GQ183" s="45"/>
      <c r="IB183" s="18"/>
      <c r="IC183" s="12"/>
      <c r="ID183" s="12"/>
      <c r="IE183" s="9"/>
      <c r="IF183" s="11"/>
      <c r="IH183" s="12"/>
      <c r="JZ183" s="13"/>
      <c r="KA183" s="13"/>
      <c r="KB183" s="12"/>
      <c r="KC183" s="12"/>
      <c r="LF183" s="12"/>
      <c r="LH183" s="14"/>
      <c r="LI183" s="16"/>
      <c r="LL183" s="12"/>
      <c r="LS183" s="13"/>
      <c r="LW183" s="13"/>
      <c r="LX183" s="13"/>
      <c r="LY183" s="14"/>
      <c r="LZ183" s="15"/>
      <c r="MA183" s="15"/>
      <c r="MB183" s="15"/>
      <c r="MC183" s="15"/>
      <c r="MD183" s="16"/>
      <c r="MV183" s="13"/>
      <c r="MX183" s="13"/>
      <c r="MY183" s="12"/>
      <c r="NV183" s="12"/>
      <c r="NX183" s="12"/>
      <c r="OR183" s="19"/>
      <c r="OS183" s="12"/>
      <c r="PP183" s="13"/>
      <c r="PR183" s="13"/>
    </row>
    <row r="184" spans="32:434" ht="18" customHeight="1">
      <c r="AF184" s="42"/>
      <c r="AG184" s="43"/>
      <c r="AH184" s="12"/>
      <c r="BJ184" s="13"/>
      <c r="BK184" s="13"/>
      <c r="BL184" s="12"/>
      <c r="BM184" s="13"/>
      <c r="BN184" s="12"/>
      <c r="BQ184" s="13"/>
      <c r="CK184" s="13"/>
      <c r="CL184" s="43"/>
      <c r="CM184" s="43"/>
      <c r="CN184" s="12"/>
      <c r="DC184" s="13"/>
      <c r="DG184" s="13"/>
      <c r="FA184" s="42"/>
      <c r="FB184" s="43"/>
      <c r="FC184" s="14"/>
      <c r="FD184" s="16"/>
      <c r="FG184" s="12"/>
      <c r="FN184" s="13"/>
      <c r="FR184" s="13"/>
      <c r="FS184" s="208"/>
      <c r="GO184" s="13"/>
      <c r="GP184" s="43"/>
      <c r="GQ184" s="45"/>
      <c r="IB184" s="18"/>
      <c r="IC184" s="12"/>
      <c r="ID184" s="12"/>
      <c r="IE184" s="12"/>
      <c r="IF184" s="13"/>
      <c r="IH184" s="12"/>
      <c r="JZ184" s="13"/>
      <c r="KA184" s="13"/>
      <c r="KB184" s="12"/>
      <c r="KC184" s="12"/>
      <c r="LF184" s="12"/>
      <c r="LH184" s="12"/>
      <c r="LL184" s="12"/>
      <c r="LS184" s="13"/>
      <c r="LW184" s="13"/>
      <c r="LX184" s="13"/>
      <c r="MV184" s="13"/>
      <c r="MX184" s="13"/>
      <c r="MY184" s="12"/>
      <c r="NV184" s="12"/>
      <c r="NX184" s="12"/>
      <c r="OB184" s="9"/>
      <c r="OC184" s="10"/>
      <c r="OD184" s="10"/>
      <c r="OE184" s="10"/>
      <c r="OF184" s="10"/>
      <c r="OG184" s="10"/>
      <c r="OH184" s="10"/>
      <c r="OI184" s="10"/>
      <c r="OJ184" s="10"/>
      <c r="OK184" s="10"/>
      <c r="OL184" s="10"/>
      <c r="OM184" s="10"/>
      <c r="ON184" s="10"/>
      <c r="OO184" s="10"/>
      <c r="OP184" s="10"/>
      <c r="OQ184" s="10"/>
      <c r="OR184" s="11"/>
      <c r="OS184" s="12"/>
      <c r="PP184" s="13"/>
      <c r="PR184" s="13"/>
    </row>
    <row r="185" spans="32:434" ht="18" customHeight="1">
      <c r="AF185" s="42"/>
      <c r="AG185" s="43"/>
      <c r="AH185" s="12"/>
      <c r="BJ185" s="13"/>
      <c r="BK185" s="13"/>
      <c r="BL185" s="12"/>
      <c r="BM185" s="13"/>
      <c r="BN185" s="14"/>
      <c r="BO185" s="15"/>
      <c r="BP185" s="15"/>
      <c r="BQ185" s="16"/>
      <c r="CK185" s="13"/>
      <c r="CL185" s="43"/>
      <c r="CM185" s="43"/>
      <c r="CN185" s="12"/>
      <c r="DC185" s="13"/>
      <c r="DG185" s="13"/>
      <c r="FA185" s="42"/>
      <c r="FB185" s="43"/>
      <c r="FC185" s="12"/>
      <c r="FG185" s="12"/>
      <c r="FN185" s="13"/>
      <c r="FR185" s="13"/>
      <c r="FS185" s="208"/>
      <c r="GO185" s="13"/>
      <c r="GP185" s="125"/>
      <c r="GQ185" s="125"/>
      <c r="IB185" s="18"/>
      <c r="IC185" s="12"/>
      <c r="ID185" s="12"/>
      <c r="IE185" s="12"/>
      <c r="IF185" s="13"/>
      <c r="IH185" s="12"/>
      <c r="JZ185" s="13"/>
      <c r="KA185" s="13"/>
      <c r="KB185" s="12"/>
      <c r="KC185" s="12"/>
      <c r="LF185" s="12"/>
      <c r="LH185" s="12"/>
      <c r="LL185" s="12"/>
      <c r="LS185" s="13"/>
      <c r="LW185" s="13"/>
      <c r="LX185" s="13"/>
      <c r="MV185" s="13"/>
      <c r="MX185" s="13"/>
      <c r="MY185" s="12"/>
      <c r="NV185" s="12"/>
      <c r="NX185" s="12"/>
      <c r="OB185" s="12"/>
      <c r="OR185" s="13"/>
      <c r="OS185" s="12"/>
      <c r="PP185" s="13"/>
      <c r="PR185" s="13"/>
    </row>
    <row r="186" spans="32:434" ht="18" customHeight="1">
      <c r="AF186" s="42"/>
      <c r="AG186" s="43"/>
      <c r="AH186" s="14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6"/>
      <c r="BK186" s="13"/>
      <c r="BL186" s="14"/>
      <c r="BM186" s="16"/>
      <c r="BN186" s="15"/>
      <c r="BO186" s="15"/>
      <c r="BP186" s="15"/>
      <c r="BQ186" s="16"/>
      <c r="CK186" s="13"/>
      <c r="CL186" s="43"/>
      <c r="CM186" s="43"/>
      <c r="CN186" s="12"/>
      <c r="DC186" s="13"/>
      <c r="DG186" s="13"/>
      <c r="FA186" s="42"/>
      <c r="FB186" s="43"/>
      <c r="FC186" s="12"/>
      <c r="FG186" s="12"/>
      <c r="FN186" s="13"/>
      <c r="FR186" s="13"/>
      <c r="FS186" s="208"/>
      <c r="GO186" s="13"/>
      <c r="GP186" s="108"/>
      <c r="GQ186" s="108"/>
      <c r="IB186" s="18"/>
      <c r="IC186" s="12"/>
      <c r="ID186" s="12"/>
      <c r="IE186" s="14"/>
      <c r="IF186" s="16"/>
      <c r="IH186" s="12"/>
      <c r="JZ186" s="13"/>
      <c r="KA186" s="13"/>
      <c r="KB186" s="12"/>
      <c r="KC186" s="12"/>
      <c r="LF186" s="12"/>
      <c r="LH186" s="12"/>
      <c r="LL186" s="12"/>
      <c r="LS186" s="13"/>
      <c r="LW186" s="13"/>
      <c r="LX186" s="13"/>
      <c r="MV186" s="13"/>
      <c r="MX186" s="13"/>
      <c r="MY186" s="12"/>
      <c r="NV186" s="12"/>
      <c r="NX186" s="12"/>
      <c r="OB186" s="12"/>
      <c r="OR186" s="13"/>
      <c r="OS186" s="12"/>
      <c r="PP186" s="13"/>
      <c r="PR186" s="13"/>
    </row>
    <row r="187" spans="32:434" ht="18" customHeight="1">
      <c r="AF187" s="42"/>
      <c r="AG187" s="43"/>
      <c r="AH187" s="12"/>
      <c r="BK187" s="13"/>
      <c r="CK187" s="13"/>
      <c r="CL187" s="43"/>
      <c r="CM187" s="43"/>
      <c r="CN187" s="12"/>
      <c r="DC187" s="13"/>
      <c r="DG187" s="13"/>
      <c r="FA187" s="42"/>
      <c r="FB187" s="43"/>
      <c r="FC187" s="12"/>
      <c r="FG187" s="12"/>
      <c r="FN187" s="13"/>
      <c r="FR187" s="13"/>
      <c r="FS187" s="208"/>
      <c r="GO187" s="13"/>
      <c r="GP187" s="108"/>
      <c r="GQ187" s="108"/>
      <c r="IB187" s="19"/>
      <c r="IC187" s="14"/>
      <c r="ID187" s="12"/>
      <c r="IH187" s="12"/>
      <c r="JZ187" s="13"/>
      <c r="KA187" s="16"/>
      <c r="KB187" s="14"/>
      <c r="KC187" s="12"/>
      <c r="LF187" s="12"/>
      <c r="LH187" s="12"/>
      <c r="LL187" s="12"/>
      <c r="LS187" s="13"/>
      <c r="LW187" s="13"/>
      <c r="LX187" s="13"/>
      <c r="MV187" s="13"/>
      <c r="MX187" s="13"/>
      <c r="MY187" s="12"/>
      <c r="NV187" s="12"/>
      <c r="NX187" s="12"/>
      <c r="OB187" s="12"/>
      <c r="OR187" s="13"/>
      <c r="OS187" s="12"/>
      <c r="PP187" s="13"/>
      <c r="PR187" s="13"/>
    </row>
    <row r="188" spans="32:434" ht="18" customHeight="1">
      <c r="AF188" s="42"/>
      <c r="AG188" s="43"/>
      <c r="AH188" s="9"/>
      <c r="AI188" s="10"/>
      <c r="AJ188" s="10"/>
      <c r="AK188" s="10"/>
      <c r="AL188" s="10"/>
      <c r="AM188" s="10"/>
      <c r="AN188" s="10"/>
      <c r="AO188" s="10"/>
      <c r="AP188" s="10"/>
      <c r="AQ188" s="17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  <c r="BI188" s="10"/>
      <c r="BJ188" s="10"/>
      <c r="BK188" s="17"/>
      <c r="CK188" s="13"/>
      <c r="CL188" s="43"/>
      <c r="CM188" s="43"/>
      <c r="CN188" s="12"/>
      <c r="DC188" s="13"/>
      <c r="DG188" s="13"/>
      <c r="FA188" s="42"/>
      <c r="FB188" s="43"/>
      <c r="FC188" s="12"/>
      <c r="FG188" s="12"/>
      <c r="FO188" s="10"/>
      <c r="FP188" s="10"/>
      <c r="FQ188" s="10"/>
      <c r="FR188" s="10"/>
      <c r="FS188" s="10"/>
      <c r="GO188" s="13"/>
      <c r="GP188" s="108"/>
      <c r="GQ188" s="108"/>
      <c r="IB188" s="12"/>
      <c r="ID188" s="12"/>
      <c r="IH188" s="14"/>
      <c r="II188" s="15"/>
      <c r="IJ188" s="15"/>
      <c r="IK188" s="15"/>
      <c r="IL188" s="15"/>
      <c r="IM188" s="15"/>
      <c r="IN188" s="15"/>
      <c r="IO188" s="15"/>
      <c r="IP188" s="15"/>
      <c r="IQ188" s="15"/>
      <c r="IR188" s="15"/>
      <c r="IS188" s="15"/>
      <c r="IT188" s="15"/>
      <c r="IU188" s="15"/>
      <c r="IV188" s="15"/>
      <c r="IW188" s="15"/>
      <c r="IX188" s="15"/>
      <c r="IY188" s="15"/>
      <c r="IZ188" s="15"/>
      <c r="JA188" s="15"/>
      <c r="JB188" s="15"/>
      <c r="JZ188" s="13"/>
      <c r="KC188" s="12"/>
      <c r="LF188" s="12"/>
      <c r="LH188" s="12"/>
      <c r="LL188" s="12"/>
      <c r="LT188" s="10"/>
      <c r="LU188" s="10"/>
      <c r="LV188" s="10"/>
      <c r="LW188" s="10"/>
      <c r="LX188" s="10"/>
      <c r="MV188" s="13"/>
      <c r="MX188" s="13"/>
      <c r="MY188" s="12"/>
      <c r="NV188" s="12"/>
      <c r="NX188" s="12"/>
      <c r="OB188" s="12"/>
      <c r="OR188" s="13"/>
      <c r="OS188" s="12"/>
      <c r="PP188" s="13"/>
      <c r="PR188" s="13"/>
    </row>
    <row r="189" spans="32:434" ht="18" customHeight="1">
      <c r="AF189" s="42"/>
      <c r="AG189" s="43"/>
      <c r="AH189" s="12"/>
      <c r="AQ189" s="18"/>
      <c r="BK189" s="18"/>
      <c r="CK189" s="13"/>
      <c r="CL189" s="43"/>
      <c r="CM189" s="43"/>
      <c r="CN189" s="12"/>
      <c r="DC189" s="13"/>
      <c r="DG189" s="13"/>
      <c r="FA189" s="42"/>
      <c r="FB189" s="43"/>
      <c r="FC189" s="12"/>
      <c r="FE189" s="97"/>
      <c r="FG189" s="12"/>
      <c r="GO189" s="13"/>
      <c r="GP189" s="108"/>
      <c r="GQ189" s="108"/>
      <c r="IB189" s="12"/>
      <c r="ID189" s="12"/>
      <c r="JA189" s="13"/>
      <c r="JC189" s="12"/>
      <c r="JZ189" s="13"/>
      <c r="KC189" s="12"/>
      <c r="LF189" s="12"/>
      <c r="LH189" s="12"/>
      <c r="LL189" s="12"/>
      <c r="MV189" s="13"/>
      <c r="MX189" s="13"/>
      <c r="MY189" s="12"/>
      <c r="NV189" s="12"/>
      <c r="NX189" s="12"/>
      <c r="OB189" s="12"/>
      <c r="OR189" s="13"/>
      <c r="OS189" s="12"/>
      <c r="PP189" s="13"/>
      <c r="PR189" s="13"/>
    </row>
    <row r="190" spans="32:434" ht="18" customHeight="1">
      <c r="AF190" s="42"/>
      <c r="AG190" s="43"/>
      <c r="AH190" s="12"/>
      <c r="AQ190" s="18"/>
      <c r="BK190" s="18"/>
      <c r="CK190" s="13"/>
      <c r="CL190" s="43"/>
      <c r="CM190" s="43"/>
      <c r="CN190" s="12"/>
      <c r="DC190" s="13"/>
      <c r="DG190" s="13"/>
      <c r="FA190" s="42"/>
      <c r="FB190" s="43"/>
      <c r="FC190" s="12"/>
      <c r="FE190" s="97"/>
      <c r="FG190" s="12"/>
      <c r="GO190" s="13"/>
      <c r="GP190" s="126"/>
      <c r="GQ190" s="126"/>
      <c r="IB190" s="12"/>
      <c r="ID190" s="12"/>
      <c r="JA190" s="13"/>
      <c r="JC190" s="12"/>
      <c r="JZ190" s="13"/>
      <c r="KC190" s="12"/>
      <c r="LF190" s="12"/>
      <c r="LH190" s="12"/>
      <c r="LL190" s="12"/>
      <c r="MV190" s="13"/>
      <c r="MX190" s="13"/>
      <c r="MY190" s="12"/>
      <c r="NV190" s="12"/>
      <c r="NX190" s="12"/>
      <c r="OB190" s="12"/>
      <c r="OR190" s="13"/>
      <c r="OS190" s="12"/>
      <c r="PP190" s="13"/>
      <c r="PR190" s="13"/>
    </row>
    <row r="191" spans="32:434" ht="18" customHeight="1">
      <c r="AF191" s="42"/>
      <c r="AG191" s="43"/>
      <c r="AH191" s="12"/>
      <c r="AQ191" s="18"/>
      <c r="BK191" s="19"/>
      <c r="CK191" s="13"/>
      <c r="CL191" s="43"/>
      <c r="CM191" s="43"/>
      <c r="CN191" s="12"/>
      <c r="DC191" s="13"/>
      <c r="DG191" s="13"/>
      <c r="FA191" s="42"/>
      <c r="FB191" s="43"/>
      <c r="FC191" s="12"/>
      <c r="FE191" s="97"/>
      <c r="FG191" s="12"/>
      <c r="GO191" s="13"/>
      <c r="GP191" s="43"/>
      <c r="GQ191" s="45"/>
      <c r="IB191" s="12"/>
      <c r="ID191" s="12"/>
      <c r="JA191" s="13"/>
      <c r="JC191" s="12"/>
      <c r="JZ191" s="13"/>
      <c r="KC191" s="12"/>
      <c r="LF191" s="12"/>
      <c r="LH191" s="12"/>
      <c r="LL191" s="12"/>
      <c r="MV191" s="13"/>
      <c r="MX191" s="13"/>
      <c r="MY191" s="12"/>
      <c r="NV191" s="12"/>
      <c r="NX191" s="14"/>
      <c r="NY191" s="15"/>
      <c r="NZ191" s="15"/>
      <c r="OA191" s="15"/>
      <c r="OB191" s="14"/>
      <c r="OC191" s="15"/>
      <c r="OD191" s="15"/>
      <c r="OE191" s="15"/>
      <c r="OF191" s="15"/>
      <c r="OG191" s="15"/>
      <c r="OH191" s="15"/>
      <c r="OI191" s="15"/>
      <c r="OJ191" s="15"/>
      <c r="OK191" s="15"/>
      <c r="OL191" s="15"/>
      <c r="OM191" s="15"/>
      <c r="ON191" s="15"/>
      <c r="OO191" s="15"/>
      <c r="OP191" s="15"/>
      <c r="OQ191" s="15"/>
      <c r="OR191" s="16"/>
      <c r="OS191" s="14"/>
      <c r="OT191" s="15"/>
      <c r="OU191" s="15"/>
      <c r="OV191" s="15"/>
      <c r="OW191" s="15"/>
      <c r="OX191" s="15"/>
      <c r="OY191" s="15"/>
      <c r="OZ191" s="15"/>
      <c r="PA191" s="15"/>
      <c r="PB191" s="15"/>
      <c r="PC191" s="15"/>
      <c r="PD191" s="15"/>
      <c r="PE191" s="15"/>
      <c r="PF191" s="15"/>
      <c r="PG191" s="15"/>
      <c r="PH191" s="15"/>
      <c r="PI191" s="15"/>
      <c r="PJ191" s="15"/>
      <c r="PK191" s="15"/>
      <c r="PL191" s="15"/>
      <c r="PM191" s="15"/>
      <c r="PN191" s="15"/>
      <c r="PO191" s="15"/>
      <c r="PP191" s="16"/>
      <c r="PR191" s="13"/>
    </row>
    <row r="192" spans="32:434" ht="18" customHeight="1">
      <c r="AF192" s="42"/>
      <c r="AG192" s="43"/>
      <c r="AH192" s="12"/>
      <c r="AQ192" s="18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  <c r="BI192" s="10"/>
      <c r="BJ192" s="10"/>
      <c r="BK192" s="11"/>
      <c r="CK192" s="13"/>
      <c r="CL192" s="43"/>
      <c r="CM192" s="43"/>
      <c r="CN192" s="12"/>
      <c r="DC192" s="13"/>
      <c r="DG192" s="13"/>
      <c r="FA192" s="42"/>
      <c r="FB192" s="43"/>
      <c r="FC192" s="12"/>
      <c r="FE192" s="97"/>
      <c r="FG192" s="12"/>
      <c r="GO192" s="13"/>
      <c r="GP192" s="43"/>
      <c r="GQ192" s="45"/>
      <c r="IB192" s="12"/>
      <c r="ID192" s="14"/>
      <c r="IE192" s="15"/>
      <c r="IF192" s="15"/>
      <c r="IG192" s="15"/>
      <c r="IH192" s="15"/>
      <c r="II192" s="15"/>
      <c r="IJ192" s="15"/>
      <c r="IK192" s="15"/>
      <c r="IL192" s="15"/>
      <c r="IM192" s="15"/>
      <c r="IN192" s="15"/>
      <c r="IO192" s="15"/>
      <c r="IP192" s="15"/>
      <c r="IQ192" s="15"/>
      <c r="IR192" s="15"/>
      <c r="IS192" s="15"/>
      <c r="IT192" s="15"/>
      <c r="IU192" s="15"/>
      <c r="IV192" s="15"/>
      <c r="IW192" s="15"/>
      <c r="IX192" s="15"/>
      <c r="IY192" s="15"/>
      <c r="IZ192" s="15"/>
      <c r="JA192" s="16"/>
      <c r="JB192" s="15"/>
      <c r="JC192" s="14"/>
      <c r="JD192" s="15"/>
      <c r="JE192" s="15"/>
      <c r="JF192" s="15"/>
      <c r="JG192" s="15"/>
      <c r="JH192" s="15"/>
      <c r="JI192" s="15"/>
      <c r="JJ192" s="15"/>
      <c r="JK192" s="15"/>
      <c r="JL192" s="15"/>
      <c r="JM192" s="15"/>
      <c r="JN192" s="15"/>
      <c r="JO192" s="15"/>
      <c r="JP192" s="15"/>
      <c r="JQ192" s="15"/>
      <c r="JR192" s="15"/>
      <c r="JS192" s="15"/>
      <c r="JT192" s="15"/>
      <c r="JU192" s="15"/>
      <c r="JV192" s="15"/>
      <c r="JW192" s="15"/>
      <c r="JX192" s="15"/>
      <c r="JY192" s="15"/>
      <c r="JZ192" s="16"/>
      <c r="KC192" s="12"/>
      <c r="LF192" s="12"/>
      <c r="LH192" s="12"/>
      <c r="LL192" s="12"/>
      <c r="MV192" s="13"/>
      <c r="MX192" s="13"/>
      <c r="MY192" s="12"/>
      <c r="NV192" s="12"/>
      <c r="PR192" s="13"/>
    </row>
    <row r="193" spans="32:434" ht="18" customHeight="1">
      <c r="AF193" s="42"/>
      <c r="AG193" s="43"/>
      <c r="AH193" s="12"/>
      <c r="AQ193" s="24"/>
      <c r="BK193" s="13"/>
      <c r="CK193" s="13"/>
      <c r="CL193" s="43"/>
      <c r="CM193" s="43"/>
      <c r="CN193" s="12"/>
      <c r="DC193" s="13"/>
      <c r="DG193" s="13"/>
      <c r="FA193" s="42"/>
      <c r="FB193" s="43"/>
      <c r="FC193" s="12"/>
      <c r="FG193" s="12"/>
      <c r="GO193" s="13"/>
      <c r="GP193" s="43"/>
      <c r="GQ193" s="45"/>
      <c r="IB193" s="12"/>
      <c r="JF193" s="14"/>
      <c r="JG193" s="15"/>
      <c r="JH193" s="15"/>
      <c r="JI193" s="15"/>
      <c r="JJ193" s="15"/>
      <c r="JK193" s="16"/>
      <c r="KC193" s="12"/>
      <c r="LF193" s="12"/>
      <c r="LH193" s="12"/>
      <c r="LL193" s="12"/>
      <c r="MV193" s="13"/>
      <c r="MX193" s="13"/>
      <c r="MY193" s="12"/>
      <c r="NV193" s="14"/>
      <c r="NW193" s="15"/>
      <c r="NX193" s="15"/>
      <c r="NY193" s="15"/>
      <c r="NZ193" s="15"/>
      <c r="OA193" s="15"/>
      <c r="OB193" s="15"/>
      <c r="OC193" s="15"/>
      <c r="OD193" s="15"/>
      <c r="OE193" s="15"/>
      <c r="OF193" s="15"/>
      <c r="OG193" s="15"/>
      <c r="OH193" s="15"/>
      <c r="OI193" s="15"/>
      <c r="OJ193" s="15"/>
      <c r="OK193" s="15"/>
      <c r="OL193" s="15"/>
      <c r="OM193" s="15"/>
      <c r="ON193" s="15"/>
      <c r="OO193" s="15"/>
      <c r="OP193" s="15"/>
      <c r="OQ193" s="15"/>
      <c r="OR193" s="15"/>
      <c r="OS193" s="15"/>
      <c r="OT193" s="15"/>
      <c r="OU193" s="15"/>
      <c r="OV193" s="15"/>
      <c r="OW193" s="15"/>
      <c r="OX193" s="15"/>
      <c r="OY193" s="15"/>
      <c r="OZ193" s="15"/>
      <c r="PA193" s="15"/>
      <c r="PB193" s="15"/>
      <c r="PC193" s="15"/>
      <c r="PD193" s="15"/>
      <c r="PE193" s="15"/>
      <c r="PF193" s="15"/>
      <c r="PG193" s="15"/>
      <c r="PH193" s="15"/>
      <c r="PI193" s="15"/>
      <c r="PJ193" s="15"/>
      <c r="PK193" s="15"/>
      <c r="PL193" s="15"/>
      <c r="PM193" s="15"/>
      <c r="PN193" s="15"/>
      <c r="PO193" s="15"/>
      <c r="PP193" s="15"/>
      <c r="PQ193" s="15"/>
      <c r="PR193" s="16"/>
    </row>
    <row r="194" spans="32:434" ht="18" customHeight="1">
      <c r="AF194" s="42"/>
      <c r="AG194" s="43"/>
      <c r="AH194" s="12"/>
      <c r="AQ194" s="24"/>
      <c r="BK194" s="13"/>
      <c r="CK194" s="13"/>
      <c r="CL194" s="43"/>
      <c r="CM194" s="43"/>
      <c r="CN194" s="12"/>
      <c r="DC194" s="13"/>
      <c r="DG194" s="13"/>
      <c r="FA194" s="42"/>
      <c r="FB194" s="43"/>
      <c r="FC194" s="12"/>
      <c r="FF194" s="13"/>
      <c r="FG194" s="12"/>
      <c r="GO194" s="13"/>
      <c r="GP194" s="43"/>
      <c r="GQ194" s="45"/>
      <c r="IB194" s="12"/>
      <c r="JF194" s="9"/>
      <c r="JG194" s="10"/>
      <c r="JH194" s="10"/>
      <c r="JI194" s="10"/>
      <c r="JJ194" s="10"/>
      <c r="JK194" s="11"/>
      <c r="KC194" s="12"/>
      <c r="LF194" s="12"/>
      <c r="LH194" s="12"/>
      <c r="LK194" s="13"/>
      <c r="LL194" s="12"/>
      <c r="MV194" s="13"/>
      <c r="MX194" s="13"/>
      <c r="MY194" s="12"/>
    </row>
    <row r="195" spans="32:434" ht="18" customHeight="1">
      <c r="AF195" s="42"/>
      <c r="AG195" s="43"/>
      <c r="AH195" s="12"/>
      <c r="AQ195" s="24"/>
      <c r="BK195" s="13"/>
      <c r="CK195" s="13"/>
      <c r="CL195" s="43"/>
      <c r="CM195" s="43"/>
      <c r="CN195" s="12"/>
      <c r="DC195" s="13"/>
      <c r="DG195" s="13"/>
      <c r="FA195" s="42"/>
      <c r="FB195" s="43"/>
      <c r="FC195" s="14"/>
      <c r="FD195" s="15"/>
      <c r="FE195" s="15"/>
      <c r="FF195" s="16"/>
      <c r="FG195" s="15"/>
      <c r="FH195" s="15"/>
      <c r="FI195" s="15"/>
      <c r="FJ195" s="15"/>
      <c r="FK195" s="15"/>
      <c r="FL195" s="15"/>
      <c r="FM195" s="15"/>
      <c r="FN195" s="15"/>
      <c r="FO195" s="15"/>
      <c r="FP195" s="15"/>
      <c r="FQ195" s="15"/>
      <c r="FR195" s="15"/>
      <c r="FS195" s="15"/>
      <c r="FT195" s="15"/>
      <c r="FU195" s="15"/>
      <c r="FV195" s="15"/>
      <c r="FW195" s="15"/>
      <c r="FX195" s="15"/>
      <c r="FY195" s="15"/>
      <c r="FZ195" s="15"/>
      <c r="GA195" s="15"/>
      <c r="GB195" s="15"/>
      <c r="GC195" s="15"/>
      <c r="GD195" s="15"/>
      <c r="GE195" s="15"/>
      <c r="GF195" s="15"/>
      <c r="GG195" s="15"/>
      <c r="GH195" s="15"/>
      <c r="GI195" s="15"/>
      <c r="GJ195" s="15"/>
      <c r="GK195" s="15"/>
      <c r="GL195" s="15"/>
      <c r="GM195" s="15"/>
      <c r="GN195" s="15"/>
      <c r="GO195" s="16"/>
      <c r="GP195" s="43"/>
      <c r="GQ195" s="45"/>
      <c r="IB195" s="10"/>
      <c r="IC195" s="10"/>
      <c r="ID195" s="10"/>
      <c r="IE195" s="10"/>
      <c r="IF195" s="10"/>
      <c r="IG195" s="10"/>
      <c r="IH195" s="10"/>
      <c r="II195" s="10"/>
      <c r="IJ195" s="10"/>
      <c r="IK195" s="10"/>
      <c r="IL195" s="10"/>
      <c r="IM195" s="10"/>
      <c r="IN195" s="10"/>
      <c r="IO195" s="10"/>
      <c r="IP195" s="10"/>
      <c r="IQ195" s="10"/>
      <c r="IR195" s="10"/>
      <c r="IS195" s="10"/>
      <c r="IT195" s="10"/>
      <c r="IU195" s="10"/>
      <c r="IV195" s="10"/>
      <c r="IW195" s="10"/>
      <c r="IX195" s="10"/>
      <c r="IY195" s="10"/>
      <c r="IZ195" s="10"/>
      <c r="JA195" s="10"/>
      <c r="JB195" s="10"/>
      <c r="JC195" s="10"/>
      <c r="JD195" s="10"/>
      <c r="JE195" s="10"/>
      <c r="JF195" s="10"/>
      <c r="JG195" s="10"/>
      <c r="JH195" s="10"/>
      <c r="JI195" s="10"/>
      <c r="JJ195" s="10"/>
      <c r="JK195" s="10"/>
      <c r="JL195" s="10"/>
      <c r="JM195" s="10"/>
      <c r="JN195" s="10"/>
      <c r="JO195" s="10"/>
      <c r="JP195" s="10"/>
      <c r="JQ195" s="10"/>
      <c r="JR195" s="10"/>
      <c r="JS195" s="10"/>
      <c r="JT195" s="10"/>
      <c r="JU195" s="10"/>
      <c r="JV195" s="10"/>
      <c r="JW195" s="10"/>
      <c r="JX195" s="10"/>
      <c r="JY195" s="10"/>
      <c r="JZ195" s="10"/>
      <c r="KA195" s="10"/>
      <c r="KB195" s="10"/>
      <c r="LF195" s="12"/>
      <c r="LH195" s="14"/>
      <c r="LI195" s="15"/>
      <c r="LJ195" s="15"/>
      <c r="LK195" s="16"/>
      <c r="LL195" s="15"/>
      <c r="LM195" s="15"/>
      <c r="LN195" s="15"/>
      <c r="LO195" s="15"/>
      <c r="LP195" s="15"/>
      <c r="LQ195" s="15"/>
      <c r="LR195" s="15"/>
      <c r="LS195" s="15"/>
      <c r="LT195" s="15"/>
      <c r="LU195" s="15"/>
      <c r="LV195" s="15"/>
      <c r="LW195" s="15"/>
      <c r="LX195" s="15"/>
      <c r="LY195" s="15"/>
      <c r="LZ195" s="15"/>
      <c r="MA195" s="15"/>
      <c r="MB195" s="15"/>
      <c r="MC195" s="15"/>
      <c r="MD195" s="15"/>
      <c r="ME195" s="15"/>
      <c r="MF195" s="15"/>
      <c r="MG195" s="15"/>
      <c r="MH195" s="15"/>
      <c r="MI195" s="15"/>
      <c r="MJ195" s="15"/>
      <c r="MK195" s="15"/>
      <c r="ML195" s="15"/>
      <c r="MM195" s="15"/>
      <c r="MN195" s="15"/>
      <c r="MO195" s="15"/>
      <c r="MP195" s="15"/>
      <c r="MQ195" s="15"/>
      <c r="MR195" s="15"/>
      <c r="MS195" s="15"/>
      <c r="MT195" s="15"/>
      <c r="MU195" s="15"/>
      <c r="MV195" s="16"/>
      <c r="MX195" s="13"/>
      <c r="MY195" s="12"/>
    </row>
    <row r="196" spans="32:434" ht="18" customHeight="1">
      <c r="AF196" s="42"/>
      <c r="AG196" s="43"/>
      <c r="AH196" s="12"/>
      <c r="AQ196" s="24"/>
      <c r="BK196" s="13"/>
      <c r="CK196" s="13"/>
      <c r="CL196" s="43"/>
      <c r="CM196" s="43"/>
      <c r="CN196" s="12"/>
      <c r="DC196" s="13"/>
      <c r="DG196" s="13"/>
      <c r="FA196" s="42"/>
      <c r="FB196" s="43"/>
      <c r="FC196" s="43"/>
      <c r="FD196" s="43"/>
      <c r="FE196" s="43"/>
      <c r="FF196" s="43"/>
      <c r="FG196" s="43"/>
      <c r="FH196" s="43"/>
      <c r="FI196" s="43"/>
      <c r="FJ196" s="43"/>
      <c r="FK196" s="43"/>
      <c r="FL196" s="43"/>
      <c r="FM196" s="43"/>
      <c r="FN196" s="123"/>
      <c r="FO196" s="109"/>
      <c r="FP196" s="109"/>
      <c r="FQ196" s="109"/>
      <c r="FR196" s="109"/>
      <c r="FS196" s="124"/>
      <c r="FT196" s="43"/>
      <c r="FU196" s="43"/>
      <c r="FV196" s="43"/>
      <c r="FW196" s="43"/>
      <c r="FX196" s="43"/>
      <c r="FY196" s="43"/>
      <c r="FZ196" s="43"/>
      <c r="GA196" s="43"/>
      <c r="GB196" s="43"/>
      <c r="GC196" s="43"/>
      <c r="GD196" s="43"/>
      <c r="GE196" s="43"/>
      <c r="GF196" s="43"/>
      <c r="GG196" s="43"/>
      <c r="GH196" s="43"/>
      <c r="GI196" s="127"/>
      <c r="GJ196" s="127"/>
      <c r="GK196" s="127"/>
      <c r="GL196" s="127"/>
      <c r="GM196" s="127"/>
      <c r="GN196" s="127"/>
      <c r="GO196" s="43"/>
      <c r="GP196" s="43"/>
      <c r="GQ196" s="45"/>
      <c r="LF196" s="12"/>
      <c r="MD196" s="20"/>
      <c r="ME196" s="21"/>
      <c r="MF196" s="21"/>
      <c r="MG196" s="21"/>
      <c r="MH196" s="21"/>
      <c r="MI196" s="22"/>
      <c r="MX196" s="13"/>
      <c r="MY196" s="12"/>
    </row>
    <row r="197" spans="32:434" ht="18" customHeight="1">
      <c r="AF197" s="42"/>
      <c r="AG197" s="43"/>
      <c r="AH197" s="12"/>
      <c r="AQ197" s="24"/>
      <c r="BK197" s="13"/>
      <c r="CK197" s="13"/>
      <c r="CL197" s="43"/>
      <c r="CM197" s="43"/>
      <c r="CN197" s="12"/>
      <c r="DC197" s="13"/>
      <c r="DG197" s="13"/>
      <c r="FA197" s="42"/>
      <c r="FB197" s="43"/>
      <c r="FC197" s="43"/>
      <c r="FD197" s="43"/>
      <c r="FE197" s="43"/>
      <c r="FF197" s="43"/>
      <c r="FG197" s="43"/>
      <c r="FH197" s="43"/>
      <c r="FI197" s="43"/>
      <c r="FJ197" s="43"/>
      <c r="FK197" s="43"/>
      <c r="FL197" s="43"/>
      <c r="FM197" s="43"/>
      <c r="FN197" s="40"/>
      <c r="FO197" s="41"/>
      <c r="FP197" s="41"/>
      <c r="FQ197" s="41"/>
      <c r="FR197" s="41"/>
      <c r="FS197" s="44"/>
      <c r="FT197" s="43"/>
      <c r="FU197" s="43"/>
      <c r="FV197" s="43"/>
      <c r="FW197" s="43"/>
      <c r="FX197" s="43"/>
      <c r="FY197" s="43"/>
      <c r="FZ197" s="43"/>
      <c r="GA197" s="43"/>
      <c r="GB197" s="43"/>
      <c r="GC197" s="43"/>
      <c r="GD197" s="43"/>
      <c r="GE197" s="43"/>
      <c r="GF197" s="43"/>
      <c r="GG197" s="43"/>
      <c r="GH197" s="43"/>
      <c r="GI197" s="127"/>
      <c r="GJ197" s="127"/>
      <c r="GK197" s="127"/>
      <c r="GL197" s="127"/>
      <c r="GM197" s="127"/>
      <c r="GN197" s="127"/>
      <c r="GO197" s="43"/>
      <c r="GP197" s="43"/>
      <c r="GQ197" s="45"/>
      <c r="LF197" s="14"/>
      <c r="LG197" s="15"/>
      <c r="LH197" s="15"/>
      <c r="LI197" s="15"/>
      <c r="LJ197" s="15"/>
      <c r="LL197" s="15"/>
      <c r="LN197" s="15"/>
      <c r="MD197" s="9"/>
      <c r="ME197" s="10"/>
      <c r="MF197" s="10"/>
      <c r="MG197" s="10"/>
      <c r="MH197" s="10"/>
      <c r="MI197" s="11"/>
      <c r="MX197" s="13"/>
      <c r="MY197" s="12"/>
    </row>
    <row r="198" spans="32:434" ht="18" customHeight="1">
      <c r="AF198" s="42"/>
      <c r="AG198" s="43"/>
      <c r="AH198" s="12"/>
      <c r="AQ198" s="24"/>
      <c r="BK198" s="13"/>
      <c r="CK198" s="13"/>
      <c r="CL198" s="43"/>
      <c r="CM198" s="43"/>
      <c r="CN198" s="12"/>
      <c r="DC198" s="13"/>
      <c r="DG198" s="13"/>
      <c r="FA198" s="10"/>
      <c r="FB198" s="10"/>
      <c r="FC198" s="10"/>
      <c r="FD198" s="10"/>
      <c r="FE198" s="10"/>
      <c r="FF198" s="10"/>
      <c r="FG198" s="10"/>
      <c r="FH198" s="10"/>
      <c r="FI198" s="10"/>
      <c r="FJ198" s="10"/>
      <c r="FK198" s="10"/>
      <c r="FL198" s="10"/>
      <c r="FM198" s="10"/>
      <c r="FN198" s="10"/>
      <c r="FO198" s="10"/>
      <c r="FP198" s="10"/>
      <c r="FQ198" s="10"/>
      <c r="FR198" s="10"/>
      <c r="FS198" s="10"/>
      <c r="FT198" s="10"/>
      <c r="FU198" s="10"/>
      <c r="FV198" s="10"/>
      <c r="FW198" s="10"/>
      <c r="FX198" s="10"/>
      <c r="FY198" s="10"/>
      <c r="FZ198" s="10"/>
      <c r="GA198" s="10"/>
      <c r="GB198" s="10"/>
      <c r="GC198" s="10"/>
      <c r="GD198" s="10"/>
      <c r="GE198" s="10"/>
      <c r="GF198" s="10"/>
      <c r="GG198" s="10"/>
      <c r="GH198" s="10"/>
      <c r="GI198" s="10"/>
      <c r="GJ198" s="10"/>
      <c r="GK198" s="10"/>
      <c r="GL198" s="10"/>
      <c r="GM198" s="10"/>
      <c r="GN198" s="10"/>
      <c r="GO198" s="10"/>
      <c r="GP198" s="10"/>
      <c r="GQ198" s="10"/>
      <c r="LF198" s="10"/>
      <c r="LG198" s="10"/>
      <c r="LH198" s="10"/>
      <c r="LI198" s="10"/>
      <c r="LJ198" s="10"/>
      <c r="LK198" s="10"/>
      <c r="LL198" s="10"/>
      <c r="LM198" s="10"/>
      <c r="LN198" s="10"/>
      <c r="LO198" s="10"/>
      <c r="LP198" s="10"/>
      <c r="LQ198" s="10"/>
      <c r="LR198" s="10"/>
      <c r="LS198" s="10"/>
      <c r="LT198" s="10"/>
      <c r="LU198" s="10"/>
      <c r="LV198" s="10"/>
      <c r="LW198" s="10"/>
      <c r="LX198" s="10"/>
      <c r="LY198" s="10"/>
      <c r="LZ198" s="10"/>
      <c r="MA198" s="10"/>
      <c r="MB198" s="10"/>
      <c r="MC198" s="10"/>
      <c r="MD198" s="10"/>
      <c r="ME198" s="10"/>
      <c r="MF198" s="10"/>
      <c r="MG198" s="10"/>
      <c r="MH198" s="10"/>
      <c r="MI198" s="10"/>
      <c r="MJ198" s="10"/>
      <c r="MK198" s="10"/>
      <c r="ML198" s="10"/>
      <c r="MM198" s="10"/>
      <c r="MN198" s="10"/>
      <c r="MO198" s="10"/>
      <c r="MP198" s="10"/>
      <c r="MQ198" s="10"/>
      <c r="MR198" s="10"/>
      <c r="MS198" s="10"/>
      <c r="MT198" s="10"/>
      <c r="MU198" s="10"/>
      <c r="MV198" s="10"/>
      <c r="MW198" s="10"/>
      <c r="MX198" s="10"/>
    </row>
    <row r="199" spans="32:434" ht="18" customHeight="1">
      <c r="AF199" s="42"/>
      <c r="AG199" s="43"/>
      <c r="AH199" s="12"/>
      <c r="AQ199" s="18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6"/>
      <c r="CK199" s="13"/>
      <c r="CL199" s="43"/>
      <c r="CM199" s="43"/>
      <c r="CN199" s="12"/>
      <c r="DC199" s="13"/>
      <c r="DG199" s="13"/>
    </row>
    <row r="200" spans="32:434" ht="18" customHeight="1">
      <c r="AF200" s="42"/>
      <c r="AG200" s="43"/>
      <c r="AH200" s="12"/>
      <c r="AQ200" s="18"/>
      <c r="BK200" s="13"/>
      <c r="CK200" s="13"/>
      <c r="CL200" s="43"/>
      <c r="CM200" s="43"/>
      <c r="CN200" s="12"/>
      <c r="DC200" s="13"/>
      <c r="DG200" s="13"/>
    </row>
    <row r="201" spans="32:434" ht="18" customHeight="1">
      <c r="AF201" s="42"/>
      <c r="AG201" s="43"/>
      <c r="AH201" s="12"/>
      <c r="AQ201" s="18"/>
      <c r="BK201" s="13"/>
      <c r="CK201" s="13"/>
      <c r="CL201" s="43"/>
      <c r="CM201" s="43"/>
      <c r="CN201" s="12"/>
      <c r="DC201" s="13"/>
      <c r="DG201" s="13"/>
    </row>
    <row r="202" spans="32:434" ht="18" customHeight="1">
      <c r="AF202" s="42"/>
      <c r="AG202" s="43"/>
      <c r="AH202" s="12"/>
      <c r="AQ202" s="18"/>
      <c r="BK202" s="13"/>
      <c r="CK202" s="13"/>
      <c r="CL202" s="43"/>
      <c r="CM202" s="43"/>
      <c r="CN202" s="12"/>
      <c r="DC202" s="13"/>
      <c r="DG202" s="13"/>
    </row>
    <row r="203" spans="32:434" ht="18" customHeight="1">
      <c r="AF203" s="42"/>
      <c r="AG203" s="43"/>
      <c r="AH203" s="14"/>
      <c r="AI203" s="15"/>
      <c r="AJ203" s="15"/>
      <c r="AK203" s="15"/>
      <c r="AL203" s="15"/>
      <c r="AM203" s="15"/>
      <c r="AN203" s="15"/>
      <c r="AO203" s="15"/>
      <c r="AP203" s="15"/>
      <c r="AQ203" s="19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6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  <c r="BZ203" s="15"/>
      <c r="CA203" s="15"/>
      <c r="CB203" s="15"/>
      <c r="CC203" s="15"/>
      <c r="CD203" s="15"/>
      <c r="CE203" s="15"/>
      <c r="CF203" s="15"/>
      <c r="CG203" s="15"/>
      <c r="CH203" s="15"/>
      <c r="CI203" s="15"/>
      <c r="CJ203" s="15"/>
      <c r="CK203" s="16"/>
      <c r="CL203" s="43"/>
      <c r="CM203" s="43"/>
      <c r="CN203" s="12"/>
      <c r="DC203" s="13"/>
      <c r="DG203" s="13"/>
    </row>
    <row r="204" spans="32:434" ht="18" customHeight="1">
      <c r="AF204" s="42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43"/>
      <c r="CB204" s="43"/>
      <c r="CC204" s="43"/>
      <c r="CD204" s="43"/>
      <c r="CE204" s="107"/>
      <c r="CF204" s="127"/>
      <c r="CG204" s="127"/>
      <c r="CH204" s="127"/>
      <c r="CI204" s="127"/>
      <c r="CJ204" s="90"/>
      <c r="CK204" s="43"/>
      <c r="CL204" s="43"/>
      <c r="CM204" s="43"/>
      <c r="CN204" s="12"/>
      <c r="DC204" s="13"/>
      <c r="DG204" s="13"/>
    </row>
    <row r="205" spans="32:434" ht="18" customHeight="1">
      <c r="AF205" s="46"/>
      <c r="AG205" s="47"/>
      <c r="AH205" s="47"/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47"/>
      <c r="AZ205" s="47"/>
      <c r="BA205" s="47"/>
      <c r="BB205" s="47"/>
      <c r="BC205" s="47"/>
      <c r="BD205" s="47"/>
      <c r="BE205" s="47"/>
      <c r="BF205" s="47"/>
      <c r="BG205" s="47"/>
      <c r="BH205" s="47"/>
      <c r="BI205" s="47"/>
      <c r="BJ205" s="47"/>
      <c r="BK205" s="47"/>
      <c r="BL205" s="47"/>
      <c r="BM205" s="47"/>
      <c r="BN205" s="47"/>
      <c r="BO205" s="47"/>
      <c r="BP205" s="47"/>
      <c r="BQ205" s="47"/>
      <c r="BR205" s="47"/>
      <c r="BS205" s="47"/>
      <c r="BT205" s="47"/>
      <c r="BU205" s="47"/>
      <c r="BV205" s="47"/>
      <c r="BW205" s="47"/>
      <c r="BX205" s="47"/>
      <c r="BY205" s="47"/>
      <c r="BZ205" s="47"/>
      <c r="CA205" s="47"/>
      <c r="CB205" s="47"/>
      <c r="CC205" s="47"/>
      <c r="CD205" s="47"/>
      <c r="CE205" s="72"/>
      <c r="CF205" s="100"/>
      <c r="CG205" s="100"/>
      <c r="CH205" s="100"/>
      <c r="CI205" s="100"/>
      <c r="CJ205" s="73"/>
      <c r="CK205" s="47"/>
      <c r="CL205" s="47"/>
      <c r="CM205" s="47"/>
      <c r="CN205" s="12"/>
      <c r="DC205" s="13"/>
      <c r="DG205" s="13"/>
    </row>
    <row r="206" spans="32:434" ht="18" customHeight="1">
      <c r="AV206" s="9"/>
      <c r="AW206" s="10"/>
      <c r="AX206" s="10"/>
      <c r="AY206" s="10"/>
      <c r="AZ206" s="9"/>
      <c r="BA206" s="10"/>
      <c r="BB206" s="10"/>
      <c r="BC206" s="10"/>
      <c r="BD206" s="10"/>
      <c r="BE206" s="10"/>
      <c r="BF206" s="10"/>
      <c r="BG206" s="10"/>
      <c r="BH206" s="10"/>
      <c r="BI206" s="10"/>
      <c r="BJ206" s="10"/>
      <c r="BK206" s="10"/>
      <c r="BL206" s="10"/>
      <c r="BM206" s="10"/>
      <c r="BN206" s="10"/>
      <c r="BO206" s="10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  <c r="CD206" s="10"/>
      <c r="CE206" s="10"/>
      <c r="CF206" s="10"/>
      <c r="CG206" s="10"/>
      <c r="CH206" s="10"/>
      <c r="CI206" s="10"/>
      <c r="CJ206" s="10"/>
      <c r="CK206" s="10"/>
      <c r="CL206" s="10"/>
      <c r="CM206" s="11"/>
      <c r="CN206" s="9"/>
      <c r="CO206" s="10"/>
      <c r="CP206" s="10"/>
      <c r="CQ206" s="10"/>
      <c r="CR206" s="10"/>
      <c r="CS206" s="10"/>
      <c r="CT206" s="10"/>
      <c r="CU206" s="10"/>
      <c r="CV206" s="10"/>
      <c r="CW206" s="10"/>
      <c r="CX206" s="10"/>
      <c r="CY206" s="10"/>
      <c r="CZ206" s="10"/>
      <c r="DA206" s="10"/>
      <c r="DB206" s="10"/>
      <c r="DC206" s="11"/>
      <c r="DD206" s="10"/>
      <c r="DE206" s="10"/>
      <c r="DF206" s="10"/>
      <c r="DG206" s="11"/>
    </row>
    <row r="207" spans="32:434" ht="18" customHeight="1">
      <c r="AV207" s="12"/>
      <c r="AZ207" s="12"/>
      <c r="CM207" s="13"/>
      <c r="CN207" s="12"/>
      <c r="DC207" s="13"/>
      <c r="DG207" s="13"/>
    </row>
    <row r="208" spans="32:434" ht="18" customHeight="1">
      <c r="AV208" s="12"/>
      <c r="AZ208" s="12"/>
      <c r="CM208" s="13"/>
      <c r="CN208" s="12"/>
      <c r="DC208" s="13"/>
      <c r="DG208" s="13"/>
    </row>
    <row r="209" spans="48:111" ht="18" customHeight="1">
      <c r="AV209" s="12"/>
      <c r="AZ209" s="12"/>
      <c r="CM209" s="13"/>
      <c r="CN209" s="12"/>
      <c r="DC209" s="13"/>
      <c r="DG209" s="13"/>
    </row>
    <row r="210" spans="48:111" ht="18" customHeight="1">
      <c r="AV210" s="12"/>
      <c r="AZ210" s="12"/>
      <c r="CM210" s="13"/>
      <c r="CN210" s="12"/>
      <c r="DC210" s="13"/>
      <c r="DG210" s="13"/>
    </row>
    <row r="211" spans="48:111" ht="18" customHeight="1">
      <c r="AV211" s="12"/>
      <c r="AZ211" s="12"/>
      <c r="CM211" s="13"/>
      <c r="CN211" s="12"/>
      <c r="DC211" s="13"/>
      <c r="DG211" s="13"/>
    </row>
    <row r="212" spans="48:111" ht="18" customHeight="1">
      <c r="AV212" s="12"/>
      <c r="AZ212" s="12"/>
      <c r="CM212" s="13"/>
      <c r="CN212" s="12"/>
      <c r="DC212" s="13"/>
      <c r="DG212" s="13"/>
    </row>
    <row r="213" spans="48:111" ht="18" customHeight="1">
      <c r="AV213" s="12"/>
      <c r="AZ213" s="12"/>
      <c r="CM213" s="13"/>
      <c r="CN213" s="12"/>
      <c r="DC213" s="13"/>
      <c r="DG213" s="13"/>
    </row>
    <row r="214" spans="48:111" ht="18" customHeight="1">
      <c r="AV214" s="12"/>
      <c r="AZ214" s="12"/>
      <c r="CM214" s="13"/>
      <c r="CN214" s="12"/>
      <c r="DC214" s="13"/>
      <c r="DG214" s="13"/>
    </row>
    <row r="215" spans="48:111" ht="18" customHeight="1">
      <c r="AV215" s="12"/>
      <c r="AZ215" s="12"/>
      <c r="CM215" s="13"/>
      <c r="CN215" s="12"/>
      <c r="DC215" s="13"/>
      <c r="DG215" s="13"/>
    </row>
    <row r="216" spans="48:111" ht="18" customHeight="1">
      <c r="AV216" s="12"/>
      <c r="AZ216" s="12"/>
      <c r="CM216" s="13"/>
      <c r="CN216" s="12"/>
      <c r="DC216" s="13"/>
      <c r="DG216" s="13"/>
    </row>
    <row r="217" spans="48:111" ht="18" customHeight="1">
      <c r="AV217" s="12"/>
      <c r="AZ217" s="12"/>
      <c r="CM217" s="13"/>
      <c r="CN217" s="12"/>
      <c r="DC217" s="13"/>
      <c r="DG217" s="13"/>
    </row>
    <row r="218" spans="48:111" ht="18" customHeight="1">
      <c r="AV218" s="12"/>
      <c r="AZ218" s="12"/>
      <c r="CM218" s="13"/>
      <c r="CN218" s="12"/>
      <c r="DC218" s="13"/>
      <c r="DG218" s="13"/>
    </row>
    <row r="219" spans="48:111" ht="18" customHeight="1">
      <c r="AV219" s="12"/>
      <c r="AZ219" s="12"/>
      <c r="CM219" s="13"/>
      <c r="CN219" s="12"/>
      <c r="DC219" s="13"/>
      <c r="DG219" s="13"/>
    </row>
    <row r="220" spans="48:111" ht="18" customHeight="1">
      <c r="AV220" s="12"/>
      <c r="AZ220" s="12"/>
      <c r="CM220" s="13"/>
      <c r="CN220" s="12"/>
      <c r="DC220" s="13"/>
      <c r="DG220" s="13"/>
    </row>
    <row r="221" spans="48:111" ht="18" customHeight="1">
      <c r="AV221" s="12"/>
      <c r="AZ221" s="14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  <c r="BZ221" s="15"/>
      <c r="CA221" s="15"/>
      <c r="CB221" s="15"/>
      <c r="CC221" s="15"/>
      <c r="CD221" s="15"/>
      <c r="CE221" s="15"/>
      <c r="CF221" s="15"/>
      <c r="CG221" s="15"/>
      <c r="CH221" s="15"/>
      <c r="CI221" s="15"/>
      <c r="CJ221" s="15"/>
      <c r="CK221" s="15"/>
      <c r="CL221" s="15"/>
      <c r="CM221" s="16"/>
      <c r="CN221" s="14"/>
      <c r="CO221" s="15"/>
      <c r="CP221" s="15"/>
      <c r="CQ221" s="15"/>
      <c r="CR221" s="15"/>
      <c r="CS221" s="15"/>
      <c r="CT221" s="15"/>
      <c r="CU221" s="15"/>
      <c r="CV221" s="15"/>
      <c r="CW221" s="15"/>
      <c r="CX221" s="15"/>
      <c r="CY221" s="15"/>
      <c r="CZ221" s="15"/>
      <c r="DA221" s="15"/>
      <c r="DB221" s="15"/>
      <c r="DC221" s="16"/>
      <c r="DG221" s="13"/>
    </row>
    <row r="222" spans="48:111" ht="18" customHeight="1">
      <c r="AV222" s="12"/>
      <c r="CM222" s="13"/>
      <c r="CN222" s="12"/>
      <c r="DG222" s="13"/>
    </row>
    <row r="223" spans="48:111" ht="18" customHeight="1">
      <c r="AV223" s="12"/>
      <c r="CM223" s="13"/>
      <c r="CN223" s="12"/>
      <c r="DG223" s="13"/>
    </row>
    <row r="224" spans="48:111" ht="18" customHeight="1">
      <c r="AV224" s="12"/>
      <c r="CM224" s="13"/>
      <c r="CN224" s="12"/>
      <c r="DG224" s="13"/>
    </row>
    <row r="225" spans="48:244" ht="18" customHeight="1">
      <c r="AV225" s="14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  <c r="BZ225" s="15"/>
      <c r="CA225" s="15"/>
      <c r="CB225" s="15"/>
      <c r="CC225" s="15"/>
      <c r="CD225" s="15"/>
      <c r="CE225" s="15"/>
      <c r="CF225" s="15"/>
      <c r="CG225" s="15"/>
      <c r="CH225" s="15"/>
      <c r="CI225" s="15"/>
      <c r="CJ225" s="15"/>
      <c r="CK225" s="15"/>
      <c r="CL225" s="15"/>
      <c r="CM225" s="16"/>
      <c r="CN225" s="14"/>
      <c r="CO225" s="15"/>
      <c r="CP225" s="15"/>
      <c r="CQ225" s="15"/>
      <c r="CR225" s="15"/>
      <c r="CS225" s="15"/>
      <c r="CT225" s="15"/>
      <c r="CU225" s="15"/>
      <c r="CV225" s="15"/>
      <c r="CW225" s="15"/>
      <c r="CX225" s="15"/>
      <c r="CY225" s="15"/>
      <c r="CZ225" s="15"/>
      <c r="DA225" s="15"/>
      <c r="DB225" s="15"/>
      <c r="DC225" s="15"/>
      <c r="DD225" s="15"/>
      <c r="DE225" s="15"/>
      <c r="DF225" s="15"/>
      <c r="DG225" s="16"/>
    </row>
    <row r="240" spans="48:244" ht="18" customHeight="1">
      <c r="ET240" s="15"/>
      <c r="EU240" s="15"/>
      <c r="EV240" s="15"/>
      <c r="EW240" s="15"/>
      <c r="HN240" s="49"/>
      <c r="HO240" s="49"/>
      <c r="HP240" s="49"/>
      <c r="HQ240" s="49"/>
      <c r="HV240" s="15"/>
      <c r="HW240" s="15"/>
      <c r="HX240" s="15"/>
      <c r="HY240" s="15"/>
      <c r="IG240" s="49"/>
      <c r="IH240" s="49"/>
      <c r="II240" s="49"/>
      <c r="IJ240" s="49"/>
    </row>
    <row r="241" spans="21:351" ht="18" customHeight="1">
      <c r="DY241" s="56"/>
      <c r="DZ241" s="57"/>
      <c r="EA241" s="57"/>
      <c r="EB241" s="57"/>
      <c r="EC241" s="10"/>
      <c r="ED241" s="10"/>
      <c r="EE241" s="10"/>
      <c r="EF241" s="10"/>
      <c r="EG241" s="10"/>
      <c r="EH241" s="10"/>
      <c r="EI241" s="10"/>
      <c r="EJ241" s="10"/>
      <c r="EK241" s="10"/>
      <c r="EL241" s="10"/>
      <c r="EM241" s="10"/>
      <c r="EN241" s="10"/>
      <c r="EO241" s="10"/>
      <c r="EP241" s="10"/>
      <c r="EQ241" s="57"/>
      <c r="ER241" s="57"/>
      <c r="ES241" s="57"/>
      <c r="ET241" s="57"/>
      <c r="EU241" s="10"/>
      <c r="EV241" s="10"/>
      <c r="EW241" s="10"/>
      <c r="EX241" s="10"/>
      <c r="EY241" s="10"/>
      <c r="EZ241" s="10"/>
      <c r="FA241" s="10"/>
      <c r="FB241" s="10"/>
      <c r="FC241" s="10"/>
      <c r="FD241" s="10"/>
      <c r="FE241" s="10"/>
      <c r="FF241" s="10"/>
      <c r="FG241" s="10"/>
      <c r="FH241" s="10"/>
      <c r="FI241" s="10"/>
      <c r="FJ241" s="57"/>
      <c r="FK241" s="58"/>
      <c r="HA241" s="56"/>
      <c r="HB241" s="57"/>
      <c r="HC241" s="57"/>
      <c r="HD241" s="57"/>
      <c r="HE241" s="10"/>
      <c r="HF241" s="10"/>
      <c r="HG241" s="10"/>
      <c r="HH241" s="10"/>
      <c r="HI241" s="10"/>
      <c r="HJ241" s="10"/>
      <c r="HK241" s="10"/>
      <c r="HL241" s="10"/>
      <c r="HM241" s="10"/>
      <c r="HN241" s="10"/>
      <c r="HO241" s="10"/>
      <c r="HP241" s="10"/>
      <c r="HQ241" s="10"/>
      <c r="HR241" s="10"/>
      <c r="HS241" s="57"/>
      <c r="HT241" s="57"/>
      <c r="HU241" s="57"/>
      <c r="HV241" s="57"/>
      <c r="HW241" s="10"/>
      <c r="HX241" s="10"/>
      <c r="HY241" s="10"/>
      <c r="HZ241" s="10"/>
      <c r="IA241" s="10"/>
      <c r="IB241" s="10"/>
      <c r="IC241" s="10"/>
      <c r="ID241" s="10"/>
      <c r="IE241" s="10"/>
      <c r="IF241" s="10"/>
      <c r="IG241" s="10"/>
      <c r="IH241" s="10"/>
      <c r="II241" s="10"/>
      <c r="IJ241" s="10"/>
      <c r="IK241" s="10"/>
      <c r="IL241" s="57"/>
      <c r="IM241" s="58"/>
    </row>
    <row r="242" spans="21:351" ht="18" customHeight="1">
      <c r="DY242" s="96"/>
      <c r="DZ242" s="97"/>
      <c r="EA242" s="97"/>
      <c r="EB242" s="97"/>
      <c r="EQ242" s="97"/>
      <c r="ER242" s="97"/>
      <c r="ES242" s="97"/>
      <c r="ET242" s="97"/>
      <c r="FJ242" s="97"/>
      <c r="FK242" s="98"/>
      <c r="HA242" s="96"/>
      <c r="HB242" s="97"/>
      <c r="HC242" s="97"/>
      <c r="HD242" s="97"/>
      <c r="HS242" s="97"/>
      <c r="HT242" s="97"/>
      <c r="HU242" s="97"/>
      <c r="HV242" s="97"/>
      <c r="IL242" s="97"/>
      <c r="IM242" s="98"/>
    </row>
    <row r="243" spans="21:351" ht="18" customHeight="1">
      <c r="AP243" s="15"/>
      <c r="AQ243" s="15"/>
      <c r="AR243" s="15"/>
      <c r="AS243" s="15"/>
      <c r="AT243" s="15"/>
      <c r="AU243" s="15"/>
      <c r="DY243" s="12"/>
      <c r="EA243" s="9"/>
      <c r="EB243" s="10"/>
      <c r="EC243" s="10"/>
      <c r="ED243" s="10"/>
      <c r="EE243" s="10"/>
      <c r="EF243" s="10"/>
      <c r="EG243" s="10"/>
      <c r="EH243" s="10"/>
      <c r="EI243" s="10"/>
      <c r="EJ243" s="10"/>
      <c r="EK243" s="10"/>
      <c r="EL243" s="10"/>
      <c r="EM243" s="10"/>
      <c r="EN243" s="10"/>
      <c r="EO243" s="10"/>
      <c r="EP243" s="10"/>
      <c r="EQ243" s="10"/>
      <c r="ER243" s="10"/>
      <c r="ES243" s="10"/>
      <c r="ET243" s="10"/>
      <c r="EU243" s="10"/>
      <c r="EV243" s="10"/>
      <c r="EW243" s="10"/>
      <c r="EX243" s="11"/>
      <c r="EY243" s="10"/>
      <c r="EZ243" s="9"/>
      <c r="FA243" s="10"/>
      <c r="FB243" s="10"/>
      <c r="FC243" s="10"/>
      <c r="FD243" s="10"/>
      <c r="FE243" s="10"/>
      <c r="FF243" s="10"/>
      <c r="FG243" s="10"/>
      <c r="FH243" s="10"/>
      <c r="FI243" s="11"/>
      <c r="FJ243" s="97"/>
      <c r="FK243" s="98"/>
      <c r="HA243" s="12"/>
      <c r="HC243" s="9"/>
      <c r="HD243" s="10"/>
      <c r="HE243" s="10"/>
      <c r="HF243" s="10"/>
      <c r="HG243" s="10"/>
      <c r="HH243" s="10"/>
      <c r="HI243" s="10"/>
      <c r="HJ243" s="10"/>
      <c r="HK243" s="10"/>
      <c r="HL243" s="10"/>
      <c r="HM243" s="10"/>
      <c r="HN243" s="10"/>
      <c r="HO243" s="10"/>
      <c r="HP243" s="10"/>
      <c r="HQ243" s="10"/>
      <c r="HR243" s="10"/>
      <c r="HS243" s="10"/>
      <c r="HT243" s="10"/>
      <c r="HU243" s="10"/>
      <c r="HV243" s="10"/>
      <c r="HW243" s="10"/>
      <c r="HX243" s="10"/>
      <c r="HY243" s="10"/>
      <c r="HZ243" s="11"/>
      <c r="IA243" s="10"/>
      <c r="IB243" s="9"/>
      <c r="IC243" s="10"/>
      <c r="ID243" s="10"/>
      <c r="IE243" s="10"/>
      <c r="IF243" s="10"/>
      <c r="IG243" s="10"/>
      <c r="IH243" s="10"/>
      <c r="II243" s="10"/>
      <c r="IJ243" s="10"/>
      <c r="IK243" s="11"/>
      <c r="IL243" s="97"/>
      <c r="IM243" s="98"/>
    </row>
    <row r="244" spans="21:351" ht="18" customHeight="1">
      <c r="U244" s="9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  <c r="BI244" s="11"/>
      <c r="DY244" s="12"/>
      <c r="EA244" s="12"/>
      <c r="EX244" s="13"/>
      <c r="EZ244" s="12"/>
      <c r="FI244" s="13"/>
      <c r="FJ244" s="97"/>
      <c r="FK244" s="98"/>
      <c r="HA244" s="12"/>
      <c r="HC244" s="12"/>
      <c r="HZ244" s="13"/>
      <c r="IB244" s="12"/>
      <c r="IK244" s="13"/>
      <c r="IL244" s="97"/>
      <c r="IM244" s="98"/>
    </row>
    <row r="245" spans="21:351" ht="18" customHeight="1">
      <c r="U245" s="12"/>
      <c r="BI245" s="13"/>
      <c r="DY245" s="12"/>
      <c r="EA245" s="12"/>
      <c r="EX245" s="13"/>
      <c r="EZ245" s="12"/>
      <c r="FI245" s="13"/>
      <c r="FK245" s="13"/>
      <c r="HA245" s="12"/>
      <c r="HC245" s="12"/>
      <c r="HZ245" s="13"/>
      <c r="IB245" s="12"/>
      <c r="IK245" s="13"/>
      <c r="IM245" s="13"/>
    </row>
    <row r="246" spans="21:351" ht="18" customHeight="1">
      <c r="U246" s="12"/>
      <c r="W246" s="9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1"/>
      <c r="AW246" s="11"/>
      <c r="AX246" s="10"/>
      <c r="AY246" s="10"/>
      <c r="AZ246" s="10"/>
      <c r="BA246" s="10"/>
      <c r="BB246" s="11"/>
      <c r="BC246" s="10"/>
      <c r="BD246" s="10"/>
      <c r="BE246" s="10"/>
      <c r="BF246" s="10"/>
      <c r="BG246" s="11"/>
      <c r="BI246" s="13"/>
      <c r="DY246" s="12"/>
      <c r="EA246" s="12"/>
      <c r="EX246" s="13"/>
      <c r="EZ246" s="12"/>
      <c r="FI246" s="13"/>
      <c r="FK246" s="13"/>
      <c r="HA246" s="12"/>
      <c r="HC246" s="12"/>
      <c r="HZ246" s="13"/>
      <c r="IB246" s="12"/>
      <c r="IK246" s="13"/>
      <c r="IM246" s="13"/>
    </row>
    <row r="247" spans="21:351" ht="18" customHeight="1">
      <c r="U247" s="12"/>
      <c r="W247" s="12"/>
      <c r="AV247" s="13"/>
      <c r="AW247" s="13"/>
      <c r="BB247" s="13"/>
      <c r="BG247" s="13"/>
      <c r="BI247" s="13"/>
      <c r="DY247" s="12"/>
      <c r="EA247" s="12"/>
      <c r="EX247" s="13"/>
      <c r="EZ247" s="12"/>
      <c r="FI247" s="13"/>
      <c r="FK247" s="13"/>
      <c r="HA247" s="12"/>
      <c r="HC247" s="12"/>
      <c r="HZ247" s="13"/>
      <c r="IB247" s="12"/>
      <c r="IK247" s="13"/>
      <c r="IM247" s="13"/>
    </row>
    <row r="248" spans="21:351" ht="18" customHeight="1">
      <c r="U248" s="12"/>
      <c r="W248" s="12"/>
      <c r="AV248" s="13"/>
      <c r="AW248" s="13"/>
      <c r="BB248" s="13"/>
      <c r="BG248" s="13"/>
      <c r="BI248" s="13"/>
      <c r="DY248" s="12"/>
      <c r="EA248" s="12"/>
      <c r="EX248" s="13"/>
      <c r="EZ248" s="12"/>
      <c r="FI248" s="13"/>
      <c r="FK248" s="13"/>
      <c r="HA248" s="12"/>
      <c r="HC248" s="12"/>
      <c r="HZ248" s="13"/>
      <c r="IB248" s="12"/>
      <c r="IK248" s="13"/>
      <c r="IM248" s="13"/>
    </row>
    <row r="249" spans="21:351" ht="18" customHeight="1">
      <c r="U249" s="12"/>
      <c r="W249" s="12"/>
      <c r="AV249" s="13"/>
      <c r="AW249" s="13"/>
      <c r="BB249" s="13"/>
      <c r="BG249" s="13"/>
      <c r="BI249" s="13"/>
      <c r="DY249" s="12"/>
      <c r="EA249" s="12"/>
      <c r="EX249" s="13"/>
      <c r="EZ249" s="12"/>
      <c r="FI249" s="13"/>
      <c r="FK249" s="13"/>
      <c r="HA249" s="12"/>
      <c r="HC249" s="12"/>
      <c r="HZ249" s="13"/>
      <c r="IB249" s="12"/>
      <c r="IK249" s="13"/>
      <c r="IM249" s="13"/>
    </row>
    <row r="250" spans="21:351" ht="18" customHeight="1">
      <c r="U250" s="12"/>
      <c r="W250" s="12"/>
      <c r="AV250" s="13"/>
      <c r="AW250" s="13"/>
      <c r="AX250" s="15"/>
      <c r="AY250" s="15"/>
      <c r="AZ250" s="15"/>
      <c r="BA250" s="15"/>
      <c r="BB250" s="16"/>
      <c r="BC250" s="15"/>
      <c r="BD250" s="15"/>
      <c r="BE250" s="15"/>
      <c r="BF250" s="15"/>
      <c r="BG250" s="16"/>
      <c r="BI250" s="13"/>
      <c r="DY250" s="12"/>
      <c r="EA250" s="12"/>
      <c r="EX250" s="13"/>
      <c r="EZ250" s="12"/>
      <c r="FI250" s="13"/>
      <c r="FK250" s="13"/>
      <c r="HA250" s="12"/>
      <c r="HC250" s="12"/>
      <c r="HZ250" s="13"/>
      <c r="IB250" s="12"/>
      <c r="IK250" s="13"/>
      <c r="IM250" s="13"/>
      <c r="LD250" s="9"/>
      <c r="LE250" s="10"/>
      <c r="LF250" s="10"/>
      <c r="LG250" s="10"/>
      <c r="LH250" s="10"/>
      <c r="LI250" s="10"/>
      <c r="LJ250" s="10"/>
      <c r="LK250" s="10"/>
      <c r="LL250" s="10"/>
      <c r="LM250" s="10"/>
      <c r="LN250" s="10"/>
      <c r="LO250" s="10"/>
      <c r="LP250" s="10"/>
      <c r="LQ250" s="10"/>
      <c r="LR250" s="10"/>
      <c r="LS250" s="10"/>
      <c r="LT250" s="10"/>
      <c r="LU250" s="10"/>
      <c r="LV250" s="11"/>
      <c r="LW250" s="9"/>
      <c r="LX250" s="10"/>
      <c r="LY250" s="10"/>
      <c r="LZ250" s="10"/>
      <c r="MA250" s="10"/>
      <c r="MB250" s="10"/>
      <c r="MC250" s="10"/>
      <c r="MD250" s="10"/>
      <c r="ME250" s="10"/>
      <c r="MF250" s="10"/>
      <c r="MG250" s="10"/>
      <c r="MH250" s="10"/>
      <c r="MI250" s="10"/>
      <c r="MJ250" s="10"/>
      <c r="MK250" s="10"/>
      <c r="ML250" s="10"/>
      <c r="MM250" s="11"/>
    </row>
    <row r="251" spans="21:351" ht="18" customHeight="1">
      <c r="U251" s="12"/>
      <c r="W251" s="12"/>
      <c r="AV251" s="13"/>
      <c r="AW251" s="13"/>
      <c r="BG251" s="11"/>
      <c r="BI251" s="13"/>
      <c r="DY251" s="12"/>
      <c r="EA251" s="12"/>
      <c r="EX251" s="13"/>
      <c r="EZ251" s="12"/>
      <c r="FI251" s="13"/>
      <c r="FK251" s="13"/>
      <c r="FM251" s="15"/>
      <c r="FO251" s="15"/>
      <c r="FQ251" s="15"/>
      <c r="FS251" s="15"/>
      <c r="FZ251" s="15"/>
      <c r="GB251" s="15"/>
      <c r="GC251" s="15"/>
      <c r="GD251" s="15"/>
      <c r="GH251" s="15"/>
      <c r="GI251" s="15"/>
      <c r="GJ251" s="15"/>
      <c r="GK251" s="15"/>
      <c r="HA251" s="12"/>
      <c r="HC251" s="12"/>
      <c r="HZ251" s="13"/>
      <c r="IB251" s="12"/>
      <c r="IK251" s="13"/>
      <c r="IM251" s="13"/>
      <c r="IO251" s="15"/>
      <c r="IQ251" s="15"/>
      <c r="IS251" s="15"/>
      <c r="IU251" s="15"/>
      <c r="IV251" s="49"/>
      <c r="IW251" s="49"/>
      <c r="IX251" s="49"/>
      <c r="IY251" s="49"/>
      <c r="IZ251" s="49"/>
      <c r="JA251" s="49"/>
      <c r="JB251" s="15"/>
      <c r="JD251" s="15"/>
      <c r="JE251" s="15"/>
      <c r="JF251" s="15"/>
      <c r="JJ251" s="15"/>
      <c r="JK251" s="15"/>
      <c r="JL251" s="15"/>
      <c r="JM251" s="15"/>
      <c r="LD251" s="12"/>
      <c r="LV251" s="13"/>
      <c r="LW251" s="12"/>
      <c r="MM251" s="13"/>
    </row>
    <row r="252" spans="21:351" ht="18" customHeight="1">
      <c r="U252" s="12"/>
      <c r="W252" s="12"/>
      <c r="AV252" s="13"/>
      <c r="AW252" s="13"/>
      <c r="BG252" s="13"/>
      <c r="BI252" s="13"/>
      <c r="DY252" s="12"/>
      <c r="EA252" s="12"/>
      <c r="EX252" s="13"/>
      <c r="EZ252" s="14"/>
      <c r="FA252" s="15"/>
      <c r="FB252" s="15"/>
      <c r="FC252" s="15"/>
      <c r="FD252" s="15"/>
      <c r="FE252" s="15"/>
      <c r="FF252" s="15"/>
      <c r="FG252" s="15"/>
      <c r="FH252" s="15"/>
      <c r="FI252" s="16"/>
      <c r="FL252" s="10"/>
      <c r="FN252" s="10"/>
      <c r="FP252" s="10"/>
      <c r="FR252" s="10"/>
      <c r="FT252" s="10"/>
      <c r="FU252" s="10"/>
      <c r="FV252" s="10"/>
      <c r="FW252" s="10"/>
      <c r="FX252" s="10"/>
      <c r="FY252" s="10"/>
      <c r="GA252" s="57"/>
      <c r="GB252" s="97"/>
      <c r="GC252" s="97"/>
      <c r="GD252" s="97"/>
      <c r="GE252" s="10"/>
      <c r="GF252" s="10"/>
      <c r="GG252" s="10"/>
      <c r="GK252" s="11"/>
      <c r="HA252" s="12"/>
      <c r="HC252" s="12"/>
      <c r="HZ252" s="13"/>
      <c r="IB252" s="14"/>
      <c r="IC252" s="15"/>
      <c r="ID252" s="15"/>
      <c r="IE252" s="15"/>
      <c r="IF252" s="15"/>
      <c r="IG252" s="15"/>
      <c r="IH252" s="15"/>
      <c r="II252" s="15"/>
      <c r="IJ252" s="15"/>
      <c r="IK252" s="16"/>
      <c r="IN252" s="10"/>
      <c r="IP252" s="10"/>
      <c r="IR252" s="10"/>
      <c r="IT252" s="10"/>
      <c r="IV252" s="10"/>
      <c r="IW252" s="10"/>
      <c r="IX252" s="10"/>
      <c r="IY252" s="10"/>
      <c r="IZ252" s="10"/>
      <c r="JA252" s="10"/>
      <c r="JC252" s="57"/>
      <c r="JD252" s="97"/>
      <c r="JE252" s="97"/>
      <c r="JF252" s="97"/>
      <c r="JG252" s="10"/>
      <c r="JH252" s="10"/>
      <c r="JI252" s="10"/>
      <c r="JM252" s="11"/>
      <c r="LD252" s="12"/>
      <c r="LV252" s="13"/>
      <c r="LW252" s="12"/>
      <c r="MM252" s="13"/>
    </row>
    <row r="253" spans="21:351" ht="18" customHeight="1">
      <c r="U253" s="12"/>
      <c r="W253" s="12"/>
      <c r="AV253" s="13"/>
      <c r="AW253" s="13"/>
      <c r="BG253" s="13"/>
      <c r="BI253" s="13"/>
      <c r="DY253" s="12"/>
      <c r="EA253" s="12"/>
      <c r="EX253" s="13"/>
      <c r="EY253" s="13"/>
      <c r="FI253" s="15"/>
      <c r="FJ253" s="14"/>
      <c r="FK253" s="15"/>
      <c r="FM253" s="15"/>
      <c r="FO253" s="15"/>
      <c r="FQ253" s="15"/>
      <c r="FS253" s="15"/>
      <c r="FZ253" s="15"/>
      <c r="GA253" s="97"/>
      <c r="GB253" s="60"/>
      <c r="GC253" s="60"/>
      <c r="GD253" s="60"/>
      <c r="GK253" s="13"/>
      <c r="HA253" s="12"/>
      <c r="HC253" s="12"/>
      <c r="HZ253" s="13"/>
      <c r="IA253" s="13"/>
      <c r="IC253" s="127"/>
      <c r="ID253" s="127"/>
      <c r="IE253" s="127"/>
      <c r="IF253" s="127"/>
      <c r="IG253" s="127"/>
      <c r="IK253" s="15"/>
      <c r="IL253" s="14"/>
      <c r="IM253" s="15"/>
      <c r="IO253" s="15"/>
      <c r="IQ253" s="15"/>
      <c r="IS253" s="15"/>
      <c r="IU253" s="15"/>
      <c r="JB253" s="15"/>
      <c r="JC253" s="97"/>
      <c r="JD253" s="60"/>
      <c r="JE253" s="60"/>
      <c r="JF253" s="60"/>
      <c r="JM253" s="13"/>
      <c r="LD253" s="12"/>
      <c r="LV253" s="13"/>
      <c r="LW253" s="12"/>
      <c r="MM253" s="13"/>
    </row>
    <row r="254" spans="21:351" ht="18" customHeight="1">
      <c r="U254" s="12"/>
      <c r="W254" s="12"/>
      <c r="AV254" s="13"/>
      <c r="AW254" s="13"/>
      <c r="BG254" s="13"/>
      <c r="BI254" s="13"/>
      <c r="BK254" s="15"/>
      <c r="BM254" s="15"/>
      <c r="BO254" s="15"/>
      <c r="BQ254" s="15"/>
      <c r="BS254" s="15"/>
      <c r="BT254" s="15"/>
      <c r="BU254" s="15"/>
      <c r="BV254" s="15"/>
      <c r="BW254" s="15"/>
      <c r="BX254" s="15"/>
      <c r="BY254" s="15"/>
      <c r="BZ254" s="15"/>
      <c r="CA254" s="15"/>
      <c r="CB254" s="15"/>
      <c r="CC254" s="15"/>
      <c r="CD254" s="15"/>
      <c r="CE254" s="15"/>
      <c r="CF254" s="15"/>
      <c r="DY254" s="12"/>
      <c r="EA254" s="12"/>
      <c r="EX254" s="13"/>
      <c r="EY254" s="13"/>
      <c r="EZ254" s="10"/>
      <c r="FA254" s="10"/>
      <c r="FB254" s="10"/>
      <c r="FC254" s="10"/>
      <c r="FD254" s="10"/>
      <c r="FE254" s="10"/>
      <c r="FF254" s="10"/>
      <c r="FG254" s="10"/>
      <c r="FH254" s="10"/>
      <c r="FI254" s="10"/>
      <c r="FJ254" s="10"/>
      <c r="FK254" s="10"/>
      <c r="FL254" s="10"/>
      <c r="FM254" s="10"/>
      <c r="FN254" s="10"/>
      <c r="FO254" s="10"/>
      <c r="FP254" s="10"/>
      <c r="FQ254" s="10"/>
      <c r="FR254" s="10"/>
      <c r="FS254" s="10"/>
      <c r="FT254" s="10"/>
      <c r="FU254" s="10"/>
      <c r="FV254" s="10"/>
      <c r="FW254" s="10"/>
      <c r="FX254" s="10"/>
      <c r="FY254" s="10"/>
      <c r="FZ254" s="10"/>
      <c r="GA254" s="10"/>
      <c r="GB254" s="10"/>
      <c r="GC254" s="10"/>
      <c r="GD254" s="10"/>
      <c r="GE254" s="10"/>
      <c r="GF254" s="10"/>
      <c r="GG254" s="10"/>
      <c r="GH254" s="10"/>
      <c r="GI254" s="11"/>
      <c r="GK254" s="13"/>
      <c r="HA254" s="12"/>
      <c r="HC254" s="12"/>
      <c r="HZ254" s="13"/>
      <c r="IA254" s="13"/>
      <c r="IB254" s="10"/>
      <c r="IC254" s="10"/>
      <c r="ID254" s="10"/>
      <c r="IE254" s="10"/>
      <c r="IF254" s="10"/>
      <c r="IG254" s="10"/>
      <c r="IH254" s="10"/>
      <c r="II254" s="10"/>
      <c r="IJ254" s="10"/>
      <c r="IK254" s="10"/>
      <c r="IL254" s="10"/>
      <c r="IM254" s="10"/>
      <c r="IN254" s="10"/>
      <c r="IO254" s="10"/>
      <c r="IP254" s="10"/>
      <c r="IQ254" s="10"/>
      <c r="IR254" s="10"/>
      <c r="IS254" s="10"/>
      <c r="IT254" s="10"/>
      <c r="IU254" s="10"/>
      <c r="IV254" s="10"/>
      <c r="IW254" s="10"/>
      <c r="IX254" s="10"/>
      <c r="IY254" s="10"/>
      <c r="IZ254" s="10"/>
      <c r="JA254" s="10"/>
      <c r="JB254" s="10"/>
      <c r="JC254" s="10"/>
      <c r="JD254" s="10"/>
      <c r="JE254" s="10"/>
      <c r="JF254" s="10"/>
      <c r="JG254" s="10"/>
      <c r="JH254" s="10"/>
      <c r="JI254" s="10"/>
      <c r="JJ254" s="10"/>
      <c r="JK254" s="11"/>
      <c r="JM254" s="13"/>
      <c r="LD254" s="12"/>
      <c r="LV254" s="13"/>
      <c r="LW254" s="12"/>
      <c r="MM254" s="13"/>
    </row>
    <row r="255" spans="21:351" ht="18" customHeight="1">
      <c r="U255" s="12"/>
      <c r="W255" s="12"/>
      <c r="AV255" s="13"/>
      <c r="AW255" s="13"/>
      <c r="BG255" s="16"/>
      <c r="BH255" s="12"/>
      <c r="BJ255" s="10"/>
      <c r="BL255" s="10"/>
      <c r="BN255" s="10"/>
      <c r="BP255" s="10"/>
      <c r="BR255" s="10"/>
      <c r="BW255" s="20"/>
      <c r="BX255" s="21"/>
      <c r="BY255" s="21"/>
      <c r="BZ255" s="21"/>
      <c r="CA255" s="21"/>
      <c r="CB255" s="22"/>
      <c r="CF255" s="11"/>
      <c r="DY255" s="12"/>
      <c r="EA255" s="12"/>
      <c r="EX255" s="13"/>
      <c r="EY255" s="13"/>
      <c r="GI255" s="13"/>
      <c r="GK255" s="13"/>
      <c r="HA255" s="12"/>
      <c r="HC255" s="12"/>
      <c r="HZ255" s="13"/>
      <c r="IA255" s="13"/>
      <c r="JK255" s="13"/>
      <c r="JM255" s="13"/>
      <c r="LD255" s="12"/>
      <c r="LV255" s="13"/>
      <c r="LW255" s="14"/>
      <c r="LX255" s="15"/>
      <c r="LY255" s="15"/>
      <c r="LZ255" s="15"/>
      <c r="MA255" s="15"/>
      <c r="MB255" s="15"/>
      <c r="MC255" s="15"/>
      <c r="MD255" s="15"/>
      <c r="ME255" s="15"/>
      <c r="MF255" s="15"/>
      <c r="MG255" s="15"/>
      <c r="MH255" s="15"/>
      <c r="MI255" s="15"/>
      <c r="MJ255" s="15"/>
      <c r="MK255" s="15"/>
      <c r="ML255" s="15"/>
      <c r="MM255" s="16"/>
    </row>
    <row r="256" spans="21:351" ht="18" customHeight="1">
      <c r="U256" s="12"/>
      <c r="W256" s="12"/>
      <c r="AV256" s="13"/>
      <c r="AW256" s="13"/>
      <c r="AX256" s="10"/>
      <c r="AY256" s="10"/>
      <c r="AZ256" s="10"/>
      <c r="BA256" s="10"/>
      <c r="BB256" s="10"/>
      <c r="BC256" s="10"/>
      <c r="BD256" s="10"/>
      <c r="BE256" s="10"/>
      <c r="BF256" s="10"/>
      <c r="BG256" s="15"/>
      <c r="BH256" s="14"/>
      <c r="BI256" s="15"/>
      <c r="BK256" s="15"/>
      <c r="BM256" s="15"/>
      <c r="BO256" s="15"/>
      <c r="BQ256" s="15"/>
      <c r="BS256" s="15"/>
      <c r="BT256" s="15"/>
      <c r="BU256" s="15"/>
      <c r="BV256" s="15"/>
      <c r="BW256" s="20"/>
      <c r="BX256" s="21"/>
      <c r="BY256" s="21"/>
      <c r="BZ256" s="21"/>
      <c r="CA256" s="21"/>
      <c r="CB256" s="22"/>
      <c r="CF256" s="13"/>
      <c r="DY256" s="12"/>
      <c r="EA256" s="12"/>
      <c r="EX256" s="13"/>
      <c r="EY256" s="13"/>
      <c r="GI256" s="13"/>
      <c r="GK256" s="13"/>
      <c r="HA256" s="12"/>
      <c r="HC256" s="12"/>
      <c r="HZ256" s="13"/>
      <c r="IA256" s="13"/>
      <c r="JK256" s="13"/>
      <c r="JM256" s="13"/>
      <c r="LD256" s="12"/>
      <c r="LV256" s="13"/>
      <c r="LW256" s="9"/>
      <c r="LX256" s="10"/>
      <c r="LY256" s="10"/>
      <c r="LZ256" s="10"/>
      <c r="MA256" s="10"/>
      <c r="MB256" s="10"/>
      <c r="MC256" s="10"/>
      <c r="MD256" s="10"/>
      <c r="ME256" s="10"/>
      <c r="MF256" s="10"/>
      <c r="MG256" s="10"/>
      <c r="MH256" s="10"/>
      <c r="MI256" s="9"/>
      <c r="MJ256" s="10"/>
      <c r="MK256" s="10"/>
      <c r="ML256" s="10"/>
      <c r="MM256" s="11"/>
    </row>
    <row r="257" spans="21:351" ht="18" customHeight="1">
      <c r="U257" s="12"/>
      <c r="W257" s="12"/>
      <c r="AV257" s="13"/>
      <c r="AW257" s="13"/>
      <c r="AX257" s="10"/>
      <c r="AY257" s="10"/>
      <c r="AZ257" s="10"/>
      <c r="BA257" s="10"/>
      <c r="BB257" s="10"/>
      <c r="BC257" s="10"/>
      <c r="BD257" s="10"/>
      <c r="BE257" s="10"/>
      <c r="BF257" s="10"/>
      <c r="BG257" t="s">
        <v>45</v>
      </c>
      <c r="BH257" s="10"/>
      <c r="BI257" s="10"/>
      <c r="BJ257" s="10"/>
      <c r="BK257" s="10"/>
      <c r="BL257" s="10"/>
      <c r="BM257" s="10"/>
      <c r="BN257" s="10"/>
      <c r="BO257" s="10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  <c r="CB257" s="10"/>
      <c r="CC257" s="10"/>
      <c r="CD257" s="11"/>
      <c r="CF257" s="13"/>
      <c r="DY257" s="12"/>
      <c r="EA257" s="12"/>
      <c r="EX257" s="13"/>
      <c r="EY257" s="13"/>
      <c r="GI257" s="13"/>
      <c r="GK257" s="13"/>
      <c r="HA257" s="12"/>
      <c r="HC257" s="12"/>
      <c r="HZ257" s="13"/>
      <c r="IA257" s="13"/>
      <c r="JK257" s="13"/>
      <c r="JM257" s="13"/>
      <c r="LD257" s="12"/>
      <c r="LV257" s="13"/>
      <c r="LW257" s="12"/>
      <c r="MI257" s="12"/>
      <c r="MM257" s="13"/>
    </row>
    <row r="258" spans="21:351" ht="18" customHeight="1">
      <c r="U258" s="12"/>
      <c r="W258" s="12"/>
      <c r="AV258" s="13"/>
      <c r="AW258" s="13"/>
      <c r="CD258" s="13"/>
      <c r="CF258" s="13"/>
      <c r="DY258" s="12"/>
      <c r="EA258" s="12"/>
      <c r="EX258" s="13"/>
      <c r="EY258" s="13"/>
      <c r="GI258" s="13"/>
      <c r="GK258" s="13"/>
      <c r="HA258" s="12"/>
      <c r="HC258" s="12"/>
      <c r="HZ258" s="13"/>
      <c r="IA258" s="13"/>
      <c r="JK258" s="13"/>
      <c r="JM258" s="13"/>
      <c r="LD258" s="12"/>
      <c r="LV258" s="13"/>
      <c r="LW258" s="12"/>
      <c r="MI258" s="12"/>
      <c r="MM258" s="13"/>
    </row>
    <row r="259" spans="21:351" ht="18" customHeight="1">
      <c r="U259" s="12"/>
      <c r="W259" s="12"/>
      <c r="AV259" s="13"/>
      <c r="AW259" s="13"/>
      <c r="CD259" s="13"/>
      <c r="CF259" s="13"/>
      <c r="DY259" s="12"/>
      <c r="EA259" s="12"/>
      <c r="EX259" s="13"/>
      <c r="EY259" s="13"/>
      <c r="GI259" s="13"/>
      <c r="GK259" s="13"/>
      <c r="GZ259" s="49"/>
      <c r="HA259" s="12"/>
      <c r="HC259" s="12"/>
      <c r="HZ259" s="13"/>
      <c r="IA259" s="13"/>
      <c r="JK259" s="13"/>
      <c r="JM259" s="13"/>
      <c r="LD259" s="12"/>
      <c r="LV259" s="13"/>
      <c r="LW259" s="12"/>
      <c r="MI259" s="12"/>
      <c r="MM259" s="13"/>
    </row>
    <row r="260" spans="21:351" ht="18" customHeight="1">
      <c r="U260" s="12"/>
      <c r="W260" s="12"/>
      <c r="AV260" s="13"/>
      <c r="AW260" s="13"/>
      <c r="CD260" s="13"/>
      <c r="CF260" s="13"/>
      <c r="DY260" s="12"/>
      <c r="EA260" s="12"/>
      <c r="EX260" s="13"/>
      <c r="EY260" s="13"/>
      <c r="GI260" s="13"/>
      <c r="GK260" s="13"/>
      <c r="GZ260" s="49"/>
      <c r="HA260" s="12"/>
      <c r="HC260" s="12"/>
      <c r="HZ260" s="13"/>
      <c r="IA260" s="90"/>
      <c r="JK260" s="13"/>
      <c r="JM260" s="13"/>
      <c r="LD260" s="12"/>
      <c r="LV260" s="13"/>
      <c r="LW260" s="12"/>
      <c r="MI260" s="12"/>
      <c r="MM260" s="13"/>
    </row>
    <row r="261" spans="21:351" ht="18" customHeight="1">
      <c r="U261" s="12"/>
      <c r="W261" s="12"/>
      <c r="AV261" s="13"/>
      <c r="AW261" s="13"/>
      <c r="CD261" s="13"/>
      <c r="CF261" s="13"/>
      <c r="DY261" s="12"/>
      <c r="EA261" s="12"/>
      <c r="EX261" s="13"/>
      <c r="EY261" s="13"/>
      <c r="GI261" s="13"/>
      <c r="GK261" s="13"/>
      <c r="GZ261" s="49"/>
      <c r="HA261" s="12"/>
      <c r="HC261" s="12"/>
      <c r="HZ261" s="13"/>
      <c r="IA261" s="90"/>
      <c r="JK261" s="13"/>
      <c r="JM261" s="13"/>
      <c r="LD261" s="12"/>
      <c r="LV261" s="13"/>
      <c r="LW261" s="12"/>
      <c r="MI261" s="12"/>
      <c r="MM261" s="13"/>
    </row>
    <row r="262" spans="21:351" ht="18" customHeight="1">
      <c r="U262" s="12"/>
      <c r="W262" s="12"/>
      <c r="AV262" s="13"/>
      <c r="AW262" s="13"/>
      <c r="CD262" s="13"/>
      <c r="CF262" s="13"/>
      <c r="DY262" s="12"/>
      <c r="EA262" s="12"/>
      <c r="EX262" s="13"/>
      <c r="EY262" s="13"/>
      <c r="GI262" s="13"/>
      <c r="GK262" s="13"/>
      <c r="GZ262" s="49"/>
      <c r="HA262" s="12"/>
      <c r="HC262" s="12"/>
      <c r="HZ262" s="13"/>
      <c r="IA262" s="90"/>
      <c r="JK262" s="13"/>
      <c r="JM262" s="13"/>
      <c r="LD262" s="14"/>
      <c r="LE262" s="15"/>
      <c r="LF262" s="15"/>
      <c r="LG262" s="15"/>
      <c r="LH262" s="15"/>
      <c r="LI262" s="15"/>
      <c r="LJ262" s="15"/>
      <c r="LK262" s="15"/>
      <c r="LL262" s="15"/>
      <c r="LM262" s="15"/>
      <c r="LN262" s="15"/>
      <c r="LO262" s="15"/>
      <c r="LP262" s="15"/>
      <c r="LQ262" s="15"/>
      <c r="LR262" s="15"/>
      <c r="LS262" s="15"/>
      <c r="LT262" s="15"/>
      <c r="LU262" s="15"/>
      <c r="LV262" s="16"/>
      <c r="LW262" s="14"/>
      <c r="LX262" s="15"/>
      <c r="LY262" s="15"/>
      <c r="LZ262" s="15"/>
      <c r="MA262" s="15"/>
      <c r="MB262" s="15"/>
      <c r="MC262" s="15"/>
      <c r="MD262" s="15"/>
      <c r="ME262" s="15"/>
      <c r="MF262" s="15"/>
      <c r="MG262" s="15"/>
      <c r="MH262" s="15"/>
      <c r="MI262" s="14"/>
      <c r="MJ262" s="15"/>
      <c r="MK262" s="15"/>
      <c r="ML262" s="15"/>
      <c r="MM262" s="16"/>
    </row>
    <row r="263" spans="21:351" ht="18" customHeight="1">
      <c r="U263" s="12"/>
      <c r="W263" s="12"/>
      <c r="AV263" s="13"/>
      <c r="AW263" s="13"/>
      <c r="CD263" s="13"/>
      <c r="CF263" s="13"/>
      <c r="DY263" s="12"/>
      <c r="EA263" s="12"/>
      <c r="EX263" s="13"/>
      <c r="EY263" s="13"/>
      <c r="GI263" s="13"/>
      <c r="GK263" s="13"/>
      <c r="GZ263" s="49"/>
      <c r="HA263" s="12"/>
      <c r="HC263" s="12"/>
      <c r="HZ263" s="13"/>
      <c r="IA263" s="90"/>
      <c r="JK263" s="13"/>
      <c r="JM263" s="13"/>
      <c r="LD263" s="9"/>
      <c r="LE263" s="10"/>
      <c r="LF263" s="10"/>
      <c r="LG263" s="10"/>
      <c r="LH263" s="10"/>
      <c r="LI263" s="10"/>
      <c r="LJ263" s="10"/>
      <c r="LK263" s="10"/>
      <c r="LL263" s="10"/>
      <c r="LM263" s="10"/>
      <c r="LN263" s="11"/>
      <c r="LO263" s="9"/>
      <c r="LP263" s="10"/>
      <c r="LQ263" s="10"/>
      <c r="LR263" s="10"/>
      <c r="LS263" s="10"/>
      <c r="LT263" s="10"/>
      <c r="LU263" s="10"/>
      <c r="LV263" s="10"/>
      <c r="LW263" s="10"/>
      <c r="LX263" s="10"/>
      <c r="LY263" s="10"/>
      <c r="LZ263" s="10"/>
      <c r="MA263" s="10"/>
      <c r="MB263" s="10"/>
      <c r="MC263" s="10"/>
      <c r="MD263" s="10"/>
      <c r="ME263" s="10"/>
      <c r="MF263" s="10"/>
      <c r="MG263" s="10"/>
      <c r="MH263" s="10"/>
      <c r="MI263" s="10"/>
      <c r="MJ263" s="10"/>
      <c r="MK263" s="10"/>
      <c r="ML263" s="10"/>
      <c r="MM263" s="11"/>
    </row>
    <row r="264" spans="21:351" ht="18" customHeight="1">
      <c r="U264" s="12"/>
      <c r="W264" s="12"/>
      <c r="AV264" s="13"/>
      <c r="AW264" s="13"/>
      <c r="CD264" s="13"/>
      <c r="CF264" s="13"/>
      <c r="DY264" s="12"/>
      <c r="EA264" s="12"/>
      <c r="EX264" s="13"/>
      <c r="EY264" s="13"/>
      <c r="GI264" s="13"/>
      <c r="GK264" s="13"/>
      <c r="HA264" s="12"/>
      <c r="HC264" s="12"/>
      <c r="HZ264" s="13"/>
      <c r="IA264" s="90"/>
      <c r="JK264" s="13"/>
      <c r="JM264" s="13"/>
      <c r="LD264" s="12"/>
      <c r="LN264" s="13"/>
      <c r="LO264" s="12"/>
      <c r="MM264" s="13"/>
    </row>
    <row r="265" spans="21:351" ht="18" customHeight="1">
      <c r="U265" s="12"/>
      <c r="W265" s="12"/>
      <c r="AV265" s="13"/>
      <c r="AW265" s="13"/>
      <c r="CD265" s="13"/>
      <c r="CF265" s="13"/>
      <c r="DY265" s="12"/>
      <c r="EA265" s="12"/>
      <c r="EX265" s="13"/>
      <c r="EY265" s="13"/>
      <c r="GI265" s="13"/>
      <c r="GK265" s="13"/>
      <c r="HA265" s="12"/>
      <c r="HC265" s="12"/>
      <c r="HZ265" s="13"/>
      <c r="IA265" s="90"/>
      <c r="JK265" s="13"/>
      <c r="JM265" s="13"/>
      <c r="LD265" s="12"/>
      <c r="LN265" s="13"/>
      <c r="LO265" s="12"/>
      <c r="MM265" s="13"/>
    </row>
    <row r="266" spans="21:351" ht="18" customHeight="1">
      <c r="U266" s="12"/>
      <c r="W266" s="12"/>
      <c r="AV266" s="13"/>
      <c r="AW266" s="13"/>
      <c r="CD266" s="13"/>
      <c r="CF266" s="13"/>
      <c r="DY266" s="12"/>
      <c r="EA266" s="14"/>
      <c r="EB266" s="15"/>
      <c r="EC266" s="15"/>
      <c r="EX266" s="13"/>
      <c r="EY266" s="13"/>
      <c r="GI266" s="13"/>
      <c r="GK266" s="13"/>
      <c r="HA266" s="12"/>
      <c r="HC266" s="14"/>
      <c r="HD266" s="15"/>
      <c r="HE266" s="15"/>
      <c r="HZ266" s="13"/>
      <c r="IA266" s="13"/>
      <c r="JK266" s="13"/>
      <c r="JM266" s="13"/>
      <c r="LD266" s="12"/>
      <c r="LN266" s="13"/>
      <c r="LO266" s="12"/>
      <c r="MM266" s="13"/>
    </row>
    <row r="267" spans="21:351" ht="18" customHeight="1">
      <c r="U267" s="12"/>
      <c r="W267" s="12"/>
      <c r="AV267" s="13"/>
      <c r="AW267" s="13"/>
      <c r="CD267" s="13"/>
      <c r="CF267" s="13"/>
      <c r="DY267" s="96"/>
      <c r="DZ267" s="97"/>
      <c r="EA267" s="9"/>
      <c r="EB267" s="92"/>
      <c r="EC267" s="92"/>
      <c r="ED267" s="92"/>
      <c r="EE267" s="92"/>
      <c r="EF267" s="92"/>
      <c r="EG267" s="10"/>
      <c r="EH267" s="10"/>
      <c r="EI267" s="10"/>
      <c r="EJ267" s="10"/>
      <c r="EK267" s="10"/>
      <c r="EL267" s="10"/>
      <c r="EM267" s="10"/>
      <c r="EN267" s="10"/>
      <c r="EO267" s="10"/>
      <c r="EP267" s="10"/>
      <c r="EQ267" s="10"/>
      <c r="ER267" s="10"/>
      <c r="ES267" s="57"/>
      <c r="ET267" s="212"/>
      <c r="EU267" s="21"/>
      <c r="EV267" s="21"/>
      <c r="EW267" s="21"/>
      <c r="EX267" s="21"/>
      <c r="EY267" s="21"/>
      <c r="EZ267" s="21"/>
      <c r="FA267" s="21"/>
      <c r="FB267" s="21"/>
      <c r="FC267" s="21"/>
      <c r="FD267" s="21"/>
      <c r="FE267" s="21"/>
      <c r="FF267" s="21"/>
      <c r="FG267" s="21"/>
      <c r="FH267" s="21"/>
      <c r="FI267" s="21"/>
      <c r="FJ267" s="212"/>
      <c r="FK267" s="213"/>
      <c r="GI267" s="13"/>
      <c r="GJ267" s="97"/>
      <c r="GK267" s="98"/>
      <c r="HA267" s="96"/>
      <c r="HB267" s="97"/>
      <c r="HC267" s="9"/>
      <c r="HD267" s="92"/>
      <c r="HE267" s="92"/>
      <c r="HF267" s="92"/>
      <c r="HG267" s="92"/>
      <c r="HH267" s="92"/>
      <c r="HI267" s="10"/>
      <c r="HJ267" s="10"/>
      <c r="HK267" s="10"/>
      <c r="HL267" s="10"/>
      <c r="HM267" s="10"/>
      <c r="HN267" s="10"/>
      <c r="HO267" s="10"/>
      <c r="HP267" s="10"/>
      <c r="HQ267" s="10"/>
      <c r="HR267" s="10"/>
      <c r="HS267" s="10"/>
      <c r="HT267" s="10"/>
      <c r="HU267" s="57"/>
      <c r="HV267" s="212"/>
      <c r="HW267" s="21"/>
      <c r="HX267" s="21"/>
      <c r="HY267" s="21"/>
      <c r="HZ267" s="21"/>
      <c r="IA267" s="21"/>
      <c r="IB267" s="21"/>
      <c r="IC267" s="21"/>
      <c r="ID267" s="21"/>
      <c r="IE267" s="21"/>
      <c r="IF267" s="21"/>
      <c r="IG267" s="21"/>
      <c r="IH267" s="21"/>
      <c r="II267" s="21"/>
      <c r="IJ267" s="21"/>
      <c r="IK267" s="21"/>
      <c r="IL267" s="212"/>
      <c r="IM267" s="213"/>
      <c r="JK267" s="13"/>
      <c r="JL267" s="97"/>
      <c r="JM267" s="98"/>
      <c r="LD267" s="12"/>
      <c r="LN267" s="13"/>
      <c r="LO267" s="12"/>
      <c r="MM267" s="13"/>
    </row>
    <row r="268" spans="21:351" ht="18" customHeight="1">
      <c r="U268" s="12"/>
      <c r="W268" s="12"/>
      <c r="AV268" s="13"/>
      <c r="AW268" s="13"/>
      <c r="CD268" s="13"/>
      <c r="CF268" s="13"/>
      <c r="DY268" s="96"/>
      <c r="DZ268" s="97"/>
      <c r="EA268" s="9"/>
      <c r="EB268" s="10"/>
      <c r="EC268" s="10"/>
      <c r="ED268" s="10"/>
      <c r="EE268" s="10"/>
      <c r="EF268" s="10"/>
      <c r="EG268" s="10"/>
      <c r="EH268" s="10"/>
      <c r="EI268" s="10"/>
      <c r="EJ268" s="10"/>
      <c r="EK268" s="10"/>
      <c r="EL268" s="10"/>
      <c r="EM268" s="10"/>
      <c r="EN268" s="10"/>
      <c r="EO268" s="10"/>
      <c r="EP268" s="10"/>
      <c r="EQ268" s="10"/>
      <c r="ER268" s="10"/>
      <c r="ES268" s="58"/>
      <c r="ET268" s="97"/>
      <c r="EU268" s="12"/>
      <c r="FJ268" s="98"/>
      <c r="FK268" s="97"/>
      <c r="FL268" s="12"/>
      <c r="GI268" s="13"/>
      <c r="GJ268" s="97"/>
      <c r="GK268" s="98"/>
      <c r="HA268" s="96"/>
      <c r="HB268" s="97"/>
      <c r="HC268" s="9"/>
      <c r="HD268" s="10"/>
      <c r="HE268" s="10"/>
      <c r="HF268" s="10"/>
      <c r="HG268" s="10"/>
      <c r="HH268" s="10"/>
      <c r="HI268" s="10"/>
      <c r="HJ268" s="10"/>
      <c r="HK268" s="10"/>
      <c r="HL268" s="10"/>
      <c r="HM268" s="10"/>
      <c r="HN268" s="10"/>
      <c r="HO268" s="10"/>
      <c r="HP268" s="10"/>
      <c r="HQ268" s="10"/>
      <c r="HR268" s="10"/>
      <c r="HS268" s="10"/>
      <c r="HT268" s="10"/>
      <c r="HU268" s="58"/>
      <c r="HV268" s="97"/>
      <c r="HW268" s="12"/>
      <c r="IL268" s="98"/>
      <c r="IM268" s="97"/>
      <c r="IN268" s="12"/>
      <c r="JK268" s="13"/>
      <c r="JL268" s="97"/>
      <c r="JM268" s="98"/>
      <c r="LD268" s="12"/>
      <c r="LN268" s="13"/>
      <c r="LO268" s="12"/>
      <c r="MM268" s="13"/>
    </row>
    <row r="269" spans="21:351" ht="18" customHeight="1">
      <c r="U269" s="12"/>
      <c r="W269" s="12"/>
      <c r="AV269" s="13"/>
      <c r="AW269" s="13"/>
      <c r="CD269" s="13"/>
      <c r="CF269" s="13"/>
      <c r="DY269" s="96"/>
      <c r="DZ269" s="97"/>
      <c r="EA269" s="12"/>
      <c r="ES269" s="98"/>
      <c r="ET269" s="97"/>
      <c r="EU269" s="12"/>
      <c r="FJ269" s="98"/>
      <c r="FK269" s="98"/>
      <c r="GI269" s="13"/>
      <c r="GJ269" s="97"/>
      <c r="GK269" s="98"/>
      <c r="HA269" s="96"/>
      <c r="HB269" s="97"/>
      <c r="HC269" s="12"/>
      <c r="HU269" s="98"/>
      <c r="HV269" s="97"/>
      <c r="HW269" s="12"/>
      <c r="IL269" s="98"/>
      <c r="IM269" s="98"/>
      <c r="JK269" s="13"/>
      <c r="JL269" s="97"/>
      <c r="JM269" s="98"/>
      <c r="LD269" s="12"/>
      <c r="LN269" s="13"/>
      <c r="LO269" s="12"/>
      <c r="MM269" s="13"/>
    </row>
    <row r="270" spans="21:351" ht="18" customHeight="1">
      <c r="U270" s="12"/>
      <c r="W270" s="20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2"/>
      <c r="CD270" s="13"/>
      <c r="CF270" s="13"/>
      <c r="DY270" s="96"/>
      <c r="DZ270" s="97"/>
      <c r="EA270" s="12"/>
      <c r="ES270" s="98"/>
      <c r="ET270" s="97"/>
      <c r="EU270" s="12"/>
      <c r="FJ270" s="98"/>
      <c r="FK270" s="98"/>
      <c r="GI270" s="13"/>
      <c r="GJ270" s="97"/>
      <c r="GK270" s="98"/>
      <c r="GZ270" s="49"/>
      <c r="HA270" s="96"/>
      <c r="HB270" s="97"/>
      <c r="HC270" s="12"/>
      <c r="HU270" s="98"/>
      <c r="HV270" s="97"/>
      <c r="HW270" s="12"/>
      <c r="IL270" s="98"/>
      <c r="IM270" s="98"/>
      <c r="JK270" s="13"/>
      <c r="JL270" s="97"/>
      <c r="JM270" s="98"/>
      <c r="LD270" s="12"/>
      <c r="LN270" s="13"/>
      <c r="LO270" s="12"/>
      <c r="MM270" s="13"/>
    </row>
    <row r="271" spans="21:351" ht="18" customHeight="1">
      <c r="U271" s="12"/>
      <c r="W271" s="12"/>
      <c r="AG271" s="12"/>
      <c r="AN271" s="13"/>
      <c r="AP271" s="12"/>
      <c r="BE271" s="13"/>
      <c r="BG271" s="12"/>
      <c r="CD271" s="13"/>
      <c r="CF271" s="13"/>
      <c r="DY271" s="12"/>
      <c r="EA271" s="12"/>
      <c r="ES271" s="13"/>
      <c r="EU271" s="12"/>
      <c r="FJ271" s="13"/>
      <c r="FK271" s="13"/>
      <c r="GI271" s="13"/>
      <c r="GK271" s="13"/>
      <c r="GZ271" s="49"/>
      <c r="HA271" s="12"/>
      <c r="HC271" s="12"/>
      <c r="HU271" s="13"/>
      <c r="HW271" s="12"/>
      <c r="IL271" s="13"/>
      <c r="IM271" s="13"/>
      <c r="JK271" s="13"/>
      <c r="JM271" s="13"/>
      <c r="LD271" s="12"/>
      <c r="LN271" s="13"/>
      <c r="LO271" s="12"/>
      <c r="MM271" s="13"/>
    </row>
    <row r="272" spans="21:351" ht="18" customHeight="1">
      <c r="U272" s="12"/>
      <c r="W272" s="12"/>
      <c r="AG272" s="12"/>
      <c r="AN272" s="13"/>
      <c r="AP272" s="9"/>
      <c r="AQ272" s="11"/>
      <c r="BE272" s="13"/>
      <c r="BF272" s="13"/>
      <c r="CD272" s="13"/>
      <c r="CF272" s="13"/>
      <c r="DY272" s="12"/>
      <c r="EA272" s="12"/>
      <c r="ES272" s="13"/>
      <c r="EU272" s="12"/>
      <c r="EY272" s="9"/>
      <c r="EZ272" s="10"/>
      <c r="FA272" s="10"/>
      <c r="FB272" s="10"/>
      <c r="FC272" s="10"/>
      <c r="FD272" s="10"/>
      <c r="FE272" s="10"/>
      <c r="FF272" s="11"/>
      <c r="FJ272" s="13"/>
      <c r="FK272" s="13"/>
      <c r="GI272" s="13"/>
      <c r="GK272" s="13"/>
      <c r="GZ272" s="49"/>
      <c r="HA272" s="12"/>
      <c r="HC272" s="12"/>
      <c r="HU272" s="13"/>
      <c r="HW272" s="12"/>
      <c r="IA272" s="9"/>
      <c r="IB272" s="10"/>
      <c r="IC272" s="10"/>
      <c r="ID272" s="10"/>
      <c r="IE272" s="10"/>
      <c r="IF272" s="10"/>
      <c r="IG272" s="10"/>
      <c r="IH272" s="11"/>
      <c r="IL272" s="13"/>
      <c r="IM272" s="13"/>
      <c r="JK272" s="13"/>
      <c r="JM272" s="13"/>
      <c r="LD272" s="12"/>
      <c r="LN272" s="13"/>
      <c r="LO272" s="12"/>
      <c r="MM272" s="13"/>
    </row>
    <row r="273" spans="21:384" ht="18" customHeight="1">
      <c r="U273" s="12"/>
      <c r="W273" s="12"/>
      <c r="AG273" s="12"/>
      <c r="AN273" s="13"/>
      <c r="AP273" s="12"/>
      <c r="AQ273" s="13"/>
      <c r="BE273" s="13"/>
      <c r="BF273" s="13"/>
      <c r="BG273" s="9"/>
      <c r="BH273" s="10"/>
      <c r="BI273" s="10"/>
      <c r="BJ273" s="10"/>
      <c r="BK273" s="10"/>
      <c r="BL273" s="11"/>
      <c r="CD273" s="13"/>
      <c r="CF273" s="13"/>
      <c r="DY273" s="12"/>
      <c r="EA273" s="12"/>
      <c r="ES273" s="13"/>
      <c r="EU273" s="12"/>
      <c r="EY273" s="12"/>
      <c r="FF273" s="13"/>
      <c r="FJ273" s="13"/>
      <c r="FK273" s="13"/>
      <c r="GI273" s="13"/>
      <c r="GK273" s="13"/>
      <c r="GZ273" s="49"/>
      <c r="HA273" s="12"/>
      <c r="HC273" s="12"/>
      <c r="HU273" s="13"/>
      <c r="HW273" s="12"/>
      <c r="IA273" s="12"/>
      <c r="IH273" s="13"/>
      <c r="IL273" s="13"/>
      <c r="IM273" s="13"/>
      <c r="JK273" s="13"/>
      <c r="JM273" s="13"/>
      <c r="LD273" s="12"/>
      <c r="LN273" s="13"/>
      <c r="LO273" s="12"/>
      <c r="MM273" s="13"/>
    </row>
    <row r="274" spans="21:384" ht="18" customHeight="1">
      <c r="U274" s="12"/>
      <c r="W274" s="12"/>
      <c r="AG274" s="12"/>
      <c r="AN274" s="13"/>
      <c r="AP274" s="12"/>
      <c r="AQ274" s="13"/>
      <c r="BE274" s="13"/>
      <c r="BF274" s="13"/>
      <c r="BG274" s="12"/>
      <c r="BL274" s="13"/>
      <c r="CD274" s="13"/>
      <c r="CF274" s="13"/>
      <c r="DY274" s="12"/>
      <c r="EA274" s="12"/>
      <c r="ES274" s="13"/>
      <c r="EU274" s="12"/>
      <c r="EY274" s="12"/>
      <c r="FF274" s="13"/>
      <c r="FJ274" s="13"/>
      <c r="FK274" s="13"/>
      <c r="GI274" s="13"/>
      <c r="GK274" s="13"/>
      <c r="HA274" s="12"/>
      <c r="HC274" s="12"/>
      <c r="HU274" s="13"/>
      <c r="HW274" s="12"/>
      <c r="IA274" s="12"/>
      <c r="IH274" s="13"/>
      <c r="IL274" s="13"/>
      <c r="IM274" s="13"/>
      <c r="JK274" s="13"/>
      <c r="JM274" s="13"/>
      <c r="LD274" s="12"/>
      <c r="LN274" s="13"/>
      <c r="LO274" s="12"/>
      <c r="MM274" s="13"/>
    </row>
    <row r="275" spans="21:384" ht="18" customHeight="1">
      <c r="U275" s="12"/>
      <c r="W275" s="12"/>
      <c r="AG275" s="12"/>
      <c r="AN275" s="13"/>
      <c r="AP275" s="12"/>
      <c r="AQ275" s="13"/>
      <c r="AT275" s="9"/>
      <c r="AU275" s="10"/>
      <c r="AV275" s="10"/>
      <c r="AW275" s="10"/>
      <c r="AX275" s="10"/>
      <c r="AY275" s="10"/>
      <c r="AZ275" s="10"/>
      <c r="BA275" s="11"/>
      <c r="BE275" s="13"/>
      <c r="BF275" s="13"/>
      <c r="BG275" s="12"/>
      <c r="BL275" s="13"/>
      <c r="CD275" s="13"/>
      <c r="CF275" s="13"/>
      <c r="DY275" s="12"/>
      <c r="EA275" s="12"/>
      <c r="ES275" s="13"/>
      <c r="EU275" s="12"/>
      <c r="EY275" s="12"/>
      <c r="FF275" s="13"/>
      <c r="FJ275" s="13"/>
      <c r="FK275" s="13"/>
      <c r="GI275" s="13"/>
      <c r="GK275" s="13"/>
      <c r="HA275" s="12"/>
      <c r="HC275" s="12"/>
      <c r="HU275" s="13"/>
      <c r="HW275" s="12"/>
      <c r="IA275" s="12"/>
      <c r="IH275" s="13"/>
      <c r="IL275" s="13"/>
      <c r="IM275" s="13"/>
      <c r="JK275" s="13"/>
      <c r="JM275" s="13"/>
      <c r="LD275" s="12"/>
      <c r="LN275" s="13"/>
      <c r="LO275" s="12"/>
      <c r="MM275" s="13"/>
    </row>
    <row r="276" spans="21:384" ht="18" customHeight="1">
      <c r="U276" s="12"/>
      <c r="W276" s="9"/>
      <c r="X276" s="10"/>
      <c r="Y276" s="10"/>
      <c r="Z276" s="10"/>
      <c r="AA276" s="10"/>
      <c r="AB276" s="9"/>
      <c r="AC276" s="10"/>
      <c r="AD276" s="10"/>
      <c r="AE276" s="10"/>
      <c r="AF276" s="11"/>
      <c r="AG276" s="12"/>
      <c r="AN276" s="13"/>
      <c r="AP276" s="12"/>
      <c r="AQ276" s="13"/>
      <c r="AT276" s="12"/>
      <c r="BA276" s="13"/>
      <c r="BE276" s="13"/>
      <c r="BF276" s="13"/>
      <c r="BG276" s="12"/>
      <c r="BL276" s="13"/>
      <c r="CD276" s="13"/>
      <c r="CF276" s="13"/>
      <c r="DY276" s="12"/>
      <c r="EA276" s="12"/>
      <c r="ES276" s="13"/>
      <c r="EU276" s="12"/>
      <c r="EY276" s="12"/>
      <c r="FF276" s="13"/>
      <c r="FJ276" s="13"/>
      <c r="FK276" s="13"/>
      <c r="GI276" s="13"/>
      <c r="GK276" s="13"/>
      <c r="GL276" s="12"/>
      <c r="HA276" s="12"/>
      <c r="HC276" s="12"/>
      <c r="HU276" s="13"/>
      <c r="HW276" s="12"/>
      <c r="IA276" s="12"/>
      <c r="IH276" s="13"/>
      <c r="IL276" s="13"/>
      <c r="IM276" s="13"/>
      <c r="JK276" s="13"/>
      <c r="JM276" s="13"/>
      <c r="JN276" s="12"/>
      <c r="LD276" s="12"/>
      <c r="LN276" s="13"/>
      <c r="LO276" s="12"/>
      <c r="MM276" s="13"/>
    </row>
    <row r="277" spans="21:384" ht="18" customHeight="1">
      <c r="U277" s="12"/>
      <c r="W277" s="12"/>
      <c r="AB277" s="12"/>
      <c r="AF277" s="13"/>
      <c r="AG277" s="12"/>
      <c r="AN277" s="13"/>
      <c r="AP277" s="14"/>
      <c r="AQ277" s="16"/>
      <c r="AT277" s="12"/>
      <c r="BA277" s="13"/>
      <c r="BE277" s="13"/>
      <c r="BF277" s="13"/>
      <c r="BG277" s="12"/>
      <c r="BL277" s="13"/>
      <c r="CD277" s="13"/>
      <c r="CF277" s="13"/>
      <c r="DY277" s="12"/>
      <c r="EA277" s="14"/>
      <c r="EB277" s="15"/>
      <c r="EC277" s="15"/>
      <c r="ED277" s="15"/>
      <c r="EE277" s="15"/>
      <c r="EF277" s="15"/>
      <c r="EG277" s="15"/>
      <c r="EH277" s="15"/>
      <c r="EI277" s="15"/>
      <c r="EJ277" s="15"/>
      <c r="EK277" s="15"/>
      <c r="EL277" s="15"/>
      <c r="EM277" s="15"/>
      <c r="EN277" s="15"/>
      <c r="EO277" s="15"/>
      <c r="EP277" s="15"/>
      <c r="EQ277" s="15"/>
      <c r="ER277" s="15"/>
      <c r="ES277" s="16"/>
      <c r="ET277" s="15"/>
      <c r="EU277" s="12"/>
      <c r="EY277" s="12"/>
      <c r="FF277" s="13"/>
      <c r="FJ277" s="13"/>
      <c r="FK277" s="13"/>
      <c r="GI277" s="13"/>
      <c r="GK277" s="13"/>
      <c r="GL277" s="12"/>
      <c r="HA277" s="12"/>
      <c r="HC277" s="14"/>
      <c r="HD277" s="15"/>
      <c r="HE277" s="15"/>
      <c r="HF277" s="15"/>
      <c r="HG277" s="15"/>
      <c r="HH277" s="15"/>
      <c r="HI277" s="15"/>
      <c r="HJ277" s="15"/>
      <c r="HK277" s="15"/>
      <c r="HL277" s="15"/>
      <c r="HM277" s="15"/>
      <c r="HN277" s="15"/>
      <c r="HO277" s="15"/>
      <c r="HP277" s="15"/>
      <c r="HQ277" s="15"/>
      <c r="HR277" s="15"/>
      <c r="HS277" s="15"/>
      <c r="HT277" s="15"/>
      <c r="HU277" s="16"/>
      <c r="HV277" s="15"/>
      <c r="HW277" s="12"/>
      <c r="IA277" s="12"/>
      <c r="IH277" s="13"/>
      <c r="IL277" s="13"/>
      <c r="IM277" s="13"/>
      <c r="JK277" s="13"/>
      <c r="JM277" s="13"/>
      <c r="JN277" s="12"/>
      <c r="LD277" s="12"/>
      <c r="LN277" s="13"/>
      <c r="LO277" s="12"/>
      <c r="MM277" s="13"/>
    </row>
    <row r="278" spans="21:384" ht="18" customHeight="1">
      <c r="U278" s="12"/>
      <c r="W278" s="12"/>
      <c r="AB278" s="12"/>
      <c r="AF278" s="13"/>
      <c r="AG278" s="12"/>
      <c r="AN278" s="13"/>
      <c r="AP278" s="12"/>
      <c r="AT278" s="12"/>
      <c r="BA278" s="13"/>
      <c r="BE278" s="13"/>
      <c r="BF278" s="13"/>
      <c r="BG278" s="12"/>
      <c r="BL278" s="13"/>
      <c r="CD278" s="13"/>
      <c r="CF278" s="13"/>
      <c r="DY278" s="12"/>
      <c r="EE278" s="97"/>
      <c r="EF278" s="97"/>
      <c r="EG278" s="97"/>
      <c r="EH278" s="97"/>
      <c r="ET278" s="10"/>
      <c r="EU278" s="12"/>
      <c r="EY278" s="12"/>
      <c r="FF278" s="13"/>
      <c r="FJ278" s="13"/>
      <c r="FK278" s="13"/>
      <c r="GI278" s="13"/>
      <c r="GK278" s="13"/>
      <c r="GL278" s="12"/>
      <c r="HA278" s="12"/>
      <c r="HG278" s="97"/>
      <c r="HH278" s="97"/>
      <c r="HI278" s="97"/>
      <c r="HJ278" s="97"/>
      <c r="HV278" s="10"/>
      <c r="HW278" s="12"/>
      <c r="IA278" s="12"/>
      <c r="IH278" s="13"/>
      <c r="IL278" s="13"/>
      <c r="IM278" s="13"/>
      <c r="JK278" s="13"/>
      <c r="JM278" s="13"/>
      <c r="JN278" s="12"/>
      <c r="LD278" s="12"/>
      <c r="LN278" s="13"/>
      <c r="LO278" s="12"/>
      <c r="MM278" s="13"/>
    </row>
    <row r="279" spans="21:384" ht="18" customHeight="1">
      <c r="U279" s="12"/>
      <c r="W279" s="12"/>
      <c r="AB279" s="12"/>
      <c r="AF279" s="13"/>
      <c r="AG279" s="12"/>
      <c r="AN279" s="13"/>
      <c r="AP279" s="9"/>
      <c r="AQ279" s="11"/>
      <c r="AT279" s="12"/>
      <c r="BA279" s="13"/>
      <c r="BE279" s="13"/>
      <c r="BF279" s="13"/>
      <c r="BG279" s="12"/>
      <c r="BL279" s="13"/>
      <c r="CD279" s="13"/>
      <c r="CF279" s="13"/>
      <c r="CG279" s="12"/>
      <c r="DY279" s="14"/>
      <c r="DZ279" s="15"/>
      <c r="EA279" s="15"/>
      <c r="EB279" s="15"/>
      <c r="EC279" s="15"/>
      <c r="ED279" s="15"/>
      <c r="EE279" s="60"/>
      <c r="EF279" s="60"/>
      <c r="EG279" s="97"/>
      <c r="EH279" s="60"/>
      <c r="EU279" s="12"/>
      <c r="EY279" s="12"/>
      <c r="FF279" s="13"/>
      <c r="FJ279" s="13"/>
      <c r="FK279" s="13"/>
      <c r="GI279" s="13"/>
      <c r="GK279" s="13"/>
      <c r="GL279" s="12"/>
      <c r="HA279" s="14"/>
      <c r="HB279" s="15"/>
      <c r="HC279" s="15"/>
      <c r="HD279" s="15"/>
      <c r="HE279" s="15"/>
      <c r="HF279" s="15"/>
      <c r="HG279" s="60"/>
      <c r="HH279" s="60"/>
      <c r="HI279" s="97"/>
      <c r="HJ279" s="60"/>
      <c r="HW279" s="12"/>
      <c r="IA279" s="12"/>
      <c r="IH279" s="13"/>
      <c r="IL279" s="13"/>
      <c r="IM279" s="13"/>
      <c r="JK279" s="13"/>
      <c r="JM279" s="13"/>
      <c r="JN279" s="12"/>
      <c r="LD279" s="14"/>
      <c r="LE279" s="15"/>
      <c r="LF279" s="15"/>
      <c r="LG279" s="15"/>
      <c r="LH279" s="15"/>
      <c r="LI279" s="15"/>
      <c r="LJ279" s="15"/>
      <c r="LK279" s="15"/>
      <c r="LL279" s="15"/>
      <c r="LM279" s="15"/>
      <c r="LN279" s="16"/>
      <c r="LO279" s="14"/>
      <c r="LP279" s="15"/>
      <c r="LQ279" s="15"/>
      <c r="LR279" s="15"/>
      <c r="LS279" s="15"/>
      <c r="LT279" s="15"/>
      <c r="LU279" s="15"/>
      <c r="LV279" s="15"/>
      <c r="LW279" s="15"/>
      <c r="LX279" s="15"/>
      <c r="LY279" s="15"/>
      <c r="LZ279" s="15"/>
      <c r="MA279" s="15"/>
      <c r="MB279" s="15"/>
      <c r="MC279" s="15"/>
      <c r="MD279" s="15"/>
      <c r="ME279" s="15"/>
      <c r="MF279" s="15"/>
      <c r="MG279" s="15"/>
      <c r="MH279" s="15"/>
      <c r="MI279" s="15"/>
      <c r="MJ279" s="15"/>
      <c r="MK279" s="15"/>
      <c r="ML279" s="15"/>
      <c r="MM279" s="16"/>
    </row>
    <row r="280" spans="21:384" ht="18" customHeight="1">
      <c r="U280" s="12"/>
      <c r="W280" s="14"/>
      <c r="X280" s="15"/>
      <c r="Y280" s="15"/>
      <c r="Z280" s="15"/>
      <c r="AA280" s="15"/>
      <c r="AB280" s="14"/>
      <c r="AC280" s="15"/>
      <c r="AD280" s="15"/>
      <c r="AE280" s="15"/>
      <c r="AF280" s="16"/>
      <c r="AG280" s="14"/>
      <c r="AH280" s="15"/>
      <c r="AI280" s="15"/>
      <c r="AJ280" s="15"/>
      <c r="AK280" s="15"/>
      <c r="AL280" s="15"/>
      <c r="AM280" s="15"/>
      <c r="AN280" s="16"/>
      <c r="AO280" s="15"/>
      <c r="AP280" s="12"/>
      <c r="AQ280" s="13"/>
      <c r="AT280" s="12"/>
      <c r="BA280" s="13"/>
      <c r="BE280" s="13"/>
      <c r="BF280" s="13"/>
      <c r="BG280" s="12"/>
      <c r="BL280" s="13"/>
      <c r="CD280" s="13"/>
      <c r="CF280" s="13"/>
      <c r="CG280" s="12"/>
      <c r="EE280" s="10"/>
      <c r="EF280" s="10"/>
      <c r="EG280" s="10"/>
      <c r="EH280" s="10"/>
      <c r="EI280" s="10"/>
      <c r="EJ280" s="10"/>
      <c r="EK280" s="10"/>
      <c r="EL280" s="10"/>
      <c r="EM280" s="10"/>
      <c r="EN280" s="10"/>
      <c r="EO280" s="10"/>
      <c r="EP280" s="10"/>
      <c r="EQ280" s="10"/>
      <c r="ER280" s="11"/>
      <c r="ES280" s="12"/>
      <c r="EU280" s="12"/>
      <c r="EY280" s="12"/>
      <c r="FF280" s="13"/>
      <c r="FJ280" s="13"/>
      <c r="FK280" s="13"/>
      <c r="GI280" s="13"/>
      <c r="GK280" s="13"/>
      <c r="GL280" s="12"/>
      <c r="HG280" s="10"/>
      <c r="HH280" s="10"/>
      <c r="HI280" s="10"/>
      <c r="HJ280" s="10"/>
      <c r="HK280" s="10"/>
      <c r="HL280" s="10"/>
      <c r="HM280" s="10"/>
      <c r="HN280" s="10"/>
      <c r="HO280" s="10"/>
      <c r="HP280" s="10"/>
      <c r="HQ280" s="10"/>
      <c r="HR280" s="10"/>
      <c r="HS280" s="10"/>
      <c r="HT280" s="11"/>
      <c r="HU280" s="12"/>
      <c r="HW280" s="12"/>
      <c r="IA280" s="12"/>
      <c r="IH280" s="13"/>
      <c r="IL280" s="13"/>
      <c r="IM280" s="13"/>
      <c r="JK280" s="13"/>
      <c r="JM280" s="13"/>
      <c r="JN280" s="12"/>
    </row>
    <row r="281" spans="21:384" ht="18" customHeight="1">
      <c r="U281" s="12"/>
      <c r="AI281" s="10"/>
      <c r="AJ281" s="10"/>
      <c r="AK281" s="10"/>
      <c r="AL281" s="10"/>
      <c r="AM281" s="10"/>
      <c r="AN281" s="10"/>
      <c r="AO281" s="10"/>
      <c r="AP281" s="12"/>
      <c r="AQ281" s="13"/>
      <c r="AT281" s="12"/>
      <c r="BA281" s="13"/>
      <c r="BE281" s="13"/>
      <c r="BF281" s="13"/>
      <c r="BG281" s="12"/>
      <c r="BL281" s="13"/>
      <c r="CD281" s="13"/>
      <c r="CF281" s="13"/>
      <c r="CG281" s="12"/>
      <c r="ES281" s="12"/>
      <c r="EU281" s="12"/>
      <c r="EY281" s="12"/>
      <c r="FF281" s="13"/>
      <c r="FJ281" s="13"/>
      <c r="FK281" s="13"/>
      <c r="GI281" s="13"/>
      <c r="GK281" s="13"/>
      <c r="GL281" s="12"/>
      <c r="HU281" s="12"/>
      <c r="HW281" s="12"/>
      <c r="IA281" s="12"/>
      <c r="IH281" s="13"/>
      <c r="IL281" s="13"/>
      <c r="IM281" s="13"/>
      <c r="JK281" s="13"/>
      <c r="JM281" s="13"/>
      <c r="JN281" s="12"/>
    </row>
    <row r="282" spans="21:384" ht="18" customHeight="1">
      <c r="U282" s="14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G282" s="15"/>
      <c r="AP282" s="12"/>
      <c r="AQ282" s="13"/>
      <c r="AT282" s="12"/>
      <c r="BA282" s="13"/>
      <c r="BE282" s="13"/>
      <c r="BF282" s="13"/>
      <c r="BG282" s="12"/>
      <c r="BL282" s="13"/>
      <c r="CD282" s="13"/>
      <c r="CF282" s="13"/>
      <c r="CG282" s="12"/>
      <c r="ES282" s="12"/>
      <c r="EU282" s="12"/>
      <c r="EY282" s="12"/>
      <c r="FF282" s="13"/>
      <c r="FJ282" s="13"/>
      <c r="FK282" s="13"/>
      <c r="GI282" s="13"/>
      <c r="GK282" s="13"/>
      <c r="GL282" s="12"/>
      <c r="HU282" s="12"/>
      <c r="HW282" s="12"/>
      <c r="IA282" s="12"/>
      <c r="IH282" s="13"/>
      <c r="IL282" s="13"/>
      <c r="IM282" s="13"/>
      <c r="JK282" s="13"/>
      <c r="JM282" s="13"/>
      <c r="JN282" s="12"/>
    </row>
    <row r="283" spans="21:384" ht="18" customHeight="1">
      <c r="AD283" s="10"/>
      <c r="AE283" s="10"/>
      <c r="AF283" s="10"/>
      <c r="AG283" s="10"/>
      <c r="AH283" s="10"/>
      <c r="AI283" s="10"/>
      <c r="AJ283" s="10"/>
      <c r="AK283" s="10"/>
      <c r="AL283" s="10"/>
      <c r="AM283" s="11"/>
      <c r="AN283" s="12"/>
      <c r="AP283" s="12"/>
      <c r="AQ283" s="13"/>
      <c r="AT283" s="12"/>
      <c r="BA283" s="13"/>
      <c r="BE283" s="13"/>
      <c r="BF283" s="13"/>
      <c r="BG283" s="12"/>
      <c r="BL283" s="13"/>
      <c r="CD283" s="13"/>
      <c r="CF283" s="13"/>
      <c r="CG283" s="12"/>
      <c r="ES283" s="12"/>
      <c r="EU283" s="12"/>
      <c r="EY283" s="12"/>
      <c r="FF283" s="13"/>
      <c r="FJ283" s="13"/>
      <c r="FK283" s="13"/>
      <c r="GI283" s="13"/>
      <c r="GK283" s="13"/>
      <c r="GL283" s="12"/>
      <c r="HU283" s="12"/>
      <c r="HW283" s="12"/>
      <c r="IA283" s="12"/>
      <c r="IH283" s="13"/>
      <c r="IL283" s="13"/>
      <c r="IM283" s="13"/>
      <c r="JK283" s="13"/>
      <c r="JM283" s="13"/>
      <c r="JN283" s="12"/>
    </row>
    <row r="284" spans="21:384" ht="18" customHeight="1">
      <c r="AN284" s="12"/>
      <c r="AP284" s="14"/>
      <c r="AQ284" s="16"/>
      <c r="AT284" s="12"/>
      <c r="BA284" s="13"/>
      <c r="BE284" s="13"/>
      <c r="BF284" s="13"/>
      <c r="BG284" s="14"/>
      <c r="BH284" s="15"/>
      <c r="BI284" s="15"/>
      <c r="BJ284" s="15"/>
      <c r="BK284" s="15"/>
      <c r="BL284" s="16"/>
      <c r="CD284" s="13"/>
      <c r="CF284" s="13"/>
      <c r="CG284" s="12"/>
      <c r="ES284" s="12"/>
      <c r="EU284" s="12"/>
      <c r="EY284" s="12"/>
      <c r="FF284" s="13"/>
      <c r="FJ284" s="13"/>
      <c r="FK284" s="13"/>
      <c r="GI284" s="13"/>
      <c r="GK284" s="13"/>
      <c r="GL284" s="12"/>
      <c r="HU284" s="12"/>
      <c r="HW284" s="12"/>
      <c r="IA284" s="12"/>
      <c r="IH284" s="13"/>
      <c r="IL284" s="13"/>
      <c r="IM284" s="13"/>
      <c r="JK284" s="13"/>
      <c r="JM284" s="13"/>
      <c r="JN284" s="12"/>
      <c r="LS284" s="9"/>
      <c r="LT284" s="10"/>
      <c r="LU284" s="10"/>
      <c r="LV284" s="10"/>
      <c r="LW284" s="10"/>
      <c r="LX284" s="10"/>
      <c r="LY284" s="10"/>
      <c r="LZ284" s="10"/>
      <c r="MA284" s="10"/>
      <c r="MB284" s="10"/>
      <c r="MC284" s="10"/>
      <c r="MD284" s="10"/>
      <c r="ME284" s="10"/>
      <c r="MF284" s="10"/>
      <c r="MG284" s="10"/>
      <c r="MH284" s="10"/>
      <c r="MI284" s="10"/>
      <c r="MJ284" s="10"/>
      <c r="MK284" s="10"/>
      <c r="ML284" s="10"/>
      <c r="MM284" s="10"/>
      <c r="MN284" s="10"/>
      <c r="MO284" s="10"/>
      <c r="MP284" s="10"/>
      <c r="MQ284" s="10"/>
      <c r="MR284" s="10"/>
      <c r="MS284" s="10"/>
      <c r="MT284" s="10"/>
      <c r="MU284" s="10"/>
      <c r="MV284" s="10"/>
      <c r="MW284" s="10"/>
      <c r="MX284" s="10"/>
      <c r="MY284" s="10"/>
      <c r="MZ284" s="10"/>
      <c r="NA284" s="10"/>
      <c r="NB284" s="10"/>
      <c r="NC284" s="10"/>
      <c r="ND284" s="10"/>
      <c r="NE284" s="10"/>
      <c r="NF284" s="10"/>
      <c r="NG284" s="10"/>
      <c r="NH284" s="10"/>
      <c r="NI284" s="10"/>
      <c r="NJ284" s="10"/>
      <c r="NK284" s="10"/>
      <c r="NL284" s="10"/>
      <c r="NM284" s="10"/>
      <c r="NN284" s="10"/>
      <c r="NO284" s="10"/>
      <c r="NP284" s="10"/>
      <c r="NQ284" s="10"/>
      <c r="NR284" s="10"/>
      <c r="NS284" s="10"/>
      <c r="NT284" s="11"/>
    </row>
    <row r="285" spans="21:384" ht="18" customHeight="1">
      <c r="AN285" s="12"/>
      <c r="AP285" s="12"/>
      <c r="AT285" s="12"/>
      <c r="BA285" s="13"/>
      <c r="BE285" s="13"/>
      <c r="BF285" s="13"/>
      <c r="CD285" s="13"/>
      <c r="CF285" s="13"/>
      <c r="CG285" s="12"/>
      <c r="ES285" s="12"/>
      <c r="EU285" s="12"/>
      <c r="EY285" s="12"/>
      <c r="FF285" s="13"/>
      <c r="FJ285" s="13"/>
      <c r="FK285" s="13"/>
      <c r="GI285" s="13"/>
      <c r="GK285" s="13"/>
      <c r="GL285" s="12"/>
      <c r="HT285" s="49"/>
      <c r="HU285" s="12"/>
      <c r="HW285" s="12"/>
      <c r="IA285" s="12"/>
      <c r="IH285" s="13"/>
      <c r="IL285" s="13"/>
      <c r="IM285" s="13"/>
      <c r="JK285" s="13"/>
      <c r="JM285" s="13"/>
      <c r="JN285" s="214"/>
      <c r="LS285" s="12"/>
      <c r="LT285" s="9"/>
      <c r="LU285" s="10"/>
      <c r="LV285" s="10"/>
      <c r="LW285" s="10"/>
      <c r="LX285" s="10"/>
      <c r="LY285" s="10"/>
      <c r="LZ285" s="10"/>
      <c r="MA285" s="10"/>
      <c r="MB285" s="10"/>
      <c r="MC285" s="10"/>
      <c r="MD285" s="10"/>
      <c r="ME285" s="10"/>
      <c r="MF285" s="10"/>
      <c r="MG285" s="10"/>
      <c r="MH285" s="10"/>
      <c r="MI285" s="10"/>
      <c r="MJ285" s="10"/>
      <c r="MK285" s="10"/>
      <c r="ML285" s="10"/>
      <c r="MM285" s="10"/>
      <c r="MN285" s="10"/>
      <c r="MO285" s="10"/>
      <c r="MP285" s="10"/>
      <c r="MQ285" s="11"/>
      <c r="MS285" s="9"/>
      <c r="MT285" s="10"/>
      <c r="MU285" s="10"/>
      <c r="MV285" s="10"/>
      <c r="MW285" s="10"/>
      <c r="MX285" s="10"/>
      <c r="MY285" s="10"/>
      <c r="MZ285" s="10"/>
      <c r="NA285" s="10"/>
      <c r="NB285" s="10"/>
      <c r="NC285" s="10"/>
      <c r="ND285" s="10"/>
      <c r="NE285" s="10"/>
      <c r="NF285" s="10"/>
      <c r="NG285" s="10"/>
      <c r="NH285" s="10"/>
      <c r="NI285" s="9"/>
      <c r="NJ285" s="9"/>
      <c r="NK285" s="10"/>
      <c r="NL285" s="10"/>
      <c r="NM285" s="10"/>
      <c r="NN285" s="10"/>
      <c r="NO285" s="10"/>
      <c r="NP285" s="10"/>
      <c r="NQ285" s="10"/>
      <c r="NR285" s="10"/>
      <c r="NS285" s="11"/>
      <c r="NT285" s="13"/>
    </row>
    <row r="286" spans="21:384" ht="18" customHeight="1">
      <c r="AN286" s="12"/>
      <c r="AP286" s="12"/>
      <c r="AT286" s="12"/>
      <c r="BA286" s="13"/>
      <c r="BE286" s="13"/>
      <c r="BF286" s="13"/>
      <c r="CD286" s="13"/>
      <c r="CF286" s="13"/>
      <c r="CG286" s="12"/>
      <c r="ES286" s="12"/>
      <c r="EU286" s="12"/>
      <c r="EY286" s="12"/>
      <c r="FG286" s="10"/>
      <c r="FH286" s="10"/>
      <c r="FI286" s="10"/>
      <c r="FJ286" s="10"/>
      <c r="FK286" s="10"/>
      <c r="GI286" s="13"/>
      <c r="GK286" s="13"/>
      <c r="GL286" s="12"/>
      <c r="HT286" s="49"/>
      <c r="HU286" s="12"/>
      <c r="HW286" s="12"/>
      <c r="IA286" s="12"/>
      <c r="II286" s="10"/>
      <c r="IJ286" s="10"/>
      <c r="IK286" s="10"/>
      <c r="IL286" s="10"/>
      <c r="IM286" s="10"/>
      <c r="JK286" s="13"/>
      <c r="JM286" s="13"/>
      <c r="JN286" s="214"/>
      <c r="LS286" s="12"/>
      <c r="LT286" s="12"/>
      <c r="MQ286" s="13"/>
      <c r="MS286" s="12"/>
      <c r="NI286" s="12"/>
      <c r="NJ286" s="12"/>
      <c r="NS286" s="13"/>
      <c r="NT286" s="13"/>
    </row>
    <row r="287" spans="21:384" ht="18" customHeight="1">
      <c r="AN287" s="12"/>
      <c r="AP287" s="12"/>
      <c r="AT287" s="12"/>
      <c r="BA287" s="13"/>
      <c r="BE287" s="13"/>
      <c r="BF287" s="13"/>
      <c r="CD287" s="13"/>
      <c r="CF287" s="13"/>
      <c r="CG287" s="12"/>
      <c r="ES287" s="12"/>
      <c r="EU287" s="12"/>
      <c r="EY287" s="12"/>
      <c r="GI287" s="13"/>
      <c r="GK287" s="13"/>
      <c r="GL287" s="12"/>
      <c r="HT287" s="49"/>
      <c r="HU287" s="12"/>
      <c r="HW287" s="12"/>
      <c r="IA287" s="12"/>
      <c r="JK287" s="13"/>
      <c r="JM287" s="13"/>
      <c r="JN287" s="214"/>
      <c r="LS287" s="12"/>
      <c r="LT287" s="12"/>
      <c r="MQ287" s="13"/>
      <c r="MS287" s="12"/>
      <c r="NI287" s="12"/>
      <c r="NJ287" s="12"/>
      <c r="NS287" s="13"/>
      <c r="NT287" s="13"/>
    </row>
    <row r="288" spans="21:384" ht="18" customHeight="1">
      <c r="AN288" s="12"/>
      <c r="AP288" s="12"/>
      <c r="AT288" s="12"/>
      <c r="BA288" s="13"/>
      <c r="BE288" s="13"/>
      <c r="BF288" s="13"/>
      <c r="CD288" s="13"/>
      <c r="CF288" s="13"/>
      <c r="CG288" s="12"/>
      <c r="ES288" s="12"/>
      <c r="EU288" s="12"/>
      <c r="EY288" s="12"/>
      <c r="GI288" s="13"/>
      <c r="GK288" s="13"/>
      <c r="GL288" s="12"/>
      <c r="HT288" s="49"/>
      <c r="HU288" s="12"/>
      <c r="HW288" s="12"/>
      <c r="IA288" s="12"/>
      <c r="JK288" s="13"/>
      <c r="JM288" s="13"/>
      <c r="JN288" s="214"/>
      <c r="LS288" s="12"/>
      <c r="LT288" s="12"/>
      <c r="MQ288" s="13"/>
      <c r="MS288" s="12"/>
      <c r="NI288" s="12"/>
      <c r="NJ288" s="12"/>
      <c r="NS288" s="13"/>
      <c r="NT288" s="13"/>
    </row>
    <row r="289" spans="40:384" ht="18" customHeight="1">
      <c r="AN289" s="12"/>
      <c r="AP289" s="12"/>
      <c r="AT289" s="12"/>
      <c r="BB289" s="10"/>
      <c r="BC289" s="10"/>
      <c r="BD289" s="10"/>
      <c r="BE289" s="10"/>
      <c r="BF289" s="10"/>
      <c r="CD289" s="13"/>
      <c r="CF289" s="13"/>
      <c r="CG289" s="12"/>
      <c r="ES289" s="12"/>
      <c r="EU289" s="12"/>
      <c r="EY289" s="12"/>
      <c r="GI289" s="13"/>
      <c r="GK289" s="13"/>
      <c r="GL289" s="12"/>
      <c r="HT289" s="49"/>
      <c r="HU289" s="12"/>
      <c r="HW289" s="12"/>
      <c r="IA289" s="12"/>
      <c r="JK289" s="13"/>
      <c r="JM289" s="13"/>
      <c r="JN289" s="214"/>
      <c r="LS289" s="12"/>
      <c r="LT289" s="12"/>
      <c r="MQ289" s="13"/>
      <c r="MS289" s="12"/>
      <c r="NI289" s="12"/>
      <c r="NJ289" s="12"/>
      <c r="NS289" s="13"/>
      <c r="NT289" s="13"/>
    </row>
    <row r="290" spans="40:384" ht="18" customHeight="1">
      <c r="AN290" s="12"/>
      <c r="AP290" s="12"/>
      <c r="AT290" s="12"/>
      <c r="CD290" s="13"/>
      <c r="CF290" s="13"/>
      <c r="CG290" s="12"/>
      <c r="ES290" s="12"/>
      <c r="EU290" s="12"/>
      <c r="EY290" s="12"/>
      <c r="GI290" s="13"/>
      <c r="GK290" s="13"/>
      <c r="GL290" s="12"/>
      <c r="HT290" s="49"/>
      <c r="HU290" s="12"/>
      <c r="HW290" s="12"/>
      <c r="IA290" s="12"/>
      <c r="JK290" s="13"/>
      <c r="JM290" s="13"/>
      <c r="JN290" s="214"/>
      <c r="LS290" s="12"/>
      <c r="LT290" s="12"/>
      <c r="MQ290" s="13"/>
      <c r="MS290" s="12"/>
      <c r="NI290" s="12"/>
      <c r="NJ290" s="12"/>
      <c r="NS290" s="13"/>
      <c r="NT290" s="13"/>
    </row>
    <row r="291" spans="40:384" ht="18" customHeight="1">
      <c r="AN291" s="12"/>
      <c r="AP291" s="12"/>
      <c r="AT291" s="12"/>
      <c r="CD291" s="13"/>
      <c r="CF291" s="13"/>
      <c r="CG291" s="12"/>
      <c r="ES291" s="12"/>
      <c r="EU291" s="12"/>
      <c r="EY291" s="12"/>
      <c r="GI291" s="13"/>
      <c r="GK291" s="13"/>
      <c r="GL291" s="12"/>
      <c r="HU291" s="12"/>
      <c r="HW291" s="12"/>
      <c r="IA291" s="12"/>
      <c r="JK291" s="13"/>
      <c r="JM291" s="13"/>
      <c r="JN291" s="12"/>
      <c r="LS291" s="12"/>
      <c r="LT291" s="12"/>
      <c r="MQ291" s="13"/>
      <c r="MS291" s="12"/>
      <c r="NI291" s="12"/>
      <c r="NJ291" s="12"/>
      <c r="NS291" s="13"/>
      <c r="NT291" s="13"/>
    </row>
    <row r="292" spans="40:384" ht="18" customHeight="1">
      <c r="AN292" s="12"/>
      <c r="AP292" s="12"/>
      <c r="AT292" s="12"/>
      <c r="CD292" s="13"/>
      <c r="CF292" s="13"/>
      <c r="CG292" s="12"/>
      <c r="ES292" s="96"/>
      <c r="ET292" s="97"/>
      <c r="EU292" s="12"/>
      <c r="EX292" s="13"/>
      <c r="EY292" s="12"/>
      <c r="GI292" s="13"/>
      <c r="GJ292" s="97"/>
      <c r="GK292" s="98"/>
      <c r="GL292" s="12"/>
      <c r="HU292" s="96"/>
      <c r="HV292" s="97"/>
      <c r="HW292" s="12"/>
      <c r="HZ292" s="13"/>
      <c r="IA292" s="12"/>
      <c r="JK292" s="13"/>
      <c r="JL292" s="97"/>
      <c r="JM292" s="98"/>
      <c r="JN292" s="12"/>
      <c r="LS292" s="12"/>
      <c r="LT292" s="12"/>
      <c r="MQ292" s="13"/>
      <c r="MS292" s="12"/>
      <c r="NI292" s="12"/>
      <c r="NJ292" s="12"/>
      <c r="NS292" s="13"/>
      <c r="NT292" s="13"/>
    </row>
    <row r="293" spans="40:384" ht="18" customHeight="1">
      <c r="AN293" s="12"/>
      <c r="AP293" s="12"/>
      <c r="AT293" s="12"/>
      <c r="CD293" s="13"/>
      <c r="CF293" s="13"/>
      <c r="CG293" s="12"/>
      <c r="ES293" s="96"/>
      <c r="ET293" s="97"/>
      <c r="EU293" s="14"/>
      <c r="EV293" s="15"/>
      <c r="EW293" s="15"/>
      <c r="EX293" s="16"/>
      <c r="EY293" s="15"/>
      <c r="EZ293" s="15"/>
      <c r="FA293" s="15"/>
      <c r="FB293" s="15"/>
      <c r="FC293" s="15"/>
      <c r="FD293" s="15"/>
      <c r="FE293" s="15"/>
      <c r="FF293" s="15"/>
      <c r="FG293" s="15"/>
      <c r="FH293" s="15"/>
      <c r="FI293" s="15"/>
      <c r="FJ293" s="15"/>
      <c r="FK293" s="15"/>
      <c r="FL293" s="15"/>
      <c r="FM293" s="15"/>
      <c r="FN293" s="15"/>
      <c r="FO293" s="15"/>
      <c r="FP293" s="15"/>
      <c r="FQ293" s="15"/>
      <c r="FR293" s="15"/>
      <c r="FS293" s="15"/>
      <c r="FT293" s="15"/>
      <c r="FU293" s="15"/>
      <c r="FV293" s="15"/>
      <c r="FW293" s="15"/>
      <c r="FX293" s="15"/>
      <c r="FY293" s="15"/>
      <c r="FZ293" s="15"/>
      <c r="GA293" s="15"/>
      <c r="GB293" s="15"/>
      <c r="GC293" s="15"/>
      <c r="GD293" s="15"/>
      <c r="GE293" s="15"/>
      <c r="GF293" s="15"/>
      <c r="GG293" s="15"/>
      <c r="GH293" s="15"/>
      <c r="GI293" s="16"/>
      <c r="GJ293" s="97"/>
      <c r="GK293" s="98"/>
      <c r="GL293" s="12"/>
      <c r="HU293" s="96"/>
      <c r="HV293" s="97"/>
      <c r="HW293" s="14"/>
      <c r="HX293" s="15"/>
      <c r="HY293" s="15"/>
      <c r="HZ293" s="16"/>
      <c r="IA293" s="15"/>
      <c r="IB293" s="15"/>
      <c r="IC293" s="15"/>
      <c r="ID293" s="15"/>
      <c r="IE293" s="15"/>
      <c r="IF293" s="15"/>
      <c r="IG293" s="15"/>
      <c r="IH293" s="15"/>
      <c r="II293" s="15"/>
      <c r="IJ293" s="15"/>
      <c r="IK293" s="15"/>
      <c r="IL293" s="15"/>
      <c r="IM293" s="15"/>
      <c r="IN293" s="15"/>
      <c r="IO293" s="15"/>
      <c r="IP293" s="15"/>
      <c r="IQ293" s="15"/>
      <c r="IR293" s="15"/>
      <c r="IS293" s="15"/>
      <c r="IT293" s="15"/>
      <c r="IU293" s="15"/>
      <c r="IV293" s="15"/>
      <c r="IW293" s="15"/>
      <c r="IX293" s="15"/>
      <c r="IY293" s="15"/>
      <c r="IZ293" s="15"/>
      <c r="JA293" s="15"/>
      <c r="JB293" s="15"/>
      <c r="JC293" s="15"/>
      <c r="JD293" s="15"/>
      <c r="JE293" s="15"/>
      <c r="JF293" s="15"/>
      <c r="JG293" s="15"/>
      <c r="JH293" s="15"/>
      <c r="JI293" s="15"/>
      <c r="JJ293" s="15"/>
      <c r="JK293" s="16"/>
      <c r="JL293" s="97"/>
      <c r="JM293" s="98"/>
      <c r="JN293" s="12"/>
      <c r="LS293" s="12"/>
      <c r="LT293" s="12"/>
      <c r="MQ293" s="13"/>
      <c r="MS293" s="12"/>
      <c r="NI293" s="12"/>
      <c r="NJ293" s="12"/>
      <c r="NS293" s="13"/>
      <c r="NT293" s="13"/>
    </row>
    <row r="294" spans="40:384" ht="18" customHeight="1">
      <c r="AN294" s="12"/>
      <c r="AP294" s="12"/>
      <c r="AT294" s="12"/>
      <c r="CD294" s="13"/>
      <c r="CF294" s="13"/>
      <c r="CG294" s="12"/>
      <c r="ES294" s="96"/>
      <c r="ET294" s="97"/>
      <c r="FI294" s="97"/>
      <c r="FJ294" s="97"/>
      <c r="FK294" s="97"/>
      <c r="FL294" s="97"/>
      <c r="GJ294" s="97"/>
      <c r="GK294" s="98"/>
      <c r="GL294" s="12"/>
      <c r="HU294" s="96"/>
      <c r="HV294" s="97"/>
      <c r="IK294" s="97"/>
      <c r="IL294" s="97"/>
      <c r="IM294" s="97"/>
      <c r="IN294" s="97"/>
      <c r="JE294" s="127"/>
      <c r="JF294" s="127"/>
      <c r="JG294" s="127"/>
      <c r="JH294" s="127"/>
      <c r="JI294" s="127"/>
      <c r="JJ294" s="127"/>
      <c r="JL294" s="97"/>
      <c r="JM294" s="98"/>
      <c r="JN294" s="12"/>
      <c r="LS294" s="12"/>
      <c r="LT294" s="12"/>
      <c r="MQ294" s="13"/>
      <c r="MS294" s="14"/>
      <c r="MT294" s="15"/>
      <c r="MU294" s="15"/>
      <c r="MV294" s="15"/>
      <c r="MW294" s="15"/>
      <c r="MX294" s="15"/>
      <c r="MY294" s="15"/>
      <c r="MZ294" s="15"/>
      <c r="NA294" s="15"/>
      <c r="NB294" s="15"/>
      <c r="NC294" s="15"/>
      <c r="ND294" s="15"/>
      <c r="NE294" s="15"/>
      <c r="NF294" s="15"/>
      <c r="NG294" s="15"/>
      <c r="NH294" s="15"/>
      <c r="NI294" s="14"/>
      <c r="NJ294" s="14"/>
      <c r="NK294" s="15"/>
      <c r="NL294" s="15"/>
      <c r="NM294" s="15"/>
      <c r="NN294" s="15"/>
      <c r="NO294" s="15"/>
      <c r="NP294" s="15"/>
      <c r="NQ294" s="15"/>
      <c r="NR294" s="15"/>
      <c r="NS294" s="16"/>
      <c r="NT294" s="13"/>
    </row>
    <row r="295" spans="40:384" ht="18" customHeight="1">
      <c r="AN295" s="12"/>
      <c r="AP295" s="12"/>
      <c r="AS295" s="13"/>
      <c r="AT295" s="12"/>
      <c r="CD295" s="13"/>
      <c r="CF295" s="13"/>
      <c r="CG295" s="12"/>
      <c r="ES295" s="59"/>
      <c r="ET295" s="60"/>
      <c r="EU295" s="15"/>
      <c r="EV295" s="15"/>
      <c r="EW295" s="15"/>
      <c r="EY295" s="15"/>
      <c r="FA295" s="15"/>
      <c r="FI295" s="97"/>
      <c r="FJ295" s="97"/>
      <c r="FK295" s="97"/>
      <c r="FL295" s="97"/>
      <c r="GJ295" s="97"/>
      <c r="GK295" s="98"/>
      <c r="GL295" s="12"/>
      <c r="HU295" s="59"/>
      <c r="HV295" s="60"/>
      <c r="HW295" s="15"/>
      <c r="HX295" s="15"/>
      <c r="HY295" s="15"/>
      <c r="IA295" s="15"/>
      <c r="IC295" s="15"/>
      <c r="IK295" s="97"/>
      <c r="IL295" s="97"/>
      <c r="IM295" s="97"/>
      <c r="IN295" s="97"/>
      <c r="JL295" s="97"/>
      <c r="JM295" s="98"/>
      <c r="JN295" s="12"/>
      <c r="LS295" s="12"/>
      <c r="LT295" s="12"/>
      <c r="MQ295" s="13"/>
      <c r="MS295" s="14"/>
      <c r="MT295" s="15"/>
      <c r="MU295" s="15"/>
      <c r="MV295" s="15"/>
      <c r="MW295" s="15"/>
      <c r="MX295" s="15"/>
      <c r="MY295" s="15"/>
      <c r="MZ295" s="15"/>
      <c r="NA295" s="15"/>
      <c r="NB295" s="15"/>
      <c r="NC295" s="15"/>
      <c r="ND295" s="15"/>
      <c r="NE295" s="15"/>
      <c r="NF295" s="15"/>
      <c r="NG295" s="15"/>
      <c r="NH295" s="15"/>
      <c r="NI295" s="15"/>
      <c r="NJ295" s="15"/>
      <c r="NK295" s="15"/>
      <c r="NL295" s="15"/>
      <c r="NM295" s="15"/>
      <c r="NN295" s="15"/>
      <c r="NO295" s="15"/>
      <c r="NP295" s="15"/>
      <c r="NQ295" s="15"/>
      <c r="NR295" s="15"/>
      <c r="NS295" s="16"/>
      <c r="NT295" s="13"/>
    </row>
    <row r="296" spans="40:384" ht="18" customHeight="1">
      <c r="AN296" s="12"/>
      <c r="AP296" s="14"/>
      <c r="AQ296" s="15"/>
      <c r="AR296" s="15"/>
      <c r="AS296" s="16"/>
      <c r="AT296" s="15"/>
      <c r="AU296" s="15"/>
      <c r="AV296" s="15"/>
      <c r="AW296" s="15"/>
      <c r="AX296" s="15"/>
      <c r="AY296" s="15"/>
      <c r="AZ296" s="15"/>
      <c r="BA296" s="15"/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  <c r="BL296" s="15"/>
      <c r="BM296" s="15"/>
      <c r="BN296" s="15"/>
      <c r="BO296" s="15"/>
      <c r="BP296" s="15"/>
      <c r="BQ296" s="15"/>
      <c r="BR296" s="15"/>
      <c r="BS296" s="15"/>
      <c r="BT296" s="15"/>
      <c r="BU296" s="15"/>
      <c r="BV296" s="15"/>
      <c r="BW296" s="15"/>
      <c r="BX296" s="15"/>
      <c r="BY296" s="15"/>
      <c r="BZ296" s="15"/>
      <c r="CA296" s="15"/>
      <c r="CB296" s="15"/>
      <c r="CC296" s="15"/>
      <c r="CD296" s="16"/>
      <c r="CF296" s="13"/>
      <c r="CG296" s="12"/>
      <c r="ES296" s="10"/>
      <c r="ET296" s="10"/>
      <c r="EU296" s="10"/>
      <c r="EV296" s="10"/>
      <c r="EW296" s="10"/>
      <c r="EX296" s="10"/>
      <c r="EY296" s="10"/>
      <c r="EZ296" s="10"/>
      <c r="FA296" s="10"/>
      <c r="FB296" s="10"/>
      <c r="FC296" s="10"/>
      <c r="FD296" s="10"/>
      <c r="FE296" s="10"/>
      <c r="FF296" s="10"/>
      <c r="FG296" s="10"/>
      <c r="FH296" s="10"/>
      <c r="FI296" s="10"/>
      <c r="FJ296" s="10"/>
      <c r="FK296" s="10"/>
      <c r="FL296" s="10"/>
      <c r="FM296" s="10"/>
      <c r="FN296" s="10"/>
      <c r="FO296" s="10"/>
      <c r="FP296" s="10"/>
      <c r="FQ296" s="10"/>
      <c r="FR296" s="10"/>
      <c r="FS296" s="10"/>
      <c r="FT296" s="10"/>
      <c r="FU296" s="10"/>
      <c r="FV296" s="10"/>
      <c r="FW296" s="10"/>
      <c r="FX296" s="10"/>
      <c r="FY296" s="10"/>
      <c r="FZ296" s="10"/>
      <c r="GA296" s="10"/>
      <c r="GB296" s="10"/>
      <c r="GC296" s="10"/>
      <c r="GD296" s="10"/>
      <c r="GE296" s="10"/>
      <c r="GF296" s="10"/>
      <c r="GG296" s="10"/>
      <c r="GH296" s="10"/>
      <c r="GI296" s="10"/>
      <c r="GJ296" s="10"/>
      <c r="GK296" s="10"/>
      <c r="HU296" s="10"/>
      <c r="HV296" s="10"/>
      <c r="HW296" s="10"/>
      <c r="HX296" s="10"/>
      <c r="HY296" s="10"/>
      <c r="HZ296" s="10"/>
      <c r="IA296" s="10"/>
      <c r="IB296" s="10"/>
      <c r="IC296" s="141"/>
      <c r="ID296" s="141"/>
      <c r="IE296" s="141"/>
      <c r="IF296" s="141"/>
      <c r="IG296" s="10"/>
      <c r="IH296" s="10"/>
      <c r="II296" s="10"/>
      <c r="IJ296" s="10"/>
      <c r="IK296" s="10"/>
      <c r="IL296" s="10"/>
      <c r="IM296" s="10"/>
      <c r="IN296" s="10"/>
      <c r="IO296" s="10"/>
      <c r="IP296" s="10"/>
      <c r="IQ296" s="10"/>
      <c r="IR296" s="10"/>
      <c r="IS296" s="141"/>
      <c r="IT296" s="141"/>
      <c r="IU296" s="141"/>
      <c r="IV296" s="141"/>
      <c r="IW296" s="141"/>
      <c r="IX296" s="10"/>
      <c r="IY296" s="10"/>
      <c r="IZ296" s="10"/>
      <c r="JA296" s="10"/>
      <c r="JB296" s="10"/>
      <c r="JC296" s="10"/>
      <c r="JD296" s="10"/>
      <c r="JE296" s="10"/>
      <c r="JF296" s="10"/>
      <c r="JG296" s="10"/>
      <c r="JH296" s="10"/>
      <c r="JI296" s="10"/>
      <c r="JJ296" s="10"/>
      <c r="JK296" s="10"/>
      <c r="JL296" s="10"/>
      <c r="JM296" s="10"/>
      <c r="LS296" s="12"/>
      <c r="LT296" s="12"/>
      <c r="MQ296" s="13"/>
      <c r="MS296" s="12"/>
      <c r="NH296" s="13"/>
      <c r="NI296" s="13"/>
      <c r="NT296" s="13"/>
    </row>
    <row r="297" spans="40:384" ht="18" customHeight="1">
      <c r="AN297" s="12"/>
      <c r="BL297" s="20"/>
      <c r="BM297" s="21"/>
      <c r="BN297" s="21"/>
      <c r="BO297" s="21"/>
      <c r="BP297" s="21"/>
      <c r="BQ297" s="22"/>
      <c r="CF297" s="13"/>
      <c r="CG297" s="12"/>
      <c r="LS297" s="12"/>
      <c r="LT297" s="12"/>
      <c r="MQ297" s="13"/>
      <c r="MS297" s="12"/>
      <c r="NH297" s="13"/>
      <c r="NI297" s="13"/>
      <c r="NT297" s="13"/>
    </row>
    <row r="298" spans="40:384" ht="18" customHeight="1">
      <c r="AN298" s="14"/>
      <c r="AO298" s="15"/>
      <c r="AP298" s="15"/>
      <c r="AQ298" s="15"/>
      <c r="AR298" s="15"/>
      <c r="AT298" s="15"/>
      <c r="AV298" s="15"/>
      <c r="BL298" s="9"/>
      <c r="BM298" s="10"/>
      <c r="BN298" s="10"/>
      <c r="BO298" s="10"/>
      <c r="BP298" s="10"/>
      <c r="BQ298" s="11"/>
      <c r="CF298" s="13"/>
      <c r="CG298" s="12"/>
      <c r="LS298" s="12"/>
      <c r="LT298" s="12"/>
      <c r="MQ298" s="13"/>
      <c r="MS298" s="12"/>
      <c r="NH298" s="13"/>
      <c r="NI298" s="13"/>
      <c r="NT298" s="13"/>
    </row>
    <row r="299" spans="40:384" ht="18" customHeight="1"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  <c r="BA299" s="10"/>
      <c r="BB299" s="10"/>
      <c r="BC299" s="10"/>
      <c r="BD299" s="10"/>
      <c r="BE299" s="10"/>
      <c r="BF299" s="10"/>
      <c r="BG299" s="10"/>
      <c r="BH299" s="10"/>
      <c r="BI299" s="10"/>
      <c r="BJ299" s="10"/>
      <c r="BK299" s="10"/>
      <c r="BL299" s="10"/>
      <c r="BM299" s="10"/>
      <c r="BN299" s="10"/>
      <c r="BO299" s="10"/>
      <c r="BP299" s="10"/>
      <c r="BQ299" s="10"/>
      <c r="BR299" s="10"/>
      <c r="BS299" s="10"/>
      <c r="BT299" s="10"/>
      <c r="BU299" s="10"/>
      <c r="BV299" s="10"/>
      <c r="BW299" s="10"/>
      <c r="BX299" s="10"/>
      <c r="BY299" s="10"/>
      <c r="BZ299" s="10"/>
      <c r="CA299" s="10"/>
      <c r="CB299" s="10"/>
      <c r="CC299" s="10"/>
      <c r="CD299" s="10"/>
      <c r="CE299" s="10"/>
      <c r="CF299" s="10"/>
      <c r="LS299" s="12"/>
      <c r="LT299" s="12"/>
      <c r="MQ299" s="13"/>
      <c r="MS299" s="12"/>
      <c r="NH299" s="13"/>
      <c r="NI299" s="13"/>
      <c r="NT299" s="13"/>
    </row>
    <row r="300" spans="40:384" ht="18" customHeight="1">
      <c r="LS300" s="12"/>
      <c r="LT300" s="12"/>
      <c r="MQ300" s="13"/>
      <c r="MS300" s="12"/>
      <c r="NH300" s="13"/>
      <c r="NI300" s="13"/>
      <c r="NT300" s="13"/>
    </row>
    <row r="301" spans="40:384" ht="18" customHeight="1">
      <c r="LS301" s="12"/>
      <c r="LT301" s="12"/>
      <c r="MQ301" s="13"/>
      <c r="MS301" s="12"/>
      <c r="NH301" s="13"/>
      <c r="NI301" s="13"/>
      <c r="NT301" s="13"/>
    </row>
    <row r="302" spans="40:384" ht="18" customHeight="1">
      <c r="LS302" s="12"/>
      <c r="LT302" s="12"/>
      <c r="MQ302" s="13"/>
      <c r="MS302" s="12"/>
      <c r="NH302" s="13"/>
      <c r="NI302" s="13"/>
      <c r="NT302" s="13"/>
    </row>
    <row r="303" spans="40:384" ht="18" customHeight="1">
      <c r="LS303" s="12"/>
      <c r="LT303" s="12"/>
      <c r="MQ303" s="13"/>
      <c r="MS303" s="12"/>
      <c r="NH303" s="13"/>
      <c r="NI303" s="13"/>
      <c r="NT303" s="13"/>
    </row>
    <row r="304" spans="40:384" ht="18" customHeight="1">
      <c r="LS304" s="12"/>
      <c r="LT304" s="12"/>
      <c r="MQ304" s="13"/>
      <c r="MS304" s="12"/>
      <c r="NH304" s="13"/>
      <c r="NI304" s="13"/>
      <c r="NT304" s="13"/>
    </row>
    <row r="305" spans="14:384" ht="18" customHeight="1">
      <c r="LS305" s="12"/>
      <c r="LT305" s="12"/>
      <c r="MQ305" s="13"/>
      <c r="MS305" s="12"/>
      <c r="NH305" s="13"/>
      <c r="NI305" s="13"/>
      <c r="NT305" s="13"/>
    </row>
    <row r="306" spans="14:384" ht="18" customHeight="1">
      <c r="LS306" s="12"/>
      <c r="LT306" s="14"/>
      <c r="LU306" s="15"/>
      <c r="LV306" s="15"/>
      <c r="LW306" s="15"/>
      <c r="LX306" s="15"/>
      <c r="LY306" s="15"/>
      <c r="LZ306" s="15"/>
      <c r="MA306" s="15"/>
      <c r="MB306" s="15"/>
      <c r="MC306" s="15"/>
      <c r="MD306" s="15"/>
      <c r="ME306" s="15"/>
      <c r="MF306" s="15"/>
      <c r="MG306" s="15"/>
      <c r="MH306" s="15"/>
      <c r="MI306" s="15"/>
      <c r="MJ306" s="15"/>
      <c r="MK306" s="15"/>
      <c r="ML306" s="15"/>
      <c r="MM306" s="15"/>
      <c r="MN306" s="15"/>
      <c r="MO306" s="15"/>
      <c r="MP306" s="15"/>
      <c r="MQ306" s="16"/>
      <c r="MS306" s="14"/>
      <c r="MT306" s="15"/>
      <c r="MU306" s="15"/>
      <c r="MV306" s="15"/>
      <c r="MW306" s="15"/>
      <c r="MX306" s="15"/>
      <c r="MY306" s="15"/>
      <c r="MZ306" s="15"/>
      <c r="NA306" s="15"/>
      <c r="NB306" s="15"/>
      <c r="NC306" s="15"/>
      <c r="ND306" s="15"/>
      <c r="NE306" s="15"/>
      <c r="NF306" s="15"/>
      <c r="NG306" s="15"/>
      <c r="NH306" s="16"/>
      <c r="NI306" s="16"/>
      <c r="NT306" s="13"/>
    </row>
    <row r="307" spans="14:384" ht="18" customHeight="1">
      <c r="LS307" s="12"/>
      <c r="NT307" s="13"/>
    </row>
    <row r="308" spans="14:384" ht="18" customHeight="1">
      <c r="LS308" s="12"/>
      <c r="LT308" s="9"/>
      <c r="LU308" s="10"/>
      <c r="LV308" s="10"/>
      <c r="LW308" s="10"/>
      <c r="LX308" s="10"/>
      <c r="LY308" s="10"/>
      <c r="LZ308" s="10"/>
      <c r="MA308" s="10"/>
      <c r="MB308" s="10"/>
      <c r="MC308" s="10"/>
      <c r="MD308" s="10"/>
      <c r="ME308" s="10"/>
      <c r="MF308" s="10"/>
      <c r="MG308" s="11"/>
      <c r="MI308" s="9"/>
      <c r="MJ308" s="10"/>
      <c r="MK308" s="10"/>
      <c r="ML308" s="10"/>
      <c r="MM308" s="10"/>
      <c r="MN308" s="10"/>
      <c r="MO308" s="10"/>
      <c r="MP308" s="10"/>
      <c r="MQ308" s="10"/>
      <c r="MR308" s="10"/>
      <c r="MS308" s="10"/>
      <c r="MT308" s="10"/>
      <c r="MU308" s="10"/>
      <c r="MV308" s="10"/>
      <c r="MW308" s="10"/>
      <c r="MX308" s="10"/>
      <c r="MY308" s="10"/>
      <c r="MZ308" s="10"/>
      <c r="NA308" s="10"/>
      <c r="NB308" s="10"/>
      <c r="NC308" s="10"/>
      <c r="ND308" s="10"/>
      <c r="NE308" s="10"/>
      <c r="NF308" s="10"/>
      <c r="NG308" s="10"/>
      <c r="NH308" s="10"/>
      <c r="NI308" s="10"/>
      <c r="NJ308" s="10"/>
      <c r="NK308" s="10"/>
      <c r="NL308" s="10"/>
      <c r="NM308" s="10"/>
      <c r="NN308" s="10"/>
      <c r="NO308" s="10"/>
      <c r="NP308" s="10"/>
      <c r="NQ308" s="10"/>
      <c r="NR308" s="10"/>
      <c r="NS308" s="11"/>
      <c r="NT308" s="13"/>
    </row>
    <row r="309" spans="14:384" ht="18" customHeight="1">
      <c r="LS309" s="12"/>
      <c r="LT309" s="12"/>
      <c r="MG309" s="13"/>
      <c r="MI309" s="12"/>
      <c r="NS309" s="13"/>
      <c r="NT309" s="13"/>
    </row>
    <row r="310" spans="14:384" ht="18" customHeight="1">
      <c r="LS310" s="12"/>
      <c r="LT310" s="12"/>
      <c r="MG310" s="13"/>
      <c r="MI310" s="12"/>
      <c r="NS310" s="13"/>
      <c r="NT310" s="13"/>
    </row>
    <row r="311" spans="14:384" ht="18" customHeight="1">
      <c r="LS311" s="12"/>
      <c r="LT311" s="12"/>
      <c r="MG311" s="13"/>
      <c r="MI311" s="12"/>
      <c r="NS311" s="13"/>
      <c r="NT311" s="13"/>
    </row>
    <row r="312" spans="14:384" ht="18" customHeight="1">
      <c r="LS312" s="12"/>
      <c r="LT312" s="12"/>
      <c r="LX312" s="9"/>
      <c r="LY312" s="10"/>
      <c r="LZ312" s="10"/>
      <c r="MA312" s="10"/>
      <c r="MB312" s="10"/>
      <c r="MC312" s="10"/>
      <c r="MD312" s="10"/>
      <c r="ME312" s="10"/>
      <c r="MF312" s="10"/>
      <c r="MG312" s="11"/>
      <c r="MI312" s="12"/>
      <c r="NS312" s="13"/>
      <c r="NT312" s="13"/>
    </row>
    <row r="313" spans="14:384" ht="18" customHeight="1">
      <c r="N313" s="223"/>
      <c r="LS313" s="12"/>
      <c r="LT313" s="12"/>
      <c r="LX313" s="12"/>
      <c r="MG313" s="13"/>
      <c r="MI313" s="12"/>
      <c r="NS313" s="13"/>
      <c r="NT313" s="13"/>
    </row>
    <row r="314" spans="14:384" ht="18" customHeight="1">
      <c r="LS314" s="12"/>
      <c r="LT314" s="12"/>
      <c r="LX314" s="12"/>
      <c r="MG314" s="13"/>
      <c r="MI314" s="12"/>
      <c r="NS314" s="13"/>
      <c r="NT314" s="13"/>
    </row>
    <row r="315" spans="14:384" ht="18" customHeight="1">
      <c r="LS315" s="12"/>
      <c r="LT315" s="12"/>
      <c r="LX315" s="12"/>
      <c r="MG315" s="13"/>
      <c r="MI315" s="12"/>
      <c r="NS315" s="13"/>
      <c r="NT315" s="13"/>
    </row>
    <row r="316" spans="14:384" ht="18" customHeight="1">
      <c r="LS316" s="12"/>
      <c r="LT316" s="12"/>
      <c r="LX316" s="12"/>
      <c r="MG316" s="13"/>
      <c r="MI316" s="12"/>
      <c r="NS316" s="13"/>
      <c r="NT316" s="13"/>
    </row>
    <row r="317" spans="14:384" ht="18" customHeight="1">
      <c r="LS317" s="12"/>
      <c r="LT317" s="12"/>
      <c r="LX317" s="12"/>
      <c r="MG317" s="13"/>
      <c r="MI317" s="12"/>
      <c r="NS317" s="13"/>
      <c r="NT317" s="13"/>
    </row>
    <row r="318" spans="14:384" ht="18" customHeight="1">
      <c r="EM318" s="15"/>
      <c r="EN318" s="15"/>
      <c r="EO318" s="15"/>
      <c r="EP318" s="15"/>
      <c r="EQ318" s="15"/>
      <c r="ER318" s="15"/>
      <c r="ES318" s="15"/>
      <c r="LS318" s="12"/>
      <c r="LT318" s="12"/>
      <c r="LX318" s="12"/>
      <c r="MG318" s="13"/>
      <c r="MI318" s="12"/>
      <c r="NS318" s="13"/>
      <c r="NT318" s="13"/>
    </row>
    <row r="319" spans="14:384" ht="18" customHeight="1">
      <c r="DW319" s="9"/>
      <c r="DX319" s="10"/>
      <c r="DY319" s="10"/>
      <c r="DZ319" s="10"/>
      <c r="EA319" s="10"/>
      <c r="EB319" s="10"/>
      <c r="EC319" s="10"/>
      <c r="ED319" s="10"/>
      <c r="EE319" s="10"/>
      <c r="EF319" s="10"/>
      <c r="EG319" s="10"/>
      <c r="EH319" s="10"/>
      <c r="EI319" s="10"/>
      <c r="EJ319" s="10"/>
      <c r="EK319" s="10"/>
      <c r="EL319" s="10"/>
      <c r="EM319" s="10"/>
      <c r="EN319" s="10"/>
      <c r="EO319" s="10"/>
      <c r="EP319" s="10"/>
      <c r="EQ319" s="10"/>
      <c r="ER319" s="10"/>
      <c r="ES319" s="10"/>
      <c r="ET319" s="10"/>
      <c r="EU319" s="10"/>
      <c r="EV319" s="10"/>
      <c r="EW319" s="10"/>
      <c r="EX319" s="10"/>
      <c r="EY319" s="10"/>
      <c r="EZ319" s="10"/>
      <c r="FA319" s="10"/>
      <c r="FB319" s="10"/>
      <c r="FC319" s="10"/>
      <c r="FD319" s="10"/>
      <c r="FE319" s="10"/>
      <c r="FF319" s="10"/>
      <c r="FG319" s="10"/>
      <c r="FH319" s="10"/>
      <c r="FI319" s="10"/>
      <c r="FJ319" s="10"/>
      <c r="FK319" s="10"/>
      <c r="FL319" s="10"/>
      <c r="FM319" s="10"/>
      <c r="FN319" s="10"/>
      <c r="FO319" s="10"/>
      <c r="FP319" s="10"/>
      <c r="FQ319" s="10"/>
      <c r="FR319" s="10"/>
      <c r="FS319" s="10"/>
      <c r="FT319" s="10"/>
      <c r="FU319" s="10"/>
      <c r="FV319" s="10"/>
      <c r="FW319" s="10"/>
      <c r="FX319" s="10"/>
      <c r="FY319" s="10"/>
      <c r="FZ319" s="10"/>
      <c r="GA319" s="10"/>
      <c r="GB319" s="10"/>
      <c r="GC319" s="10"/>
      <c r="GD319" s="10"/>
      <c r="GE319" s="10"/>
      <c r="GF319" s="10"/>
      <c r="GG319" s="11"/>
      <c r="LS319" s="12"/>
      <c r="LT319" s="12"/>
      <c r="LX319" s="12"/>
      <c r="MG319" s="13"/>
      <c r="MI319" s="12"/>
      <c r="NS319" s="13"/>
      <c r="NT319" s="13"/>
    </row>
    <row r="320" spans="14:384" ht="18" customHeight="1">
      <c r="DW320" s="12"/>
      <c r="FG320" s="15"/>
      <c r="FH320" s="15"/>
      <c r="FI320" s="15"/>
      <c r="FJ320" s="15"/>
      <c r="FK320" s="15"/>
      <c r="FM320" s="15"/>
      <c r="FO320" s="15"/>
      <c r="FV320" s="15"/>
      <c r="FX320" s="15"/>
      <c r="FY320" s="15"/>
      <c r="FZ320" s="15"/>
      <c r="GG320" s="13"/>
      <c r="LS320" s="12"/>
      <c r="LT320" s="12"/>
      <c r="LX320" s="12"/>
      <c r="MG320" s="13"/>
      <c r="MI320" s="12"/>
      <c r="NS320" s="13"/>
      <c r="NT320" s="13"/>
    </row>
    <row r="321" spans="20:384" ht="18" customHeight="1">
      <c r="AL321" s="15"/>
      <c r="AM321" s="15"/>
      <c r="AN321" s="15"/>
      <c r="AO321" s="15"/>
      <c r="AP321" s="15"/>
      <c r="AQ321" s="15"/>
      <c r="AR321" s="15"/>
      <c r="DW321" s="12"/>
      <c r="DY321" s="9"/>
      <c r="DZ321" s="10"/>
      <c r="EA321" s="10"/>
      <c r="EB321" s="10"/>
      <c r="EC321" s="10"/>
      <c r="ED321" s="10"/>
      <c r="EE321" s="10"/>
      <c r="EF321" s="10"/>
      <c r="EG321" s="10"/>
      <c r="EH321" s="10"/>
      <c r="EI321" s="10"/>
      <c r="EJ321" s="10"/>
      <c r="EK321" s="10"/>
      <c r="EL321" s="10"/>
      <c r="EM321" s="10"/>
      <c r="EN321" s="10"/>
      <c r="EO321" s="10"/>
      <c r="EP321" s="10"/>
      <c r="EQ321" s="10"/>
      <c r="ER321" s="10"/>
      <c r="ES321" s="10"/>
      <c r="ET321" s="11"/>
      <c r="EU321" s="17"/>
      <c r="EV321" s="9"/>
      <c r="EW321" s="10"/>
      <c r="EX321" s="10"/>
      <c r="EY321" s="10"/>
      <c r="EZ321" s="10"/>
      <c r="FA321" s="10"/>
      <c r="FB321" s="10"/>
      <c r="FC321" s="10"/>
      <c r="FD321" s="10"/>
      <c r="FE321" s="11"/>
      <c r="FF321" s="11"/>
      <c r="FG321" s="10"/>
      <c r="FH321" s="10"/>
      <c r="FI321" s="10"/>
      <c r="FJ321" s="10"/>
      <c r="FK321" s="10"/>
      <c r="FL321" s="10"/>
      <c r="FM321" s="10"/>
      <c r="FN321" s="10"/>
      <c r="FO321" s="10"/>
      <c r="FP321" s="10"/>
      <c r="FQ321" s="10"/>
      <c r="FR321" s="10"/>
      <c r="FS321" s="10"/>
      <c r="FT321" s="10"/>
      <c r="FU321" s="10"/>
      <c r="FV321" s="10"/>
      <c r="FW321" s="10"/>
      <c r="FX321" s="10"/>
      <c r="FY321" s="11"/>
      <c r="FZ321" s="9"/>
      <c r="GA321" s="10"/>
      <c r="GB321" s="10"/>
      <c r="GC321" s="10"/>
      <c r="GD321" s="10"/>
      <c r="GE321" s="10"/>
      <c r="GF321" s="12"/>
      <c r="GG321" s="13"/>
      <c r="LS321" s="12"/>
      <c r="LT321" s="12"/>
      <c r="LX321" s="12"/>
      <c r="MG321" s="13"/>
      <c r="MI321" s="12"/>
      <c r="NS321" s="13"/>
      <c r="NT321" s="13"/>
    </row>
    <row r="322" spans="20:384" ht="18" customHeight="1">
      <c r="T322" s="56"/>
      <c r="U322" s="57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226"/>
      <c r="AL322" s="227"/>
      <c r="AM322" s="227"/>
      <c r="AN322" s="227"/>
      <c r="AO322" s="227"/>
      <c r="AP322" s="227"/>
      <c r="AQ322" s="227"/>
      <c r="AR322" s="227"/>
      <c r="AS322" s="227"/>
      <c r="AT322" s="227"/>
      <c r="AU322" s="227"/>
      <c r="AV322" s="227"/>
      <c r="AW322" s="227"/>
      <c r="AX322" s="227"/>
      <c r="AY322" s="57"/>
      <c r="AZ322" s="57"/>
      <c r="BA322" s="227"/>
      <c r="BB322" s="227"/>
      <c r="BC322" s="227"/>
      <c r="BD322" s="228"/>
      <c r="BE322" s="10"/>
      <c r="BF322" s="10"/>
      <c r="BG322" s="10"/>
      <c r="BH322" s="10"/>
      <c r="BI322" s="10"/>
      <c r="BJ322" s="10"/>
      <c r="BK322" s="10"/>
      <c r="BL322" s="10"/>
      <c r="BM322" s="10"/>
      <c r="BN322" s="10"/>
      <c r="BO322" s="10"/>
      <c r="BP322" s="10"/>
      <c r="BQ322" s="10"/>
      <c r="BR322" s="10"/>
      <c r="BS322" s="10"/>
      <c r="BT322" s="10"/>
      <c r="BU322" s="10"/>
      <c r="BV322" s="10"/>
      <c r="BW322" s="10"/>
      <c r="BX322" s="10"/>
      <c r="BY322" s="10"/>
      <c r="BZ322" s="10"/>
      <c r="CA322" s="10"/>
      <c r="CB322" s="10"/>
      <c r="CC322" s="10"/>
      <c r="CD322" s="10"/>
      <c r="CE322" s="57"/>
      <c r="CF322" s="58"/>
      <c r="DW322" s="12"/>
      <c r="DY322" s="12"/>
      <c r="ET322" s="13"/>
      <c r="EU322" s="18"/>
      <c r="EV322" s="12"/>
      <c r="FE322" s="13"/>
      <c r="FF322" s="13"/>
      <c r="FY322" s="13"/>
      <c r="FZ322" s="12"/>
      <c r="GF322" s="12"/>
      <c r="GG322" s="13"/>
      <c r="LS322" s="12"/>
      <c r="LT322" s="12"/>
      <c r="LX322" s="12"/>
      <c r="MG322" s="13"/>
      <c r="MI322" s="12"/>
      <c r="NS322" s="13"/>
      <c r="NT322" s="13"/>
    </row>
    <row r="323" spans="20:384" ht="18" customHeight="1">
      <c r="T323" s="96"/>
      <c r="U323" s="97"/>
      <c r="AK323" s="229"/>
      <c r="AL323" s="231"/>
      <c r="AM323" s="231"/>
      <c r="AN323" s="231"/>
      <c r="AO323" s="231"/>
      <c r="AP323" s="231"/>
      <c r="AQ323" s="231"/>
      <c r="AR323" s="231"/>
      <c r="AS323" s="231"/>
      <c r="AT323" s="231"/>
      <c r="AU323" s="231"/>
      <c r="AV323" s="231"/>
      <c r="AW323" s="231"/>
      <c r="AX323" s="231"/>
      <c r="AY323" s="97"/>
      <c r="AZ323" s="97"/>
      <c r="BA323" s="231"/>
      <c r="BB323" s="231"/>
      <c r="BC323" s="231"/>
      <c r="BD323" s="232"/>
      <c r="BF323" s="15"/>
      <c r="BG323" s="15"/>
      <c r="BH323" s="15"/>
      <c r="BI323" s="15"/>
      <c r="BJ323" s="15"/>
      <c r="BL323" s="15"/>
      <c r="BN323" s="15"/>
      <c r="BU323" s="15"/>
      <c r="BW323" s="15"/>
      <c r="BX323" s="15"/>
      <c r="BY323" s="15"/>
      <c r="CE323" s="97"/>
      <c r="CF323" s="98"/>
      <c r="DW323" s="12"/>
      <c r="DY323" s="12"/>
      <c r="ET323" s="13"/>
      <c r="EU323" s="18"/>
      <c r="EV323" s="12"/>
      <c r="FE323" s="13"/>
      <c r="FF323" s="13"/>
      <c r="FY323" s="13"/>
      <c r="FZ323" s="12"/>
      <c r="GF323" s="12"/>
      <c r="GG323" s="13"/>
      <c r="GN323" s="9"/>
      <c r="GO323" s="10"/>
      <c r="GP323" s="10"/>
      <c r="GQ323" s="10"/>
      <c r="GR323" s="10"/>
      <c r="GS323" s="10"/>
      <c r="GT323" s="10"/>
      <c r="GU323" s="10"/>
      <c r="GV323" s="11"/>
      <c r="LS323" s="12"/>
      <c r="LT323" s="12"/>
      <c r="LX323" s="12"/>
      <c r="MG323" s="13"/>
      <c r="MI323" s="12"/>
      <c r="NS323" s="13"/>
      <c r="NT323" s="13"/>
    </row>
    <row r="324" spans="20:384" ht="18" customHeight="1">
      <c r="T324" s="12"/>
      <c r="V324" s="9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1"/>
      <c r="AK324" s="226"/>
      <c r="AL324" s="227"/>
      <c r="AM324" s="227"/>
      <c r="AN324" s="227"/>
      <c r="AO324" s="227"/>
      <c r="AP324" s="227"/>
      <c r="AQ324" s="227"/>
      <c r="AR324" s="227"/>
      <c r="AS324" s="228"/>
      <c r="AT324" s="227"/>
      <c r="AU324" s="226"/>
      <c r="AV324" s="227"/>
      <c r="AW324" s="227"/>
      <c r="AX324" s="227"/>
      <c r="AY324" s="227"/>
      <c r="AZ324" s="227"/>
      <c r="BA324" s="227"/>
      <c r="BB324" s="227"/>
      <c r="BC324" s="227"/>
      <c r="BD324" s="228"/>
      <c r="BE324" s="11"/>
      <c r="BF324" s="10"/>
      <c r="BG324" s="10"/>
      <c r="BH324" s="10"/>
      <c r="BI324" s="10"/>
      <c r="BJ324" s="10"/>
      <c r="BK324" s="10"/>
      <c r="BL324" s="10"/>
      <c r="BM324" s="10"/>
      <c r="BN324" s="10"/>
      <c r="BO324" s="10"/>
      <c r="BP324" s="10"/>
      <c r="BQ324" s="10"/>
      <c r="BR324" s="10"/>
      <c r="BS324" s="10"/>
      <c r="BT324" s="10"/>
      <c r="BU324" s="10"/>
      <c r="BV324" s="10"/>
      <c r="BW324" s="10"/>
      <c r="BX324" s="11"/>
      <c r="BY324" s="9"/>
      <c r="BZ324" s="10"/>
      <c r="CA324" s="10"/>
      <c r="CB324" s="10"/>
      <c r="CC324" s="10"/>
      <c r="CD324" s="11"/>
      <c r="CF324" s="13"/>
      <c r="DW324" s="12"/>
      <c r="DY324" s="12"/>
      <c r="ET324" s="13"/>
      <c r="EU324" s="18"/>
      <c r="EV324" s="12"/>
      <c r="FE324" s="13"/>
      <c r="FF324" s="13"/>
      <c r="FY324" s="13"/>
      <c r="FZ324" s="12"/>
      <c r="GF324" s="12"/>
      <c r="GG324" s="13"/>
      <c r="GN324" s="12"/>
      <c r="GV324" s="13"/>
      <c r="LS324" s="12"/>
      <c r="LT324" s="12"/>
      <c r="LX324" s="12"/>
      <c r="MG324" s="13"/>
      <c r="MI324" s="12"/>
      <c r="NS324" s="13"/>
      <c r="NT324" s="13"/>
    </row>
    <row r="325" spans="20:384" ht="18" customHeight="1">
      <c r="T325" s="12"/>
      <c r="V325" s="12"/>
      <c r="AJ325" s="13"/>
      <c r="AK325" s="229"/>
      <c r="AL325" s="231"/>
      <c r="AM325" s="231"/>
      <c r="AN325" s="231"/>
      <c r="AO325" s="231"/>
      <c r="AP325" s="231"/>
      <c r="AQ325" s="231"/>
      <c r="AR325" s="231"/>
      <c r="AS325" s="232"/>
      <c r="AT325" s="231"/>
      <c r="AU325" s="229"/>
      <c r="AV325" s="231"/>
      <c r="AW325" s="231"/>
      <c r="AX325" s="231"/>
      <c r="AY325" s="231"/>
      <c r="AZ325" s="231"/>
      <c r="BA325" s="231"/>
      <c r="BB325" s="231"/>
      <c r="BC325" s="231"/>
      <c r="BD325" s="232"/>
      <c r="BE325" s="13"/>
      <c r="BX325" s="13"/>
      <c r="BY325" s="12"/>
      <c r="CD325" s="13"/>
      <c r="CF325" s="13"/>
      <c r="DW325" s="12"/>
      <c r="DY325" s="12"/>
      <c r="ET325" s="13"/>
      <c r="EU325" s="18"/>
      <c r="EV325" s="12"/>
      <c r="FE325" s="13"/>
      <c r="FF325" s="13"/>
      <c r="FY325" s="13"/>
      <c r="FZ325" s="12"/>
      <c r="GF325" s="12"/>
      <c r="GG325" s="13"/>
      <c r="GN325" s="12"/>
      <c r="GV325" s="13"/>
      <c r="LS325" s="12"/>
      <c r="LT325" s="12"/>
      <c r="LX325" s="12"/>
      <c r="MG325" s="13"/>
      <c r="MI325" s="12"/>
      <c r="NS325" s="13"/>
      <c r="NT325" s="13"/>
    </row>
    <row r="326" spans="20:384" ht="18" customHeight="1">
      <c r="T326" s="12"/>
      <c r="V326" s="12"/>
      <c r="AJ326" s="13"/>
      <c r="AK326" s="229"/>
      <c r="AL326" s="231"/>
      <c r="AM326" s="231"/>
      <c r="AN326" s="231"/>
      <c r="AO326" s="231"/>
      <c r="AP326" s="231"/>
      <c r="AQ326" s="231"/>
      <c r="AR326" s="231"/>
      <c r="AS326" s="232"/>
      <c r="AT326" s="231"/>
      <c r="AU326" s="229"/>
      <c r="AV326" s="231"/>
      <c r="AW326" s="231"/>
      <c r="AX326" s="231"/>
      <c r="AY326" s="231"/>
      <c r="AZ326" s="231"/>
      <c r="BA326" s="231"/>
      <c r="BB326" s="231"/>
      <c r="BC326" s="231"/>
      <c r="BD326" s="232"/>
      <c r="BE326" s="13"/>
      <c r="BX326" s="13"/>
      <c r="BY326" s="12"/>
      <c r="CD326" s="13"/>
      <c r="CF326" s="13"/>
      <c r="DW326" s="12"/>
      <c r="DY326" s="12"/>
      <c r="ET326" s="13"/>
      <c r="EU326" s="18"/>
      <c r="EV326" s="12"/>
      <c r="FE326" s="13"/>
      <c r="FF326" s="16"/>
      <c r="FG326" s="15"/>
      <c r="FH326" s="15"/>
      <c r="FI326" s="15"/>
      <c r="FJ326" s="15"/>
      <c r="FK326" s="15"/>
      <c r="FL326" s="15"/>
      <c r="FM326" s="15"/>
      <c r="FN326" s="15"/>
      <c r="FO326" s="15"/>
      <c r="FP326" s="15"/>
      <c r="FQ326" s="15"/>
      <c r="FR326" s="15"/>
      <c r="FS326" s="15"/>
      <c r="FT326" s="15"/>
      <c r="FU326" s="15"/>
      <c r="FV326" s="15"/>
      <c r="FW326" s="15"/>
      <c r="FX326" s="15"/>
      <c r="FY326" s="16"/>
      <c r="FZ326" s="12"/>
      <c r="GF326" s="12"/>
      <c r="GG326" s="13"/>
      <c r="GN326" s="12"/>
      <c r="GV326" s="13"/>
      <c r="LS326" s="12"/>
      <c r="LT326" s="12"/>
      <c r="LX326" s="12"/>
      <c r="MG326" s="13"/>
      <c r="MI326" s="12"/>
      <c r="NS326" s="13"/>
      <c r="NT326" s="13"/>
    </row>
    <row r="327" spans="20:384" ht="18" customHeight="1">
      <c r="T327" s="12"/>
      <c r="V327" s="12"/>
      <c r="AJ327" s="13"/>
      <c r="AK327" s="229"/>
      <c r="AL327" s="231"/>
      <c r="AM327" s="231"/>
      <c r="AN327" s="231"/>
      <c r="AO327" s="231"/>
      <c r="AP327" s="231"/>
      <c r="AQ327" s="231"/>
      <c r="AR327" s="231"/>
      <c r="AS327" s="232"/>
      <c r="AT327" s="231"/>
      <c r="AU327" s="229"/>
      <c r="AV327" s="231"/>
      <c r="AW327" s="231"/>
      <c r="AX327" s="231"/>
      <c r="AY327" s="231"/>
      <c r="AZ327" s="231"/>
      <c r="BA327" s="231"/>
      <c r="BB327" s="231"/>
      <c r="BC327" s="231"/>
      <c r="BD327" s="232"/>
      <c r="BE327" s="13"/>
      <c r="BX327" s="13"/>
      <c r="BY327" s="12"/>
      <c r="CD327" s="13"/>
      <c r="CF327" s="13"/>
      <c r="DW327" s="12"/>
      <c r="DY327" s="12"/>
      <c r="ET327" s="13"/>
      <c r="EU327" s="18"/>
      <c r="EV327" s="12"/>
      <c r="FE327" s="13"/>
      <c r="FF327" s="16"/>
      <c r="FG327" s="15"/>
      <c r="FH327" s="15"/>
      <c r="FI327" s="15"/>
      <c r="FJ327" s="15"/>
      <c r="FK327" s="15"/>
      <c r="FL327" s="15"/>
      <c r="FM327" s="15"/>
      <c r="FN327" s="15"/>
      <c r="FO327" s="15"/>
      <c r="FP327" s="15"/>
      <c r="FQ327" s="15"/>
      <c r="FR327" s="15"/>
      <c r="FS327" s="15"/>
      <c r="FT327" s="15"/>
      <c r="FU327" s="15"/>
      <c r="FV327" s="15"/>
      <c r="FW327" s="15"/>
      <c r="FX327" s="15"/>
      <c r="FY327" s="15"/>
      <c r="FZ327" s="12"/>
      <c r="GF327" s="12"/>
      <c r="GG327" s="13"/>
      <c r="GN327" s="12"/>
      <c r="GV327" s="13"/>
      <c r="LS327" s="12"/>
      <c r="LT327" s="12"/>
      <c r="LX327" s="14"/>
      <c r="LY327" s="15"/>
      <c r="LZ327" s="15"/>
      <c r="MA327" s="15"/>
      <c r="MB327" s="15"/>
      <c r="MC327" s="15"/>
      <c r="MD327" s="15"/>
      <c r="ME327" s="15"/>
      <c r="MF327" s="15"/>
      <c r="MG327" s="16"/>
      <c r="MI327" s="12"/>
      <c r="NS327" s="13"/>
      <c r="NT327" s="13"/>
    </row>
    <row r="328" spans="20:384" ht="18" customHeight="1">
      <c r="T328" s="12"/>
      <c r="V328" s="12"/>
      <c r="AJ328" s="13"/>
      <c r="AK328" s="229"/>
      <c r="AL328" s="231"/>
      <c r="AM328" s="231"/>
      <c r="AN328" s="231"/>
      <c r="AO328" s="231"/>
      <c r="AP328" s="231"/>
      <c r="AQ328" s="231"/>
      <c r="AR328" s="231"/>
      <c r="AS328" s="232"/>
      <c r="AT328" s="231"/>
      <c r="AU328" s="229"/>
      <c r="AV328" s="231"/>
      <c r="AW328" s="231"/>
      <c r="AX328" s="231"/>
      <c r="AY328" s="231"/>
      <c r="AZ328" s="231"/>
      <c r="BA328" s="231"/>
      <c r="BB328" s="231"/>
      <c r="BC328" s="231"/>
      <c r="BD328" s="232"/>
      <c r="BE328" s="13"/>
      <c r="BX328" s="13"/>
      <c r="BY328" s="12"/>
      <c r="CD328" s="13"/>
      <c r="CF328" s="13"/>
      <c r="DW328" s="12"/>
      <c r="DY328" s="12"/>
      <c r="ET328" s="13"/>
      <c r="EU328" s="18"/>
      <c r="EV328" s="12"/>
      <c r="FF328" s="17"/>
      <c r="GF328" s="12"/>
      <c r="GG328" s="13"/>
      <c r="GN328" s="12"/>
      <c r="GV328" s="13"/>
      <c r="LS328" s="12"/>
      <c r="LT328" s="12"/>
      <c r="MG328" s="13"/>
      <c r="MI328" s="12"/>
      <c r="NS328" s="13"/>
      <c r="NT328" s="13"/>
    </row>
    <row r="329" spans="20:384" ht="18" customHeight="1">
      <c r="T329" s="12"/>
      <c r="V329" s="14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6"/>
      <c r="AK329" s="230"/>
      <c r="AL329" s="233"/>
      <c r="AM329" s="233"/>
      <c r="AN329" s="233"/>
      <c r="AO329" s="233"/>
      <c r="AP329" s="233"/>
      <c r="AQ329" s="233"/>
      <c r="AR329" s="233"/>
      <c r="AS329" s="234"/>
      <c r="AT329" s="233"/>
      <c r="AU329" s="230"/>
      <c r="AV329" s="233"/>
      <c r="AW329" s="233"/>
      <c r="AX329" s="233"/>
      <c r="AY329" s="233"/>
      <c r="AZ329" s="233"/>
      <c r="BA329" s="233"/>
      <c r="BB329" s="233"/>
      <c r="BC329" s="233"/>
      <c r="BD329" s="234"/>
      <c r="BE329" s="16"/>
      <c r="BF329" s="15"/>
      <c r="BG329" s="15"/>
      <c r="BH329" s="15"/>
      <c r="BI329" s="15"/>
      <c r="BJ329" s="15"/>
      <c r="BK329" s="15"/>
      <c r="BL329" s="15"/>
      <c r="BM329" s="15"/>
      <c r="BN329" s="15"/>
      <c r="BO329" s="15"/>
      <c r="BP329" s="15"/>
      <c r="BQ329" s="15"/>
      <c r="BR329" s="15"/>
      <c r="BS329" s="15"/>
      <c r="BT329" s="15"/>
      <c r="BU329" s="15"/>
      <c r="BV329" s="15"/>
      <c r="BW329" s="15"/>
      <c r="BX329" s="16"/>
      <c r="BY329" s="12"/>
      <c r="CD329" s="13"/>
      <c r="CF329" s="13"/>
      <c r="DW329" s="12"/>
      <c r="DY329" s="12"/>
      <c r="ET329" s="13"/>
      <c r="EU329" s="18"/>
      <c r="EV329" s="12"/>
      <c r="FF329" s="18"/>
      <c r="GF329" s="12"/>
      <c r="GG329" s="13"/>
      <c r="GN329" s="12"/>
      <c r="GV329" s="13"/>
      <c r="LS329" s="12"/>
      <c r="LT329" s="12"/>
      <c r="MG329" s="13"/>
      <c r="MI329" s="12"/>
      <c r="NS329" s="13"/>
      <c r="NT329" s="13"/>
    </row>
    <row r="330" spans="20:384" ht="18" customHeight="1">
      <c r="T330" s="12"/>
      <c r="V330" s="14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6"/>
      <c r="AK330" s="14"/>
      <c r="AL330" s="15"/>
      <c r="AM330" s="15"/>
      <c r="AN330" s="15"/>
      <c r="AO330" s="15"/>
      <c r="AP330" s="15"/>
      <c r="AQ330" s="15"/>
      <c r="AR330" s="15"/>
      <c r="AS330" s="16"/>
      <c r="AT330" s="15"/>
      <c r="AU330" s="14"/>
      <c r="AV330" s="15"/>
      <c r="AW330" s="15"/>
      <c r="AX330" s="15"/>
      <c r="AY330" s="15"/>
      <c r="AZ330" s="15"/>
      <c r="BA330" s="15"/>
      <c r="BB330" s="15"/>
      <c r="BC330" s="15"/>
      <c r="BD330" s="16"/>
      <c r="BE330" s="16"/>
      <c r="BF330" s="15"/>
      <c r="BG330" s="15"/>
      <c r="BH330" s="15"/>
      <c r="BI330" s="15"/>
      <c r="BJ330" s="15"/>
      <c r="BK330" s="15"/>
      <c r="BL330" s="15"/>
      <c r="BM330" s="15"/>
      <c r="BN330" s="15"/>
      <c r="BO330" s="15"/>
      <c r="BP330" s="15"/>
      <c r="BQ330" s="15"/>
      <c r="BR330" s="15"/>
      <c r="BS330" s="15"/>
      <c r="BT330" s="15"/>
      <c r="BU330" s="15"/>
      <c r="BV330" s="15"/>
      <c r="BW330" s="15"/>
      <c r="BX330" s="15"/>
      <c r="BY330" s="12"/>
      <c r="CD330" s="13"/>
      <c r="CF330" s="13"/>
      <c r="DW330" s="12"/>
      <c r="DY330" s="12"/>
      <c r="ET330" s="13"/>
      <c r="EU330" s="18"/>
      <c r="EV330" s="12"/>
      <c r="FA330" s="9"/>
      <c r="FB330" s="10"/>
      <c r="FC330" s="10"/>
      <c r="FD330" s="10"/>
      <c r="FE330" s="11"/>
      <c r="FF330" s="18"/>
      <c r="GF330" s="12"/>
      <c r="GG330" s="13"/>
      <c r="GN330" s="12"/>
      <c r="GV330" s="13"/>
      <c r="LS330" s="12"/>
      <c r="LT330" s="12"/>
      <c r="MG330" s="13"/>
      <c r="MI330" s="12"/>
      <c r="NS330" s="13"/>
      <c r="NT330" s="13"/>
    </row>
    <row r="331" spans="20:384" ht="18" customHeight="1">
      <c r="T331" s="12"/>
      <c r="V331" s="9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1"/>
      <c r="AU331" s="12"/>
      <c r="BD331" s="13"/>
      <c r="BE331" s="13"/>
      <c r="CD331" s="13"/>
      <c r="CF331" s="13"/>
      <c r="DW331" s="12"/>
      <c r="DY331" s="12"/>
      <c r="ET331" s="13"/>
      <c r="EU331" s="18"/>
      <c r="EV331" s="12"/>
      <c r="FA331" s="12"/>
      <c r="FE331" s="13"/>
      <c r="FF331" s="18"/>
      <c r="GF331" s="12"/>
      <c r="GG331" s="13"/>
      <c r="GN331" s="12"/>
      <c r="GV331" s="13"/>
      <c r="LS331" s="12"/>
      <c r="LT331" s="14"/>
      <c r="LU331" s="15"/>
      <c r="LV331" s="15"/>
      <c r="LW331" s="15"/>
      <c r="LX331" s="15"/>
      <c r="LY331" s="15"/>
      <c r="LZ331" s="15"/>
      <c r="MA331" s="15"/>
      <c r="MB331" s="15"/>
      <c r="MC331" s="15"/>
      <c r="MD331" s="15"/>
      <c r="ME331" s="15"/>
      <c r="MF331" s="15"/>
      <c r="MG331" s="16"/>
      <c r="MI331" s="14"/>
      <c r="MJ331" s="15"/>
      <c r="MK331" s="15"/>
      <c r="ML331" s="15"/>
      <c r="MM331" s="15"/>
      <c r="MN331" s="15"/>
      <c r="MO331" s="15"/>
      <c r="MP331" s="15"/>
      <c r="MQ331" s="15"/>
      <c r="MR331" s="15"/>
      <c r="MS331" s="15"/>
      <c r="MT331" s="15"/>
      <c r="MU331" s="15"/>
      <c r="MV331" s="15"/>
      <c r="MW331" s="15"/>
      <c r="MX331" s="15"/>
      <c r="MY331" s="15"/>
      <c r="MZ331" s="15"/>
      <c r="NA331" s="15"/>
      <c r="NB331" s="15"/>
      <c r="NC331" s="15"/>
      <c r="ND331" s="15"/>
      <c r="NE331" s="15"/>
      <c r="NF331" s="15"/>
      <c r="NG331" s="15"/>
      <c r="NH331" s="15"/>
      <c r="NI331" s="15"/>
      <c r="NJ331" s="15"/>
      <c r="NK331" s="15"/>
      <c r="NL331" s="15"/>
      <c r="NM331" s="15"/>
      <c r="NN331" s="15"/>
      <c r="NO331" s="15"/>
      <c r="NP331" s="15"/>
      <c r="NQ331" s="15"/>
      <c r="NR331" s="15"/>
      <c r="NS331" s="16"/>
      <c r="NT331" s="13"/>
    </row>
    <row r="332" spans="20:384" ht="18" customHeight="1">
      <c r="T332" s="12"/>
      <c r="V332" s="12"/>
      <c r="AS332" s="13"/>
      <c r="AU332" s="12"/>
      <c r="BD332" s="13"/>
      <c r="BE332" s="13"/>
      <c r="CD332" s="13"/>
      <c r="CF332" s="13"/>
      <c r="DW332" s="12"/>
      <c r="DY332" s="12"/>
      <c r="ET332" s="13"/>
      <c r="EU332" s="18"/>
      <c r="EV332" s="12"/>
      <c r="FA332" s="12"/>
      <c r="FE332" s="13"/>
      <c r="FF332" s="17"/>
      <c r="GF332" s="12"/>
      <c r="GG332" s="13"/>
      <c r="GN332" s="12"/>
      <c r="GV332" s="13"/>
      <c r="LS332" s="14"/>
      <c r="LT332" s="14"/>
      <c r="LU332" s="15"/>
      <c r="LV332" s="15"/>
      <c r="LW332" s="15"/>
      <c r="LX332" s="15"/>
      <c r="LY332" s="15"/>
      <c r="LZ332" s="15"/>
      <c r="MA332" s="15"/>
      <c r="MB332" s="15"/>
      <c r="MC332" s="15"/>
      <c r="MD332" s="15"/>
      <c r="ME332" s="15"/>
      <c r="MF332" s="15"/>
      <c r="MG332" s="16"/>
      <c r="MH332" s="15"/>
      <c r="MI332" s="15"/>
      <c r="MJ332" s="15"/>
      <c r="MK332" s="15"/>
      <c r="ML332" s="15"/>
      <c r="MM332" s="15"/>
      <c r="MN332" s="15"/>
      <c r="MO332" s="15"/>
      <c r="MP332" s="15"/>
      <c r="MQ332" s="15"/>
      <c r="MR332" s="15"/>
      <c r="MS332" s="15"/>
      <c r="MT332" s="15"/>
      <c r="MU332" s="15"/>
      <c r="MV332" s="15"/>
      <c r="MW332" s="15"/>
      <c r="MX332" s="15"/>
      <c r="MY332" s="15"/>
      <c r="MZ332" s="15"/>
      <c r="NA332" s="15"/>
      <c r="NB332" s="15"/>
      <c r="NC332" s="15"/>
      <c r="ND332" s="15"/>
      <c r="NE332" s="15"/>
      <c r="NF332" s="15"/>
      <c r="NG332" s="15"/>
      <c r="NH332" s="15"/>
      <c r="NI332" s="15"/>
      <c r="NJ332" s="15"/>
      <c r="NK332" s="15"/>
      <c r="NL332" s="15"/>
      <c r="NM332" s="15"/>
      <c r="NN332" s="15"/>
      <c r="NO332" s="15"/>
      <c r="NP332" s="15"/>
      <c r="NQ332" s="15"/>
      <c r="NR332" s="15"/>
      <c r="NS332" s="15"/>
      <c r="NT332" s="16"/>
    </row>
    <row r="333" spans="20:384" ht="18" customHeight="1">
      <c r="T333" s="12"/>
      <c r="V333" s="12"/>
      <c r="AS333" s="13"/>
      <c r="AU333" s="14"/>
      <c r="AV333" s="15"/>
      <c r="AW333" s="15"/>
      <c r="AX333" s="15"/>
      <c r="AY333" s="15"/>
      <c r="AZ333" s="15"/>
      <c r="BA333" s="15"/>
      <c r="BB333" s="15"/>
      <c r="BC333" s="15"/>
      <c r="BD333" s="16"/>
      <c r="BE333" s="13"/>
      <c r="CD333" s="13"/>
      <c r="CF333" s="13"/>
      <c r="DW333" s="12"/>
      <c r="DY333" s="12"/>
      <c r="ET333" s="13"/>
      <c r="EU333" s="18"/>
      <c r="EV333" s="12"/>
      <c r="FA333" s="12"/>
      <c r="FE333" s="13"/>
      <c r="FF333" s="18"/>
      <c r="GF333" s="12"/>
      <c r="GG333" s="13"/>
      <c r="GN333" s="12"/>
      <c r="GV333" s="13"/>
    </row>
    <row r="334" spans="20:384" ht="18" customHeight="1">
      <c r="T334" s="12"/>
      <c r="V334" s="12"/>
      <c r="AS334" s="13"/>
      <c r="AT334" s="13"/>
      <c r="AU334" s="14"/>
      <c r="AV334" s="15"/>
      <c r="AW334" s="15"/>
      <c r="AX334" s="15"/>
      <c r="AY334" s="15"/>
      <c r="AZ334" s="15"/>
      <c r="BA334" s="15"/>
      <c r="BB334" s="15"/>
      <c r="BC334" s="15"/>
      <c r="BD334" s="15"/>
      <c r="BE334" s="18"/>
      <c r="CD334" s="13"/>
      <c r="CF334" s="13"/>
      <c r="DW334" s="12"/>
      <c r="DY334" s="12"/>
      <c r="ET334" s="13"/>
      <c r="EU334" s="18"/>
      <c r="EV334" s="12"/>
      <c r="FA334" s="12"/>
      <c r="FE334" s="13"/>
      <c r="FF334" s="18"/>
      <c r="GF334" s="12"/>
      <c r="GG334" s="13"/>
      <c r="GN334" s="14"/>
      <c r="GO334" s="15"/>
      <c r="GP334" s="15"/>
      <c r="GQ334" s="15"/>
      <c r="GR334" s="15"/>
      <c r="GS334" s="15"/>
      <c r="GT334" s="15"/>
      <c r="GU334" s="15"/>
      <c r="GV334" s="16"/>
    </row>
    <row r="335" spans="20:384" ht="18" customHeight="1">
      <c r="T335" s="12"/>
      <c r="V335" s="12"/>
      <c r="AS335" s="13"/>
      <c r="AT335" s="13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CD335" s="13"/>
      <c r="CF335" s="13"/>
      <c r="DW335" s="12"/>
      <c r="DY335" s="12"/>
      <c r="ET335" s="13"/>
      <c r="EU335" s="18"/>
      <c r="EV335" s="12"/>
      <c r="FA335" s="12"/>
      <c r="FE335" s="13"/>
      <c r="FF335" s="18"/>
      <c r="GF335" s="12"/>
      <c r="GG335" s="13"/>
    </row>
    <row r="336" spans="20:384" ht="18" customHeight="1">
      <c r="T336" s="12"/>
      <c r="V336" s="12"/>
      <c r="AS336" s="13"/>
      <c r="AT336" s="13"/>
      <c r="CD336" s="13"/>
      <c r="CF336" s="13"/>
      <c r="DW336" s="12"/>
      <c r="DY336" s="12"/>
      <c r="ET336" s="13"/>
      <c r="EU336" s="18"/>
      <c r="EV336" s="12"/>
      <c r="FA336" s="12"/>
      <c r="FE336" s="13"/>
      <c r="FF336" s="18"/>
      <c r="GF336" s="12"/>
      <c r="GG336" s="13"/>
    </row>
    <row r="337" spans="20:206" ht="18" customHeight="1">
      <c r="T337" s="12"/>
      <c r="V337" s="12"/>
      <c r="AS337" s="13"/>
      <c r="AT337" s="13"/>
      <c r="CD337" s="13"/>
      <c r="CF337" s="13"/>
      <c r="DW337" s="12"/>
      <c r="DY337" s="12"/>
      <c r="ET337" s="13"/>
      <c r="EU337" s="18"/>
      <c r="EV337" s="12"/>
      <c r="FA337" s="12"/>
      <c r="FE337" s="13"/>
      <c r="FF337" s="18"/>
      <c r="GF337" s="12"/>
      <c r="GG337" s="13"/>
    </row>
    <row r="338" spans="20:206" ht="18" customHeight="1">
      <c r="T338" s="12"/>
      <c r="V338" s="12"/>
      <c r="AS338" s="13"/>
      <c r="AT338" s="13"/>
      <c r="CD338" s="13"/>
      <c r="CF338" s="13"/>
      <c r="DW338" s="12"/>
      <c r="DY338" s="12"/>
      <c r="ET338" s="13"/>
      <c r="EU338" s="18"/>
      <c r="EV338" s="14"/>
      <c r="EW338" s="15"/>
      <c r="EX338" s="15"/>
      <c r="EY338" s="15"/>
      <c r="EZ338" s="15"/>
      <c r="FA338" s="14"/>
      <c r="FB338" s="15"/>
      <c r="FC338" s="15"/>
      <c r="FD338" s="15"/>
      <c r="FE338" s="16"/>
      <c r="FF338" s="18"/>
      <c r="GF338" s="12"/>
      <c r="GG338" s="13"/>
    </row>
    <row r="339" spans="20:206" ht="18" customHeight="1">
      <c r="T339" s="12"/>
      <c r="V339" s="12"/>
      <c r="AS339" s="13"/>
      <c r="AT339" s="13"/>
      <c r="CD339" s="13"/>
      <c r="CF339" s="13"/>
      <c r="DW339" s="12"/>
      <c r="DY339" s="12"/>
      <c r="ET339" s="13"/>
      <c r="EU339" s="18"/>
      <c r="EV339" s="14"/>
      <c r="EW339" s="15"/>
      <c r="EX339" s="15"/>
      <c r="EY339" s="15"/>
      <c r="EZ339" s="15"/>
      <c r="FA339" s="15"/>
      <c r="FB339" s="15"/>
      <c r="FC339" s="15"/>
      <c r="FD339" s="15"/>
      <c r="FE339" s="15"/>
      <c r="FF339" s="18"/>
      <c r="GF339" s="12"/>
      <c r="GG339" s="13"/>
    </row>
    <row r="340" spans="20:206" ht="18" customHeight="1">
      <c r="T340" s="12"/>
      <c r="V340" s="12"/>
      <c r="AS340" s="13"/>
      <c r="AT340" s="13"/>
      <c r="CD340" s="13"/>
      <c r="CF340" s="13"/>
      <c r="DW340" s="12"/>
      <c r="DY340" s="12"/>
      <c r="ET340" s="13"/>
      <c r="EU340" s="18"/>
      <c r="FF340" s="18"/>
      <c r="GF340" s="12"/>
      <c r="GG340" s="13"/>
    </row>
    <row r="341" spans="20:206" ht="18" customHeight="1">
      <c r="T341" s="12"/>
      <c r="V341" s="12"/>
      <c r="AS341" s="13"/>
      <c r="AT341" s="13"/>
      <c r="CD341" s="13"/>
      <c r="CF341" s="13"/>
      <c r="DW341" s="12"/>
      <c r="DY341" s="12"/>
      <c r="ET341" s="13"/>
      <c r="EU341" s="18"/>
      <c r="FF341" s="18"/>
      <c r="GF341" s="12"/>
      <c r="GG341" s="13"/>
    </row>
    <row r="342" spans="20:206" ht="18" customHeight="1">
      <c r="T342" s="12"/>
      <c r="V342" s="12"/>
      <c r="AS342" s="13"/>
      <c r="AT342" s="13"/>
      <c r="CD342" s="13"/>
      <c r="CF342" s="13"/>
      <c r="DW342" s="12"/>
      <c r="DY342" s="12"/>
      <c r="ET342" s="13"/>
      <c r="EU342" s="18"/>
      <c r="FF342" s="18"/>
      <c r="GF342" s="12"/>
      <c r="GG342" s="13"/>
    </row>
    <row r="343" spans="20:206" ht="18" customHeight="1">
      <c r="T343" s="12"/>
      <c r="V343" s="12"/>
      <c r="AS343" s="13"/>
      <c r="AT343" s="13"/>
      <c r="CD343" s="13"/>
      <c r="CF343" s="13"/>
      <c r="DW343" s="12"/>
      <c r="DY343" s="12"/>
      <c r="ET343" s="13"/>
      <c r="EU343" s="18"/>
      <c r="FF343" s="18"/>
      <c r="GF343" s="12"/>
      <c r="GG343" s="13"/>
    </row>
    <row r="344" spans="20:206" ht="18" customHeight="1">
      <c r="T344" s="12"/>
      <c r="V344" s="12"/>
      <c r="AS344" s="13"/>
      <c r="AT344" s="13"/>
      <c r="CD344" s="13"/>
      <c r="CF344" s="13"/>
      <c r="DW344" s="12"/>
      <c r="DY344" s="12"/>
      <c r="ET344" s="13"/>
      <c r="EU344" s="18"/>
      <c r="FF344" s="18"/>
      <c r="GF344" s="12"/>
      <c r="GG344" s="13"/>
    </row>
    <row r="345" spans="20:206" ht="18" customHeight="1">
      <c r="T345" s="12"/>
      <c r="V345" s="12"/>
      <c r="AS345" s="13"/>
      <c r="AT345" s="13"/>
      <c r="CD345" s="13"/>
      <c r="CF345" s="13"/>
      <c r="DW345" s="12"/>
      <c r="DY345" s="12"/>
      <c r="ET345" s="13"/>
      <c r="EU345" s="18"/>
      <c r="FF345" s="18"/>
      <c r="GF345" s="12"/>
      <c r="GG345" s="13"/>
    </row>
    <row r="346" spans="20:206" ht="18" customHeight="1">
      <c r="T346" s="12"/>
      <c r="V346" s="12"/>
      <c r="AS346" s="13"/>
      <c r="AT346" s="13"/>
      <c r="CD346" s="13"/>
      <c r="CF346" s="13"/>
      <c r="DW346" s="12"/>
      <c r="DY346" s="14"/>
      <c r="DZ346" s="15"/>
      <c r="EA346" s="15"/>
      <c r="EB346" s="15"/>
      <c r="EC346" s="15"/>
      <c r="ED346" s="15"/>
      <c r="EE346" s="15"/>
      <c r="EF346" s="15"/>
      <c r="EG346" s="15"/>
      <c r="EH346" s="15"/>
      <c r="EI346" s="15"/>
      <c r="EJ346" s="15"/>
      <c r="EK346" s="15"/>
      <c r="EL346" s="15"/>
      <c r="EM346" s="15"/>
      <c r="EN346" s="15"/>
      <c r="EO346" s="15"/>
      <c r="EP346" s="15"/>
      <c r="EQ346" s="15"/>
      <c r="ER346" s="15"/>
      <c r="ES346" s="15"/>
      <c r="ET346" s="16"/>
      <c r="EU346" s="18"/>
      <c r="FF346" s="18"/>
      <c r="GF346" s="12"/>
      <c r="GG346" s="13"/>
    </row>
    <row r="347" spans="20:206" ht="18" customHeight="1">
      <c r="T347" s="96"/>
      <c r="U347" s="97"/>
      <c r="V347" s="14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6"/>
      <c r="AT347" s="13"/>
      <c r="AY347" s="97"/>
      <c r="AZ347" s="97"/>
      <c r="BA347" s="97"/>
      <c r="CD347" s="13"/>
      <c r="CE347" s="97"/>
      <c r="CF347" s="98"/>
      <c r="DW347" s="12"/>
      <c r="DY347" s="20"/>
      <c r="DZ347" s="21"/>
      <c r="EA347" s="21"/>
      <c r="EB347" s="21"/>
      <c r="EC347" s="21"/>
      <c r="ED347" s="21"/>
      <c r="EE347" s="21"/>
      <c r="EF347" s="21"/>
      <c r="EG347" s="21"/>
      <c r="EH347" s="21"/>
      <c r="EI347" s="22"/>
      <c r="EJ347" s="21"/>
      <c r="EK347" s="21"/>
      <c r="EL347" s="21"/>
      <c r="EM347" s="21"/>
      <c r="EN347" s="21"/>
      <c r="EO347" s="27"/>
      <c r="EP347" s="27"/>
      <c r="EQ347" s="27"/>
      <c r="ER347" s="27"/>
      <c r="ES347" s="27"/>
      <c r="ET347" s="22"/>
      <c r="EU347" s="19"/>
      <c r="FF347" s="18"/>
      <c r="GF347" s="12"/>
      <c r="GG347" s="13"/>
    </row>
    <row r="348" spans="20:206" ht="18" customHeight="1">
      <c r="T348" s="96"/>
      <c r="U348" s="97"/>
      <c r="V348" s="9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2"/>
      <c r="AZ348" s="212"/>
      <c r="BA348" s="212"/>
      <c r="BB348" s="21"/>
      <c r="BC348" s="21"/>
      <c r="BD348" s="21"/>
      <c r="BE348" s="21"/>
      <c r="BF348" s="22"/>
      <c r="CD348" s="13"/>
      <c r="CE348" s="97"/>
      <c r="CF348" s="98"/>
      <c r="DW348" s="12"/>
      <c r="DY348" s="12"/>
      <c r="EH348" s="13"/>
      <c r="EI348" s="17"/>
      <c r="FF348" s="18"/>
      <c r="GF348" s="12"/>
      <c r="GG348" s="13"/>
    </row>
    <row r="349" spans="20:206" ht="18" customHeight="1">
      <c r="T349" s="12"/>
      <c r="V349" s="9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1"/>
      <c r="AP349" s="12"/>
      <c r="BE349" s="13"/>
      <c r="BG349" s="12"/>
      <c r="CD349" s="13"/>
      <c r="CF349" s="13"/>
      <c r="DW349" s="12"/>
      <c r="DY349" s="12"/>
      <c r="EH349" s="13"/>
      <c r="EI349" s="18"/>
      <c r="FF349" s="18"/>
      <c r="GF349" s="12"/>
      <c r="GG349" s="13"/>
    </row>
    <row r="350" spans="20:206" ht="18" customHeight="1">
      <c r="T350" s="12"/>
      <c r="V350" s="12"/>
      <c r="AN350" s="13"/>
      <c r="AP350" s="12"/>
      <c r="BE350" s="13"/>
      <c r="BF350" s="13"/>
      <c r="CD350" s="13"/>
      <c r="CF350" s="13"/>
      <c r="DW350" s="12"/>
      <c r="DY350" s="12"/>
      <c r="EH350" s="13"/>
      <c r="EI350" s="18"/>
      <c r="FF350" s="18"/>
      <c r="GF350" s="12"/>
      <c r="GG350" s="13"/>
    </row>
    <row r="351" spans="20:206" ht="18" customHeight="1">
      <c r="T351" s="12"/>
      <c r="V351" s="12"/>
      <c r="AN351" s="13"/>
      <c r="AP351" s="12"/>
      <c r="BE351" s="13"/>
      <c r="BF351" s="13"/>
      <c r="CD351" s="13"/>
      <c r="CF351" s="13"/>
      <c r="CG351" s="9"/>
      <c r="CH351" s="10"/>
      <c r="CI351" s="10"/>
      <c r="CJ351" s="10"/>
      <c r="CK351" s="10"/>
      <c r="CL351" s="10"/>
      <c r="CM351" s="10"/>
      <c r="CN351" s="10"/>
      <c r="CO351" s="10"/>
      <c r="CP351" s="10"/>
      <c r="CQ351" s="10"/>
      <c r="CR351" s="10"/>
      <c r="CS351" s="10"/>
      <c r="CT351" s="10"/>
      <c r="CU351" s="10"/>
      <c r="CV351" s="11"/>
      <c r="CW351" s="10"/>
      <c r="CX351" s="10"/>
      <c r="CY351" s="10"/>
      <c r="CZ351" s="11"/>
      <c r="DW351" s="12"/>
      <c r="DY351" s="12"/>
      <c r="EH351" s="13"/>
      <c r="EI351" s="18"/>
      <c r="FF351" s="18"/>
      <c r="GF351" s="12"/>
      <c r="GG351" s="13"/>
      <c r="GX351" t="s">
        <v>45</v>
      </c>
    </row>
    <row r="352" spans="20:206" ht="18" customHeight="1">
      <c r="T352" s="12"/>
      <c r="V352" s="12"/>
      <c r="AN352" s="13"/>
      <c r="AP352" s="12"/>
      <c r="BE352" s="13"/>
      <c r="BF352" s="13"/>
      <c r="CD352" s="13"/>
      <c r="CF352" s="13"/>
      <c r="CG352" s="12"/>
      <c r="CV352" s="13"/>
      <c r="CZ352" s="13"/>
      <c r="DW352" s="12"/>
      <c r="DY352" s="12"/>
      <c r="EH352" s="13"/>
      <c r="EI352" s="18"/>
      <c r="FF352" s="18"/>
      <c r="GF352" s="12"/>
      <c r="GG352" s="13"/>
    </row>
    <row r="353" spans="20:189" ht="18" customHeight="1">
      <c r="T353" s="12"/>
      <c r="V353" s="12"/>
      <c r="AN353" s="13"/>
      <c r="AP353" s="12"/>
      <c r="AT353" s="9"/>
      <c r="AU353" s="10"/>
      <c r="AV353" s="10"/>
      <c r="AW353" s="10"/>
      <c r="AX353" s="10"/>
      <c r="AY353" s="10"/>
      <c r="AZ353" s="10"/>
      <c r="BA353" s="11"/>
      <c r="BE353" s="13"/>
      <c r="BF353" s="13"/>
      <c r="CD353" s="13"/>
      <c r="CF353" s="13"/>
      <c r="CG353" s="12"/>
      <c r="CV353" s="13"/>
      <c r="CZ353" s="13"/>
      <c r="DW353" s="12"/>
      <c r="DY353" s="12"/>
      <c r="EH353" s="13"/>
      <c r="EI353" s="18"/>
      <c r="FF353" s="18"/>
      <c r="GF353" s="12"/>
      <c r="GG353" s="13"/>
    </row>
    <row r="354" spans="20:189" ht="18" customHeight="1">
      <c r="T354" s="12"/>
      <c r="V354" s="12"/>
      <c r="AN354" s="13"/>
      <c r="AP354" s="12"/>
      <c r="AT354" s="12"/>
      <c r="BA354" s="13"/>
      <c r="BE354" s="13"/>
      <c r="BF354" s="13"/>
      <c r="CD354" s="13"/>
      <c r="CF354" s="13"/>
      <c r="CG354" s="12"/>
      <c r="CV354" s="13"/>
      <c r="CZ354" s="13"/>
      <c r="DW354" s="12"/>
      <c r="DY354" s="12"/>
      <c r="EH354" s="13"/>
      <c r="EI354" s="18"/>
      <c r="FF354" s="18"/>
      <c r="GF354" s="12"/>
      <c r="GG354" s="13"/>
    </row>
    <row r="355" spans="20:189" ht="18" customHeight="1">
      <c r="T355" s="12"/>
      <c r="V355" s="12"/>
      <c r="AN355" s="13"/>
      <c r="AP355" s="12"/>
      <c r="AT355" s="12"/>
      <c r="BA355" s="13"/>
      <c r="BE355" s="13"/>
      <c r="BF355" s="13"/>
      <c r="CD355" s="13"/>
      <c r="CF355" s="13"/>
      <c r="CG355" s="12"/>
      <c r="CV355" s="13"/>
      <c r="CZ355" s="13"/>
      <c r="DW355" s="12"/>
      <c r="DY355" s="12"/>
      <c r="EH355" s="13"/>
      <c r="EI355" s="18"/>
      <c r="FF355" s="19"/>
      <c r="GF355" s="12"/>
      <c r="GG355" s="13"/>
    </row>
    <row r="356" spans="20:189" ht="18" customHeight="1">
      <c r="T356" s="12"/>
      <c r="V356" s="12"/>
      <c r="AN356" s="13"/>
      <c r="AP356" s="12"/>
      <c r="AT356" s="12"/>
      <c r="BA356" s="13"/>
      <c r="BE356" s="13"/>
      <c r="BF356" s="13"/>
      <c r="CD356" s="13"/>
      <c r="CF356" s="13"/>
      <c r="CG356" s="12"/>
      <c r="CV356" s="13"/>
      <c r="CZ356" s="13"/>
      <c r="DW356" s="12"/>
      <c r="DY356" s="12"/>
      <c r="EH356" s="13"/>
      <c r="EI356" s="18"/>
      <c r="GF356" s="12"/>
      <c r="GG356" s="13"/>
    </row>
    <row r="357" spans="20:189" ht="18" customHeight="1">
      <c r="T357" s="12"/>
      <c r="V357" s="12"/>
      <c r="AN357" s="13"/>
      <c r="AP357" s="12"/>
      <c r="AT357" s="12"/>
      <c r="BA357" s="13"/>
      <c r="BE357" s="13"/>
      <c r="BF357" s="13"/>
      <c r="CD357" s="13"/>
      <c r="CF357" s="13"/>
      <c r="CG357" s="12"/>
      <c r="CV357" s="13"/>
      <c r="CZ357" s="13"/>
      <c r="DW357" s="12"/>
      <c r="DY357" s="14"/>
      <c r="DZ357" s="15"/>
      <c r="EA357" s="15"/>
      <c r="EB357" s="15"/>
      <c r="EC357" s="15"/>
      <c r="ED357" s="15"/>
      <c r="EE357" s="15"/>
      <c r="EF357" s="15"/>
      <c r="EG357" s="15"/>
      <c r="EH357" s="16"/>
      <c r="EI357" s="18"/>
      <c r="GF357" s="12"/>
      <c r="GG357" s="13"/>
    </row>
    <row r="358" spans="20:189" ht="18" customHeight="1">
      <c r="T358" s="12"/>
      <c r="V358" s="14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6"/>
      <c r="AO358" s="15"/>
      <c r="AP358" s="12"/>
      <c r="AT358" s="12"/>
      <c r="BA358" s="13"/>
      <c r="BE358" s="13"/>
      <c r="BF358" s="13"/>
      <c r="CD358" s="13"/>
      <c r="CF358" s="13"/>
      <c r="CG358" s="12"/>
      <c r="CV358" s="13"/>
      <c r="CZ358" s="13"/>
      <c r="DW358" s="12"/>
      <c r="DY358" s="14"/>
      <c r="DZ358" s="15"/>
      <c r="EA358" s="15"/>
      <c r="EB358" s="15"/>
      <c r="EC358" s="15"/>
      <c r="ED358" s="15"/>
      <c r="EE358" s="15"/>
      <c r="EF358" s="15"/>
      <c r="EG358" s="15"/>
      <c r="EH358" s="15"/>
      <c r="EI358" s="19"/>
      <c r="GF358" s="12"/>
      <c r="GG358" s="13"/>
    </row>
    <row r="359" spans="20:189" ht="18" customHeight="1">
      <c r="T359" s="12"/>
      <c r="AO359" s="10"/>
      <c r="AP359" s="12"/>
      <c r="AT359" s="12"/>
      <c r="BA359" s="13"/>
      <c r="BE359" s="13"/>
      <c r="BF359" s="13"/>
      <c r="CD359" s="13"/>
      <c r="CF359" s="13"/>
      <c r="CG359" s="12"/>
      <c r="CV359" s="13"/>
      <c r="CZ359" s="13"/>
      <c r="DW359" s="12"/>
      <c r="DY359" s="12"/>
      <c r="GF359" s="12"/>
      <c r="GG359" s="13"/>
    </row>
    <row r="360" spans="20:189" ht="18" customHeight="1">
      <c r="T360" s="14"/>
      <c r="U360" s="15"/>
      <c r="V360" s="15"/>
      <c r="W360" s="15"/>
      <c r="X360" s="15"/>
      <c r="Y360" s="15"/>
      <c r="Z360" s="15"/>
      <c r="AA360" s="15"/>
      <c r="AC360" s="15"/>
      <c r="AP360" s="12"/>
      <c r="AT360" s="12"/>
      <c r="BA360" s="13"/>
      <c r="BE360" s="13"/>
      <c r="BF360" s="13"/>
      <c r="CD360" s="13"/>
      <c r="CF360" s="13"/>
      <c r="CG360" s="12"/>
      <c r="CV360" s="13"/>
      <c r="CZ360" s="13"/>
      <c r="DW360" s="12"/>
      <c r="DY360" s="12"/>
      <c r="GF360" s="12"/>
      <c r="GG360" s="13"/>
    </row>
    <row r="361" spans="20:189" ht="18" customHeight="1">
      <c r="T361" s="12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1"/>
      <c r="AN361" s="12"/>
      <c r="AP361" s="12"/>
      <c r="AT361" s="12"/>
      <c r="BA361" s="13"/>
      <c r="BE361" s="13"/>
      <c r="BF361" s="13"/>
      <c r="CD361" s="13"/>
      <c r="CF361" s="13"/>
      <c r="CG361" s="12"/>
      <c r="CV361" s="13"/>
      <c r="CZ361" s="13"/>
      <c r="DW361" s="12"/>
      <c r="DY361" s="12"/>
      <c r="GF361" s="12"/>
      <c r="GG361" s="13"/>
    </row>
    <row r="362" spans="20:189" ht="18" customHeight="1">
      <c r="T362" s="12"/>
      <c r="AN362" s="12"/>
      <c r="AP362" s="12"/>
      <c r="AT362" s="12"/>
      <c r="BA362" s="13"/>
      <c r="BE362" s="13"/>
      <c r="BF362" s="13"/>
      <c r="CD362" s="13"/>
      <c r="CF362" s="13"/>
      <c r="CG362" s="12"/>
      <c r="CV362" s="13"/>
      <c r="CZ362" s="13"/>
      <c r="DW362" s="12"/>
      <c r="DY362" s="12"/>
      <c r="GF362" s="12"/>
      <c r="GG362" s="13"/>
    </row>
    <row r="363" spans="20:189" ht="18" customHeight="1">
      <c r="T363" s="12"/>
      <c r="AN363" s="12"/>
      <c r="AP363" s="12"/>
      <c r="AT363" s="12"/>
      <c r="BA363" s="13"/>
      <c r="BE363" s="13"/>
      <c r="BF363" s="13"/>
      <c r="CD363" s="13"/>
      <c r="CF363" s="13"/>
      <c r="CG363" s="12"/>
      <c r="CV363" s="13"/>
      <c r="CZ363" s="13"/>
      <c r="DW363" s="12"/>
      <c r="DY363" s="12"/>
      <c r="GF363" s="12"/>
      <c r="GG363" s="13"/>
    </row>
    <row r="364" spans="20:189" ht="18" customHeight="1">
      <c r="T364" s="12"/>
      <c r="AN364" s="12"/>
      <c r="AP364" s="12"/>
      <c r="AT364" s="12"/>
      <c r="BA364" s="13"/>
      <c r="BE364" s="13"/>
      <c r="BF364" s="13"/>
      <c r="CD364" s="13"/>
      <c r="CF364" s="13"/>
      <c r="CG364" s="12"/>
      <c r="CV364" s="13"/>
      <c r="CZ364" s="13"/>
      <c r="DW364" s="12"/>
      <c r="DY364" s="9"/>
      <c r="DZ364" s="10"/>
      <c r="EA364" s="10"/>
      <c r="EB364" s="10"/>
      <c r="EC364" s="10"/>
      <c r="ED364" s="10"/>
      <c r="EE364" s="10"/>
      <c r="EF364" s="10"/>
      <c r="EG364" s="10"/>
      <c r="EH364" s="10"/>
      <c r="EI364" s="10"/>
      <c r="EJ364" s="10"/>
      <c r="EK364" s="10"/>
      <c r="EL364" s="10"/>
      <c r="EM364" s="10"/>
      <c r="EN364" s="10"/>
      <c r="EO364" s="10"/>
      <c r="EP364" s="10"/>
      <c r="EQ364" s="10"/>
      <c r="ER364" s="10"/>
      <c r="ES364" s="10"/>
      <c r="ET364" s="10"/>
      <c r="EU364" s="10"/>
      <c r="EV364" s="10"/>
      <c r="EW364" s="10"/>
      <c r="EX364" s="10"/>
      <c r="EY364" s="10"/>
      <c r="EZ364" s="10"/>
      <c r="FA364" s="10"/>
      <c r="FB364" s="10"/>
      <c r="FC364" s="10"/>
      <c r="FD364" s="10"/>
      <c r="FE364" s="10"/>
      <c r="FF364" s="11"/>
      <c r="GF364" s="12"/>
      <c r="GG364" s="13"/>
    </row>
    <row r="365" spans="20:189" ht="18" customHeight="1">
      <c r="T365" s="12"/>
      <c r="AN365" s="12"/>
      <c r="AP365" s="12"/>
      <c r="AT365" s="12"/>
      <c r="BA365" s="13"/>
      <c r="BE365" s="13"/>
      <c r="BF365" s="13"/>
      <c r="CD365" s="13"/>
      <c r="CF365" s="13"/>
      <c r="CG365" s="12"/>
      <c r="CV365" s="13"/>
      <c r="CZ365" s="13"/>
      <c r="DW365" s="12"/>
      <c r="DY365" s="12"/>
      <c r="FF365" s="13"/>
      <c r="GF365" s="12"/>
      <c r="GG365" s="13"/>
    </row>
    <row r="366" spans="20:189" ht="18" customHeight="1">
      <c r="T366" s="12"/>
      <c r="AN366" s="12"/>
      <c r="AP366" s="12"/>
      <c r="AT366" s="12"/>
      <c r="BA366" s="13"/>
      <c r="BE366" s="13"/>
      <c r="BF366" s="13"/>
      <c r="CD366" s="13"/>
      <c r="CF366" s="13"/>
      <c r="CG366" s="12"/>
      <c r="CV366" s="13"/>
      <c r="CZ366" s="13"/>
      <c r="DW366" s="12"/>
      <c r="DY366" s="12"/>
      <c r="FF366" s="13"/>
      <c r="GF366" s="12"/>
      <c r="GG366" s="13"/>
    </row>
    <row r="367" spans="20:189" ht="18" customHeight="1">
      <c r="T367" s="12"/>
      <c r="AN367" s="12"/>
      <c r="AP367" s="12"/>
      <c r="AT367" s="12"/>
      <c r="BB367" s="10"/>
      <c r="BC367" s="10"/>
      <c r="BD367" s="10"/>
      <c r="BE367" s="10"/>
      <c r="BF367" s="10"/>
      <c r="CD367" s="13"/>
      <c r="CF367" s="13"/>
      <c r="CG367" s="12"/>
      <c r="CV367" s="13"/>
      <c r="CZ367" s="13"/>
      <c r="DW367" s="12"/>
      <c r="DY367" s="14"/>
      <c r="DZ367" s="15"/>
      <c r="EA367" s="15"/>
      <c r="EB367" s="15"/>
      <c r="EC367" s="15"/>
      <c r="ED367" s="15"/>
      <c r="EE367" s="15"/>
      <c r="EF367" s="15"/>
      <c r="EG367" s="15"/>
      <c r="EH367" s="15"/>
      <c r="EI367" s="15"/>
      <c r="EJ367" s="15"/>
      <c r="EK367" s="15"/>
      <c r="EL367" s="15"/>
      <c r="EM367" s="15"/>
      <c r="EN367" s="15"/>
      <c r="EO367" s="15"/>
      <c r="EP367" s="15"/>
      <c r="EQ367" s="15"/>
      <c r="ER367" s="15"/>
      <c r="ES367" s="15"/>
      <c r="ET367" s="15"/>
      <c r="EU367" s="15"/>
      <c r="EV367" s="15"/>
      <c r="EW367" s="15"/>
      <c r="EX367" s="15"/>
      <c r="EY367" s="15"/>
      <c r="EZ367" s="15"/>
      <c r="FA367" s="15"/>
      <c r="FB367" s="15"/>
      <c r="FC367" s="15"/>
      <c r="FD367" s="15"/>
      <c r="FE367" s="15"/>
      <c r="FF367" s="16"/>
      <c r="FG367" s="15"/>
      <c r="FH367" s="15"/>
      <c r="FI367" s="15"/>
      <c r="FJ367" s="15"/>
      <c r="FK367" s="15"/>
      <c r="FL367" s="15"/>
      <c r="FM367" s="15"/>
      <c r="FN367" s="15"/>
      <c r="FO367" s="15"/>
      <c r="FP367" s="15"/>
      <c r="FQ367" s="15"/>
      <c r="FR367" s="15"/>
      <c r="FS367" s="15"/>
      <c r="FT367" s="15"/>
      <c r="FU367" s="15"/>
      <c r="FV367" s="15"/>
      <c r="FW367" s="15"/>
      <c r="FX367" s="15"/>
      <c r="FY367" s="15"/>
      <c r="FZ367" s="15"/>
      <c r="GA367" s="15"/>
      <c r="GB367" s="15"/>
      <c r="GC367" s="15"/>
      <c r="GD367" s="15"/>
      <c r="GE367" s="15"/>
      <c r="GF367" s="12"/>
      <c r="GG367" s="13"/>
    </row>
    <row r="368" spans="20:189" ht="18" customHeight="1">
      <c r="T368" s="12"/>
      <c r="AN368" s="12"/>
      <c r="AP368" s="12"/>
      <c r="AT368" s="12"/>
      <c r="CD368" s="13"/>
      <c r="CF368" s="13"/>
      <c r="CG368" s="12"/>
      <c r="CV368" s="13"/>
      <c r="CZ368" s="13"/>
      <c r="DW368" s="12"/>
      <c r="GG368" s="13"/>
    </row>
    <row r="369" spans="20:189" ht="18" customHeight="1">
      <c r="T369" s="12"/>
      <c r="AN369" s="12"/>
      <c r="AP369" s="12"/>
      <c r="AT369" s="12"/>
      <c r="CD369" s="13"/>
      <c r="CF369" s="13"/>
      <c r="CG369" s="12"/>
      <c r="CV369" s="13"/>
      <c r="CZ369" s="13"/>
      <c r="DW369" s="14"/>
      <c r="DX369" s="15"/>
      <c r="DY369" s="15"/>
      <c r="DZ369" s="15"/>
      <c r="EA369" s="15"/>
      <c r="EB369" s="15"/>
      <c r="EC369" s="15"/>
      <c r="ED369" s="15"/>
      <c r="EE369" s="15"/>
      <c r="EF369" s="15"/>
      <c r="EG369" s="15"/>
      <c r="EH369" s="15"/>
      <c r="EI369" s="15"/>
      <c r="EJ369" s="15"/>
      <c r="EK369" s="15"/>
      <c r="EL369" s="15"/>
      <c r="EM369" s="15"/>
      <c r="EN369" s="15"/>
      <c r="EO369" s="15"/>
      <c r="EP369" s="15"/>
      <c r="EQ369" s="15"/>
      <c r="ER369" s="15"/>
      <c r="ES369" s="15"/>
      <c r="ET369" s="15"/>
      <c r="EU369" s="15"/>
      <c r="EV369" s="15"/>
      <c r="EW369" s="15"/>
      <c r="EX369" s="15"/>
      <c r="EY369" s="15"/>
      <c r="EZ369" s="15"/>
      <c r="FA369" s="15"/>
      <c r="FB369" s="15"/>
      <c r="FC369" s="15"/>
      <c r="FD369" s="15"/>
      <c r="FE369" s="15"/>
      <c r="FF369" s="15"/>
      <c r="FG369" s="15"/>
      <c r="FH369" s="15"/>
      <c r="FI369" s="15"/>
      <c r="FJ369" s="15"/>
      <c r="FK369" s="15"/>
      <c r="FL369" s="15"/>
      <c r="FM369" s="15"/>
      <c r="FN369" s="15"/>
      <c r="FO369" s="15"/>
      <c r="FP369" s="15"/>
      <c r="FQ369" s="15"/>
      <c r="FR369" s="15"/>
      <c r="FS369" s="15"/>
      <c r="FT369" s="15"/>
      <c r="FU369" s="15"/>
      <c r="FV369" s="15"/>
      <c r="FW369" s="15"/>
      <c r="FX369" s="15"/>
      <c r="FY369" s="100"/>
      <c r="FZ369" s="100"/>
      <c r="GA369" s="100"/>
      <c r="GB369" s="100"/>
      <c r="GC369" s="100"/>
      <c r="GD369" s="100"/>
      <c r="GE369" s="15"/>
      <c r="GF369" s="15"/>
      <c r="GG369" s="16"/>
    </row>
    <row r="370" spans="20:189" ht="18" customHeight="1">
      <c r="T370" s="12"/>
      <c r="AN370" s="12"/>
      <c r="AP370" s="12"/>
      <c r="AT370" s="12"/>
      <c r="CD370" s="13"/>
      <c r="CF370" s="13"/>
      <c r="CG370" s="12"/>
      <c r="CV370" s="13"/>
      <c r="CZ370" s="13"/>
    </row>
    <row r="371" spans="20:189" ht="18" customHeight="1">
      <c r="T371" s="12"/>
      <c r="AN371" s="12"/>
      <c r="AP371" s="12"/>
      <c r="AT371" s="12"/>
      <c r="CD371" s="13"/>
      <c r="CF371" s="13"/>
      <c r="CG371" s="12"/>
      <c r="CV371" s="13"/>
      <c r="CZ371" s="13"/>
    </row>
    <row r="372" spans="20:189" ht="18" customHeight="1">
      <c r="T372" s="12"/>
      <c r="AN372" s="12"/>
      <c r="AP372" s="12"/>
      <c r="AT372" s="12"/>
      <c r="CD372" s="13"/>
      <c r="CF372" s="13"/>
      <c r="CG372" s="12"/>
      <c r="CV372" s="13"/>
      <c r="CZ372" s="13"/>
    </row>
    <row r="373" spans="20:189" ht="18" customHeight="1">
      <c r="T373" s="12"/>
      <c r="AN373" s="12"/>
      <c r="AP373" s="12"/>
      <c r="AS373" s="13"/>
      <c r="AT373" s="12"/>
      <c r="CD373" s="13"/>
      <c r="CF373" s="13"/>
      <c r="CG373" s="12"/>
      <c r="CV373" s="13"/>
      <c r="CZ373" s="13"/>
    </row>
    <row r="374" spans="20:189" ht="18" customHeight="1">
      <c r="T374" s="12"/>
      <c r="AN374" s="12"/>
      <c r="AP374" s="14"/>
      <c r="AQ374" s="15"/>
      <c r="AR374" s="15"/>
      <c r="AS374" s="16"/>
      <c r="AT374" s="15"/>
      <c r="AU374" s="15"/>
      <c r="AV374" s="15"/>
      <c r="AW374" s="15"/>
      <c r="AX374" s="15"/>
      <c r="AY374" s="15"/>
      <c r="AZ374" s="15"/>
      <c r="BA374" s="15"/>
      <c r="BB374" s="15"/>
      <c r="BC374" s="15"/>
      <c r="BD374" s="15"/>
      <c r="BE374" s="15"/>
      <c r="BF374" s="15"/>
      <c r="BG374" s="15"/>
      <c r="BH374" s="15"/>
      <c r="BI374" s="15"/>
      <c r="BJ374" s="15"/>
      <c r="BK374" s="15"/>
      <c r="BL374" s="15"/>
      <c r="BM374" s="15"/>
      <c r="BN374" s="15"/>
      <c r="BO374" s="15"/>
      <c r="BP374" s="15"/>
      <c r="BQ374" s="15"/>
      <c r="BR374" s="15"/>
      <c r="BS374" s="15"/>
      <c r="BT374" s="15"/>
      <c r="BU374" s="15"/>
      <c r="BV374" s="15"/>
      <c r="BW374" s="15"/>
      <c r="BX374" s="15"/>
      <c r="BY374" s="15"/>
      <c r="BZ374" s="15"/>
      <c r="CA374" s="15"/>
      <c r="CB374" s="15"/>
      <c r="CC374" s="15"/>
      <c r="CD374" s="16"/>
      <c r="CF374" s="13"/>
      <c r="CG374" s="12"/>
      <c r="CV374" s="13"/>
      <c r="CZ374" s="13"/>
    </row>
    <row r="375" spans="20:189" ht="18" customHeight="1">
      <c r="T375" s="96"/>
      <c r="U375" s="97"/>
      <c r="AN375" s="12"/>
      <c r="AY375" s="97"/>
      <c r="AZ375" s="97"/>
      <c r="CE375" s="97"/>
      <c r="CF375" s="98"/>
      <c r="CG375" s="12"/>
      <c r="CV375" s="13"/>
      <c r="CZ375" s="13"/>
    </row>
    <row r="376" spans="20:189" ht="18" customHeight="1">
      <c r="T376" s="59"/>
      <c r="U376" s="60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  <c r="AG376" s="15"/>
      <c r="AH376" s="15"/>
      <c r="AI376" s="15"/>
      <c r="AJ376" s="15"/>
      <c r="AK376" s="15"/>
      <c r="AL376" s="15"/>
      <c r="AM376" s="15"/>
      <c r="AN376" s="12"/>
      <c r="AY376" s="97"/>
      <c r="AZ376" s="97"/>
      <c r="CE376" s="97"/>
      <c r="CF376" s="98"/>
      <c r="CG376" s="14"/>
      <c r="CH376" s="15"/>
      <c r="CI376" s="15"/>
      <c r="CJ376" s="15"/>
      <c r="CK376" s="15"/>
      <c r="CL376" s="15"/>
      <c r="CM376" s="15"/>
      <c r="CN376" s="15"/>
      <c r="CO376" s="15"/>
      <c r="CP376" s="15"/>
      <c r="CQ376" s="15"/>
      <c r="CR376" s="15"/>
      <c r="CS376" s="15"/>
      <c r="CT376" s="15"/>
      <c r="CU376" s="15"/>
      <c r="CV376" s="16"/>
      <c r="CW376" s="15"/>
      <c r="CX376" s="15"/>
      <c r="CY376" s="15"/>
      <c r="CZ376" s="16"/>
    </row>
    <row r="377" spans="20:189" ht="18" customHeight="1">
      <c r="AN377" s="9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  <c r="AY377" s="10"/>
      <c r="AZ377" s="10"/>
      <c r="BA377" s="10"/>
      <c r="BB377" s="10"/>
      <c r="BC377" s="10"/>
      <c r="BD377" s="10"/>
      <c r="BE377" s="10"/>
      <c r="BF377" s="10"/>
      <c r="BG377" s="10"/>
      <c r="BH377" s="10"/>
      <c r="BI377" s="10"/>
      <c r="BJ377" s="10"/>
      <c r="BK377" s="10"/>
      <c r="BL377" s="10"/>
      <c r="BM377" s="10"/>
      <c r="BN377" s="10"/>
      <c r="BO377" s="10"/>
      <c r="BP377" s="10"/>
      <c r="BQ377" s="10"/>
      <c r="BR377" s="10"/>
      <c r="BS377" s="10"/>
      <c r="BT377" s="10"/>
      <c r="BU377" s="10"/>
      <c r="BV377" s="10"/>
      <c r="BW377" s="10"/>
      <c r="BX377" s="10"/>
      <c r="BY377" s="10"/>
      <c r="BZ377" s="10"/>
      <c r="CA377" s="10"/>
      <c r="CB377" s="10"/>
      <c r="CC377" s="10"/>
      <c r="CD377" s="10"/>
      <c r="CE377" s="10"/>
      <c r="CF377" s="11"/>
      <c r="CG377" s="9"/>
      <c r="CH377" s="10"/>
      <c r="CI377" s="10"/>
      <c r="CJ377" s="10"/>
      <c r="CK377" s="10"/>
      <c r="CL377" s="10"/>
      <c r="CM377" s="10"/>
      <c r="CN377" s="10"/>
      <c r="CO377" s="10"/>
      <c r="CP377" s="10"/>
      <c r="CQ377" s="10"/>
      <c r="CR377" s="10"/>
      <c r="CS377" s="10"/>
      <c r="CT377" s="10"/>
      <c r="CU377" s="10"/>
      <c r="CV377" s="11"/>
      <c r="CW377" s="10"/>
      <c r="CX377" s="10"/>
      <c r="CY377" s="10"/>
      <c r="CZ377" s="11"/>
    </row>
    <row r="378" spans="20:189" ht="18" customHeight="1">
      <c r="AN378" s="12"/>
      <c r="CF378" s="13"/>
      <c r="CG378" s="12"/>
      <c r="CV378" s="13"/>
      <c r="CZ378" s="13"/>
    </row>
    <row r="379" spans="20:189" ht="18" customHeight="1">
      <c r="AN379" s="12"/>
      <c r="CF379" s="13"/>
      <c r="CG379" s="12"/>
      <c r="CV379" s="13"/>
      <c r="CZ379" s="13"/>
    </row>
    <row r="380" spans="20:189" ht="18" customHeight="1">
      <c r="AN380" s="12"/>
      <c r="CF380" s="13"/>
      <c r="CG380" s="12"/>
      <c r="CV380" s="13"/>
      <c r="CZ380" s="13"/>
    </row>
    <row r="381" spans="20:189" ht="18" customHeight="1">
      <c r="AN381" s="12"/>
      <c r="CF381" s="13"/>
      <c r="CG381" s="12"/>
      <c r="CV381" s="13"/>
      <c r="CZ381" s="13"/>
    </row>
    <row r="382" spans="20:189" ht="18" customHeight="1">
      <c r="AN382" s="12"/>
      <c r="CF382" s="13"/>
      <c r="CG382" s="12"/>
      <c r="CV382" s="13"/>
      <c r="CZ382" s="13"/>
    </row>
    <row r="383" spans="20:189" ht="18" customHeight="1">
      <c r="AN383" s="12"/>
      <c r="CF383" s="13"/>
      <c r="CG383" s="12"/>
      <c r="CV383" s="13"/>
      <c r="CZ383" s="13"/>
    </row>
    <row r="384" spans="20:189" ht="18" customHeight="1">
      <c r="AN384" s="12"/>
      <c r="CF384" s="13"/>
      <c r="CG384" s="12"/>
      <c r="CV384" s="13"/>
      <c r="CZ384" s="13"/>
    </row>
    <row r="385" spans="40:262" ht="18" customHeight="1">
      <c r="AN385" s="12"/>
      <c r="CF385" s="13"/>
      <c r="CG385" s="12"/>
      <c r="CV385" s="13"/>
      <c r="CZ385" s="13"/>
    </row>
    <row r="386" spans="40:262" ht="18" customHeight="1">
      <c r="AN386" s="12"/>
      <c r="CF386" s="13"/>
      <c r="CG386" s="12"/>
      <c r="CV386" s="13"/>
      <c r="CZ386" s="13"/>
      <c r="DY386" s="9"/>
      <c r="DZ386" s="10"/>
      <c r="EA386" s="10"/>
      <c r="EB386" s="10"/>
      <c r="EC386" s="10"/>
      <c r="ED386" s="10"/>
      <c r="EE386" s="10"/>
      <c r="EF386" s="10"/>
      <c r="EG386" s="10"/>
      <c r="EH386" s="10"/>
      <c r="EI386" s="10"/>
      <c r="EJ386" s="10"/>
      <c r="EK386" s="10"/>
      <c r="EL386" s="10"/>
      <c r="EM386" s="10"/>
      <c r="EN386" s="10"/>
      <c r="EO386" s="10"/>
      <c r="EP386" s="10"/>
      <c r="EQ386" s="10"/>
      <c r="ER386" s="10"/>
      <c r="ES386" s="10"/>
      <c r="ET386" s="10"/>
      <c r="EU386" s="10"/>
      <c r="EV386" s="10"/>
      <c r="EW386" s="10"/>
      <c r="EX386" s="10"/>
      <c r="EY386" s="10"/>
      <c r="EZ386" s="10"/>
      <c r="FA386" s="10"/>
      <c r="FB386" s="10"/>
      <c r="FC386" s="10"/>
      <c r="FD386" s="10"/>
      <c r="FE386" s="10"/>
      <c r="FF386" s="10"/>
      <c r="FG386" s="10"/>
      <c r="FH386" s="10"/>
      <c r="FI386" s="10"/>
      <c r="FJ386" s="10"/>
      <c r="FK386" s="10"/>
      <c r="FL386" s="10"/>
      <c r="FM386" s="10"/>
      <c r="FN386" s="10"/>
      <c r="FO386" s="10"/>
      <c r="FP386" s="10"/>
      <c r="FQ386" s="10"/>
      <c r="FR386" s="10"/>
      <c r="FS386" s="10"/>
      <c r="FT386" s="10"/>
      <c r="FU386" s="10"/>
      <c r="FV386" s="10"/>
      <c r="FW386" s="10"/>
      <c r="FX386" s="10"/>
      <c r="FY386" s="10"/>
      <c r="FZ386" s="10"/>
      <c r="GA386" s="10"/>
      <c r="GB386" s="11"/>
    </row>
    <row r="387" spans="40:262" ht="18" customHeight="1">
      <c r="AN387" s="12"/>
      <c r="CF387" s="13"/>
      <c r="CG387" s="12"/>
      <c r="CV387" s="13"/>
      <c r="CZ387" s="13"/>
      <c r="DY387" s="12"/>
      <c r="GB387" s="13"/>
    </row>
    <row r="388" spans="40:262" ht="18" customHeight="1">
      <c r="AN388" s="12"/>
      <c r="CF388" s="13"/>
      <c r="CG388" s="12"/>
      <c r="CV388" s="13"/>
      <c r="CZ388" s="13"/>
      <c r="DY388" s="12"/>
      <c r="EA388" s="9"/>
      <c r="EB388" s="10"/>
      <c r="EC388" s="10"/>
      <c r="ED388" s="10"/>
      <c r="EE388" s="10"/>
      <c r="EF388" s="10"/>
      <c r="EG388" s="10"/>
      <c r="EH388" s="10"/>
      <c r="EI388" s="10"/>
      <c r="EJ388" s="10"/>
      <c r="EK388" s="10"/>
      <c r="EL388" s="10"/>
      <c r="EM388" s="10"/>
      <c r="EN388" s="10"/>
      <c r="EO388" s="10"/>
      <c r="EP388" s="10"/>
      <c r="EQ388" s="10"/>
      <c r="ER388" s="10"/>
      <c r="ES388" s="10"/>
      <c r="ET388" s="10"/>
      <c r="EU388" s="10"/>
      <c r="EV388" s="10"/>
      <c r="EW388" s="10"/>
      <c r="EX388" s="10"/>
      <c r="EY388" s="10"/>
      <c r="EZ388" s="10"/>
      <c r="FA388" s="11"/>
      <c r="FB388" s="10"/>
      <c r="FC388" s="9"/>
      <c r="FD388" s="10"/>
      <c r="FE388" s="10"/>
      <c r="FF388" s="10"/>
      <c r="FG388" s="10"/>
      <c r="FH388" s="10"/>
      <c r="FI388" s="10"/>
      <c r="FJ388" s="10"/>
      <c r="FK388" s="10"/>
      <c r="FL388" s="10"/>
      <c r="FM388" s="10"/>
      <c r="FN388" s="10"/>
      <c r="FO388" s="10"/>
      <c r="FP388" s="10"/>
      <c r="FQ388" s="10"/>
      <c r="FR388" s="11"/>
      <c r="FS388" s="11"/>
      <c r="FT388" s="10"/>
      <c r="FU388" s="10"/>
      <c r="FV388" s="10"/>
      <c r="FW388" s="10"/>
      <c r="FX388" s="10"/>
      <c r="FY388" s="10"/>
      <c r="FZ388" s="11"/>
      <c r="GB388" s="13"/>
      <c r="HR388" s="15"/>
      <c r="HS388" s="15"/>
      <c r="HT388" s="15"/>
      <c r="HU388" s="15"/>
      <c r="HV388" s="15"/>
      <c r="HW388" s="15"/>
      <c r="HX388" s="15"/>
      <c r="HY388" s="15"/>
    </row>
    <row r="389" spans="40:262" ht="18" customHeight="1">
      <c r="AN389" s="12"/>
      <c r="CF389" s="13"/>
      <c r="CG389" s="12"/>
      <c r="CV389" s="13"/>
      <c r="CZ389" s="13"/>
      <c r="DY389" s="12"/>
      <c r="EA389" s="12"/>
      <c r="FA389" s="13"/>
      <c r="FC389" s="12"/>
      <c r="FR389" s="13"/>
      <c r="FS389" s="13"/>
      <c r="FZ389" s="13"/>
      <c r="GB389" s="13"/>
      <c r="GZ389" s="9"/>
      <c r="HA389" s="10"/>
      <c r="HB389" s="10"/>
      <c r="HC389" s="10"/>
      <c r="HD389" s="10"/>
      <c r="HE389" s="10"/>
      <c r="HF389" s="10"/>
      <c r="HG389" s="10"/>
      <c r="HH389" s="10"/>
      <c r="HI389" s="10"/>
      <c r="HJ389" s="10"/>
      <c r="HK389" s="10"/>
      <c r="HL389" s="10"/>
      <c r="HM389" s="10"/>
      <c r="HN389" s="10"/>
      <c r="HO389" s="10"/>
      <c r="HP389" s="10"/>
      <c r="HQ389" s="10"/>
      <c r="HR389" s="10"/>
      <c r="HS389" s="10"/>
      <c r="HT389" s="10"/>
      <c r="HU389" s="10"/>
      <c r="HV389" s="10"/>
      <c r="HW389" s="10"/>
      <c r="HX389" s="10"/>
      <c r="HY389" s="10"/>
      <c r="HZ389" s="10"/>
      <c r="IA389" s="10"/>
      <c r="IB389" s="10"/>
      <c r="IC389" s="10"/>
      <c r="ID389" s="10"/>
      <c r="IE389" s="10"/>
      <c r="IF389" s="10"/>
      <c r="IG389" s="10"/>
      <c r="IH389" s="10"/>
      <c r="II389" s="10"/>
      <c r="IJ389" s="10"/>
      <c r="IK389" s="10"/>
      <c r="IL389" s="10"/>
      <c r="IM389" s="10"/>
      <c r="IN389" s="10"/>
      <c r="IO389" s="10"/>
      <c r="IP389" s="10"/>
      <c r="IQ389" s="10"/>
      <c r="IR389" s="10"/>
      <c r="IS389" s="10"/>
      <c r="IT389" s="10"/>
      <c r="IU389" s="10"/>
      <c r="IV389" s="10"/>
      <c r="IW389" s="10"/>
      <c r="IX389" s="10"/>
      <c r="IY389" s="10"/>
      <c r="IZ389" s="10"/>
      <c r="JA389" s="10"/>
      <c r="JB389" s="11"/>
    </row>
    <row r="390" spans="40:262" ht="18" customHeight="1">
      <c r="AN390" s="12"/>
      <c r="CF390" s="13"/>
      <c r="CG390" s="12"/>
      <c r="CV390" s="13"/>
      <c r="CZ390" s="13"/>
      <c r="DY390" s="12"/>
      <c r="EA390" s="12"/>
      <c r="FA390" s="13"/>
      <c r="FC390" s="12"/>
      <c r="FR390" s="13"/>
      <c r="FS390" s="13"/>
      <c r="FZ390" s="13"/>
      <c r="GB390" s="13"/>
      <c r="GZ390" s="12"/>
      <c r="IJ390" s="15"/>
      <c r="IK390" s="15"/>
      <c r="IL390" s="15"/>
      <c r="IM390" s="15"/>
      <c r="IN390" s="15"/>
      <c r="IO390" s="15"/>
      <c r="IS390" s="15"/>
      <c r="IT390" s="15"/>
      <c r="IU390" s="15"/>
      <c r="JB390" s="13"/>
    </row>
    <row r="391" spans="40:262" ht="18" customHeight="1">
      <c r="AN391" s="12"/>
      <c r="CF391" s="13"/>
      <c r="CG391" s="12"/>
      <c r="CV391" s="13"/>
      <c r="CZ391" s="13"/>
      <c r="DY391" s="12"/>
      <c r="EA391" s="12"/>
      <c r="FA391" s="13"/>
      <c r="FC391" s="12"/>
      <c r="FR391" s="13"/>
      <c r="FS391" s="13"/>
      <c r="FZ391" s="13"/>
      <c r="GB391" s="13"/>
      <c r="GZ391" s="12"/>
      <c r="HB391" s="9"/>
      <c r="HC391" s="10"/>
      <c r="HD391" s="10"/>
      <c r="HE391" s="10"/>
      <c r="HF391" s="10"/>
      <c r="HG391" s="10"/>
      <c r="HH391" s="10"/>
      <c r="HI391" s="10"/>
      <c r="HJ391" s="10"/>
      <c r="HK391" s="10"/>
      <c r="HL391" s="10"/>
      <c r="HM391" s="10"/>
      <c r="HN391" s="10"/>
      <c r="HO391" s="10"/>
      <c r="HP391" s="10"/>
      <c r="HQ391" s="10"/>
      <c r="HR391" s="10"/>
      <c r="HS391" s="9"/>
      <c r="HT391" s="10"/>
      <c r="HU391" s="10"/>
      <c r="HV391" s="10"/>
      <c r="HW391" s="10"/>
      <c r="HX391" s="10"/>
      <c r="HY391" s="10"/>
      <c r="HZ391" s="10"/>
      <c r="IA391" s="9"/>
      <c r="IB391" s="9"/>
      <c r="IC391" s="10"/>
      <c r="ID391" s="10"/>
      <c r="IE391" s="10"/>
      <c r="IF391" s="10"/>
      <c r="IG391" s="10"/>
      <c r="IH391" s="10"/>
      <c r="II391" s="10"/>
      <c r="IJ391" s="11"/>
      <c r="IK391" s="11"/>
      <c r="IL391" s="10"/>
      <c r="IM391" s="10"/>
      <c r="IN391" s="10"/>
      <c r="IO391" s="10"/>
      <c r="IP391" s="10"/>
      <c r="IQ391" s="10"/>
      <c r="IR391" s="10"/>
      <c r="IS391" s="10"/>
      <c r="IT391" s="11"/>
      <c r="IU391" s="9"/>
      <c r="IV391" s="10"/>
      <c r="IW391" s="10"/>
      <c r="IX391" s="10"/>
      <c r="IY391" s="10"/>
      <c r="IZ391" s="11"/>
      <c r="JB391" s="13"/>
    </row>
    <row r="392" spans="40:262" ht="18" customHeight="1">
      <c r="AN392" s="14"/>
      <c r="AO392" s="15"/>
      <c r="AP392" s="15"/>
      <c r="AQ392" s="15"/>
      <c r="AR392" s="15"/>
      <c r="AS392" s="15"/>
      <c r="AT392" s="15"/>
      <c r="AU392" s="15"/>
      <c r="AV392" s="15"/>
      <c r="AW392" s="15"/>
      <c r="AX392" s="15"/>
      <c r="AY392" s="15"/>
      <c r="AZ392" s="15"/>
      <c r="BA392" s="15"/>
      <c r="BB392" s="15"/>
      <c r="BC392" s="15"/>
      <c r="BD392" s="15"/>
      <c r="BE392" s="15"/>
      <c r="BF392" s="15"/>
      <c r="BG392" s="15"/>
      <c r="BH392" s="15"/>
      <c r="BI392" s="15"/>
      <c r="BJ392" s="15"/>
      <c r="BK392" s="15"/>
      <c r="BL392" s="15"/>
      <c r="BM392" s="15"/>
      <c r="BN392" s="15"/>
      <c r="BO392" s="15"/>
      <c r="BP392" s="15"/>
      <c r="BQ392" s="15"/>
      <c r="BR392" s="15"/>
      <c r="BS392" s="15"/>
      <c r="BT392" s="15"/>
      <c r="BU392" s="15"/>
      <c r="BV392" s="15"/>
      <c r="BW392" s="15"/>
      <c r="BX392" s="15"/>
      <c r="BY392" s="15"/>
      <c r="BZ392" s="15"/>
      <c r="CA392" s="15"/>
      <c r="CB392" s="15"/>
      <c r="CC392" s="15"/>
      <c r="CD392" s="15"/>
      <c r="CE392" s="15"/>
      <c r="CF392" s="16"/>
      <c r="CG392" s="14"/>
      <c r="CH392" s="15"/>
      <c r="CI392" s="15"/>
      <c r="CJ392" s="15"/>
      <c r="CK392" s="15"/>
      <c r="CL392" s="15"/>
      <c r="CM392" s="15"/>
      <c r="CN392" s="15"/>
      <c r="CO392" s="15"/>
      <c r="CP392" s="15"/>
      <c r="CQ392" s="15"/>
      <c r="CR392" s="15"/>
      <c r="CS392" s="15"/>
      <c r="CT392" s="15"/>
      <c r="CU392" s="15"/>
      <c r="CV392" s="16"/>
      <c r="CZ392" s="13"/>
      <c r="DY392" s="12"/>
      <c r="EA392" s="12"/>
      <c r="FA392" s="13"/>
      <c r="FC392" s="12"/>
      <c r="FR392" s="13"/>
      <c r="FS392" s="13"/>
      <c r="FZ392" s="13"/>
      <c r="GB392" s="13"/>
      <c r="GZ392" s="12"/>
      <c r="HB392" s="12"/>
      <c r="HS392" s="12"/>
      <c r="IA392" s="12"/>
      <c r="IB392" s="12"/>
      <c r="IJ392" s="13"/>
      <c r="IK392" s="13"/>
      <c r="IT392" s="13"/>
      <c r="IU392" s="12"/>
      <c r="IZ392" s="13"/>
      <c r="JB392" s="13"/>
    </row>
    <row r="393" spans="40:262" ht="18" customHeight="1">
      <c r="AN393" s="12"/>
      <c r="CZ393" s="13"/>
      <c r="DY393" s="12"/>
      <c r="EA393" s="12"/>
      <c r="FA393" s="13"/>
      <c r="FC393" s="12"/>
      <c r="FR393" s="13"/>
      <c r="FS393" s="13"/>
      <c r="FZ393" s="13"/>
      <c r="GB393" s="13"/>
      <c r="GZ393" s="12"/>
      <c r="HB393" s="12"/>
      <c r="HS393" s="12"/>
      <c r="IA393" s="12"/>
      <c r="IB393" s="12"/>
      <c r="IJ393" s="13"/>
      <c r="IK393" s="13"/>
      <c r="IT393" s="13"/>
      <c r="IU393" s="12"/>
      <c r="IZ393" s="13"/>
      <c r="JB393" s="13"/>
    </row>
    <row r="394" spans="40:262" ht="18" customHeight="1">
      <c r="AN394" s="12"/>
      <c r="CZ394" s="13"/>
      <c r="DY394" s="12"/>
      <c r="EA394" s="12"/>
      <c r="FA394" s="13"/>
      <c r="FC394" s="12"/>
      <c r="FR394" s="13"/>
      <c r="FS394" s="13"/>
      <c r="FZ394" s="13"/>
      <c r="GB394" s="13"/>
      <c r="GZ394" s="12"/>
      <c r="HB394" s="12"/>
      <c r="HS394" s="12"/>
      <c r="IA394" s="12"/>
      <c r="IB394" s="12"/>
      <c r="IJ394" s="13"/>
      <c r="IK394" s="13"/>
      <c r="IT394" s="13"/>
      <c r="IU394" s="12"/>
      <c r="IZ394" s="13"/>
      <c r="JB394" s="13"/>
    </row>
    <row r="395" spans="40:262" ht="18" customHeight="1">
      <c r="AN395" s="12"/>
      <c r="CZ395" s="13"/>
      <c r="DY395" s="12"/>
      <c r="EA395" s="12"/>
      <c r="FA395" s="13"/>
      <c r="FC395" s="12"/>
      <c r="FR395" s="13"/>
      <c r="FS395" s="13"/>
      <c r="FZ395" s="13"/>
      <c r="GB395" s="13"/>
      <c r="GZ395" s="12"/>
      <c r="HB395" s="12"/>
      <c r="HS395" s="12"/>
      <c r="IA395" s="12"/>
      <c r="IB395" s="12"/>
      <c r="IJ395" s="13"/>
      <c r="IK395" s="13"/>
      <c r="IT395" s="13"/>
      <c r="IU395" s="12"/>
      <c r="IZ395" s="13"/>
      <c r="JB395" s="13"/>
    </row>
    <row r="396" spans="40:262" ht="18" customHeight="1">
      <c r="AN396" s="14"/>
      <c r="AO396" s="15"/>
      <c r="AP396" s="15"/>
      <c r="AQ396" s="15"/>
      <c r="AR396" s="15"/>
      <c r="AS396" s="15"/>
      <c r="AT396" s="15"/>
      <c r="AU396" s="15"/>
      <c r="AV396" s="15"/>
      <c r="AW396" s="15"/>
      <c r="AX396" s="15"/>
      <c r="AY396" s="15"/>
      <c r="AZ396" s="15"/>
      <c r="BA396" s="15"/>
      <c r="BB396" s="15"/>
      <c r="BC396" s="15"/>
      <c r="BD396" s="15"/>
      <c r="BE396" s="15"/>
      <c r="BF396" s="15"/>
      <c r="BG396" s="15"/>
      <c r="BH396" s="15"/>
      <c r="BI396" s="15"/>
      <c r="BJ396" s="15"/>
      <c r="BK396" s="15"/>
      <c r="BL396" s="15"/>
      <c r="BM396" s="15"/>
      <c r="BN396" s="15"/>
      <c r="BO396" s="15"/>
      <c r="BP396" s="15"/>
      <c r="BQ396" s="15"/>
      <c r="BR396" s="15"/>
      <c r="BS396" s="15"/>
      <c r="BT396" s="15"/>
      <c r="BU396" s="15"/>
      <c r="BV396" s="15"/>
      <c r="BW396" s="15"/>
      <c r="BX396" s="15"/>
      <c r="BY396" s="15"/>
      <c r="BZ396" s="15"/>
      <c r="CA396" s="15"/>
      <c r="CB396" s="15"/>
      <c r="CC396" s="15"/>
      <c r="CD396" s="15"/>
      <c r="CE396" s="15"/>
      <c r="CF396" s="15"/>
      <c r="CG396" s="15"/>
      <c r="CH396" s="15"/>
      <c r="CI396" s="15"/>
      <c r="CJ396" s="15"/>
      <c r="CK396" s="15"/>
      <c r="CL396" s="15"/>
      <c r="CM396" s="15"/>
      <c r="CN396" s="15"/>
      <c r="CO396" s="15"/>
      <c r="CP396" s="15"/>
      <c r="CQ396" s="15"/>
      <c r="CR396" s="15"/>
      <c r="CS396" s="15"/>
      <c r="CT396" s="15"/>
      <c r="CU396" s="15"/>
      <c r="CV396" s="15"/>
      <c r="CW396" s="15"/>
      <c r="CX396" s="15"/>
      <c r="CY396" s="15"/>
      <c r="CZ396" s="16"/>
      <c r="DY396" s="12"/>
      <c r="EA396" s="12"/>
      <c r="FA396" s="13"/>
      <c r="FC396" s="14"/>
      <c r="FD396" s="15"/>
      <c r="FE396" s="15"/>
      <c r="FF396" s="15"/>
      <c r="FG396" s="15"/>
      <c r="FH396" s="15"/>
      <c r="FI396" s="15"/>
      <c r="FJ396" s="15"/>
      <c r="FK396" s="15"/>
      <c r="FL396" s="15"/>
      <c r="FM396" s="15"/>
      <c r="FN396" s="15"/>
      <c r="FO396" s="15"/>
      <c r="FP396" s="15"/>
      <c r="FQ396" s="15"/>
      <c r="FR396" s="16"/>
      <c r="FS396" s="13"/>
      <c r="FZ396" s="13"/>
      <c r="GB396" s="13"/>
      <c r="GZ396" s="12"/>
      <c r="HB396" s="14"/>
      <c r="HC396" s="15"/>
      <c r="HD396" s="15"/>
      <c r="HE396" s="15"/>
      <c r="HF396" s="15"/>
      <c r="HG396" s="15"/>
      <c r="HH396" s="15"/>
      <c r="HI396" s="15"/>
      <c r="HJ396" s="15"/>
      <c r="HK396" s="15"/>
      <c r="HL396" s="15"/>
      <c r="HM396" s="15"/>
      <c r="HN396" s="15"/>
      <c r="HO396" s="15"/>
      <c r="HP396" s="15"/>
      <c r="HQ396" s="15"/>
      <c r="HR396" s="15"/>
      <c r="HS396" s="14"/>
      <c r="HT396" s="15"/>
      <c r="HU396" s="15"/>
      <c r="HV396" s="15"/>
      <c r="HW396" s="15"/>
      <c r="HX396" s="15"/>
      <c r="HY396" s="15"/>
      <c r="HZ396" s="15"/>
      <c r="IA396" s="14"/>
      <c r="IB396" s="14"/>
      <c r="IC396" s="15"/>
      <c r="ID396" s="15"/>
      <c r="IE396" s="15"/>
      <c r="IF396" s="15"/>
      <c r="IG396" s="15"/>
      <c r="IH396" s="15"/>
      <c r="II396" s="15"/>
      <c r="IJ396" s="16"/>
      <c r="IK396" s="16"/>
      <c r="IL396" s="15"/>
      <c r="IM396" s="15"/>
      <c r="IN396" s="15"/>
      <c r="IO396" s="15"/>
      <c r="IP396" s="15"/>
      <c r="IQ396" s="15"/>
      <c r="IR396" s="15"/>
      <c r="IS396" s="15"/>
      <c r="IT396" s="16"/>
      <c r="IU396" s="12"/>
      <c r="IZ396" s="13"/>
      <c r="JB396" s="13"/>
    </row>
    <row r="397" spans="40:262" ht="18" customHeight="1">
      <c r="DY397" s="12"/>
      <c r="EA397" s="12"/>
      <c r="FA397" s="13"/>
      <c r="FC397" s="14"/>
      <c r="FD397" s="15"/>
      <c r="FE397" s="15"/>
      <c r="FF397" s="15"/>
      <c r="FG397" s="15"/>
      <c r="FH397" s="15"/>
      <c r="FI397" s="15"/>
      <c r="FJ397" s="15"/>
      <c r="FK397" s="15"/>
      <c r="FL397" s="15"/>
      <c r="FM397" s="15"/>
      <c r="FN397" s="15"/>
      <c r="FO397" s="15"/>
      <c r="FP397" s="15"/>
      <c r="FQ397" s="15"/>
      <c r="FR397" s="15"/>
      <c r="FS397" s="16"/>
      <c r="FZ397" s="13"/>
      <c r="GB397" s="13"/>
      <c r="GZ397" s="96"/>
      <c r="HA397" s="97"/>
      <c r="HB397" s="20"/>
      <c r="HC397" s="21"/>
      <c r="HD397" s="21"/>
      <c r="HE397" s="21"/>
      <c r="HF397" s="21"/>
      <c r="HG397" s="21"/>
      <c r="HH397" s="21"/>
      <c r="HI397" s="21"/>
      <c r="HJ397" s="21"/>
      <c r="HK397" s="21"/>
      <c r="HL397" s="21"/>
      <c r="HM397" s="21"/>
      <c r="HN397" s="21"/>
      <c r="HO397" s="21"/>
      <c r="HP397" s="21"/>
      <c r="HQ397" s="21"/>
      <c r="HR397" s="21"/>
      <c r="HS397" s="21"/>
      <c r="HT397" s="21"/>
      <c r="HU397" s="21"/>
      <c r="HV397" s="21"/>
      <c r="HW397" s="21"/>
      <c r="HX397" s="21"/>
      <c r="HY397" s="21"/>
      <c r="HZ397" s="212"/>
      <c r="IA397" s="260"/>
      <c r="IB397" s="15"/>
      <c r="IC397" s="15"/>
      <c r="ID397" s="15"/>
      <c r="IE397" s="15"/>
      <c r="IF397" s="15"/>
      <c r="IG397" s="15"/>
      <c r="IH397" s="15"/>
      <c r="II397" s="15"/>
      <c r="IJ397" s="16"/>
      <c r="IK397" s="16"/>
      <c r="IL397" s="15"/>
      <c r="IM397" s="15"/>
      <c r="IN397" s="15"/>
      <c r="IO397" s="15"/>
      <c r="IP397" s="15"/>
      <c r="IQ397" s="15"/>
      <c r="IR397" s="15"/>
      <c r="IS397" s="15"/>
      <c r="IT397" s="15"/>
      <c r="IU397" s="12"/>
      <c r="IZ397" s="13"/>
      <c r="JA397" s="97"/>
      <c r="JB397" s="98"/>
    </row>
    <row r="398" spans="40:262" ht="18" customHeight="1">
      <c r="DY398" s="12"/>
      <c r="EA398" s="12"/>
      <c r="FA398" s="13"/>
      <c r="FC398" s="12"/>
      <c r="FZ398" s="13"/>
      <c r="GB398" s="13"/>
      <c r="GZ398" s="96"/>
      <c r="HA398" s="97"/>
      <c r="HB398" s="9"/>
      <c r="HC398" s="10"/>
      <c r="HD398" s="10"/>
      <c r="HE398" s="10"/>
      <c r="HF398" s="10"/>
      <c r="HG398" s="10"/>
      <c r="HH398" s="10"/>
      <c r="HI398" s="10"/>
      <c r="HJ398" s="10"/>
      <c r="HK398" s="10"/>
      <c r="HL398" s="10"/>
      <c r="HM398" s="10"/>
      <c r="HN398" s="10"/>
      <c r="HO398" s="10"/>
      <c r="HP398" s="10"/>
      <c r="HQ398" s="10"/>
      <c r="HR398" s="10"/>
      <c r="HS398" s="10"/>
      <c r="HT398" s="10"/>
      <c r="HU398" s="10"/>
      <c r="HV398" s="10"/>
      <c r="HW398" s="10"/>
      <c r="HX398" s="10"/>
      <c r="HY398" s="10"/>
      <c r="HZ398" s="97"/>
      <c r="IA398" s="261"/>
      <c r="IB398" s="10"/>
      <c r="IC398" s="10"/>
      <c r="ID398" s="10"/>
      <c r="IE398" s="10"/>
      <c r="IF398" s="10"/>
      <c r="IG398" s="10"/>
      <c r="IH398" s="10"/>
      <c r="IL398" s="9"/>
      <c r="IM398" s="10"/>
      <c r="IN398" s="10"/>
      <c r="IO398" s="10"/>
      <c r="IP398" s="10"/>
      <c r="IQ398" s="10"/>
      <c r="IR398" s="10"/>
      <c r="IS398" s="10"/>
      <c r="IT398" s="11"/>
      <c r="IU398" s="12"/>
      <c r="IZ398" s="13"/>
      <c r="JA398" s="97"/>
      <c r="JB398" s="98"/>
    </row>
    <row r="399" spans="40:262" ht="18" customHeight="1">
      <c r="DY399" s="12"/>
      <c r="EA399" s="12"/>
      <c r="FA399" s="13"/>
      <c r="FC399" s="12"/>
      <c r="FZ399" s="13"/>
      <c r="GB399" s="13"/>
      <c r="GZ399" s="12"/>
      <c r="HB399" s="12"/>
      <c r="HZ399" s="13"/>
      <c r="IA399" s="18"/>
      <c r="IL399" s="12"/>
      <c r="IT399" s="13"/>
      <c r="IU399" s="12"/>
      <c r="IZ399" s="13"/>
      <c r="JB399" s="13"/>
    </row>
    <row r="400" spans="40:262" ht="18" customHeight="1">
      <c r="DY400" s="12"/>
      <c r="EA400" s="12"/>
      <c r="FA400" s="13"/>
      <c r="FC400" s="12"/>
      <c r="FZ400" s="13"/>
      <c r="GB400" s="13"/>
      <c r="GZ400" s="12"/>
      <c r="HB400" s="12"/>
      <c r="HZ400" s="13"/>
      <c r="IA400" s="18"/>
      <c r="IL400" s="12"/>
      <c r="IT400" s="13"/>
      <c r="IU400" s="12"/>
      <c r="IZ400" s="13"/>
      <c r="JB400" s="13"/>
    </row>
    <row r="401" spans="129:262" ht="18" customHeight="1">
      <c r="DY401" s="12"/>
      <c r="EA401" s="12"/>
      <c r="FA401" s="13"/>
      <c r="FC401" s="12"/>
      <c r="FZ401" s="13"/>
      <c r="GB401" s="13"/>
      <c r="GZ401" s="12"/>
      <c r="HB401" s="12"/>
      <c r="HZ401" s="13"/>
      <c r="IA401" s="13"/>
      <c r="IL401" s="12"/>
      <c r="IT401" s="13"/>
      <c r="IU401" s="12"/>
      <c r="IZ401" s="13"/>
      <c r="JB401" s="13"/>
    </row>
    <row r="402" spans="129:262" ht="18" customHeight="1">
      <c r="DY402" s="12"/>
      <c r="EA402" s="12"/>
      <c r="FA402" s="13"/>
      <c r="FC402" s="12"/>
      <c r="FZ402" s="13"/>
      <c r="GB402" s="13"/>
      <c r="GZ402" s="12"/>
      <c r="HB402" s="12"/>
      <c r="HZ402" s="13"/>
      <c r="IA402" s="13"/>
      <c r="IL402" s="12"/>
      <c r="IT402" s="13"/>
      <c r="IU402" s="12"/>
      <c r="IZ402" s="13"/>
      <c r="JB402" s="13"/>
    </row>
    <row r="403" spans="129:262" ht="18" customHeight="1">
      <c r="DY403" s="12"/>
      <c r="EA403" s="12"/>
      <c r="FA403" s="13"/>
      <c r="FC403" s="12"/>
      <c r="FZ403" s="13"/>
      <c r="GB403" s="13"/>
      <c r="GZ403" s="12"/>
      <c r="HB403" s="12"/>
      <c r="HZ403" s="13"/>
      <c r="IA403" s="13"/>
      <c r="IL403" s="14"/>
      <c r="IM403" s="15"/>
      <c r="IN403" s="15"/>
      <c r="IO403" s="15"/>
      <c r="IP403" s="15"/>
      <c r="IQ403" s="15"/>
      <c r="IR403" s="15"/>
      <c r="IS403" s="15"/>
      <c r="IT403" s="16"/>
      <c r="IU403" s="14"/>
      <c r="IV403" s="15"/>
      <c r="IW403" s="15"/>
      <c r="IX403" s="15"/>
      <c r="IY403" s="15"/>
      <c r="IZ403" s="16"/>
      <c r="JB403" s="13"/>
    </row>
    <row r="404" spans="129:262" ht="18" customHeight="1">
      <c r="DY404" s="12"/>
      <c r="EA404" s="12"/>
      <c r="FA404" s="13"/>
      <c r="FC404" s="12"/>
      <c r="FZ404" s="13"/>
      <c r="GB404" s="13"/>
      <c r="GZ404" s="12"/>
      <c r="HB404" s="12"/>
      <c r="HZ404" s="13"/>
      <c r="IA404" s="13"/>
      <c r="IL404" s="20"/>
      <c r="IM404" s="21"/>
      <c r="IN404" s="21"/>
      <c r="IO404" s="21"/>
      <c r="IP404" s="21"/>
      <c r="IQ404" s="21"/>
      <c r="IR404" s="21"/>
      <c r="IS404" s="21"/>
      <c r="IT404" s="21"/>
      <c r="IU404" s="21"/>
      <c r="IV404" s="21"/>
      <c r="IW404" s="21"/>
      <c r="IX404" s="21"/>
      <c r="IY404" s="21"/>
      <c r="IZ404" s="22"/>
      <c r="JB404" s="13"/>
    </row>
    <row r="405" spans="129:262" ht="18" customHeight="1">
      <c r="DY405" s="12"/>
      <c r="EA405" s="12"/>
      <c r="FA405" s="13"/>
      <c r="FC405" s="12"/>
      <c r="FZ405" s="13"/>
      <c r="GB405" s="13"/>
      <c r="GZ405" s="12"/>
      <c r="HB405" s="12"/>
      <c r="HZ405" s="13"/>
      <c r="IA405" s="13"/>
      <c r="IZ405" s="13"/>
      <c r="JB405" s="13"/>
    </row>
    <row r="406" spans="129:262" ht="18" customHeight="1">
      <c r="DY406" s="12"/>
      <c r="EA406" s="12"/>
      <c r="FA406" s="13"/>
      <c r="FC406" s="12"/>
      <c r="FZ406" s="13"/>
      <c r="GB406" s="13"/>
      <c r="GZ406" s="12"/>
      <c r="HB406" s="12"/>
      <c r="HZ406" s="13"/>
      <c r="IA406" s="13"/>
      <c r="IZ406" s="13"/>
      <c r="JB406" s="13"/>
    </row>
    <row r="407" spans="129:262" ht="18" customHeight="1">
      <c r="DY407" s="12"/>
      <c r="EA407" s="12"/>
      <c r="FA407" s="13"/>
      <c r="FC407" s="12"/>
      <c r="FZ407" s="13"/>
      <c r="GB407" s="13"/>
      <c r="GZ407" s="12"/>
      <c r="HB407" s="12"/>
      <c r="HZ407" s="13"/>
      <c r="IA407" s="13"/>
      <c r="IZ407" s="13"/>
      <c r="JB407" s="13"/>
    </row>
    <row r="408" spans="129:262" ht="18" customHeight="1">
      <c r="DY408" s="12"/>
      <c r="EA408" s="12"/>
      <c r="FA408" s="13"/>
      <c r="FC408" s="12"/>
      <c r="FZ408" s="13"/>
      <c r="GB408" s="13"/>
      <c r="GZ408" s="12"/>
      <c r="HB408" s="12"/>
      <c r="HZ408" s="13"/>
      <c r="IA408" s="13"/>
      <c r="IZ408" s="13"/>
      <c r="JB408" s="13"/>
    </row>
    <row r="409" spans="129:262" ht="18" customHeight="1">
      <c r="DY409" s="12"/>
      <c r="EA409" s="12"/>
      <c r="FA409" s="13"/>
      <c r="FC409" s="12"/>
      <c r="FZ409" s="13"/>
      <c r="GB409" s="13"/>
      <c r="GZ409" s="12"/>
      <c r="HB409" s="12"/>
      <c r="HZ409" s="13"/>
      <c r="IA409" s="13"/>
      <c r="IZ409" s="13"/>
      <c r="JB409" s="13"/>
    </row>
    <row r="410" spans="129:262" ht="18" customHeight="1">
      <c r="DY410" s="12"/>
      <c r="EA410" s="12"/>
      <c r="FA410" s="13"/>
      <c r="FC410" s="12"/>
      <c r="FZ410" s="13"/>
      <c r="GB410" s="13"/>
      <c r="GZ410" s="12"/>
      <c r="HB410" s="12"/>
      <c r="HZ410" s="13"/>
      <c r="IA410" s="13"/>
      <c r="IZ410" s="13"/>
      <c r="JB410" s="13"/>
    </row>
    <row r="411" spans="129:262" ht="18" customHeight="1">
      <c r="DY411" s="12"/>
      <c r="EA411" s="14"/>
      <c r="EB411" s="15"/>
      <c r="EC411" s="15"/>
      <c r="ED411" s="15"/>
      <c r="EE411" s="15"/>
      <c r="EF411" s="15"/>
      <c r="EG411" s="15"/>
      <c r="EH411" s="15"/>
      <c r="EI411" s="15"/>
      <c r="EJ411" s="15"/>
      <c r="EK411" s="15"/>
      <c r="EL411" s="15"/>
      <c r="EM411" s="15"/>
      <c r="EN411" s="15"/>
      <c r="EO411" s="15"/>
      <c r="EP411" s="15"/>
      <c r="EQ411" s="15"/>
      <c r="ER411" s="15"/>
      <c r="ES411" s="15"/>
      <c r="ET411" s="15"/>
      <c r="EU411" s="15"/>
      <c r="EV411" s="15"/>
      <c r="EW411" s="15"/>
      <c r="EX411" s="15"/>
      <c r="EY411" s="15"/>
      <c r="EZ411" s="15"/>
      <c r="FA411" s="16"/>
      <c r="FC411" s="12"/>
      <c r="FZ411" s="13"/>
      <c r="GB411" s="13"/>
      <c r="GZ411" s="12"/>
      <c r="HB411" s="12"/>
      <c r="HZ411" s="13"/>
      <c r="IA411" s="13"/>
      <c r="IZ411" s="13"/>
      <c r="JB411" s="13"/>
    </row>
    <row r="412" spans="129:262" ht="18" customHeight="1">
      <c r="DY412" s="12"/>
      <c r="EA412" s="12"/>
      <c r="FC412" s="12"/>
      <c r="FZ412" s="13"/>
      <c r="GB412" s="13"/>
      <c r="GZ412" s="12"/>
      <c r="HB412" s="12"/>
      <c r="HZ412" s="13"/>
      <c r="IA412" s="13"/>
      <c r="IZ412" s="13"/>
      <c r="JB412" s="13"/>
    </row>
    <row r="413" spans="129:262" ht="18" customHeight="1">
      <c r="DY413" s="12"/>
      <c r="EA413" s="9"/>
      <c r="EB413" s="10"/>
      <c r="EC413" s="10"/>
      <c r="ED413" s="10"/>
      <c r="EE413" s="10"/>
      <c r="EF413" s="11"/>
      <c r="EH413" s="9"/>
      <c r="EI413" s="10"/>
      <c r="EJ413" s="10"/>
      <c r="EK413" s="11"/>
      <c r="EL413" s="10"/>
      <c r="EM413" s="10"/>
      <c r="EN413" s="10"/>
      <c r="EO413" s="10"/>
      <c r="EP413" s="10"/>
      <c r="EQ413" s="10"/>
      <c r="ER413" s="10"/>
      <c r="ES413" s="10"/>
      <c r="ET413" s="10"/>
      <c r="EU413" s="10"/>
      <c r="EV413" s="10"/>
      <c r="EW413" s="10"/>
      <c r="EX413" s="9"/>
      <c r="EY413" s="10"/>
      <c r="EZ413" s="10"/>
      <c r="FA413" s="11"/>
      <c r="FC413" s="12"/>
      <c r="FZ413" s="13"/>
      <c r="GB413" s="13"/>
      <c r="GZ413" s="12"/>
      <c r="HB413" s="12"/>
      <c r="HZ413" s="13"/>
      <c r="IA413" s="13"/>
      <c r="IZ413" s="13"/>
      <c r="JB413" s="13"/>
    </row>
    <row r="414" spans="129:262" ht="18" customHeight="1">
      <c r="DY414" s="12"/>
      <c r="EA414" s="12"/>
      <c r="EF414" s="13"/>
      <c r="EH414" s="12"/>
      <c r="EK414" s="13"/>
      <c r="EX414" s="12"/>
      <c r="FA414" s="13"/>
      <c r="FC414" s="12"/>
      <c r="FZ414" s="13"/>
      <c r="GB414" s="13"/>
      <c r="GZ414" s="12"/>
      <c r="HB414" s="12"/>
      <c r="HZ414" s="13"/>
      <c r="IA414" s="13"/>
      <c r="IZ414" s="13"/>
      <c r="JB414" s="13"/>
    </row>
    <row r="415" spans="129:262" ht="18" customHeight="1">
      <c r="DY415" s="12"/>
      <c r="EA415" s="12"/>
      <c r="EF415" s="13"/>
      <c r="EH415" s="12"/>
      <c r="EK415" s="13"/>
      <c r="EX415" s="12"/>
      <c r="FA415" s="13"/>
      <c r="FC415" s="12"/>
      <c r="FZ415" s="13"/>
      <c r="GB415" s="13"/>
      <c r="GZ415" s="12"/>
      <c r="HB415" s="12"/>
      <c r="HZ415" s="13"/>
      <c r="IA415" s="13"/>
      <c r="IZ415" s="13"/>
      <c r="JB415" s="13"/>
    </row>
    <row r="416" spans="129:262" ht="18" customHeight="1">
      <c r="DY416" s="12"/>
      <c r="EA416" s="12"/>
      <c r="EF416" s="13"/>
      <c r="EH416" s="14"/>
      <c r="EI416" s="15"/>
      <c r="EJ416" s="15"/>
      <c r="EK416" s="16"/>
      <c r="EL416" s="15"/>
      <c r="EM416" s="15"/>
      <c r="EN416" s="15"/>
      <c r="EO416" s="15"/>
      <c r="EP416" s="15"/>
      <c r="EQ416" s="15"/>
      <c r="ER416" s="15"/>
      <c r="ES416" s="15"/>
      <c r="ET416" s="15"/>
      <c r="EU416" s="15"/>
      <c r="EV416" s="15"/>
      <c r="EW416" s="15"/>
      <c r="EX416" s="14"/>
      <c r="EY416" s="15"/>
      <c r="EZ416" s="15"/>
      <c r="FA416" s="16"/>
      <c r="FC416" s="12"/>
      <c r="FZ416" s="13"/>
      <c r="GB416" s="13"/>
      <c r="GZ416" s="12"/>
      <c r="HB416" s="12"/>
      <c r="HZ416" s="13"/>
      <c r="IA416" s="13"/>
      <c r="IZ416" s="13"/>
      <c r="JB416" s="13"/>
    </row>
    <row r="417" spans="32:262" ht="18" customHeight="1">
      <c r="DY417" s="12"/>
      <c r="EA417" s="12"/>
      <c r="EF417" s="13"/>
      <c r="EH417" s="12"/>
      <c r="EK417" s="13"/>
      <c r="EX417" s="9"/>
      <c r="EY417" s="10"/>
      <c r="EZ417" s="10"/>
      <c r="FA417" s="11"/>
      <c r="FC417" s="12"/>
      <c r="FZ417" s="13"/>
      <c r="GB417" s="13"/>
      <c r="GZ417" s="96"/>
      <c r="HA417" s="97"/>
      <c r="HB417" s="20"/>
      <c r="HC417" s="21"/>
      <c r="HD417" s="21"/>
      <c r="HE417" s="21"/>
      <c r="HF417" s="21"/>
      <c r="HG417" s="21"/>
      <c r="HH417" s="21"/>
      <c r="HI417" s="21"/>
      <c r="HJ417" s="21"/>
      <c r="HK417" s="21"/>
      <c r="HL417" s="21"/>
      <c r="HM417" s="21"/>
      <c r="HN417" s="21"/>
      <c r="HO417" s="21"/>
      <c r="HP417" s="21"/>
      <c r="HQ417" s="21"/>
      <c r="HR417" s="22"/>
      <c r="HS417" s="20"/>
      <c r="HT417" s="21"/>
      <c r="HU417" s="21"/>
      <c r="HV417" s="21"/>
      <c r="HW417" s="21"/>
      <c r="HX417" s="21"/>
      <c r="HY417" s="21"/>
      <c r="HZ417" s="212"/>
      <c r="IA417" s="213"/>
      <c r="IZ417" s="13"/>
      <c r="JA417" s="97"/>
      <c r="JB417" s="98"/>
    </row>
    <row r="418" spans="32:262" ht="18" customHeight="1">
      <c r="DY418" s="12"/>
      <c r="EA418" s="12"/>
      <c r="EF418" s="13"/>
      <c r="EH418" s="12"/>
      <c r="EK418" s="13"/>
      <c r="EX418" s="12"/>
      <c r="FA418" s="13"/>
      <c r="FC418" s="12"/>
      <c r="FZ418" s="13"/>
      <c r="GB418" s="13"/>
      <c r="GZ418" s="96"/>
      <c r="HA418" s="97"/>
      <c r="HB418" s="12"/>
      <c r="HQ418" s="13"/>
      <c r="HR418" s="13"/>
      <c r="HS418" s="12"/>
      <c r="HZ418" s="97"/>
      <c r="IA418" s="97"/>
      <c r="IZ418" s="13"/>
      <c r="JA418" s="97"/>
      <c r="JB418" s="98"/>
    </row>
    <row r="419" spans="32:262" ht="18" customHeight="1">
      <c r="DY419" s="12"/>
      <c r="EA419" s="12"/>
      <c r="EF419" s="13"/>
      <c r="EH419" s="12"/>
      <c r="EK419" s="13"/>
      <c r="EX419" s="12"/>
      <c r="FA419" s="13"/>
      <c r="FC419" s="12"/>
      <c r="FZ419" s="13"/>
      <c r="GB419" s="13"/>
      <c r="GZ419" s="12"/>
      <c r="HB419" s="12"/>
      <c r="HQ419" s="13"/>
      <c r="HR419" s="13"/>
      <c r="HS419" s="12"/>
      <c r="IB419" s="13"/>
      <c r="IC419" s="9"/>
      <c r="ID419" s="10"/>
      <c r="IE419" s="21"/>
      <c r="IF419" s="21"/>
      <c r="IG419" s="21"/>
      <c r="IH419" s="22"/>
      <c r="IZ419" s="13"/>
      <c r="JB419" s="13"/>
    </row>
    <row r="420" spans="32:262" ht="18" customHeight="1">
      <c r="DY420" s="12"/>
      <c r="EA420" s="12"/>
      <c r="EF420" s="13"/>
      <c r="EH420" s="12"/>
      <c r="EK420" s="13"/>
      <c r="EX420" s="12"/>
      <c r="FA420" s="13"/>
      <c r="FC420" s="12"/>
      <c r="FZ420" s="13"/>
      <c r="GB420" s="13"/>
      <c r="GZ420" s="12"/>
      <c r="HB420" s="12"/>
      <c r="HQ420" s="13"/>
      <c r="HR420" s="13"/>
      <c r="HS420" s="12"/>
      <c r="IB420" s="13"/>
      <c r="IC420" s="12"/>
      <c r="ID420" s="13"/>
      <c r="IH420" s="13"/>
      <c r="IZ420" s="13"/>
      <c r="JB420" s="13"/>
    </row>
    <row r="421" spans="32:262" ht="18" customHeight="1">
      <c r="DY421" s="12"/>
      <c r="EA421" s="14"/>
      <c r="EB421" s="15"/>
      <c r="EC421" s="15"/>
      <c r="ED421" s="15"/>
      <c r="EE421" s="15"/>
      <c r="EF421" s="16"/>
      <c r="EH421" s="12"/>
      <c r="EK421" s="13"/>
      <c r="EX421" s="12"/>
      <c r="FA421" s="13"/>
      <c r="FC421" s="12"/>
      <c r="FZ421" s="13"/>
      <c r="GB421" s="13"/>
      <c r="GZ421" s="12"/>
      <c r="HB421" s="12"/>
      <c r="HQ421" s="13"/>
      <c r="HR421" s="13"/>
      <c r="HS421" s="12"/>
      <c r="IB421" s="13"/>
      <c r="IC421" s="12"/>
      <c r="ID421" s="13"/>
      <c r="IH421" s="13"/>
      <c r="IZ421" s="13"/>
      <c r="JB421" s="13"/>
    </row>
    <row r="422" spans="32:262" ht="18" customHeight="1">
      <c r="DY422" s="12"/>
      <c r="EA422" s="12"/>
      <c r="EH422" s="12"/>
      <c r="EK422" s="13"/>
      <c r="EX422" s="12"/>
      <c r="FA422" s="13"/>
      <c r="FC422" s="12"/>
      <c r="FZ422" s="13"/>
      <c r="GB422" s="13"/>
      <c r="GZ422" s="12"/>
      <c r="HB422" s="12"/>
      <c r="HQ422" s="13"/>
      <c r="HR422" s="13"/>
      <c r="HS422" s="12"/>
      <c r="IB422" s="13"/>
      <c r="IC422" s="12"/>
      <c r="ID422" s="13"/>
      <c r="IH422" s="13"/>
      <c r="IV422" s="9"/>
      <c r="IW422" s="10"/>
      <c r="IX422" s="11"/>
      <c r="IZ422" s="13"/>
      <c r="JB422" s="13"/>
    </row>
    <row r="423" spans="32:262" ht="18" customHeight="1">
      <c r="AF423" s="9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  <c r="AY423" s="10"/>
      <c r="AZ423" s="10"/>
      <c r="BA423" s="10"/>
      <c r="BB423" s="10"/>
      <c r="BC423" s="10"/>
      <c r="BD423" s="10"/>
      <c r="BE423" s="10"/>
      <c r="BF423" s="10"/>
      <c r="BG423" s="11"/>
      <c r="DY423" s="12"/>
      <c r="EA423" s="9"/>
      <c r="EB423" s="10"/>
      <c r="EC423" s="10"/>
      <c r="ED423" s="10"/>
      <c r="EE423" s="10"/>
      <c r="EF423" s="11"/>
      <c r="EH423" s="12"/>
      <c r="EK423" s="13"/>
      <c r="EX423" s="12"/>
      <c r="FA423" s="13"/>
      <c r="FC423" s="12"/>
      <c r="FZ423" s="13"/>
      <c r="GB423" s="13"/>
      <c r="GZ423" s="12"/>
      <c r="HB423" s="12"/>
      <c r="HQ423" s="13"/>
      <c r="HR423" s="13"/>
      <c r="HS423" s="12"/>
      <c r="IB423" s="13"/>
      <c r="IC423" s="12"/>
      <c r="ID423" s="13"/>
      <c r="IH423" s="13"/>
      <c r="IV423" s="12"/>
      <c r="IX423" s="262"/>
      <c r="IZ423" s="13"/>
      <c r="JB423" s="13"/>
    </row>
    <row r="424" spans="32:262" ht="18" customHeight="1">
      <c r="AF424" s="12"/>
      <c r="AG424" s="9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  <c r="AY424" s="10"/>
      <c r="AZ424" s="10"/>
      <c r="BA424" s="10"/>
      <c r="BB424" s="10"/>
      <c r="BC424" s="10"/>
      <c r="BD424" s="10"/>
      <c r="BE424" s="10"/>
      <c r="BF424" s="11"/>
      <c r="BG424" s="13"/>
      <c r="DY424" s="12"/>
      <c r="EA424" s="12"/>
      <c r="EF424" s="13"/>
      <c r="EH424" s="12"/>
      <c r="EK424" s="13"/>
      <c r="EX424" s="12"/>
      <c r="FA424" s="13"/>
      <c r="FC424" s="12"/>
      <c r="FZ424" s="13"/>
      <c r="GB424" s="13"/>
      <c r="GZ424" s="12"/>
      <c r="HB424" s="12"/>
      <c r="HQ424" s="13"/>
      <c r="HR424" s="13"/>
      <c r="HS424" s="12"/>
      <c r="IB424" s="13"/>
      <c r="IC424" s="12"/>
      <c r="ID424" s="13"/>
      <c r="IE424" s="9"/>
      <c r="IF424" s="10"/>
      <c r="IG424" s="10"/>
      <c r="IH424" s="11"/>
      <c r="IV424" s="12"/>
      <c r="IX424" s="262"/>
      <c r="IZ424" s="13"/>
      <c r="JB424" s="13"/>
    </row>
    <row r="425" spans="32:262" ht="18" customHeight="1">
      <c r="AF425" s="12"/>
      <c r="AG425" s="12"/>
      <c r="BF425" s="13"/>
      <c r="BG425" s="13"/>
      <c r="DY425" s="12"/>
      <c r="EA425" s="12"/>
      <c r="EF425" s="13"/>
      <c r="EH425" s="12"/>
      <c r="EK425" s="13"/>
      <c r="EX425" s="12"/>
      <c r="FA425" s="13"/>
      <c r="FC425" s="12"/>
      <c r="FZ425" s="13"/>
      <c r="GB425" s="13"/>
      <c r="GZ425" s="12"/>
      <c r="HB425" s="12"/>
      <c r="HQ425" s="13"/>
      <c r="HR425" s="13"/>
      <c r="HS425" s="12"/>
      <c r="IB425" s="13"/>
      <c r="IC425" s="12"/>
      <c r="ID425" s="13"/>
      <c r="IE425" s="12"/>
      <c r="IH425" s="13"/>
      <c r="IV425" s="12"/>
      <c r="IX425" s="262"/>
      <c r="IZ425" s="13"/>
      <c r="JB425" s="13"/>
    </row>
    <row r="426" spans="32:262" ht="18" customHeight="1">
      <c r="AF426" s="12"/>
      <c r="AG426" s="12"/>
      <c r="BF426" s="13"/>
      <c r="BG426" s="13"/>
      <c r="DY426" s="12"/>
      <c r="EA426" s="12"/>
      <c r="EF426" s="13"/>
      <c r="EH426" s="12"/>
      <c r="EK426" s="13"/>
      <c r="EX426" s="14"/>
      <c r="EY426" s="15"/>
      <c r="EZ426" s="15"/>
      <c r="FA426" s="16"/>
      <c r="FC426" s="12"/>
      <c r="FZ426" s="13"/>
      <c r="GB426" s="13"/>
      <c r="GZ426" s="12"/>
      <c r="HB426" s="14"/>
      <c r="HC426" s="15"/>
      <c r="HD426" s="15"/>
      <c r="HE426" s="15"/>
      <c r="HF426" s="15"/>
      <c r="HG426" s="15"/>
      <c r="HH426" s="15"/>
      <c r="HI426" s="15"/>
      <c r="HJ426" s="15"/>
      <c r="HK426" s="15"/>
      <c r="HL426" s="15"/>
      <c r="HM426" s="15"/>
      <c r="HN426" s="15"/>
      <c r="HO426" s="15"/>
      <c r="HP426" s="15"/>
      <c r="HQ426" s="16"/>
      <c r="HR426" s="13"/>
      <c r="HS426" s="12"/>
      <c r="IB426" s="13"/>
      <c r="IC426" s="12"/>
      <c r="ID426" s="13"/>
      <c r="IE426" s="12"/>
      <c r="IH426" s="13"/>
      <c r="IV426" s="12"/>
      <c r="IX426" s="262"/>
      <c r="IZ426" s="13"/>
      <c r="JB426" s="13"/>
    </row>
    <row r="427" spans="32:262" ht="18" customHeight="1">
      <c r="AF427" s="12"/>
      <c r="AG427" s="12"/>
      <c r="BF427" s="13"/>
      <c r="BG427" s="13"/>
      <c r="DY427" s="12"/>
      <c r="EA427" s="12"/>
      <c r="EF427" s="13"/>
      <c r="EH427" s="12"/>
      <c r="EK427" s="13"/>
      <c r="EX427" s="14"/>
      <c r="EY427" s="15"/>
      <c r="EZ427" s="15"/>
      <c r="FA427" s="16"/>
      <c r="FC427" s="12"/>
      <c r="FZ427" s="13"/>
      <c r="GB427" s="13"/>
      <c r="GZ427" s="12"/>
      <c r="HB427" s="20"/>
      <c r="HC427" s="21"/>
      <c r="HD427" s="21"/>
      <c r="HE427" s="21"/>
      <c r="HF427" s="21"/>
      <c r="HG427" s="21"/>
      <c r="HH427" s="21"/>
      <c r="HI427" s="21"/>
      <c r="HJ427" s="21"/>
      <c r="HK427" s="21"/>
      <c r="HL427" s="21"/>
      <c r="HM427" s="21"/>
      <c r="HN427" s="21"/>
      <c r="HO427" s="21"/>
      <c r="HP427" s="21"/>
      <c r="HQ427" s="15"/>
      <c r="HR427" s="16"/>
      <c r="HS427" s="12"/>
      <c r="IB427" s="13"/>
      <c r="IC427" s="12"/>
      <c r="ID427" s="13"/>
      <c r="IE427" s="14"/>
      <c r="IF427" s="15"/>
      <c r="IG427" s="15"/>
      <c r="IH427" s="16"/>
      <c r="IV427" s="12"/>
      <c r="IX427" s="262"/>
      <c r="IZ427" s="13"/>
      <c r="JB427" s="13"/>
    </row>
    <row r="428" spans="32:262" ht="18" customHeight="1">
      <c r="AF428" s="12"/>
      <c r="AG428" s="12"/>
      <c r="BF428" s="13"/>
      <c r="BG428" s="13"/>
      <c r="DY428" s="12"/>
      <c r="EA428" s="12"/>
      <c r="EF428" s="13"/>
      <c r="EH428" s="12"/>
      <c r="EK428" s="13"/>
      <c r="EX428" s="14"/>
      <c r="EY428" s="15"/>
      <c r="EZ428" s="15"/>
      <c r="FA428" s="16"/>
      <c r="FC428" s="12"/>
      <c r="FZ428" s="13"/>
      <c r="GB428" s="13"/>
      <c r="GZ428" s="12"/>
      <c r="HB428" s="12"/>
      <c r="HQ428" s="13"/>
      <c r="HS428" s="12"/>
      <c r="IB428" s="13"/>
      <c r="IC428" s="12"/>
      <c r="ID428" s="13"/>
      <c r="IH428" s="13"/>
      <c r="IV428" s="12"/>
      <c r="IX428" s="262"/>
      <c r="IZ428" s="13"/>
      <c r="JB428" s="13"/>
    </row>
    <row r="429" spans="32:262" ht="18" customHeight="1">
      <c r="AF429" s="12"/>
      <c r="AG429" s="12"/>
      <c r="BF429" s="13"/>
      <c r="BG429" s="13"/>
      <c r="DY429" s="12"/>
      <c r="EA429" s="12"/>
      <c r="EF429" s="13"/>
      <c r="EH429" s="12"/>
      <c r="EK429" s="13"/>
      <c r="EX429" s="14"/>
      <c r="EY429" s="15"/>
      <c r="EZ429" s="15"/>
      <c r="FA429" s="16"/>
      <c r="FC429" s="12"/>
      <c r="FZ429" s="13"/>
      <c r="GB429" s="13"/>
      <c r="GZ429" s="12"/>
      <c r="HB429" s="12"/>
      <c r="HR429" s="18"/>
      <c r="HS429" s="12"/>
      <c r="IB429" s="13"/>
      <c r="IC429" s="12"/>
      <c r="ID429" s="13"/>
      <c r="IH429" s="13"/>
      <c r="IV429" s="14"/>
      <c r="IW429" s="15"/>
      <c r="IX429" s="16"/>
      <c r="IZ429" s="13"/>
      <c r="JB429" s="13"/>
    </row>
    <row r="430" spans="32:262" ht="18" customHeight="1">
      <c r="AF430" s="12"/>
      <c r="AG430" s="12"/>
      <c r="BF430" s="13"/>
      <c r="BG430" s="13"/>
      <c r="DY430" s="12"/>
      <c r="EA430" s="12"/>
      <c r="EF430" s="13"/>
      <c r="EG430" s="20"/>
      <c r="EH430" s="14"/>
      <c r="EI430" s="15"/>
      <c r="EJ430" s="15"/>
      <c r="EK430" s="15"/>
      <c r="EL430" s="15"/>
      <c r="EM430" s="15"/>
      <c r="EN430" s="16"/>
      <c r="EO430" s="15"/>
      <c r="EP430" s="15"/>
      <c r="EQ430" s="15"/>
      <c r="ER430" s="15"/>
      <c r="ES430" s="15"/>
      <c r="ET430" s="15"/>
      <c r="EU430" s="15"/>
      <c r="EV430" s="15"/>
      <c r="EW430" s="15"/>
      <c r="EX430" s="15"/>
      <c r="EY430" s="15"/>
      <c r="EZ430" s="15"/>
      <c r="FA430" s="16"/>
      <c r="FC430" s="12"/>
      <c r="FZ430" s="13"/>
      <c r="GB430" s="13"/>
      <c r="GZ430" s="12"/>
      <c r="HB430" s="12"/>
      <c r="HR430" s="18"/>
      <c r="HS430" s="12"/>
      <c r="IB430" s="13"/>
      <c r="IC430" s="12"/>
      <c r="ID430" s="13"/>
      <c r="IH430" s="13"/>
      <c r="IZ430" s="13"/>
      <c r="JB430" s="13"/>
    </row>
    <row r="431" spans="32:262" ht="18" customHeight="1">
      <c r="AF431" s="12"/>
      <c r="AG431" s="12"/>
      <c r="BF431" s="13"/>
      <c r="BG431" s="13"/>
      <c r="DY431" s="12"/>
      <c r="EA431" s="9"/>
      <c r="EB431" s="10"/>
      <c r="EC431" s="10"/>
      <c r="ED431" s="10"/>
      <c r="EE431" s="10"/>
      <c r="EF431" s="11"/>
      <c r="EG431" s="9"/>
      <c r="EH431" s="10"/>
      <c r="EI431" s="10"/>
      <c r="EJ431" s="10"/>
      <c r="EK431" s="10"/>
      <c r="EL431" s="10"/>
      <c r="EM431" s="10"/>
      <c r="EN431" s="11"/>
      <c r="FC431" s="12"/>
      <c r="FZ431" s="13"/>
      <c r="GB431" s="13"/>
      <c r="GZ431" s="12"/>
      <c r="HB431" s="12"/>
      <c r="HR431" s="19"/>
      <c r="HS431" s="12"/>
      <c r="IB431" s="13"/>
      <c r="IC431" s="12"/>
      <c r="ID431" s="13"/>
      <c r="IH431" s="13"/>
      <c r="IZ431" s="13"/>
      <c r="JB431" s="13"/>
    </row>
    <row r="432" spans="32:262" ht="18" customHeight="1">
      <c r="AF432" s="12"/>
      <c r="AG432" s="12"/>
      <c r="BF432" s="13"/>
      <c r="BG432" s="13"/>
      <c r="DY432" s="12"/>
      <c r="EA432" s="12"/>
      <c r="EF432" s="13"/>
      <c r="EG432" s="12"/>
      <c r="EN432" s="13"/>
      <c r="FC432" s="12"/>
      <c r="FZ432" s="13"/>
      <c r="GB432" s="13"/>
      <c r="GZ432" s="12"/>
      <c r="HB432" s="12"/>
      <c r="HF432" s="9"/>
      <c r="HG432" s="10"/>
      <c r="HH432" s="10"/>
      <c r="HI432" s="10"/>
      <c r="HJ432" s="10"/>
      <c r="HK432" s="10"/>
      <c r="HL432" s="10"/>
      <c r="HM432" s="10"/>
      <c r="HN432" s="10"/>
      <c r="HO432" s="10"/>
      <c r="HP432" s="10"/>
      <c r="HQ432" s="10"/>
      <c r="HR432" s="10"/>
      <c r="IB432" s="13"/>
      <c r="IC432" s="14"/>
      <c r="ID432" s="15"/>
      <c r="IE432" s="21"/>
      <c r="IF432" s="21"/>
      <c r="IG432" s="21"/>
      <c r="IH432" s="22"/>
      <c r="IZ432" s="13"/>
      <c r="JB432" s="13"/>
    </row>
    <row r="433" spans="20:262" ht="18" customHeight="1">
      <c r="AD433" s="17"/>
      <c r="AE433" s="9"/>
      <c r="AF433" s="9"/>
      <c r="AG433" s="9"/>
      <c r="AH433" s="10"/>
      <c r="AI433" s="10"/>
      <c r="AJ433" s="11"/>
      <c r="BF433" s="13"/>
      <c r="BG433" s="13"/>
      <c r="DY433" s="12"/>
      <c r="EA433" s="12"/>
      <c r="EF433" s="13"/>
      <c r="EG433" s="12"/>
      <c r="EN433" s="13"/>
      <c r="FC433" s="12"/>
      <c r="FZ433" s="13"/>
      <c r="GB433" s="13"/>
      <c r="GZ433" s="12"/>
      <c r="HB433" s="12"/>
      <c r="HF433" s="12"/>
      <c r="IZ433" s="13"/>
      <c r="JB433" s="13"/>
    </row>
    <row r="434" spans="20:262" ht="18" customHeight="1">
      <c r="AD434" s="18"/>
      <c r="AE434" s="12"/>
      <c r="AF434" s="12"/>
      <c r="AG434" s="12"/>
      <c r="AJ434" s="13"/>
      <c r="BF434" s="13"/>
      <c r="BG434" s="13"/>
      <c r="DY434" s="12"/>
      <c r="EA434" s="12"/>
      <c r="EF434" s="13"/>
      <c r="EG434" s="12"/>
      <c r="EN434" s="13"/>
      <c r="FC434" s="12"/>
      <c r="FZ434" s="13"/>
      <c r="GB434" s="13"/>
      <c r="GZ434" s="12"/>
      <c r="HB434" s="12"/>
      <c r="HF434" s="12"/>
      <c r="IZ434" s="13"/>
      <c r="JB434" s="13"/>
    </row>
    <row r="435" spans="20:262" ht="18" customHeight="1">
      <c r="AD435" s="18"/>
      <c r="AE435" s="12"/>
      <c r="AF435" s="12"/>
      <c r="AG435" s="12"/>
      <c r="AJ435" s="13"/>
      <c r="BF435" s="13"/>
      <c r="BG435" s="13"/>
      <c r="DY435" s="12"/>
      <c r="EA435" s="12"/>
      <c r="EF435" s="13"/>
      <c r="EG435" s="12"/>
      <c r="EN435" s="13"/>
      <c r="FC435" s="12"/>
      <c r="FZ435" s="13"/>
      <c r="GB435" s="13"/>
      <c r="GZ435" s="12"/>
      <c r="HB435" s="12"/>
      <c r="HF435" s="12"/>
      <c r="IZ435" s="13"/>
      <c r="JB435" s="13"/>
    </row>
    <row r="436" spans="20:262" ht="18" customHeight="1">
      <c r="AD436" s="18"/>
      <c r="AE436" s="12"/>
      <c r="AF436" s="12"/>
      <c r="AG436" s="12"/>
      <c r="AJ436" s="13"/>
      <c r="BF436" s="13"/>
      <c r="BG436" s="13"/>
      <c r="DY436" s="12"/>
      <c r="EA436" s="14"/>
      <c r="EB436" s="15"/>
      <c r="EC436" s="15"/>
      <c r="ED436" s="15"/>
      <c r="EE436" s="15"/>
      <c r="EF436" s="16"/>
      <c r="EG436" s="14"/>
      <c r="EH436" s="15"/>
      <c r="EI436" s="15"/>
      <c r="EJ436" s="15"/>
      <c r="EK436" s="15"/>
      <c r="EL436" s="15"/>
      <c r="EM436" s="15"/>
      <c r="EN436" s="16"/>
      <c r="EO436" s="15"/>
      <c r="EP436" s="15"/>
      <c r="EQ436" s="15"/>
      <c r="ER436" s="15"/>
      <c r="ES436" s="15"/>
      <c r="ET436" s="15"/>
      <c r="EU436" s="15"/>
      <c r="EV436" s="15"/>
      <c r="EW436" s="15"/>
      <c r="EX436" s="15"/>
      <c r="EY436" s="15"/>
      <c r="EZ436" s="15"/>
      <c r="FA436" s="15"/>
      <c r="FB436" s="15"/>
      <c r="FC436" s="14"/>
      <c r="FD436" s="15"/>
      <c r="FE436" s="15"/>
      <c r="FF436" s="15"/>
      <c r="FG436" s="15"/>
      <c r="FH436" s="15"/>
      <c r="FI436" s="15"/>
      <c r="FJ436" s="15"/>
      <c r="FK436" s="15"/>
      <c r="FL436" s="15"/>
      <c r="FM436" s="15"/>
      <c r="FN436" s="15"/>
      <c r="FO436" s="15"/>
      <c r="FP436" s="15"/>
      <c r="FQ436" s="15"/>
      <c r="FR436" s="15"/>
      <c r="FS436" s="15"/>
      <c r="FT436" s="15"/>
      <c r="FU436" s="15"/>
      <c r="FV436" s="15"/>
      <c r="FW436" s="15"/>
      <c r="FX436" s="15"/>
      <c r="FY436" s="15"/>
      <c r="FZ436" s="16"/>
      <c r="GB436" s="13"/>
      <c r="GZ436" s="12"/>
      <c r="HB436" s="12"/>
      <c r="HF436" s="12"/>
      <c r="IZ436" s="13"/>
      <c r="JB436" s="13"/>
    </row>
    <row r="437" spans="20:262" ht="18" customHeight="1">
      <c r="AD437" s="18"/>
      <c r="AE437" s="12"/>
      <c r="AF437" s="12"/>
      <c r="AG437" s="12"/>
      <c r="AJ437" s="13"/>
      <c r="BF437" s="13"/>
      <c r="BG437" s="13"/>
      <c r="DY437" s="12"/>
      <c r="GB437" s="13"/>
      <c r="GZ437" s="12"/>
      <c r="HB437" s="12"/>
      <c r="HF437" s="12"/>
      <c r="IZ437" s="13"/>
      <c r="JB437" s="13"/>
    </row>
    <row r="438" spans="20:262" ht="18" customHeight="1">
      <c r="AD438" s="19"/>
      <c r="AE438" s="14"/>
      <c r="AF438" s="14"/>
      <c r="AG438" s="14"/>
      <c r="AH438" s="15"/>
      <c r="AI438" s="15"/>
      <c r="AJ438" s="16"/>
      <c r="AK438" s="15"/>
      <c r="AL438" s="15"/>
      <c r="AM438" s="15"/>
      <c r="AN438" s="15"/>
      <c r="AO438" s="15"/>
      <c r="AP438" s="15"/>
      <c r="AQ438" s="15"/>
      <c r="AR438" s="15"/>
      <c r="AS438" s="15"/>
      <c r="AT438" s="15"/>
      <c r="AU438" s="15"/>
      <c r="AV438" s="15"/>
      <c r="AW438" s="15"/>
      <c r="AX438" s="15"/>
      <c r="AY438" s="15"/>
      <c r="AZ438" s="15"/>
      <c r="BA438" s="15"/>
      <c r="BB438" s="15"/>
      <c r="BC438" s="15"/>
      <c r="BD438" s="15"/>
      <c r="BE438" s="15"/>
      <c r="BF438" s="16"/>
      <c r="BG438" s="16"/>
      <c r="DY438" s="14"/>
      <c r="DZ438" s="15"/>
      <c r="EA438" s="15"/>
      <c r="EB438" s="15"/>
      <c r="EC438" s="15"/>
      <c r="ED438" s="15"/>
      <c r="EE438" s="15"/>
      <c r="EF438" s="15"/>
      <c r="EG438" s="15"/>
      <c r="EH438" s="15"/>
      <c r="EI438" s="15"/>
      <c r="EJ438" s="15"/>
      <c r="EK438" s="15"/>
      <c r="EL438" s="15"/>
      <c r="EM438" s="15"/>
      <c r="EN438" s="15"/>
      <c r="EO438" s="15"/>
      <c r="EP438" s="15"/>
      <c r="EQ438" s="15"/>
      <c r="ER438" s="15"/>
      <c r="ES438" s="15"/>
      <c r="ET438" s="15"/>
      <c r="EU438" s="15"/>
      <c r="EV438" s="15"/>
      <c r="EW438" s="15"/>
      <c r="EX438" s="15"/>
      <c r="EY438" s="15"/>
      <c r="EZ438" s="15"/>
      <c r="FA438" s="15"/>
      <c r="FB438" s="15"/>
      <c r="FC438" s="15"/>
      <c r="FD438" s="15"/>
      <c r="FE438" s="15"/>
      <c r="FF438" s="15"/>
      <c r="FG438" s="15"/>
      <c r="FH438" s="15"/>
      <c r="FI438" s="15"/>
      <c r="FJ438" s="15"/>
      <c r="FK438" s="15"/>
      <c r="FL438" s="15"/>
      <c r="FM438" s="15"/>
      <c r="FN438" s="15"/>
      <c r="FO438" s="15"/>
      <c r="FP438" s="15"/>
      <c r="FQ438" s="15"/>
      <c r="FR438" s="15"/>
      <c r="FS438" s="15"/>
      <c r="FT438" s="15"/>
      <c r="FU438" s="15"/>
      <c r="FV438" s="15"/>
      <c r="FW438" s="15"/>
      <c r="FX438" s="15"/>
      <c r="FY438" s="15"/>
      <c r="FZ438" s="15"/>
      <c r="GA438" s="15"/>
      <c r="GB438" s="16"/>
      <c r="GZ438" s="12"/>
      <c r="HB438" s="12"/>
      <c r="HF438" s="12"/>
      <c r="IZ438" s="13"/>
      <c r="JB438" s="13"/>
    </row>
    <row r="439" spans="20:262" ht="18" customHeight="1">
      <c r="T439" s="20"/>
      <c r="U439" s="21"/>
      <c r="V439" s="21"/>
      <c r="W439" s="21"/>
      <c r="X439" s="21"/>
      <c r="Y439" s="21"/>
      <c r="Z439" s="21"/>
      <c r="AA439" s="21"/>
      <c r="AB439" s="21"/>
      <c r="AC439" s="21"/>
      <c r="AD439" s="212"/>
      <c r="AE439" s="212"/>
      <c r="AF439" s="212"/>
      <c r="AG439" s="60"/>
      <c r="AH439" s="60"/>
      <c r="AI439" s="60"/>
      <c r="AJ439" s="60"/>
      <c r="AK439" s="14"/>
      <c r="AL439" s="15"/>
      <c r="AM439" s="15"/>
      <c r="AN439" s="15"/>
      <c r="AO439" s="15"/>
      <c r="AP439" s="15"/>
      <c r="AQ439" s="15"/>
      <c r="AR439" s="15"/>
      <c r="AS439" s="16"/>
      <c r="AT439" s="15"/>
      <c r="AU439" s="15"/>
      <c r="AV439" s="15"/>
      <c r="AW439" s="15"/>
      <c r="BE439" s="10"/>
      <c r="BF439" s="10"/>
      <c r="BG439" s="10"/>
      <c r="BH439" s="10"/>
      <c r="BI439" s="21"/>
      <c r="BJ439" s="21"/>
      <c r="BK439" s="21"/>
      <c r="BL439" s="21"/>
      <c r="BM439" s="21"/>
      <c r="BN439" s="21"/>
      <c r="BO439" s="21"/>
      <c r="BP439" s="21"/>
      <c r="BQ439" s="21"/>
      <c r="BR439" s="21"/>
      <c r="BS439" s="21"/>
      <c r="BT439" s="21"/>
      <c r="BU439" s="21"/>
      <c r="BV439" s="21"/>
      <c r="BW439" s="21"/>
      <c r="BX439" s="22"/>
      <c r="BY439" s="21"/>
      <c r="BZ439" s="21"/>
      <c r="CA439" s="21"/>
      <c r="CB439" s="21"/>
      <c r="CC439" s="21"/>
      <c r="CD439" s="21"/>
      <c r="CE439" s="20"/>
      <c r="CF439" s="22"/>
      <c r="GZ439" s="12"/>
      <c r="HB439" s="12"/>
      <c r="HF439" s="12"/>
      <c r="IZ439" s="13"/>
      <c r="JB439" s="13"/>
    </row>
    <row r="440" spans="20:262" ht="18" customHeight="1">
      <c r="T440" s="9"/>
      <c r="U440" s="11"/>
      <c r="AS440" s="13"/>
      <c r="AT440" s="17"/>
      <c r="AU440" s="10"/>
      <c r="AV440" s="10"/>
      <c r="AW440" s="10"/>
      <c r="AX440" s="10"/>
      <c r="AY440" s="10"/>
      <c r="AZ440" s="57"/>
      <c r="BA440" s="57"/>
      <c r="BB440" s="57"/>
      <c r="BC440" s="10"/>
      <c r="BD440" s="10"/>
      <c r="BE440" s="10"/>
      <c r="BF440" s="10"/>
      <c r="BG440" s="10"/>
      <c r="BH440" s="10"/>
      <c r="CE440" s="12"/>
      <c r="CF440" s="13"/>
      <c r="GZ440" s="12"/>
      <c r="HB440" s="12"/>
      <c r="HF440" s="14"/>
      <c r="HG440" s="15"/>
      <c r="HH440" s="15"/>
      <c r="HI440" s="15"/>
      <c r="HJ440" s="15"/>
      <c r="HK440" s="15"/>
      <c r="HL440" s="15"/>
      <c r="HM440" s="15"/>
      <c r="HN440" s="15"/>
      <c r="HO440" s="15"/>
      <c r="HP440" s="15"/>
      <c r="HQ440" s="15"/>
      <c r="HR440" s="15"/>
      <c r="IZ440" s="13"/>
      <c r="JB440" s="13"/>
    </row>
    <row r="441" spans="20:262" ht="18" customHeight="1">
      <c r="T441" s="12"/>
      <c r="U441" s="13"/>
      <c r="AS441" s="13"/>
      <c r="AT441" s="18"/>
      <c r="AZ441" s="97"/>
      <c r="BA441" s="97"/>
      <c r="BB441" s="97"/>
      <c r="BD441" s="9"/>
      <c r="BE441" s="10"/>
      <c r="BF441" s="10"/>
      <c r="BG441" s="10"/>
      <c r="BH441" s="11"/>
      <c r="CE441" s="12"/>
      <c r="CF441" s="13"/>
      <c r="GZ441" s="12"/>
      <c r="HB441" s="12"/>
      <c r="HR441" s="17"/>
      <c r="HS441" s="12"/>
      <c r="IZ441" s="13"/>
      <c r="JB441" s="13"/>
    </row>
    <row r="442" spans="20:262" ht="18" customHeight="1">
      <c r="T442" s="12"/>
      <c r="U442" s="13"/>
      <c r="AS442" s="13"/>
      <c r="AT442" s="18"/>
      <c r="AZ442" s="97"/>
      <c r="BA442" s="97"/>
      <c r="BB442" s="97"/>
      <c r="BD442" s="12"/>
      <c r="BH442" s="13"/>
      <c r="CE442" s="12"/>
      <c r="CF442" s="13"/>
      <c r="GZ442" s="12"/>
      <c r="HB442" s="12"/>
      <c r="HR442" s="18"/>
      <c r="HS442" s="12"/>
      <c r="IZ442" s="13"/>
      <c r="JB442" s="13"/>
    </row>
    <row r="443" spans="20:262" ht="18" customHeight="1">
      <c r="T443" s="12"/>
      <c r="U443" s="13"/>
      <c r="AS443" s="13"/>
      <c r="AT443" s="18"/>
      <c r="AZ443" s="97"/>
      <c r="BA443" s="97"/>
      <c r="BB443" s="97"/>
      <c r="BD443" s="12"/>
      <c r="BH443" s="13"/>
      <c r="CE443" s="12"/>
      <c r="CF443" s="13"/>
      <c r="GZ443" s="12"/>
      <c r="HB443" s="12"/>
      <c r="HR443" s="18"/>
      <c r="HS443" s="12"/>
      <c r="IZ443" s="13"/>
      <c r="JB443" s="13"/>
    </row>
    <row r="444" spans="20:262" ht="18" customHeight="1">
      <c r="T444" s="12"/>
      <c r="U444" s="13"/>
      <c r="AS444" s="13"/>
      <c r="AT444" s="18"/>
      <c r="AZ444" s="97"/>
      <c r="BA444" s="97"/>
      <c r="BB444" s="97"/>
      <c r="BD444" s="12"/>
      <c r="BH444" s="13"/>
      <c r="CE444" s="12"/>
      <c r="CF444" s="13"/>
      <c r="GZ444" s="12"/>
      <c r="HB444" s="14"/>
      <c r="HC444" s="15"/>
      <c r="HD444" s="15"/>
      <c r="HE444" s="15"/>
      <c r="HF444" s="15"/>
      <c r="HG444" s="15"/>
      <c r="HH444" s="15"/>
      <c r="HI444" s="15"/>
      <c r="HJ444" s="15"/>
      <c r="HK444" s="15"/>
      <c r="HL444" s="15"/>
      <c r="HM444" s="15"/>
      <c r="HN444" s="15"/>
      <c r="HO444" s="15"/>
      <c r="HP444" s="15"/>
      <c r="HQ444" s="15"/>
      <c r="HR444" s="19"/>
      <c r="HS444" s="14"/>
      <c r="HT444" s="15"/>
      <c r="HU444" s="15"/>
      <c r="HV444" s="15"/>
      <c r="HW444" s="15"/>
      <c r="HX444" s="15"/>
      <c r="HY444" s="15"/>
      <c r="HZ444" s="15"/>
      <c r="IA444" s="15"/>
      <c r="IB444" s="15"/>
      <c r="IC444" s="15"/>
      <c r="ID444" s="15"/>
      <c r="IE444" s="15"/>
      <c r="IF444" s="15"/>
      <c r="IG444" s="15"/>
      <c r="IH444" s="15"/>
      <c r="II444" s="15"/>
      <c r="IJ444" s="15"/>
      <c r="IK444" s="15"/>
      <c r="IL444" s="15"/>
      <c r="IM444" s="15"/>
      <c r="IN444" s="15"/>
      <c r="IO444" s="15"/>
      <c r="IP444" s="15"/>
      <c r="IQ444" s="15"/>
      <c r="IR444" s="15"/>
      <c r="IS444" s="15"/>
      <c r="IT444" s="15"/>
      <c r="IU444" s="15"/>
      <c r="IV444" s="15"/>
      <c r="IW444" s="15"/>
      <c r="IX444" s="15"/>
      <c r="IY444" s="15"/>
      <c r="IZ444" s="16"/>
      <c r="JB444" s="13"/>
    </row>
    <row r="445" spans="20:262" ht="18" customHeight="1">
      <c r="T445" s="12"/>
      <c r="U445" s="13"/>
      <c r="AS445" s="13"/>
      <c r="AT445" s="18"/>
      <c r="AZ445" s="97"/>
      <c r="BA445" s="97"/>
      <c r="BB445" s="97"/>
      <c r="BD445" s="9"/>
      <c r="BE445" s="10"/>
      <c r="BF445" s="10"/>
      <c r="BG445" s="10"/>
      <c r="BH445" s="11"/>
      <c r="BI445" s="10"/>
      <c r="BJ445" s="17"/>
      <c r="CE445" s="12"/>
      <c r="CF445" s="13"/>
      <c r="GZ445" s="96"/>
      <c r="HA445" s="97"/>
      <c r="HF445" s="20"/>
      <c r="HG445" s="21"/>
      <c r="HH445" s="21"/>
      <c r="HI445" s="21"/>
      <c r="HJ445" s="21"/>
      <c r="HK445" s="22"/>
      <c r="HZ445" s="97"/>
      <c r="IA445" s="97"/>
      <c r="JA445" s="97"/>
      <c r="JB445" s="98"/>
    </row>
    <row r="446" spans="20:262" ht="18" customHeight="1">
      <c r="T446" s="12"/>
      <c r="U446" s="13"/>
      <c r="AS446" s="13"/>
      <c r="AT446" s="18"/>
      <c r="AZ446" s="97"/>
      <c r="BA446" s="97"/>
      <c r="BB446" s="97"/>
      <c r="BD446" s="12"/>
      <c r="BH446" s="13"/>
      <c r="BJ446" s="17"/>
      <c r="CE446" s="12"/>
      <c r="CF446" s="13"/>
      <c r="GZ446" s="59"/>
      <c r="HA446" s="60"/>
      <c r="HB446" s="15"/>
      <c r="HC446" s="15"/>
      <c r="HD446" s="15"/>
      <c r="HE446" s="15"/>
      <c r="HF446" s="20"/>
      <c r="HG446" s="21"/>
      <c r="HH446" s="21"/>
      <c r="HI446" s="21"/>
      <c r="HJ446" s="21"/>
      <c r="HK446" s="22"/>
      <c r="HL446" s="15"/>
      <c r="HM446" s="15"/>
      <c r="HN446" s="15"/>
      <c r="HO446" s="15"/>
      <c r="HP446" s="15"/>
      <c r="HQ446" s="15"/>
      <c r="HR446" s="15"/>
      <c r="HS446" s="15"/>
      <c r="HT446" s="15"/>
      <c r="HU446" s="15"/>
      <c r="HV446" s="15"/>
      <c r="HW446" s="15"/>
      <c r="HX446" s="15"/>
      <c r="HY446" s="15"/>
      <c r="HZ446" s="60"/>
      <c r="IA446" s="60"/>
      <c r="IB446" s="15"/>
      <c r="IC446" s="15"/>
      <c r="ID446" s="15"/>
      <c r="IE446" s="15"/>
      <c r="IF446" s="15"/>
      <c r="IG446" s="15"/>
      <c r="IH446" s="15"/>
      <c r="II446" s="15"/>
      <c r="IJ446" s="15"/>
      <c r="IK446" s="15"/>
      <c r="IL446" s="15"/>
      <c r="IM446" s="15"/>
      <c r="IN446" s="15"/>
      <c r="IO446" s="15"/>
      <c r="IP446" s="15"/>
      <c r="IQ446" s="15"/>
      <c r="IR446" s="15"/>
      <c r="IS446" s="15"/>
      <c r="IT446" s="15"/>
      <c r="IU446" s="15"/>
      <c r="IV446" s="15"/>
      <c r="IW446" s="15"/>
      <c r="IX446" s="15"/>
      <c r="IY446" s="15"/>
      <c r="IZ446" s="15"/>
      <c r="JA446" s="60"/>
      <c r="JB446" s="61"/>
    </row>
    <row r="447" spans="20:262" ht="18" customHeight="1">
      <c r="T447" s="12"/>
      <c r="U447" s="13"/>
      <c r="AS447" s="13"/>
      <c r="AT447" s="18"/>
      <c r="AZ447" s="97"/>
      <c r="BA447" s="97"/>
      <c r="BB447" s="97"/>
      <c r="BD447" s="12"/>
      <c r="BH447" s="13"/>
      <c r="BJ447" s="18"/>
      <c r="CE447" s="12"/>
      <c r="CF447" s="13"/>
    </row>
    <row r="448" spans="20:262" ht="18" customHeight="1">
      <c r="T448" s="12"/>
      <c r="U448" s="13"/>
      <c r="AS448" s="13"/>
      <c r="AT448" s="18"/>
      <c r="AZ448" s="97"/>
      <c r="BA448" s="97"/>
      <c r="BB448" s="97"/>
      <c r="BD448" s="12"/>
      <c r="BH448" s="13"/>
      <c r="BJ448" s="18"/>
      <c r="CE448" s="12"/>
      <c r="CF448" s="13"/>
    </row>
    <row r="449" spans="20:84" ht="18" customHeight="1">
      <c r="T449" s="12"/>
      <c r="U449" s="13"/>
      <c r="AS449" s="13"/>
      <c r="AT449" s="18"/>
      <c r="AZ449" s="97"/>
      <c r="BA449" s="97"/>
      <c r="BB449" s="97"/>
      <c r="BD449" s="12"/>
      <c r="BH449" s="13"/>
      <c r="BJ449" s="18"/>
      <c r="CE449" s="12"/>
      <c r="CF449" s="13"/>
    </row>
    <row r="450" spans="20:84" ht="18" customHeight="1">
      <c r="T450" s="12"/>
      <c r="U450" s="13"/>
      <c r="AS450" s="13"/>
      <c r="AT450" s="18"/>
      <c r="AZ450" s="97"/>
      <c r="BA450" s="97"/>
      <c r="BB450" s="97"/>
      <c r="BD450" s="14"/>
      <c r="BE450" s="15"/>
      <c r="BF450" s="15"/>
      <c r="BG450" s="15"/>
      <c r="BH450" s="16"/>
      <c r="BI450" s="15"/>
      <c r="BJ450" s="19"/>
      <c r="CE450" s="12"/>
      <c r="CF450" s="13"/>
    </row>
    <row r="451" spans="20:84" ht="18" customHeight="1">
      <c r="T451" s="12"/>
      <c r="U451" s="13"/>
      <c r="AS451" s="13"/>
      <c r="AT451" s="18"/>
      <c r="AZ451" s="97"/>
      <c r="BA451" s="97"/>
      <c r="BB451" s="97"/>
      <c r="BD451" s="224"/>
      <c r="BE451" s="224"/>
      <c r="BF451" s="224"/>
      <c r="BG451" s="224"/>
      <c r="BH451" s="224"/>
      <c r="BI451" s="224"/>
      <c r="BJ451" s="225"/>
      <c r="CE451" s="12"/>
      <c r="CF451" s="13"/>
    </row>
    <row r="452" spans="20:84" ht="18" customHeight="1">
      <c r="T452" s="12"/>
      <c r="U452" s="13"/>
      <c r="AS452" s="13"/>
      <c r="AT452" s="18"/>
      <c r="AZ452" s="97"/>
      <c r="BA452" s="97"/>
      <c r="BB452" s="97"/>
      <c r="CE452" s="12"/>
      <c r="CF452" s="13"/>
    </row>
    <row r="453" spans="20:84" ht="18" customHeight="1">
      <c r="T453" s="12"/>
      <c r="U453" s="13"/>
      <c r="AS453" s="13"/>
      <c r="AT453" s="18"/>
      <c r="AZ453" s="97"/>
      <c r="BA453" s="97"/>
      <c r="BB453" s="97"/>
      <c r="BE453" s="18"/>
      <c r="CE453" s="12"/>
      <c r="CF453" s="13"/>
    </row>
    <row r="454" spans="20:84" ht="18" customHeight="1">
      <c r="T454" s="12"/>
      <c r="U454" s="13"/>
      <c r="AS454" s="13"/>
      <c r="AT454" s="18"/>
      <c r="AZ454" s="97"/>
      <c r="BA454" s="97"/>
      <c r="BB454" s="97"/>
      <c r="BE454" s="18"/>
      <c r="CE454" s="12"/>
      <c r="CF454" s="13"/>
    </row>
    <row r="455" spans="20:84" ht="18" customHeight="1">
      <c r="T455" s="12"/>
      <c r="U455" s="13"/>
      <c r="AS455" s="13"/>
      <c r="AT455" s="18"/>
      <c r="AZ455" s="97"/>
      <c r="BA455" s="97"/>
      <c r="BB455" s="97"/>
      <c r="BE455" s="18"/>
      <c r="BX455" s="13"/>
      <c r="CE455" s="12"/>
      <c r="CF455" s="13"/>
    </row>
    <row r="456" spans="20:84" ht="18" customHeight="1">
      <c r="T456" s="12"/>
      <c r="U456" s="13"/>
      <c r="AS456" s="13"/>
      <c r="AT456" s="18"/>
      <c r="AZ456" s="97"/>
      <c r="BA456" s="97"/>
      <c r="BB456" s="97"/>
      <c r="BE456" s="18"/>
      <c r="BX456" s="13"/>
      <c r="CE456" s="12"/>
      <c r="CF456" s="13"/>
    </row>
    <row r="457" spans="20:84" ht="18" customHeight="1">
      <c r="T457" s="12"/>
      <c r="U457" s="13"/>
      <c r="AS457" s="13"/>
      <c r="AT457" s="18"/>
      <c r="AZ457" s="97"/>
      <c r="BA457" s="97"/>
      <c r="BB457" s="97"/>
      <c r="BE457" s="18"/>
      <c r="BX457" s="13"/>
      <c r="CE457" s="12"/>
      <c r="CF457" s="13"/>
    </row>
    <row r="458" spans="20:84" ht="18" customHeight="1">
      <c r="T458" s="12"/>
      <c r="U458" s="13"/>
      <c r="AS458" s="13"/>
      <c r="AT458" s="18"/>
      <c r="AZ458" s="97"/>
      <c r="BA458" s="97"/>
      <c r="BB458" s="97"/>
      <c r="BE458" s="18"/>
      <c r="BX458" s="13"/>
      <c r="CE458" s="12"/>
      <c r="CF458" s="13"/>
    </row>
    <row r="459" spans="20:84" ht="18" customHeight="1">
      <c r="T459" s="12"/>
      <c r="U459" s="13"/>
      <c r="AS459" s="13"/>
      <c r="AT459" s="18"/>
      <c r="AZ459" s="97"/>
      <c r="BA459" s="97"/>
      <c r="BB459" s="97"/>
      <c r="BE459" s="18"/>
      <c r="BX459" s="13"/>
      <c r="CE459" s="12"/>
      <c r="CF459" s="13"/>
    </row>
    <row r="460" spans="20:84" ht="18" customHeight="1">
      <c r="T460" s="12"/>
      <c r="U460" s="13"/>
      <c r="AS460" s="13"/>
      <c r="AT460" s="18"/>
      <c r="AZ460" s="97"/>
      <c r="BA460" s="97"/>
      <c r="BB460" s="97"/>
      <c r="BE460" s="18"/>
      <c r="BX460" s="13"/>
      <c r="CE460" s="12"/>
      <c r="CF460" s="13"/>
    </row>
    <row r="461" spans="20:84" ht="18" customHeight="1">
      <c r="T461" s="12"/>
      <c r="U461" s="13"/>
      <c r="AS461" s="13"/>
      <c r="AT461" s="18"/>
      <c r="AZ461" s="97"/>
      <c r="BA461" s="97"/>
      <c r="BB461" s="97"/>
      <c r="BE461" s="18"/>
      <c r="BY461" s="56"/>
      <c r="BZ461" s="57"/>
      <c r="CA461" s="57"/>
      <c r="CB461" s="57"/>
      <c r="CC461" s="57"/>
      <c r="CD461" s="58"/>
      <c r="CE461" s="12"/>
      <c r="CF461" s="13"/>
    </row>
    <row r="462" spans="20:84" ht="18" customHeight="1">
      <c r="T462" s="12"/>
      <c r="U462" s="13"/>
      <c r="AS462" s="13"/>
      <c r="AT462" s="18"/>
      <c r="AZ462" s="97"/>
      <c r="BA462" s="97"/>
      <c r="BB462" s="97"/>
      <c r="BE462" s="18"/>
      <c r="BY462" s="12"/>
      <c r="CD462" s="13"/>
      <c r="CE462" s="12"/>
      <c r="CF462" s="13"/>
    </row>
    <row r="463" spans="20:84" ht="18" customHeight="1">
      <c r="T463" s="14"/>
      <c r="U463" s="16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  <c r="AG463" s="15"/>
      <c r="AH463" s="15"/>
      <c r="AI463" s="15"/>
      <c r="AJ463" s="15"/>
      <c r="AK463" s="15"/>
      <c r="AL463" s="15"/>
      <c r="AM463" s="15"/>
      <c r="AN463" s="15"/>
      <c r="AO463" s="15"/>
      <c r="AP463" s="15"/>
      <c r="AQ463" s="15"/>
      <c r="AR463" s="15"/>
      <c r="AS463" s="16"/>
      <c r="AT463" s="19"/>
      <c r="AU463" s="15"/>
      <c r="AV463" s="15"/>
      <c r="AW463" s="15"/>
      <c r="AX463" s="15"/>
      <c r="AY463" s="15"/>
      <c r="AZ463" s="60"/>
      <c r="BA463" s="60"/>
      <c r="BB463" s="60"/>
      <c r="BC463" s="15"/>
      <c r="BD463" s="15"/>
      <c r="BE463" s="19"/>
      <c r="BF463" s="15"/>
      <c r="BG463" s="15"/>
      <c r="BH463" s="15"/>
      <c r="BI463" s="15"/>
      <c r="BJ463" s="15"/>
      <c r="BK463" s="15"/>
      <c r="BL463" s="15"/>
      <c r="BM463" s="15"/>
      <c r="BN463" s="15"/>
      <c r="BO463" s="15"/>
      <c r="BP463" s="15"/>
      <c r="BQ463" s="15"/>
      <c r="BR463" s="15"/>
      <c r="BS463" s="15"/>
      <c r="BT463" s="15"/>
      <c r="BU463" s="15"/>
      <c r="BV463" s="15"/>
      <c r="BW463" s="15"/>
      <c r="BX463" s="15"/>
      <c r="BY463" s="14"/>
      <c r="BZ463" s="15"/>
      <c r="CA463" s="15"/>
      <c r="CB463" s="15"/>
      <c r="CC463" s="15"/>
      <c r="CD463" s="16"/>
      <c r="CE463" s="14"/>
      <c r="CF463" s="16"/>
    </row>
    <row r="471" spans="20:94" ht="18" customHeight="1">
      <c r="T471" s="9"/>
      <c r="U471" s="10"/>
      <c r="V471" s="10"/>
      <c r="W471" s="10"/>
      <c r="X471" s="10"/>
      <c r="Y471" s="11"/>
      <c r="Z471" s="10"/>
      <c r="AA471" s="10"/>
      <c r="AB471" s="10"/>
      <c r="AC471" s="10"/>
      <c r="AD471" s="10"/>
      <c r="AE471" s="10"/>
      <c r="AF471" s="10"/>
      <c r="AG471" s="10"/>
      <c r="AH471" s="9"/>
      <c r="AI471" s="10"/>
      <c r="AJ471" s="10"/>
      <c r="AK471" s="10"/>
      <c r="AL471" s="10"/>
      <c r="AM471" s="11"/>
      <c r="AR471" s="9"/>
      <c r="AS471" s="10"/>
      <c r="AT471" s="10"/>
      <c r="AU471" s="10"/>
      <c r="AV471" s="10"/>
      <c r="AW471" s="11"/>
      <c r="AX471" s="10"/>
      <c r="AY471" s="10"/>
      <c r="AZ471" s="10"/>
      <c r="BA471" s="10"/>
      <c r="BB471" s="10"/>
      <c r="BC471" s="10"/>
      <c r="BD471" s="10"/>
      <c r="BE471" s="10"/>
      <c r="BF471" s="10"/>
      <c r="BG471" s="10"/>
      <c r="BH471" s="10"/>
      <c r="BI471" s="10"/>
      <c r="BJ471" s="10"/>
      <c r="BK471" s="10"/>
      <c r="BL471" s="9"/>
      <c r="BM471" s="10"/>
      <c r="BN471" s="10"/>
      <c r="BO471" s="10"/>
      <c r="BP471" s="10"/>
      <c r="BQ471" s="11"/>
    </row>
    <row r="472" spans="20:94" ht="18" customHeight="1">
      <c r="T472" s="12"/>
      <c r="Y472" s="13"/>
      <c r="AH472" s="12"/>
      <c r="AM472" s="13"/>
      <c r="AR472" s="96"/>
      <c r="AS472" s="97"/>
      <c r="AT472" s="97"/>
      <c r="AU472" s="97"/>
      <c r="AV472" s="97"/>
      <c r="AW472" s="98"/>
      <c r="BL472" s="12"/>
      <c r="BQ472" s="13"/>
    </row>
    <row r="473" spans="20:94" ht="18" customHeight="1">
      <c r="T473" s="12"/>
      <c r="Y473" s="13"/>
      <c r="AH473" s="96"/>
      <c r="AI473" s="97"/>
      <c r="AJ473" s="97"/>
      <c r="AK473" s="97"/>
      <c r="AL473" s="97"/>
      <c r="AM473" s="98"/>
      <c r="AR473" s="12"/>
      <c r="AW473" s="13"/>
      <c r="BL473" s="12"/>
      <c r="BQ473" s="13"/>
    </row>
    <row r="474" spans="20:94" ht="18" customHeight="1">
      <c r="T474" s="12"/>
      <c r="Y474" s="13"/>
      <c r="AH474" s="12"/>
      <c r="AM474" s="13"/>
      <c r="AR474" s="12"/>
      <c r="AW474" s="13"/>
      <c r="BL474" s="12"/>
      <c r="BQ474" s="13"/>
    </row>
    <row r="475" spans="20:94" ht="18" customHeight="1">
      <c r="T475" s="12"/>
      <c r="Y475" s="13"/>
      <c r="AH475" s="12"/>
      <c r="AM475" s="13"/>
      <c r="AR475" s="12"/>
      <c r="AW475" s="13"/>
      <c r="BL475" s="12"/>
      <c r="BQ475" s="13"/>
    </row>
    <row r="476" spans="20:94" ht="18" customHeight="1">
      <c r="T476" s="12"/>
      <c r="Y476" s="13"/>
      <c r="AH476" s="12"/>
      <c r="AM476" s="13"/>
      <c r="AR476" s="12"/>
      <c r="AW476" s="13"/>
      <c r="BL476" s="12"/>
      <c r="BQ476" s="13"/>
      <c r="CF476" s="9"/>
      <c r="CG476" s="10"/>
      <c r="CH476" s="10"/>
      <c r="CI476" s="10"/>
      <c r="CJ476" s="10"/>
      <c r="CK476" s="10"/>
      <c r="CL476" s="10"/>
      <c r="CM476" s="10"/>
      <c r="CN476" s="10"/>
      <c r="CO476" s="10"/>
      <c r="CP476" s="11"/>
    </row>
    <row r="477" spans="20:94" ht="18" customHeight="1">
      <c r="T477" s="12"/>
      <c r="Y477" s="13"/>
      <c r="AH477" s="12"/>
      <c r="AM477" s="13"/>
      <c r="AR477" s="12"/>
      <c r="AW477" s="13"/>
      <c r="BL477" s="12"/>
      <c r="BQ477" s="13"/>
      <c r="CF477" s="12"/>
      <c r="CP477" s="13"/>
    </row>
    <row r="478" spans="20:94" ht="18" customHeight="1">
      <c r="T478" s="12"/>
      <c r="Y478" s="13"/>
      <c r="AH478" s="12"/>
      <c r="AM478" s="13"/>
      <c r="AR478" s="12"/>
      <c r="AW478" s="13"/>
      <c r="BL478" s="12"/>
      <c r="BQ478" s="13"/>
      <c r="CF478" s="12"/>
      <c r="CP478" s="13"/>
    </row>
    <row r="479" spans="20:94" ht="18" customHeight="1">
      <c r="T479" s="96"/>
      <c r="U479" s="97"/>
      <c r="V479" s="97"/>
      <c r="W479" s="97"/>
      <c r="X479" s="97"/>
      <c r="Y479" s="98"/>
      <c r="AH479" s="12"/>
      <c r="AM479" s="13"/>
      <c r="AR479" s="12"/>
      <c r="AW479" s="13"/>
      <c r="BL479" s="12"/>
      <c r="BQ479" s="13"/>
      <c r="CF479" s="12"/>
      <c r="CP479" s="13"/>
    </row>
    <row r="480" spans="20:94" ht="18" customHeight="1">
      <c r="T480" s="12"/>
      <c r="Y480" s="13"/>
      <c r="AH480" s="12"/>
      <c r="AM480" s="13"/>
      <c r="AR480" s="12"/>
      <c r="AW480" s="13"/>
      <c r="BL480" s="12"/>
      <c r="BQ480" s="13"/>
      <c r="CF480" s="12"/>
      <c r="CP480" s="13"/>
    </row>
    <row r="481" spans="20:105" ht="18" customHeight="1">
      <c r="T481" s="12"/>
      <c r="Y481" s="13"/>
      <c r="AH481" s="12"/>
      <c r="AM481" s="13"/>
      <c r="AR481" s="12"/>
      <c r="AW481" s="13"/>
      <c r="BL481" s="96"/>
      <c r="BM481" s="97"/>
      <c r="BN481" s="97"/>
      <c r="BO481" s="97"/>
      <c r="BP481" s="97"/>
      <c r="BQ481" s="98"/>
      <c r="CF481" s="12"/>
      <c r="CP481" s="13"/>
    </row>
    <row r="482" spans="20:105" ht="18" customHeight="1">
      <c r="T482" s="12"/>
      <c r="Y482" s="13"/>
      <c r="AH482" s="12"/>
      <c r="AM482" s="13"/>
      <c r="AR482" s="12"/>
      <c r="AW482" s="13"/>
      <c r="BL482" s="12"/>
      <c r="BQ482" s="13"/>
      <c r="CF482" s="14"/>
      <c r="CG482" s="15"/>
      <c r="CH482" s="15"/>
      <c r="CI482" s="15"/>
      <c r="CJ482" s="15"/>
      <c r="CK482" s="15"/>
      <c r="CL482" s="15"/>
      <c r="CM482" s="15"/>
      <c r="CN482" s="15"/>
      <c r="CO482" s="15"/>
      <c r="CP482" s="16"/>
    </row>
    <row r="483" spans="20:105" ht="18" customHeight="1">
      <c r="T483" s="12"/>
      <c r="Y483" s="13"/>
      <c r="AH483" s="12"/>
      <c r="AM483" s="13"/>
      <c r="AR483" s="12"/>
      <c r="AW483" s="13"/>
      <c r="BL483" s="12"/>
      <c r="BQ483" s="13"/>
      <c r="CQ483" s="9"/>
      <c r="CR483" s="10"/>
      <c r="CS483" s="10"/>
      <c r="CT483" s="10"/>
      <c r="CU483" s="10"/>
      <c r="CV483" s="10"/>
      <c r="CW483" s="10"/>
      <c r="CX483" s="10"/>
      <c r="CY483" s="10"/>
      <c r="CZ483" s="10"/>
      <c r="DA483" s="11"/>
    </row>
    <row r="484" spans="20:105" ht="18" customHeight="1">
      <c r="T484" s="12"/>
      <c r="Y484" s="13"/>
      <c r="AH484" s="12"/>
      <c r="AM484" s="13"/>
      <c r="AR484" s="12"/>
      <c r="AW484" s="13"/>
      <c r="BL484" s="12"/>
      <c r="BQ484" s="13"/>
      <c r="CQ484" s="12"/>
      <c r="DA484" s="13"/>
    </row>
    <row r="485" spans="20:105" ht="18" customHeight="1">
      <c r="T485" s="12"/>
      <c r="Y485" s="13"/>
      <c r="AH485" s="96"/>
      <c r="AI485" s="97"/>
      <c r="AJ485" s="97"/>
      <c r="AK485" s="97"/>
      <c r="AL485" s="97"/>
      <c r="AM485" s="98"/>
      <c r="AR485" s="12"/>
      <c r="AW485" s="13"/>
      <c r="BL485" s="12"/>
      <c r="BQ485" s="13"/>
      <c r="CQ485" s="12"/>
      <c r="DA485" s="13"/>
    </row>
    <row r="486" spans="20:105" ht="18" customHeight="1">
      <c r="T486" s="12"/>
      <c r="Y486" s="13"/>
      <c r="AH486" s="12"/>
      <c r="AM486" s="13"/>
      <c r="AR486" s="12"/>
      <c r="AW486" s="13"/>
      <c r="BL486" s="12"/>
      <c r="BQ486" s="13"/>
      <c r="CQ486" s="12"/>
      <c r="DA486" s="13"/>
    </row>
    <row r="487" spans="20:105" ht="18" customHeight="1">
      <c r="T487" s="12"/>
      <c r="Y487" s="13"/>
      <c r="AH487" s="12"/>
      <c r="AM487" s="13"/>
      <c r="AR487" s="12"/>
      <c r="AW487" s="13"/>
      <c r="BL487" s="12"/>
      <c r="BQ487" s="13"/>
      <c r="CQ487" s="12"/>
      <c r="DA487" s="13"/>
    </row>
    <row r="488" spans="20:105" ht="18" customHeight="1">
      <c r="T488" s="12"/>
      <c r="Y488" s="13"/>
      <c r="AH488" s="12"/>
      <c r="AM488" s="13"/>
      <c r="AR488" s="12"/>
      <c r="AW488" s="13"/>
      <c r="BL488" s="12"/>
      <c r="BQ488" s="13"/>
      <c r="CQ488" s="12"/>
      <c r="DA488" s="13"/>
    </row>
    <row r="489" spans="20:105" ht="18" customHeight="1">
      <c r="T489" s="12"/>
      <c r="Y489" s="13"/>
      <c r="AH489" s="12"/>
      <c r="AM489" s="13"/>
      <c r="AR489" s="12"/>
      <c r="AW489" s="13"/>
      <c r="BL489" s="12"/>
      <c r="BQ489" s="13"/>
      <c r="CQ489" s="14"/>
      <c r="CR489" s="15"/>
      <c r="CS489" s="15"/>
      <c r="CT489" s="15"/>
      <c r="CU489" s="15"/>
      <c r="CV489" s="15"/>
      <c r="CW489" s="15"/>
      <c r="CX489" s="15"/>
      <c r="CY489" s="15"/>
      <c r="CZ489" s="15"/>
      <c r="DA489" s="16"/>
    </row>
    <row r="490" spans="20:105" ht="18" customHeight="1">
      <c r="T490" s="12"/>
      <c r="Y490" s="13"/>
      <c r="AH490" s="12"/>
      <c r="AM490" s="13"/>
      <c r="AR490" s="12"/>
      <c r="AW490" s="13"/>
      <c r="BL490" s="12"/>
      <c r="BQ490" s="13"/>
    </row>
    <row r="491" spans="20:105" ht="18" customHeight="1">
      <c r="T491" s="12"/>
      <c r="Y491" s="13"/>
      <c r="AH491" s="12"/>
      <c r="AM491" s="13"/>
      <c r="AR491" s="12"/>
      <c r="AW491" s="13"/>
      <c r="BL491" s="12"/>
      <c r="BQ491" s="13"/>
    </row>
    <row r="492" spans="20:105" ht="18" customHeight="1">
      <c r="T492" s="12"/>
      <c r="Y492" s="13"/>
      <c r="AH492" s="12"/>
      <c r="AM492" s="13"/>
      <c r="AR492" s="12"/>
      <c r="AW492" s="13"/>
      <c r="BL492" s="12"/>
      <c r="BQ492" s="13"/>
    </row>
    <row r="493" spans="20:105" ht="18" customHeight="1">
      <c r="T493" s="12"/>
      <c r="Y493" s="13"/>
      <c r="AH493" s="12"/>
      <c r="AM493" s="13"/>
      <c r="AR493" s="12"/>
      <c r="AW493" s="13"/>
      <c r="BL493" s="12"/>
      <c r="BQ493" s="13"/>
    </row>
    <row r="494" spans="20:105" ht="18" customHeight="1">
      <c r="T494" s="14"/>
      <c r="U494" s="15"/>
      <c r="V494" s="15"/>
      <c r="W494" s="15"/>
      <c r="X494" s="15"/>
      <c r="Y494" s="16"/>
      <c r="Z494" s="15"/>
      <c r="AA494" s="15"/>
      <c r="AB494" s="15"/>
      <c r="AC494" s="15"/>
      <c r="AD494" s="15"/>
      <c r="AE494" s="15"/>
      <c r="AF494" s="15"/>
      <c r="AG494" s="15"/>
      <c r="AH494" s="14"/>
      <c r="AI494" s="15"/>
      <c r="AJ494" s="15"/>
      <c r="AK494" s="15"/>
      <c r="AL494" s="15"/>
      <c r="AM494" s="16"/>
      <c r="AR494" s="14"/>
      <c r="AS494" s="15"/>
      <c r="AT494" s="15"/>
      <c r="AU494" s="15"/>
      <c r="AV494" s="15"/>
      <c r="AW494" s="16"/>
      <c r="AX494" s="15"/>
      <c r="AY494" s="15"/>
      <c r="AZ494" s="15"/>
      <c r="BA494" s="15"/>
      <c r="BB494" s="15"/>
      <c r="BC494" s="15"/>
      <c r="BD494" s="15"/>
      <c r="BE494" s="15"/>
      <c r="BF494" s="15"/>
      <c r="BG494" s="15"/>
      <c r="BH494" s="15"/>
      <c r="BI494" s="15"/>
      <c r="BJ494" s="15"/>
      <c r="BK494" s="15"/>
      <c r="BL494" s="14"/>
      <c r="BM494" s="15"/>
      <c r="BN494" s="15"/>
      <c r="BO494" s="15"/>
      <c r="BP494" s="15"/>
      <c r="BQ494" s="16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48F22-9D30-3D42-B10D-F0357583DF67}">
  <sheetPr codeName="Sheet5"/>
  <dimension ref="B2:T41"/>
  <sheetViews>
    <sheetView topLeftCell="A24" zoomScale="141" zoomScaleNormal="150" workbookViewId="0">
      <selection activeCell="S31" sqref="S31"/>
    </sheetView>
  </sheetViews>
  <sheetFormatPr baseColWidth="10" defaultRowHeight="16"/>
  <cols>
    <col min="1" max="1" width="4.5" customWidth="1"/>
    <col min="2" max="2" width="15.33203125" customWidth="1"/>
    <col min="3" max="3" width="11.33203125" customWidth="1"/>
    <col min="4" max="4" width="10.1640625" customWidth="1"/>
    <col min="5" max="5" width="26.5" customWidth="1"/>
    <col min="6" max="6" width="14.1640625" customWidth="1"/>
    <col min="7" max="7" width="7.33203125" customWidth="1"/>
    <col min="8" max="8" width="26.83203125" customWidth="1"/>
    <col min="9" max="9" width="13.83203125" style="219" bestFit="1" customWidth="1"/>
    <col min="10" max="10" width="7" customWidth="1"/>
    <col min="11" max="11" width="6" customWidth="1"/>
  </cols>
  <sheetData>
    <row r="2" spans="2:20">
      <c r="C2">
        <v>12</v>
      </c>
    </row>
    <row r="4" spans="2:20">
      <c r="B4" t="s">
        <v>152</v>
      </c>
      <c r="C4">
        <v>2.54</v>
      </c>
      <c r="L4">
        <v>12</v>
      </c>
      <c r="O4" t="s">
        <v>94</v>
      </c>
    </row>
    <row r="5" spans="2:20">
      <c r="B5" t="s">
        <v>67</v>
      </c>
      <c r="C5">
        <f>2.54*12</f>
        <v>30.48</v>
      </c>
      <c r="E5" t="s">
        <v>69</v>
      </c>
      <c r="F5">
        <v>2500</v>
      </c>
      <c r="H5" t="s">
        <v>68</v>
      </c>
      <c r="I5" s="219">
        <v>22.5</v>
      </c>
      <c r="K5">
        <v>30</v>
      </c>
      <c r="L5">
        <f>L4*C5</f>
        <v>365.76</v>
      </c>
      <c r="N5" t="s">
        <v>144</v>
      </c>
      <c r="O5">
        <v>56</v>
      </c>
      <c r="P5">
        <v>68</v>
      </c>
      <c r="Q5">
        <f>P5*O5/4</f>
        <v>952</v>
      </c>
    </row>
    <row r="6" spans="2:20">
      <c r="B6" t="s">
        <v>83</v>
      </c>
      <c r="C6">
        <v>10.763915051182416</v>
      </c>
      <c r="E6" t="s">
        <v>70</v>
      </c>
      <c r="F6">
        <v>8000</v>
      </c>
      <c r="H6" t="s">
        <v>122</v>
      </c>
      <c r="I6" s="219">
        <f>I5*K5*L5/1000000</f>
        <v>0.246888</v>
      </c>
      <c r="J6" t="s">
        <v>119</v>
      </c>
      <c r="N6" t="s">
        <v>145</v>
      </c>
      <c r="O6">
        <v>13</v>
      </c>
      <c r="P6">
        <v>46</v>
      </c>
      <c r="Q6">
        <f>P6*O6/4</f>
        <v>149.5</v>
      </c>
      <c r="S6">
        <f>Q6*0.5</f>
        <v>74.75</v>
      </c>
      <c r="T6">
        <f>S6/C10</f>
        <v>2.1166833713999997</v>
      </c>
    </row>
    <row r="7" spans="2:20">
      <c r="B7" t="s">
        <v>82</v>
      </c>
      <c r="C7">
        <v>100</v>
      </c>
      <c r="E7" t="s">
        <v>78</v>
      </c>
      <c r="F7">
        <f>F5+1%*F6</f>
        <v>2580</v>
      </c>
      <c r="H7" t="s">
        <v>71</v>
      </c>
      <c r="I7" s="219">
        <f>I6*F$7</f>
        <v>636.97104000000002</v>
      </c>
      <c r="J7" t="s">
        <v>120</v>
      </c>
      <c r="N7" t="s">
        <v>146</v>
      </c>
      <c r="O7">
        <v>64</v>
      </c>
      <c r="P7">
        <v>16</v>
      </c>
      <c r="Q7">
        <f>P7*O7/4</f>
        <v>256</v>
      </c>
      <c r="R7">
        <f>Q5+Q6+Q7</f>
        <v>1357.5</v>
      </c>
      <c r="T7">
        <f>T6*F5</f>
        <v>5291.7084284999992</v>
      </c>
    </row>
    <row r="8" spans="2:20">
      <c r="B8" t="s">
        <v>131</v>
      </c>
      <c r="C8">
        <v>10</v>
      </c>
      <c r="E8" t="s">
        <v>79</v>
      </c>
      <c r="F8">
        <f>F5+2%*F6</f>
        <v>2660</v>
      </c>
      <c r="H8" t="s">
        <v>87</v>
      </c>
      <c r="I8" s="219">
        <f>I5*K5</f>
        <v>675</v>
      </c>
      <c r="J8" t="s">
        <v>121</v>
      </c>
      <c r="R8" s="218">
        <f>R7/C6</f>
        <v>126.11582250000001</v>
      </c>
    </row>
    <row r="9" spans="2:20">
      <c r="B9" t="s">
        <v>151</v>
      </c>
      <c r="C9">
        <f>100/C5</f>
        <v>3.2808398950131235</v>
      </c>
      <c r="E9" t="s">
        <v>73</v>
      </c>
      <c r="F9">
        <v>2000</v>
      </c>
      <c r="H9" t="s">
        <v>123</v>
      </c>
      <c r="I9" s="219">
        <f>C30*I8*100</f>
        <v>760725</v>
      </c>
      <c r="J9" t="s">
        <v>112</v>
      </c>
      <c r="O9" t="s">
        <v>93</v>
      </c>
    </row>
    <row r="10" spans="2:20">
      <c r="B10" t="s">
        <v>150</v>
      </c>
      <c r="C10">
        <f>C6*C9</f>
        <v>35.314681926451499</v>
      </c>
      <c r="E10" t="s">
        <v>74</v>
      </c>
      <c r="F10">
        <v>600</v>
      </c>
      <c r="H10" t="s">
        <v>95</v>
      </c>
      <c r="I10" s="219">
        <v>9</v>
      </c>
      <c r="O10">
        <v>35</v>
      </c>
      <c r="P10">
        <f>O10*C$5/100/2</f>
        <v>5.3339999999999996</v>
      </c>
    </row>
    <row r="11" spans="2:20">
      <c r="E11" t="s">
        <v>85</v>
      </c>
      <c r="F11">
        <v>20</v>
      </c>
      <c r="H11" t="s">
        <v>96</v>
      </c>
      <c r="I11" s="219">
        <f>I10*I7</f>
        <v>5732.7393600000005</v>
      </c>
      <c r="J11" t="s">
        <v>120</v>
      </c>
      <c r="O11">
        <v>102</v>
      </c>
      <c r="P11">
        <f t="shared" ref="P11:P17" si="0">O11*C$5/100/2</f>
        <v>15.5448</v>
      </c>
      <c r="R11">
        <v>12</v>
      </c>
    </row>
    <row r="12" spans="2:20">
      <c r="E12" t="s">
        <v>84</v>
      </c>
      <c r="F12">
        <v>415</v>
      </c>
      <c r="O12">
        <v>40</v>
      </c>
      <c r="P12">
        <f t="shared" si="0"/>
        <v>6.0960000000000001</v>
      </c>
      <c r="R12">
        <f>12*4*S12</f>
        <v>72</v>
      </c>
      <c r="S12">
        <v>1.5</v>
      </c>
    </row>
    <row r="13" spans="2:20">
      <c r="E13" t="s">
        <v>86</v>
      </c>
      <c r="F13">
        <f>F11+1%*F12</f>
        <v>24.15</v>
      </c>
      <c r="R13">
        <f>R12+R11</f>
        <v>84</v>
      </c>
    </row>
    <row r="14" spans="2:20">
      <c r="E14" t="s">
        <v>91</v>
      </c>
      <c r="F14">
        <f>F13*100</f>
        <v>2415</v>
      </c>
      <c r="O14">
        <v>39</v>
      </c>
      <c r="P14">
        <f t="shared" si="0"/>
        <v>5.9436</v>
      </c>
      <c r="R14">
        <v>123</v>
      </c>
    </row>
    <row r="15" spans="2:20">
      <c r="E15" t="s">
        <v>135</v>
      </c>
      <c r="F15">
        <v>5</v>
      </c>
      <c r="H15" t="s">
        <v>72</v>
      </c>
      <c r="I15" s="219">
        <v>22.5</v>
      </c>
      <c r="K15">
        <v>45</v>
      </c>
      <c r="L15">
        <v>100</v>
      </c>
      <c r="O15">
        <v>28</v>
      </c>
      <c r="P15">
        <f t="shared" si="0"/>
        <v>4.2671999999999999</v>
      </c>
      <c r="R15">
        <f>R14-R13</f>
        <v>39</v>
      </c>
    </row>
    <row r="16" spans="2:20">
      <c r="E16" t="s">
        <v>136</v>
      </c>
      <c r="F16">
        <v>7</v>
      </c>
      <c r="H16" t="s">
        <v>76</v>
      </c>
      <c r="I16" s="219">
        <f>I15*K15*L15/1000000</f>
        <v>0.10125000000000001</v>
      </c>
      <c r="J16" t="s">
        <v>119</v>
      </c>
      <c r="O16">
        <v>66</v>
      </c>
      <c r="P16">
        <f t="shared" si="0"/>
        <v>10.058400000000001</v>
      </c>
      <c r="R16">
        <f>R15/4</f>
        <v>9.75</v>
      </c>
    </row>
    <row r="17" spans="2:18">
      <c r="B17" t="s">
        <v>98</v>
      </c>
      <c r="C17">
        <v>600</v>
      </c>
      <c r="D17" t="s">
        <v>99</v>
      </c>
      <c r="H17" t="s">
        <v>90</v>
      </c>
      <c r="I17" s="219">
        <f>I16*F$8</f>
        <v>269.32500000000005</v>
      </c>
      <c r="J17" t="s">
        <v>120</v>
      </c>
      <c r="O17">
        <v>45</v>
      </c>
      <c r="P17">
        <f t="shared" si="0"/>
        <v>6.8579999999999997</v>
      </c>
    </row>
    <row r="18" spans="2:18">
      <c r="B18" t="s">
        <v>100</v>
      </c>
      <c r="C18">
        <v>20</v>
      </c>
      <c r="D18" t="s">
        <v>101</v>
      </c>
      <c r="H18" t="s">
        <v>125</v>
      </c>
      <c r="I18" s="219">
        <f>P24</f>
        <v>52.578000000000003</v>
      </c>
      <c r="J18" t="s">
        <v>124</v>
      </c>
    </row>
    <row r="19" spans="2:18">
      <c r="B19" t="s">
        <v>102</v>
      </c>
      <c r="C19">
        <v>500</v>
      </c>
      <c r="D19" t="s">
        <v>101</v>
      </c>
      <c r="H19" t="s">
        <v>126</v>
      </c>
      <c r="I19" s="219">
        <f>I18*I17</f>
        <v>14160.569850000003</v>
      </c>
      <c r="J19" t="s">
        <v>120</v>
      </c>
      <c r="P19" s="218">
        <f>SUM(P10:P17)</f>
        <v>54.101999999999997</v>
      </c>
    </row>
    <row r="20" spans="2:18">
      <c r="B20" t="s">
        <v>103</v>
      </c>
      <c r="C20">
        <v>1.5</v>
      </c>
    </row>
    <row r="21" spans="2:18">
      <c r="B21" t="s">
        <v>105</v>
      </c>
      <c r="C21" s="215">
        <v>0.01</v>
      </c>
      <c r="D21" t="s">
        <v>106</v>
      </c>
      <c r="O21" t="s">
        <v>93</v>
      </c>
    </row>
    <row r="22" spans="2:18">
      <c r="B22" t="s">
        <v>107</v>
      </c>
      <c r="C22" s="215">
        <v>0.99</v>
      </c>
      <c r="D22" t="s">
        <v>106</v>
      </c>
      <c r="E22" t="s">
        <v>137</v>
      </c>
      <c r="O22">
        <v>128</v>
      </c>
      <c r="P22">
        <f>3*O22*C$5/100/4</f>
        <v>29.2608</v>
      </c>
    </row>
    <row r="23" spans="2:18">
      <c r="H23" t="s">
        <v>75</v>
      </c>
      <c r="I23" s="219">
        <v>15</v>
      </c>
      <c r="K23">
        <v>100</v>
      </c>
      <c r="L23">
        <v>100</v>
      </c>
      <c r="O23">
        <v>102</v>
      </c>
      <c r="P23">
        <f>3*O23*C$5/100/4</f>
        <v>23.317200000000003</v>
      </c>
    </row>
    <row r="24" spans="2:18">
      <c r="B24" t="s">
        <v>104</v>
      </c>
      <c r="E24" t="s">
        <v>138</v>
      </c>
      <c r="F24" s="222">
        <f>I29</f>
        <v>52320.213177500002</v>
      </c>
      <c r="H24" t="s">
        <v>77</v>
      </c>
      <c r="I24" s="219">
        <f>I23*K23*L23/1000000</f>
        <v>0.15</v>
      </c>
      <c r="J24" t="s">
        <v>130</v>
      </c>
      <c r="P24" s="218">
        <f>P23+P22</f>
        <v>52.578000000000003</v>
      </c>
    </row>
    <row r="25" spans="2:18">
      <c r="E25" t="s">
        <v>139</v>
      </c>
      <c r="F25">
        <f>1.2*F24</f>
        <v>62784.255812999996</v>
      </c>
      <c r="H25" t="s">
        <v>80</v>
      </c>
      <c r="I25" s="219">
        <f>I24*F$8</f>
        <v>399</v>
      </c>
      <c r="J25" t="s">
        <v>129</v>
      </c>
    </row>
    <row r="26" spans="2:18">
      <c r="E26" t="s">
        <v>140</v>
      </c>
      <c r="F26">
        <f>20%*F13</f>
        <v>4.83</v>
      </c>
      <c r="H26" t="s">
        <v>128</v>
      </c>
      <c r="I26" s="219">
        <f>R8</f>
        <v>126.11582250000001</v>
      </c>
      <c r="J26" t="s">
        <v>127</v>
      </c>
    </row>
    <row r="27" spans="2:18">
      <c r="B27" t="s">
        <v>108</v>
      </c>
      <c r="C27">
        <f>C17*C20*1000</f>
        <v>900000</v>
      </c>
      <c r="D27" t="s">
        <v>112</v>
      </c>
      <c r="E27" t="s">
        <v>141</v>
      </c>
      <c r="F27">
        <f>F26*10</f>
        <v>48.3</v>
      </c>
      <c r="H27" t="s">
        <v>88</v>
      </c>
      <c r="I27" s="219">
        <f>I26*I25</f>
        <v>50320.213177500002</v>
      </c>
      <c r="J27" t="s">
        <v>120</v>
      </c>
    </row>
    <row r="28" spans="2:18">
      <c r="B28" t="s">
        <v>110</v>
      </c>
      <c r="C28">
        <f>0.4*C18*99%</f>
        <v>7.92</v>
      </c>
      <c r="D28" t="s">
        <v>101</v>
      </c>
      <c r="E28" t="s">
        <v>142</v>
      </c>
      <c r="F28">
        <f>F25/F27</f>
        <v>1299.8810727329192</v>
      </c>
      <c r="H28" t="s">
        <v>133</v>
      </c>
      <c r="I28" s="219">
        <v>2000</v>
      </c>
      <c r="J28" t="s">
        <v>120</v>
      </c>
    </row>
    <row r="29" spans="2:18">
      <c r="B29" t="s">
        <v>109</v>
      </c>
      <c r="C29">
        <f>0.67*C19*1%</f>
        <v>3.35</v>
      </c>
      <c r="D29" t="s">
        <v>101</v>
      </c>
      <c r="H29" t="s">
        <v>134</v>
      </c>
      <c r="I29" s="219">
        <f>I28+I27</f>
        <v>52320.213177500002</v>
      </c>
      <c r="J29" t="s">
        <v>120</v>
      </c>
    </row>
    <row r="30" spans="2:18">
      <c r="B30" t="s">
        <v>111</v>
      </c>
      <c r="C30">
        <f>C29+C28</f>
        <v>11.27</v>
      </c>
      <c r="D30" t="s">
        <v>101</v>
      </c>
    </row>
    <row r="31" spans="2:18">
      <c r="B31" t="s">
        <v>116</v>
      </c>
      <c r="C31">
        <f>C27/C30</f>
        <v>79858.030168589175</v>
      </c>
      <c r="D31" t="s">
        <v>113</v>
      </c>
      <c r="L31">
        <v>50</v>
      </c>
      <c r="M31" t="s">
        <v>149</v>
      </c>
      <c r="Q31">
        <v>25.5</v>
      </c>
      <c r="R31">
        <f>Q31*4</f>
        <v>102</v>
      </c>
    </row>
    <row r="32" spans="2:18">
      <c r="B32" t="s">
        <v>115</v>
      </c>
      <c r="C32">
        <f>SQRT(C31)</f>
        <v>282.59163145533728</v>
      </c>
      <c r="D32" t="s">
        <v>114</v>
      </c>
      <c r="H32" t="s">
        <v>97</v>
      </c>
      <c r="I32" s="219">
        <f>I29+I19+I11</f>
        <v>72213.522387500008</v>
      </c>
      <c r="J32" t="s">
        <v>120</v>
      </c>
      <c r="L32">
        <f>I33/L31</f>
        <v>2166.4056716250002</v>
      </c>
      <c r="M32" t="s">
        <v>147</v>
      </c>
      <c r="Q32">
        <v>31</v>
      </c>
      <c r="R32">
        <f>Q32*4</f>
        <v>124</v>
      </c>
    </row>
    <row r="33" spans="2:13">
      <c r="H33" t="s">
        <v>81</v>
      </c>
      <c r="I33" s="219">
        <f>1.5*I32</f>
        <v>108320.28358125001</v>
      </c>
      <c r="J33" t="s">
        <v>120</v>
      </c>
      <c r="L33">
        <f>L32/I8</f>
        <v>3.2094898838888892</v>
      </c>
      <c r="M33" t="s">
        <v>148</v>
      </c>
    </row>
    <row r="34" spans="2:13">
      <c r="H34" t="s">
        <v>118</v>
      </c>
      <c r="I34" s="219">
        <f>I33/I26</f>
        <v>858.89527129912665</v>
      </c>
      <c r="J34" t="s">
        <v>129</v>
      </c>
    </row>
    <row r="35" spans="2:13">
      <c r="B35">
        <f>0.85 *30 * 1350</f>
        <v>34425</v>
      </c>
      <c r="C35" s="220">
        <v>3822500</v>
      </c>
      <c r="D35">
        <f>C35/B35</f>
        <v>111.03848946986201</v>
      </c>
      <c r="H35" t="s">
        <v>117</v>
      </c>
      <c r="I35" s="219">
        <f>C8*I34</f>
        <v>8588.9527129912658</v>
      </c>
      <c r="J35" t="s">
        <v>132</v>
      </c>
    </row>
    <row r="36" spans="2:13">
      <c r="D36">
        <v>9.81</v>
      </c>
    </row>
    <row r="37" spans="2:13">
      <c r="D37">
        <f>1000/D36</f>
        <v>101.9367991845056</v>
      </c>
    </row>
    <row r="38" spans="2:13">
      <c r="H38" t="s">
        <v>89</v>
      </c>
      <c r="I38" s="219">
        <f>I35/F15</f>
        <v>1717.7905425982531</v>
      </c>
      <c r="J38" t="s">
        <v>113</v>
      </c>
    </row>
    <row r="39" spans="2:13">
      <c r="H39" t="s">
        <v>89</v>
      </c>
      <c r="I39" s="219">
        <f>I38/100</f>
        <v>17.17790542598253</v>
      </c>
      <c r="J39" t="s">
        <v>121</v>
      </c>
    </row>
    <row r="40" spans="2:13">
      <c r="H40" t="s">
        <v>143</v>
      </c>
      <c r="I40" s="219">
        <f>I39*I26</f>
        <v>2166.4056716249997</v>
      </c>
      <c r="J40" t="s">
        <v>121</v>
      </c>
    </row>
    <row r="41" spans="2:13">
      <c r="H41" t="s">
        <v>92</v>
      </c>
      <c r="I41" s="221">
        <f>I40/I8</f>
        <v>3.2094898838888883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1E49C-ACDA-174E-AEA7-D754159F2CA8}">
  <sheetPr codeName="Sheet6"/>
  <dimension ref="R47:AET1160"/>
  <sheetViews>
    <sheetView showRowColHeaders="0" tabSelected="1" topLeftCell="AM999" zoomScale="46" zoomScaleNormal="100" workbookViewId="0">
      <selection activeCell="IP1051" sqref="IP1051"/>
    </sheetView>
  </sheetViews>
  <sheetFormatPr baseColWidth="10" defaultColWidth="1.6640625" defaultRowHeight="10.75" customHeight="1"/>
  <cols>
    <col min="80" max="80" width="1.6640625" customWidth="1"/>
  </cols>
  <sheetData>
    <row r="47" spans="76:211" ht="10.75" customHeight="1">
      <c r="BX47" s="9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1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1"/>
    </row>
    <row r="48" spans="76:211" ht="10.75" customHeight="1">
      <c r="BX48" s="12"/>
      <c r="FK48" s="13"/>
      <c r="HC48" s="13"/>
    </row>
    <row r="49" spans="76:387" ht="10.75" customHeight="1">
      <c r="BX49" s="12"/>
      <c r="FK49" s="13"/>
      <c r="HC49" s="13"/>
    </row>
    <row r="50" spans="76:387" ht="10.75" customHeight="1">
      <c r="BX50" s="12"/>
      <c r="FK50" s="13"/>
      <c r="HC50" s="13"/>
    </row>
    <row r="51" spans="76:387" ht="10.75" customHeight="1">
      <c r="BX51" s="12"/>
      <c r="CA51" s="13"/>
      <c r="CB51" s="259"/>
      <c r="CC51" s="141"/>
      <c r="CD51" s="57"/>
      <c r="CE51" s="57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57"/>
      <c r="EM51" s="57"/>
      <c r="EN51" s="57"/>
      <c r="EO51" s="57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259"/>
      <c r="FG51" s="235"/>
      <c r="FH51" s="10"/>
      <c r="FI51" s="10"/>
      <c r="FJ51" s="10"/>
      <c r="FK51" s="11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57"/>
      <c r="GW51" s="57"/>
      <c r="GX51" s="57"/>
      <c r="GY51" s="58"/>
      <c r="HC51" s="13"/>
    </row>
    <row r="52" spans="76:387" ht="10.75" customHeight="1">
      <c r="BX52" s="12"/>
      <c r="CA52" s="13"/>
      <c r="CB52" s="214"/>
      <c r="CC52" s="49"/>
      <c r="CD52" s="97"/>
      <c r="CE52" s="97"/>
      <c r="EL52" s="97"/>
      <c r="EM52" s="97"/>
      <c r="EN52" s="97"/>
      <c r="EO52" s="97"/>
      <c r="FF52" s="214"/>
      <c r="FG52" s="208"/>
      <c r="FK52" s="13"/>
      <c r="GV52" s="97"/>
      <c r="GW52" s="97"/>
      <c r="GX52" s="97"/>
      <c r="GY52" s="98"/>
      <c r="HC52" s="13"/>
      <c r="JT52" s="9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1"/>
    </row>
    <row r="53" spans="76:387" ht="10.75" customHeight="1" thickBot="1">
      <c r="BX53" s="12"/>
      <c r="CA53" s="13"/>
      <c r="CB53" s="214"/>
      <c r="CC53" s="49"/>
      <c r="CD53" s="97"/>
      <c r="CE53" s="97"/>
      <c r="EL53" s="97"/>
      <c r="EM53" s="97"/>
      <c r="EN53" s="97"/>
      <c r="EO53" s="97"/>
      <c r="FF53" s="236"/>
      <c r="FG53" s="209"/>
      <c r="FK53" s="13"/>
      <c r="GV53" s="97"/>
      <c r="GW53" s="97"/>
      <c r="GX53" s="97"/>
      <c r="GY53" s="98"/>
      <c r="HC53" s="13"/>
      <c r="JT53" s="12"/>
      <c r="NW53" s="13"/>
    </row>
    <row r="54" spans="76:387" ht="10.75" customHeight="1">
      <c r="BX54" s="12"/>
      <c r="CA54" s="13"/>
      <c r="CB54" s="214"/>
      <c r="CC54" s="49"/>
      <c r="CE54" s="9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"/>
      <c r="DJ54" s="2"/>
      <c r="DK54" s="2"/>
      <c r="DL54" s="2"/>
      <c r="DM54" s="246"/>
      <c r="DN54" s="247"/>
      <c r="DO54" s="2"/>
      <c r="DP54" s="2"/>
      <c r="DQ54" s="2"/>
      <c r="DR54" s="246"/>
      <c r="DS54" s="247"/>
      <c r="DT54" s="2"/>
      <c r="DU54" s="2"/>
      <c r="DV54" s="2"/>
      <c r="DW54" s="246"/>
      <c r="DX54" s="2"/>
      <c r="DY54" s="2"/>
      <c r="DZ54" s="246"/>
      <c r="EA54" s="2"/>
      <c r="EB54" s="2"/>
      <c r="EC54" s="248"/>
      <c r="ED54" s="249"/>
      <c r="EE54" s="249"/>
      <c r="EF54" s="249"/>
      <c r="EG54" s="250"/>
      <c r="EH54" s="248"/>
      <c r="EI54" s="249"/>
      <c r="EJ54" s="249"/>
      <c r="EK54" s="249"/>
      <c r="EL54" s="250"/>
      <c r="EM54" s="248"/>
      <c r="EN54" s="249"/>
      <c r="EO54" s="249"/>
      <c r="EP54" s="249"/>
      <c r="EQ54" s="250"/>
      <c r="ER54" s="248"/>
      <c r="ES54" s="249"/>
      <c r="ET54" s="249"/>
      <c r="EU54" s="249"/>
      <c r="EV54" s="250"/>
      <c r="EW54" s="247"/>
      <c r="EX54" s="246"/>
      <c r="EY54" s="247"/>
      <c r="EZ54" s="2"/>
      <c r="FA54" s="246"/>
      <c r="FB54" s="247"/>
      <c r="FC54" s="2"/>
      <c r="FD54" s="2"/>
      <c r="FE54" s="3"/>
      <c r="FF54" s="235"/>
      <c r="FG54" s="235"/>
      <c r="FH54" s="10"/>
      <c r="FI54" s="10"/>
      <c r="FJ54" s="10"/>
      <c r="FK54" s="11"/>
      <c r="FL54" s="237"/>
      <c r="FM54" s="238"/>
      <c r="FN54" s="238"/>
      <c r="FO54" s="238"/>
      <c r="FP54" s="239"/>
      <c r="FQ54" s="237"/>
      <c r="FR54" s="238"/>
      <c r="FS54" s="238"/>
      <c r="FT54" s="238"/>
      <c r="FU54" s="239"/>
      <c r="FV54" s="237"/>
      <c r="FW54" s="238"/>
      <c r="FX54" s="238"/>
      <c r="FY54" s="238"/>
      <c r="FZ54" s="239"/>
      <c r="GA54" s="237"/>
      <c r="GB54" s="238"/>
      <c r="GC54" s="238"/>
      <c r="GD54" s="238"/>
      <c r="GE54" s="239"/>
      <c r="GF54" s="10"/>
      <c r="GG54" s="10"/>
      <c r="GH54" s="10"/>
      <c r="GI54" s="10"/>
      <c r="GJ54" s="11"/>
      <c r="GK54" s="9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1"/>
      <c r="GY54" s="13"/>
      <c r="HC54" s="13"/>
      <c r="JT54" s="12"/>
      <c r="NW54" s="13"/>
    </row>
    <row r="55" spans="76:387" ht="10.75" customHeight="1">
      <c r="BX55" s="12"/>
      <c r="CA55" s="13"/>
      <c r="CB55" s="214"/>
      <c r="CC55" s="49"/>
      <c r="CE55" s="12"/>
      <c r="DI55" s="4"/>
      <c r="DM55" s="13"/>
      <c r="DN55" s="12"/>
      <c r="DR55" s="13"/>
      <c r="DS55" s="12"/>
      <c r="DW55" s="13"/>
      <c r="DZ55" s="13"/>
      <c r="EC55" s="240"/>
      <c r="ED55" s="245"/>
      <c r="EE55" s="245"/>
      <c r="EF55" s="245"/>
      <c r="EG55" s="241"/>
      <c r="EH55" s="240"/>
      <c r="EI55" s="245"/>
      <c r="EJ55" s="245"/>
      <c r="EK55" s="245"/>
      <c r="EL55" s="241"/>
      <c r="EM55" s="240"/>
      <c r="EN55" s="245"/>
      <c r="EO55" s="245"/>
      <c r="EP55" s="245"/>
      <c r="EQ55" s="241"/>
      <c r="ER55" s="240"/>
      <c r="ES55" s="245"/>
      <c r="ET55" s="245"/>
      <c r="EU55" s="245"/>
      <c r="EV55" s="241"/>
      <c r="EW55" s="12"/>
      <c r="EX55" s="13"/>
      <c r="EY55" s="12"/>
      <c r="FA55" s="13"/>
      <c r="FB55" s="12"/>
      <c r="FE55" s="5"/>
      <c r="FF55" s="208"/>
      <c r="FG55" s="208"/>
      <c r="FK55" s="13"/>
      <c r="FL55" s="240"/>
      <c r="FM55" s="245"/>
      <c r="FN55" s="245"/>
      <c r="FO55" s="245"/>
      <c r="FP55" s="241"/>
      <c r="FQ55" s="240"/>
      <c r="FR55" s="245"/>
      <c r="FS55" s="245"/>
      <c r="FT55" s="245"/>
      <c r="FU55" s="241"/>
      <c r="FV55" s="240"/>
      <c r="FW55" s="245"/>
      <c r="FX55" s="245"/>
      <c r="FY55" s="245"/>
      <c r="FZ55" s="241"/>
      <c r="GA55" s="240"/>
      <c r="GB55" s="245"/>
      <c r="GC55" s="245"/>
      <c r="GD55" s="245"/>
      <c r="GE55" s="241"/>
      <c r="GJ55" s="13"/>
      <c r="GK55" s="12"/>
      <c r="GV55" s="13"/>
      <c r="GY55" s="13"/>
      <c r="HC55" s="13"/>
      <c r="JT55" s="12"/>
      <c r="JW55" s="9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9"/>
      <c r="KV55" s="10"/>
      <c r="KW55" s="10"/>
      <c r="KX55" s="11"/>
      <c r="KY55" s="9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1"/>
      <c r="LU55" s="10"/>
      <c r="LV55" s="11"/>
      <c r="LW55" s="9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1"/>
      <c r="MO55" s="10"/>
      <c r="MP55" s="11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9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1"/>
      <c r="NW55" s="13"/>
    </row>
    <row r="56" spans="76:387" ht="10.75" customHeight="1">
      <c r="BX56" s="12"/>
      <c r="CA56" s="13"/>
      <c r="CB56" s="214"/>
      <c r="CC56" s="49"/>
      <c r="CE56" s="12"/>
      <c r="DI56" s="4"/>
      <c r="DM56" s="13"/>
      <c r="DN56" s="12"/>
      <c r="DR56" s="13"/>
      <c r="DS56" s="12"/>
      <c r="DW56" s="13"/>
      <c r="DZ56" s="13"/>
      <c r="EC56" s="240"/>
      <c r="ED56" s="245"/>
      <c r="EE56" s="245"/>
      <c r="EF56" s="245"/>
      <c r="EG56" s="241"/>
      <c r="EH56" s="240"/>
      <c r="EI56" s="245"/>
      <c r="EJ56" s="245"/>
      <c r="EK56" s="245"/>
      <c r="EL56" s="241"/>
      <c r="EM56" s="240"/>
      <c r="EN56" s="245"/>
      <c r="EO56" s="245"/>
      <c r="EP56" s="245"/>
      <c r="EQ56" s="241"/>
      <c r="ER56" s="240"/>
      <c r="ES56" s="245"/>
      <c r="ET56" s="245"/>
      <c r="EU56" s="245"/>
      <c r="EV56" s="241"/>
      <c r="EW56" s="12"/>
      <c r="EX56" s="13"/>
      <c r="EY56" s="12"/>
      <c r="FA56" s="13"/>
      <c r="FB56" s="12"/>
      <c r="FE56" s="5"/>
      <c r="FF56" s="208"/>
      <c r="FG56" s="208"/>
      <c r="FK56" s="13"/>
      <c r="FL56" s="240"/>
      <c r="FM56" s="245"/>
      <c r="FN56" s="245"/>
      <c r="FO56" s="245"/>
      <c r="FP56" s="241"/>
      <c r="FQ56" s="240"/>
      <c r="FR56" s="245"/>
      <c r="FS56" s="245"/>
      <c r="FT56" s="245"/>
      <c r="FU56" s="241"/>
      <c r="FV56" s="240"/>
      <c r="FW56" s="245"/>
      <c r="FX56" s="245"/>
      <c r="FY56" s="245"/>
      <c r="FZ56" s="241"/>
      <c r="GA56" s="240"/>
      <c r="GB56" s="245"/>
      <c r="GC56" s="245"/>
      <c r="GD56" s="245"/>
      <c r="GE56" s="241"/>
      <c r="GJ56" s="13"/>
      <c r="GK56" s="12"/>
      <c r="GV56" s="13"/>
      <c r="GY56" s="13"/>
      <c r="HC56" s="13"/>
      <c r="JT56" s="12"/>
      <c r="JW56" s="12"/>
      <c r="KU56" s="12"/>
      <c r="KX56" s="13"/>
      <c r="KY56" s="12"/>
      <c r="LT56" s="13"/>
      <c r="LV56" s="13"/>
      <c r="LW56" s="12"/>
      <c r="MN56" s="13"/>
      <c r="MP56" s="13"/>
      <c r="NI56" s="12"/>
      <c r="NT56" s="13"/>
      <c r="NW56" s="13"/>
    </row>
    <row r="57" spans="76:387" ht="10.75" customHeight="1">
      <c r="BX57" s="12"/>
      <c r="CA57" s="13"/>
      <c r="CB57" s="214"/>
      <c r="CC57" s="49"/>
      <c r="CE57" s="12"/>
      <c r="DI57" s="4"/>
      <c r="DM57" s="13"/>
      <c r="DN57" s="12"/>
      <c r="DR57" s="13"/>
      <c r="DS57" s="12"/>
      <c r="DW57" s="13"/>
      <c r="DZ57" s="13"/>
      <c r="EC57" s="240"/>
      <c r="ED57" s="245"/>
      <c r="EE57" s="245"/>
      <c r="EF57" s="245"/>
      <c r="EG57" s="241"/>
      <c r="EH57" s="240"/>
      <c r="EI57" s="245"/>
      <c r="EJ57" s="245"/>
      <c r="EK57" s="245"/>
      <c r="EL57" s="241"/>
      <c r="EM57" s="240"/>
      <c r="EN57" s="245"/>
      <c r="EO57" s="245"/>
      <c r="EP57" s="245"/>
      <c r="EQ57" s="241"/>
      <c r="ER57" s="240"/>
      <c r="ES57" s="245"/>
      <c r="ET57" s="245"/>
      <c r="EU57" s="245"/>
      <c r="EV57" s="241"/>
      <c r="EW57" s="12"/>
      <c r="EX57" s="13"/>
      <c r="EY57" s="12"/>
      <c r="FA57" s="13"/>
      <c r="FB57" s="12"/>
      <c r="FE57" s="5"/>
      <c r="FF57" s="208"/>
      <c r="FG57" s="208"/>
      <c r="FK57" s="13"/>
      <c r="FL57" s="240"/>
      <c r="FM57" s="245"/>
      <c r="FN57" s="245"/>
      <c r="FO57" s="245"/>
      <c r="FP57" s="241"/>
      <c r="FQ57" s="240"/>
      <c r="FR57" s="245"/>
      <c r="FS57" s="245"/>
      <c r="FT57" s="245"/>
      <c r="FU57" s="241"/>
      <c r="FV57" s="240"/>
      <c r="FW57" s="245"/>
      <c r="FX57" s="245"/>
      <c r="FY57" s="245"/>
      <c r="FZ57" s="241"/>
      <c r="GA57" s="240"/>
      <c r="GB57" s="245"/>
      <c r="GC57" s="245"/>
      <c r="GD57" s="245"/>
      <c r="GE57" s="241"/>
      <c r="GJ57" s="13"/>
      <c r="GK57" s="12"/>
      <c r="GV57" s="13"/>
      <c r="GY57" s="13"/>
      <c r="HC57" s="13"/>
      <c r="JT57" s="12"/>
      <c r="JW57" s="12"/>
      <c r="KU57" s="12"/>
      <c r="KX57" s="13"/>
      <c r="KY57" s="12"/>
      <c r="LT57" s="13"/>
      <c r="LV57" s="13"/>
      <c r="LW57" s="12"/>
      <c r="MN57" s="13"/>
      <c r="MP57" s="13"/>
      <c r="NI57" s="12"/>
      <c r="NT57" s="13"/>
      <c r="NW57" s="13"/>
    </row>
    <row r="58" spans="76:387" ht="10.75" customHeight="1">
      <c r="BX58" s="12"/>
      <c r="CA58" s="13"/>
      <c r="CB58" s="214"/>
      <c r="CC58" s="49"/>
      <c r="CE58" s="12"/>
      <c r="DI58" s="4"/>
      <c r="DM58" s="13"/>
      <c r="DN58" s="12"/>
      <c r="DR58" s="13"/>
      <c r="DS58" s="12"/>
      <c r="DW58" s="13"/>
      <c r="DZ58" s="13"/>
      <c r="EC58" s="240"/>
      <c r="ED58" s="245"/>
      <c r="EE58" s="245"/>
      <c r="EF58" s="245"/>
      <c r="EG58" s="241"/>
      <c r="EH58" s="240"/>
      <c r="EI58" s="245"/>
      <c r="EJ58" s="245"/>
      <c r="EK58" s="245"/>
      <c r="EL58" s="241"/>
      <c r="EM58" s="240"/>
      <c r="EN58" s="245"/>
      <c r="EO58" s="245"/>
      <c r="EP58" s="245"/>
      <c r="EQ58" s="241"/>
      <c r="ER58" s="240"/>
      <c r="ES58" s="245"/>
      <c r="ET58" s="245"/>
      <c r="EU58" s="245"/>
      <c r="EV58" s="241"/>
      <c r="EW58" s="12"/>
      <c r="EX58" s="13"/>
      <c r="EY58" s="12"/>
      <c r="FA58" s="13"/>
      <c r="FB58" s="12"/>
      <c r="FE58" s="5"/>
      <c r="FF58" s="208"/>
      <c r="FG58" s="208"/>
      <c r="FK58" s="13"/>
      <c r="FL58" s="240"/>
      <c r="FM58" s="245"/>
      <c r="FN58" s="245"/>
      <c r="FO58" s="245"/>
      <c r="FP58" s="241"/>
      <c r="FQ58" s="240"/>
      <c r="FR58" s="245"/>
      <c r="FS58" s="245"/>
      <c r="FT58" s="245"/>
      <c r="FU58" s="241"/>
      <c r="FV58" s="240"/>
      <c r="FW58" s="245"/>
      <c r="FX58" s="245"/>
      <c r="FY58" s="245"/>
      <c r="FZ58" s="241"/>
      <c r="GA58" s="240"/>
      <c r="GB58" s="245"/>
      <c r="GC58" s="245"/>
      <c r="GD58" s="245"/>
      <c r="GE58" s="241"/>
      <c r="GJ58" s="13"/>
      <c r="GK58" s="12"/>
      <c r="GV58" s="13"/>
      <c r="GY58" s="13"/>
      <c r="HC58" s="13"/>
      <c r="JT58" s="12"/>
      <c r="JW58" s="12"/>
      <c r="KU58" s="12"/>
      <c r="KX58" s="13"/>
      <c r="KY58" s="12"/>
      <c r="LT58" s="13"/>
      <c r="LV58" s="13"/>
      <c r="LW58" s="12"/>
      <c r="MN58" s="13"/>
      <c r="MP58" s="13"/>
      <c r="NI58" s="12"/>
      <c r="NT58" s="13"/>
      <c r="NW58" s="13"/>
    </row>
    <row r="59" spans="76:387" ht="10.75" customHeight="1">
      <c r="BX59" s="12"/>
      <c r="CA59" s="13"/>
      <c r="CB59" s="214"/>
      <c r="CC59" s="49"/>
      <c r="CE59" s="12"/>
      <c r="DI59" s="4"/>
      <c r="DM59" s="13"/>
      <c r="DN59" s="12"/>
      <c r="DR59" s="13"/>
      <c r="DS59" s="12"/>
      <c r="DW59" s="13"/>
      <c r="DZ59" s="13"/>
      <c r="EC59" s="240"/>
      <c r="ED59" s="245"/>
      <c r="EE59" s="245"/>
      <c r="EF59" s="245"/>
      <c r="EG59" s="241"/>
      <c r="EH59" s="240"/>
      <c r="EI59" s="245"/>
      <c r="EJ59" s="245"/>
      <c r="EK59" s="245"/>
      <c r="EL59" s="241"/>
      <c r="EM59" s="240"/>
      <c r="EN59" s="245"/>
      <c r="EO59" s="245"/>
      <c r="EP59" s="245"/>
      <c r="EQ59" s="241"/>
      <c r="ER59" s="240"/>
      <c r="ES59" s="245"/>
      <c r="ET59" s="245"/>
      <c r="EU59" s="245"/>
      <c r="EV59" s="241"/>
      <c r="EW59" s="12"/>
      <c r="EX59" s="13"/>
      <c r="EY59" s="12"/>
      <c r="FA59" s="13"/>
      <c r="FB59" s="12"/>
      <c r="FE59" s="5"/>
      <c r="FF59" s="208"/>
      <c r="FG59" s="208"/>
      <c r="FK59" s="13"/>
      <c r="FL59" s="240"/>
      <c r="FM59" s="245"/>
      <c r="FN59" s="245"/>
      <c r="FO59" s="245"/>
      <c r="FP59" s="241"/>
      <c r="FQ59" s="240"/>
      <c r="FR59" s="245"/>
      <c r="FS59" s="245"/>
      <c r="FT59" s="245"/>
      <c r="FU59" s="241"/>
      <c r="FV59" s="240"/>
      <c r="FW59" s="245"/>
      <c r="FX59" s="245"/>
      <c r="FY59" s="245"/>
      <c r="FZ59" s="241"/>
      <c r="GA59" s="240"/>
      <c r="GB59" s="245"/>
      <c r="GC59" s="245"/>
      <c r="GD59" s="245"/>
      <c r="GE59" s="241"/>
      <c r="GJ59" s="13"/>
      <c r="GK59" s="12"/>
      <c r="GV59" s="13"/>
      <c r="GY59" s="13"/>
      <c r="HC59" s="13"/>
      <c r="JT59" s="12"/>
      <c r="JW59" s="12"/>
      <c r="KU59" s="12"/>
      <c r="KX59" s="13"/>
      <c r="KY59" s="12"/>
      <c r="LT59" s="13"/>
      <c r="LV59" s="13"/>
      <c r="LW59" s="12"/>
      <c r="MN59" s="13"/>
      <c r="MP59" s="13"/>
      <c r="NI59" s="12"/>
      <c r="NT59" s="13"/>
      <c r="NW59" s="13"/>
    </row>
    <row r="60" spans="76:387" ht="10.75" customHeight="1">
      <c r="BX60" s="12"/>
      <c r="CA60" s="13"/>
      <c r="CB60" s="214"/>
      <c r="CC60" s="49"/>
      <c r="CE60" s="12"/>
      <c r="DI60" s="4"/>
      <c r="DM60" s="13"/>
      <c r="DN60" s="12"/>
      <c r="DR60" s="13"/>
      <c r="DS60" s="12"/>
      <c r="DW60" s="13"/>
      <c r="DZ60" s="13"/>
      <c r="EC60" s="240"/>
      <c r="ED60" s="245"/>
      <c r="EE60" s="245"/>
      <c r="EF60" s="245"/>
      <c r="EG60" s="241"/>
      <c r="EH60" s="240"/>
      <c r="EI60" s="245"/>
      <c r="EJ60" s="245"/>
      <c r="EK60" s="245"/>
      <c r="EL60" s="241"/>
      <c r="EM60" s="240"/>
      <c r="EN60" s="245"/>
      <c r="EO60" s="245"/>
      <c r="EP60" s="245"/>
      <c r="EQ60" s="241"/>
      <c r="ER60" s="240"/>
      <c r="ES60" s="245"/>
      <c r="ET60" s="245"/>
      <c r="EU60" s="245"/>
      <c r="EV60" s="241"/>
      <c r="EW60" s="12"/>
      <c r="EX60" s="13"/>
      <c r="EY60" s="12"/>
      <c r="FA60" s="13"/>
      <c r="FB60" s="12"/>
      <c r="FE60" s="5"/>
      <c r="FF60" s="208"/>
      <c r="FG60" s="208"/>
      <c r="FK60" s="13"/>
      <c r="FL60" s="240"/>
      <c r="FM60" s="245"/>
      <c r="FN60" s="245"/>
      <c r="FO60" s="245"/>
      <c r="FP60" s="241"/>
      <c r="FQ60" s="240"/>
      <c r="FR60" s="245"/>
      <c r="FS60" s="245"/>
      <c r="FT60" s="245"/>
      <c r="FU60" s="241"/>
      <c r="FV60" s="240"/>
      <c r="FW60" s="245"/>
      <c r="FX60" s="245"/>
      <c r="FY60" s="245"/>
      <c r="FZ60" s="241"/>
      <c r="GA60" s="240"/>
      <c r="GB60" s="245"/>
      <c r="GC60" s="245"/>
      <c r="GD60" s="245"/>
      <c r="GE60" s="241"/>
      <c r="GJ60" s="13"/>
      <c r="GK60" s="12"/>
      <c r="GV60" s="13"/>
      <c r="GY60" s="13"/>
      <c r="HC60" s="13"/>
      <c r="JT60" s="12"/>
      <c r="JW60" s="12"/>
      <c r="KU60" s="12"/>
      <c r="KX60" s="13"/>
      <c r="KY60" s="12"/>
      <c r="LT60" s="13"/>
      <c r="LV60" s="13"/>
      <c r="LW60" s="12"/>
      <c r="MN60" s="13"/>
      <c r="MP60" s="13"/>
      <c r="NI60" s="12"/>
      <c r="NT60" s="13"/>
      <c r="NW60" s="13"/>
    </row>
    <row r="61" spans="76:387" ht="10.75" customHeight="1">
      <c r="BX61" s="12"/>
      <c r="CA61" s="13"/>
      <c r="CB61" s="214"/>
      <c r="CC61" s="49"/>
      <c r="CE61" s="12"/>
      <c r="DI61" s="4"/>
      <c r="DM61" s="13"/>
      <c r="DN61" s="12"/>
      <c r="DR61" s="13"/>
      <c r="DS61" s="12"/>
      <c r="DW61" s="13"/>
      <c r="DZ61" s="13"/>
      <c r="EC61" s="240"/>
      <c r="ED61" s="245"/>
      <c r="EE61" s="245"/>
      <c r="EF61" s="245"/>
      <c r="EG61" s="241"/>
      <c r="EH61" s="240"/>
      <c r="EI61" s="245"/>
      <c r="EJ61" s="245"/>
      <c r="EK61" s="245"/>
      <c r="EL61" s="241"/>
      <c r="EM61" s="240"/>
      <c r="EN61" s="245"/>
      <c r="EO61" s="245"/>
      <c r="EP61" s="245"/>
      <c r="EQ61" s="241"/>
      <c r="ER61" s="240"/>
      <c r="ES61" s="245"/>
      <c r="ET61" s="245"/>
      <c r="EU61" s="245"/>
      <c r="EV61" s="241"/>
      <c r="EW61" s="12"/>
      <c r="EX61" s="13"/>
      <c r="EY61" s="12"/>
      <c r="FA61" s="13"/>
      <c r="FB61" s="12"/>
      <c r="FE61" s="5"/>
      <c r="FF61" s="208"/>
      <c r="FG61" s="208"/>
      <c r="FK61" s="13"/>
      <c r="FL61" s="240"/>
      <c r="FM61" s="245"/>
      <c r="FN61" s="245"/>
      <c r="FO61" s="245"/>
      <c r="FP61" s="241"/>
      <c r="FQ61" s="240"/>
      <c r="FR61" s="245"/>
      <c r="FS61" s="245"/>
      <c r="FT61" s="245"/>
      <c r="FU61" s="241"/>
      <c r="FV61" s="240"/>
      <c r="FW61" s="245"/>
      <c r="FX61" s="245"/>
      <c r="FY61" s="245"/>
      <c r="FZ61" s="241"/>
      <c r="GA61" s="240"/>
      <c r="GB61" s="245"/>
      <c r="GC61" s="245"/>
      <c r="GD61" s="245"/>
      <c r="GE61" s="241"/>
      <c r="GJ61" s="13"/>
      <c r="GK61" s="12"/>
      <c r="GV61" s="13"/>
      <c r="GY61" s="13"/>
      <c r="HC61" s="13"/>
      <c r="JT61" s="12"/>
      <c r="JW61" s="12"/>
      <c r="KU61" s="12"/>
      <c r="KX61" s="13"/>
      <c r="KY61" s="12"/>
      <c r="LT61" s="13"/>
      <c r="LV61" s="13"/>
      <c r="LW61" s="12"/>
      <c r="MN61" s="13"/>
      <c r="MP61" s="13"/>
      <c r="NI61" s="12"/>
      <c r="NT61" s="13"/>
      <c r="NW61" s="13"/>
    </row>
    <row r="62" spans="76:387" ht="10.75" customHeight="1">
      <c r="BX62" s="12"/>
      <c r="CA62" s="13"/>
      <c r="CB62" s="214"/>
      <c r="CC62" s="49"/>
      <c r="CE62" s="12"/>
      <c r="DI62" s="4"/>
      <c r="DM62" s="13"/>
      <c r="DN62" s="12"/>
      <c r="DR62" s="13"/>
      <c r="DS62" s="12"/>
      <c r="DW62" s="13"/>
      <c r="DZ62" s="13"/>
      <c r="EC62" s="240"/>
      <c r="ED62" s="245"/>
      <c r="EE62" s="245"/>
      <c r="EF62" s="245"/>
      <c r="EG62" s="241"/>
      <c r="EH62" s="240"/>
      <c r="EI62" s="245"/>
      <c r="EJ62" s="245"/>
      <c r="EK62" s="245"/>
      <c r="EL62" s="241"/>
      <c r="EM62" s="240"/>
      <c r="EN62" s="245"/>
      <c r="EO62" s="245"/>
      <c r="EP62" s="245"/>
      <c r="EQ62" s="241"/>
      <c r="ER62" s="240"/>
      <c r="ES62" s="245"/>
      <c r="ET62" s="245"/>
      <c r="EU62" s="245"/>
      <c r="EV62" s="241"/>
      <c r="EW62" s="12"/>
      <c r="EX62" s="13"/>
      <c r="EY62" s="12"/>
      <c r="FA62" s="13"/>
      <c r="FB62" s="12"/>
      <c r="FE62" s="5"/>
      <c r="FF62" s="208"/>
      <c r="FG62" s="208"/>
      <c r="FK62" s="13"/>
      <c r="FL62" s="240"/>
      <c r="FM62" s="245"/>
      <c r="FN62" s="245"/>
      <c r="FO62" s="245"/>
      <c r="FP62" s="241"/>
      <c r="FQ62" s="240"/>
      <c r="FR62" s="245"/>
      <c r="FS62" s="245"/>
      <c r="FT62" s="245"/>
      <c r="FU62" s="241"/>
      <c r="FV62" s="240"/>
      <c r="FW62" s="245"/>
      <c r="FX62" s="245"/>
      <c r="FY62" s="245"/>
      <c r="FZ62" s="241"/>
      <c r="GA62" s="240"/>
      <c r="GB62" s="245"/>
      <c r="GC62" s="245"/>
      <c r="GD62" s="245"/>
      <c r="GE62" s="241"/>
      <c r="GJ62" s="13"/>
      <c r="GK62" s="12"/>
      <c r="GV62" s="13"/>
      <c r="GY62" s="13"/>
      <c r="HC62" s="13"/>
      <c r="JT62" s="12"/>
      <c r="JW62" s="12"/>
      <c r="KU62" s="12"/>
      <c r="KX62" s="13"/>
      <c r="KY62" s="12"/>
      <c r="LT62" s="13"/>
      <c r="LV62" s="13"/>
      <c r="LW62" s="12"/>
      <c r="MN62" s="13"/>
      <c r="MP62" s="13"/>
      <c r="NI62" s="12"/>
      <c r="NT62" s="13"/>
      <c r="NW62" s="13"/>
    </row>
    <row r="63" spans="76:387" ht="10.75" customHeight="1">
      <c r="BX63" s="12"/>
      <c r="CA63" s="13"/>
      <c r="CB63" s="214"/>
      <c r="CC63" s="49"/>
      <c r="CE63" s="12"/>
      <c r="DI63" s="4"/>
      <c r="DM63" s="13"/>
      <c r="DN63" s="12"/>
      <c r="DR63" s="13"/>
      <c r="DS63" s="12"/>
      <c r="DW63" s="13"/>
      <c r="DZ63" s="13"/>
      <c r="EC63" s="240"/>
      <c r="ED63" s="245"/>
      <c r="EE63" s="245"/>
      <c r="EF63" s="245"/>
      <c r="EG63" s="241"/>
      <c r="EH63" s="240"/>
      <c r="EI63" s="245"/>
      <c r="EJ63" s="245"/>
      <c r="EK63" s="245"/>
      <c r="EL63" s="241"/>
      <c r="EM63" s="240"/>
      <c r="EN63" s="245"/>
      <c r="EO63" s="245"/>
      <c r="EP63" s="245"/>
      <c r="EQ63" s="241"/>
      <c r="ER63" s="240"/>
      <c r="ES63" s="245"/>
      <c r="ET63" s="245"/>
      <c r="EU63" s="245"/>
      <c r="EV63" s="241"/>
      <c r="EW63" s="12"/>
      <c r="EX63" s="13"/>
      <c r="EY63" s="12"/>
      <c r="FA63" s="13"/>
      <c r="FB63" s="12"/>
      <c r="FE63" s="5"/>
      <c r="FF63" s="208"/>
      <c r="FG63" s="208"/>
      <c r="FK63" s="13"/>
      <c r="FL63" s="240"/>
      <c r="FM63" s="245"/>
      <c r="FN63" s="245"/>
      <c r="FO63" s="245"/>
      <c r="FP63" s="241"/>
      <c r="FQ63" s="240"/>
      <c r="FR63" s="245"/>
      <c r="FS63" s="245"/>
      <c r="FT63" s="245"/>
      <c r="FU63" s="241"/>
      <c r="FV63" s="240"/>
      <c r="FW63" s="245"/>
      <c r="FX63" s="245"/>
      <c r="FY63" s="245"/>
      <c r="FZ63" s="241"/>
      <c r="GA63" s="240"/>
      <c r="GB63" s="245"/>
      <c r="GC63" s="245"/>
      <c r="GD63" s="245"/>
      <c r="GE63" s="241"/>
      <c r="GJ63" s="13"/>
      <c r="GK63" s="12"/>
      <c r="GV63" s="13"/>
      <c r="GY63" s="13"/>
      <c r="HC63" s="13"/>
      <c r="JT63" s="12"/>
      <c r="JW63" s="12"/>
      <c r="KU63" s="12"/>
      <c r="KX63" s="13"/>
      <c r="KY63" s="12"/>
      <c r="LT63" s="13"/>
      <c r="LV63" s="13"/>
      <c r="LW63" s="12"/>
      <c r="MN63" s="13"/>
      <c r="MP63" s="13"/>
      <c r="NI63" s="12"/>
      <c r="NT63" s="13"/>
      <c r="NW63" s="13"/>
    </row>
    <row r="64" spans="76:387" ht="10.75" customHeight="1">
      <c r="BX64" s="12"/>
      <c r="CA64" s="13"/>
      <c r="CB64" s="214"/>
      <c r="CC64" s="49"/>
      <c r="CE64" s="12"/>
      <c r="DI64" s="4"/>
      <c r="DM64" s="13"/>
      <c r="DN64" s="12"/>
      <c r="DR64" s="13"/>
      <c r="DS64" s="12"/>
      <c r="DW64" s="13"/>
      <c r="DZ64" s="13"/>
      <c r="EC64" s="240"/>
      <c r="ED64" s="245"/>
      <c r="EE64" s="245"/>
      <c r="EF64" s="245"/>
      <c r="EG64" s="241"/>
      <c r="EH64" s="240"/>
      <c r="EI64" s="245"/>
      <c r="EJ64" s="245"/>
      <c r="EK64" s="245"/>
      <c r="EL64" s="241"/>
      <c r="EM64" s="240"/>
      <c r="EN64" s="245"/>
      <c r="EO64" s="245"/>
      <c r="EP64" s="245"/>
      <c r="EQ64" s="241"/>
      <c r="ER64" s="240"/>
      <c r="ES64" s="245"/>
      <c r="ET64" s="245"/>
      <c r="EU64" s="245"/>
      <c r="EV64" s="241"/>
      <c r="EW64" s="12"/>
      <c r="EX64" s="13"/>
      <c r="EY64" s="12"/>
      <c r="FA64" s="13"/>
      <c r="FB64" s="12"/>
      <c r="FE64" s="5"/>
      <c r="FF64" s="208"/>
      <c r="FG64" s="208"/>
      <c r="FK64" s="13"/>
      <c r="FL64" s="240"/>
      <c r="FM64" s="245"/>
      <c r="FN64" s="245"/>
      <c r="FO64" s="245"/>
      <c r="FP64" s="241"/>
      <c r="FQ64" s="240"/>
      <c r="FR64" s="245"/>
      <c r="FS64" s="245"/>
      <c r="FT64" s="245"/>
      <c r="FU64" s="241"/>
      <c r="FV64" s="240"/>
      <c r="FW64" s="245"/>
      <c r="FX64" s="245"/>
      <c r="FY64" s="245"/>
      <c r="FZ64" s="241"/>
      <c r="GA64" s="240"/>
      <c r="GB64" s="245"/>
      <c r="GC64" s="245"/>
      <c r="GD64" s="245"/>
      <c r="GE64" s="241"/>
      <c r="GJ64" s="13"/>
      <c r="GK64" s="12"/>
      <c r="GV64" s="13"/>
      <c r="GY64" s="13"/>
      <c r="HC64" s="13"/>
      <c r="JT64" s="12"/>
      <c r="JW64" s="12"/>
      <c r="KU64" s="12"/>
      <c r="KX64" s="13"/>
      <c r="KY64" s="12"/>
      <c r="LT64" s="13"/>
      <c r="LV64" s="13"/>
      <c r="LW64" s="12"/>
      <c r="MN64" s="13"/>
      <c r="MP64" s="13"/>
      <c r="NI64" s="12"/>
      <c r="NT64" s="13"/>
      <c r="NW64" s="13"/>
    </row>
    <row r="65" spans="76:387" ht="10.75" customHeight="1" thickBot="1">
      <c r="BX65" s="12"/>
      <c r="CA65" s="13"/>
      <c r="CB65" s="214"/>
      <c r="CC65" s="49"/>
      <c r="CE65" s="14"/>
      <c r="CF65" s="15"/>
      <c r="CG65" s="15"/>
      <c r="CH65" s="15"/>
      <c r="CI65" s="15"/>
      <c r="CJ65" s="15"/>
      <c r="CK65" s="15"/>
      <c r="CL65" s="15"/>
      <c r="CM65" s="15"/>
      <c r="CN65" s="15"/>
      <c r="CO65" s="15"/>
      <c r="CP65" s="15"/>
      <c r="CQ65" s="15"/>
      <c r="CR65" s="15"/>
      <c r="CS65" s="15"/>
      <c r="CT65" s="15"/>
      <c r="CU65" s="15"/>
      <c r="CV65" s="15"/>
      <c r="CW65" s="15"/>
      <c r="CX65" s="15"/>
      <c r="CY65" s="15"/>
      <c r="CZ65" s="15"/>
      <c r="DA65" s="15"/>
      <c r="DB65" s="15"/>
      <c r="DC65" s="15"/>
      <c r="DD65" s="15"/>
      <c r="DE65" s="15"/>
      <c r="DF65" s="15"/>
      <c r="DG65" s="15"/>
      <c r="DH65" s="15"/>
      <c r="DI65" s="6"/>
      <c r="DJ65" s="7"/>
      <c r="DK65" s="7"/>
      <c r="DL65" s="7"/>
      <c r="DM65" s="180"/>
      <c r="DN65" s="179"/>
      <c r="DO65" s="7"/>
      <c r="DP65" s="7"/>
      <c r="DQ65" s="7"/>
      <c r="DR65" s="180"/>
      <c r="DS65" s="179"/>
      <c r="DT65" s="7"/>
      <c r="DU65" s="7"/>
      <c r="DV65" s="7"/>
      <c r="DW65" s="180"/>
      <c r="DX65" s="7"/>
      <c r="DY65" s="7"/>
      <c r="DZ65" s="180"/>
      <c r="EA65" s="7"/>
      <c r="EB65" s="7"/>
      <c r="EC65" s="251"/>
      <c r="ED65" s="252"/>
      <c r="EE65" s="252"/>
      <c r="EF65" s="252"/>
      <c r="EG65" s="253"/>
      <c r="EH65" s="251"/>
      <c r="EI65" s="252"/>
      <c r="EJ65" s="252"/>
      <c r="EK65" s="252"/>
      <c r="EL65" s="253"/>
      <c r="EM65" s="251"/>
      <c r="EN65" s="252"/>
      <c r="EO65" s="252"/>
      <c r="EP65" s="252"/>
      <c r="EQ65" s="253"/>
      <c r="ER65" s="251"/>
      <c r="ES65" s="252"/>
      <c r="ET65" s="252"/>
      <c r="EU65" s="252"/>
      <c r="EV65" s="253"/>
      <c r="EW65" s="179"/>
      <c r="EX65" s="180"/>
      <c r="EY65" s="179"/>
      <c r="EZ65" s="7"/>
      <c r="FA65" s="180"/>
      <c r="FB65" s="179"/>
      <c r="FC65" s="7"/>
      <c r="FD65" s="7"/>
      <c r="FE65" s="8"/>
      <c r="FF65" s="209"/>
      <c r="FG65" s="208"/>
      <c r="FH65" s="15"/>
      <c r="FI65" s="15"/>
      <c r="FJ65" s="15"/>
      <c r="FK65" s="16"/>
      <c r="FL65" s="242"/>
      <c r="FM65" s="243"/>
      <c r="FN65" s="243"/>
      <c r="FO65" s="243"/>
      <c r="FP65" s="244"/>
      <c r="FQ65" s="242"/>
      <c r="FR65" s="243"/>
      <c r="FS65" s="243"/>
      <c r="FT65" s="243"/>
      <c r="FU65" s="244"/>
      <c r="FV65" s="242"/>
      <c r="FW65" s="243"/>
      <c r="FX65" s="243"/>
      <c r="FY65" s="243"/>
      <c r="FZ65" s="244"/>
      <c r="GA65" s="242"/>
      <c r="GB65" s="243"/>
      <c r="GC65" s="243"/>
      <c r="GD65" s="243"/>
      <c r="GE65" s="244"/>
      <c r="GF65" s="15"/>
      <c r="GG65" s="15"/>
      <c r="GH65" s="15"/>
      <c r="GI65" s="15"/>
      <c r="GJ65" s="16"/>
      <c r="GK65" s="12"/>
      <c r="GV65" s="13"/>
      <c r="GY65" s="13"/>
      <c r="HC65" s="13"/>
      <c r="JT65" s="12"/>
      <c r="JW65" s="12"/>
      <c r="KU65" s="12"/>
      <c r="KX65" s="13"/>
      <c r="KY65" s="12"/>
      <c r="LT65" s="13"/>
      <c r="LV65" s="13"/>
      <c r="LW65" s="12"/>
      <c r="MN65" s="13"/>
      <c r="MP65" s="13"/>
      <c r="NI65" s="12"/>
      <c r="NT65" s="13"/>
      <c r="NW65" s="13"/>
    </row>
    <row r="66" spans="76:387" ht="10.75" customHeight="1">
      <c r="BX66" s="12"/>
      <c r="CA66" s="13"/>
      <c r="CB66" s="259"/>
      <c r="CC66" s="141"/>
      <c r="CD66" s="235"/>
      <c r="CE66" s="259"/>
      <c r="CF66" s="141"/>
      <c r="CG66" s="141"/>
      <c r="CH66" s="141"/>
      <c r="CI66" s="141"/>
      <c r="CJ66" s="141"/>
      <c r="CK66" s="141"/>
      <c r="CL66" s="141"/>
      <c r="CM66" s="141"/>
      <c r="CN66" s="141"/>
      <c r="CO66" s="141"/>
      <c r="CP66" s="141"/>
      <c r="CQ66" s="141"/>
      <c r="CR66" s="141"/>
      <c r="CS66" s="141"/>
      <c r="CT66" s="141"/>
      <c r="CU66" s="141"/>
      <c r="CV66" s="141"/>
      <c r="CW66" s="141"/>
      <c r="CX66" s="141"/>
      <c r="CY66" s="141"/>
      <c r="CZ66" s="141"/>
      <c r="DA66" s="141"/>
      <c r="DB66" s="141"/>
      <c r="DC66" s="141"/>
      <c r="DD66" s="141"/>
      <c r="DE66" s="141"/>
      <c r="DF66" s="141"/>
      <c r="DG66" s="141"/>
      <c r="DH66" s="141"/>
      <c r="DI66" s="49"/>
      <c r="DJ66" s="49"/>
      <c r="DK66" s="49"/>
      <c r="DL66" s="49"/>
      <c r="DM66" s="49"/>
      <c r="DN66" s="49"/>
      <c r="DO66" s="49"/>
      <c r="DP66" s="49"/>
      <c r="DQ66" s="49"/>
      <c r="DR66" s="49"/>
      <c r="DS66" s="49"/>
      <c r="DT66" s="49"/>
      <c r="DU66" s="49"/>
      <c r="DV66" s="49"/>
      <c r="DW66" s="49"/>
      <c r="DX66" s="49"/>
      <c r="DY66" s="49"/>
      <c r="DZ66" s="208"/>
      <c r="EA66" s="49"/>
      <c r="EB66" s="49"/>
      <c r="EC66" s="214"/>
      <c r="ED66" s="49"/>
      <c r="EE66" s="49"/>
      <c r="EF66" s="49"/>
      <c r="EG66" s="49"/>
      <c r="EH66" s="49"/>
      <c r="EI66" s="49"/>
      <c r="EJ66" s="49"/>
      <c r="EK66" s="49"/>
      <c r="EL66" s="49"/>
      <c r="EM66" s="49"/>
      <c r="EN66" s="49"/>
      <c r="EO66" s="49"/>
      <c r="EP66" s="49"/>
      <c r="EQ66" s="49"/>
      <c r="ER66" s="49"/>
      <c r="ES66" s="49"/>
      <c r="ET66" s="49"/>
      <c r="EU66" s="49"/>
      <c r="EV66" s="208"/>
      <c r="EW66" s="49"/>
      <c r="EX66" s="208"/>
      <c r="EY66" s="49"/>
      <c r="EZ66" s="49"/>
      <c r="FA66" s="49"/>
      <c r="FB66" s="49"/>
      <c r="FC66" s="49"/>
      <c r="FD66" s="49"/>
      <c r="FE66" s="49"/>
      <c r="FF66" s="49"/>
      <c r="FG66" s="208"/>
      <c r="FH66" s="21"/>
      <c r="FI66" s="21"/>
      <c r="FJ66" s="21"/>
      <c r="FK66" s="22"/>
      <c r="FL66" s="21"/>
      <c r="FM66" s="21"/>
      <c r="FN66" s="21"/>
      <c r="FO66" s="21"/>
      <c r="FP66" s="21"/>
      <c r="FQ66" s="21"/>
      <c r="FR66" s="21"/>
      <c r="FS66" s="21"/>
      <c r="FT66" s="21"/>
      <c r="FU66" s="21"/>
      <c r="FV66" s="21"/>
      <c r="FW66" s="21"/>
      <c r="FX66" s="21"/>
      <c r="FY66" s="21"/>
      <c r="FZ66" s="21"/>
      <c r="GA66" s="21"/>
      <c r="GB66" s="21"/>
      <c r="GC66" s="21"/>
      <c r="GD66" s="21"/>
      <c r="GE66" s="21"/>
      <c r="GF66" s="21"/>
      <c r="GG66" s="21"/>
      <c r="GH66" s="21"/>
      <c r="GI66" s="21"/>
      <c r="GJ66" s="22"/>
      <c r="GK66" s="12"/>
      <c r="GV66" s="13"/>
      <c r="GY66" s="13"/>
      <c r="HC66" s="13"/>
      <c r="JT66" s="12"/>
      <c r="JW66" s="14"/>
      <c r="JX66" s="15"/>
      <c r="JY66" s="15"/>
      <c r="JZ66" s="15"/>
      <c r="KA66" s="15"/>
      <c r="KB66" s="15"/>
      <c r="KC66" s="15"/>
      <c r="KD66" s="15"/>
      <c r="KE66" s="15"/>
      <c r="KF66" s="15"/>
      <c r="KG66" s="15"/>
      <c r="KH66" s="15"/>
      <c r="KI66" s="15"/>
      <c r="KJ66" s="15"/>
      <c r="KK66" s="15"/>
      <c r="KL66" s="15"/>
      <c r="KM66" s="15"/>
      <c r="KN66" s="15"/>
      <c r="KO66" s="15"/>
      <c r="KP66" s="15"/>
      <c r="KQ66" s="15"/>
      <c r="KR66" s="15"/>
      <c r="KS66" s="15"/>
      <c r="KT66" s="15"/>
      <c r="KU66" s="14"/>
      <c r="KV66" s="15"/>
      <c r="KW66" s="15"/>
      <c r="KX66" s="16"/>
      <c r="KY66" s="14"/>
      <c r="KZ66" s="15"/>
      <c r="LA66" s="15"/>
      <c r="LB66" s="15"/>
      <c r="LC66" s="15"/>
      <c r="LD66" s="15"/>
      <c r="LE66" s="15"/>
      <c r="LF66" s="15"/>
      <c r="LG66" s="15"/>
      <c r="LH66" s="15"/>
      <c r="LI66" s="15"/>
      <c r="LJ66" s="15"/>
      <c r="LK66" s="15"/>
      <c r="LL66" s="15"/>
      <c r="LM66" s="15"/>
      <c r="LN66" s="15"/>
      <c r="LO66" s="15"/>
      <c r="LP66" s="15"/>
      <c r="LQ66" s="15"/>
      <c r="LR66" s="15"/>
      <c r="LS66" s="15"/>
      <c r="LT66" s="16"/>
      <c r="LU66" s="15"/>
      <c r="LV66" s="16"/>
      <c r="LW66" s="14"/>
      <c r="LX66" s="15"/>
      <c r="LY66" s="15"/>
      <c r="LZ66" s="15"/>
      <c r="MA66" s="15"/>
      <c r="MB66" s="15"/>
      <c r="MC66" s="15"/>
      <c r="MD66" s="15"/>
      <c r="ME66" s="15"/>
      <c r="MF66" s="15"/>
      <c r="MG66" s="15"/>
      <c r="MH66" s="15"/>
      <c r="MI66" s="15"/>
      <c r="MJ66" s="15"/>
      <c r="MK66" s="15"/>
      <c r="ML66" s="15"/>
      <c r="MM66" s="15"/>
      <c r="MN66" s="16"/>
      <c r="MO66" s="15"/>
      <c r="MP66" s="16"/>
      <c r="MQ66" s="15"/>
      <c r="MR66" s="15"/>
      <c r="MS66" s="15"/>
      <c r="MT66" s="15"/>
      <c r="MU66" s="15"/>
      <c r="MV66" s="15"/>
      <c r="MW66" s="15"/>
      <c r="MX66" s="15"/>
      <c r="MY66" s="15"/>
      <c r="MZ66" s="15"/>
      <c r="NA66" s="15"/>
      <c r="NB66" s="15"/>
      <c r="NC66" s="15"/>
      <c r="ND66" s="15"/>
      <c r="NE66" s="15"/>
      <c r="NF66" s="15"/>
      <c r="NG66" s="15"/>
      <c r="NH66" s="15"/>
      <c r="NI66" s="12"/>
      <c r="NT66" s="13"/>
      <c r="NW66" s="13"/>
    </row>
    <row r="67" spans="76:387" ht="10.75" customHeight="1">
      <c r="BX67" s="12"/>
      <c r="CA67" s="13"/>
      <c r="CB67" s="236"/>
      <c r="CC67" s="258"/>
      <c r="CD67" s="209"/>
      <c r="CE67" s="236"/>
      <c r="CF67" s="258"/>
      <c r="CG67" s="258"/>
      <c r="CH67" s="258"/>
      <c r="CI67" s="258"/>
      <c r="CJ67" s="258"/>
      <c r="CK67" s="258"/>
      <c r="CL67" s="258"/>
      <c r="CM67" s="258"/>
      <c r="CN67" s="258"/>
      <c r="CO67" s="258"/>
      <c r="CP67" s="258"/>
      <c r="CQ67" s="258"/>
      <c r="CR67" s="258"/>
      <c r="CS67" s="258"/>
      <c r="CT67" s="258"/>
      <c r="CU67" s="258"/>
      <c r="CV67" s="258"/>
      <c r="CW67" s="258"/>
      <c r="CX67" s="258"/>
      <c r="CY67" s="258"/>
      <c r="CZ67" s="258"/>
      <c r="DA67" s="258"/>
      <c r="DB67" s="258"/>
      <c r="DC67" s="258"/>
      <c r="DD67" s="258"/>
      <c r="DE67" s="258"/>
      <c r="DF67" s="258"/>
      <c r="DG67" s="258"/>
      <c r="DH67" s="258"/>
      <c r="DI67" s="258"/>
      <c r="DJ67" s="258"/>
      <c r="DK67" s="258"/>
      <c r="DL67" s="258"/>
      <c r="DM67" s="258"/>
      <c r="DN67" s="258"/>
      <c r="DO67" s="258"/>
      <c r="DP67" s="258"/>
      <c r="DQ67" s="258"/>
      <c r="DR67" s="258"/>
      <c r="DS67" s="258"/>
      <c r="DT67" s="258"/>
      <c r="DU67" s="258"/>
      <c r="DV67" s="258"/>
      <c r="DW67" s="258"/>
      <c r="DX67" s="258"/>
      <c r="DY67" s="258"/>
      <c r="DZ67" s="209"/>
      <c r="EA67" s="258"/>
      <c r="EB67" s="258"/>
      <c r="EC67" s="236"/>
      <c r="ED67" s="258"/>
      <c r="EE67" s="258"/>
      <c r="EF67" s="258"/>
      <c r="EG67" s="258"/>
      <c r="EH67" s="258"/>
      <c r="EI67" s="258"/>
      <c r="EJ67" s="258"/>
      <c r="EK67" s="258"/>
      <c r="EL67" s="258"/>
      <c r="EM67" s="258"/>
      <c r="EN67" s="258"/>
      <c r="EO67" s="258"/>
      <c r="EP67" s="258"/>
      <c r="EQ67" s="258"/>
      <c r="ER67" s="258"/>
      <c r="ES67" s="258"/>
      <c r="ET67" s="258"/>
      <c r="EU67" s="258"/>
      <c r="EV67" s="209"/>
      <c r="EW67" s="258"/>
      <c r="EX67" s="209"/>
      <c r="EY67" s="258"/>
      <c r="EZ67" s="258"/>
      <c r="FA67" s="258"/>
      <c r="FB67" s="258"/>
      <c r="FC67" s="258"/>
      <c r="FD67" s="258"/>
      <c r="FE67" s="258"/>
      <c r="FF67" s="258"/>
      <c r="FG67" s="209"/>
      <c r="FK67" s="13"/>
      <c r="GV67" s="13"/>
      <c r="GY67" s="13"/>
      <c r="HC67" s="13"/>
      <c r="JT67" s="12"/>
      <c r="JW67" s="12"/>
      <c r="LT67" s="13"/>
      <c r="LV67" s="13"/>
      <c r="NI67" s="12"/>
      <c r="NT67" s="13"/>
      <c r="NW67" s="13"/>
    </row>
    <row r="68" spans="76:387" ht="10.75" customHeight="1">
      <c r="BX68" s="12"/>
      <c r="CA68" s="13"/>
      <c r="CB68" s="12"/>
      <c r="CE68" s="12"/>
      <c r="DZ68" s="13"/>
      <c r="EC68" s="12"/>
      <c r="EV68" s="13"/>
      <c r="EX68" s="13"/>
      <c r="FK68" s="13"/>
      <c r="GV68" s="13"/>
      <c r="GY68" s="13"/>
      <c r="HC68" s="13"/>
      <c r="JT68" s="12"/>
      <c r="JW68" s="14"/>
      <c r="JX68" s="15"/>
      <c r="JY68" s="15"/>
      <c r="JZ68" s="15"/>
      <c r="KA68" s="15"/>
      <c r="KB68" s="15"/>
      <c r="KC68" s="15"/>
      <c r="KD68" s="15"/>
      <c r="KE68" s="15"/>
      <c r="KF68" s="15"/>
      <c r="KG68" s="15"/>
      <c r="KH68" s="15"/>
      <c r="KI68" s="15"/>
      <c r="KJ68" s="15"/>
      <c r="KK68" s="15"/>
      <c r="KL68" s="15"/>
      <c r="KM68" s="15"/>
      <c r="KN68" s="15"/>
      <c r="KO68" s="15"/>
      <c r="KP68" s="15"/>
      <c r="KQ68" s="15"/>
      <c r="KR68" s="15"/>
      <c r="KS68" s="15"/>
      <c r="KT68" s="15"/>
      <c r="KU68" s="15"/>
      <c r="KV68" s="15"/>
      <c r="KW68" s="15"/>
      <c r="KX68" s="15"/>
      <c r="KY68" s="15"/>
      <c r="KZ68" s="15"/>
      <c r="LA68" s="15"/>
      <c r="LB68" s="15"/>
      <c r="LC68" s="15"/>
      <c r="LD68" s="15"/>
      <c r="LE68" s="15"/>
      <c r="LF68" s="15"/>
      <c r="LG68" s="15"/>
      <c r="LH68" s="15"/>
      <c r="LI68" s="15"/>
      <c r="LJ68" s="15"/>
      <c r="LK68" s="15"/>
      <c r="LL68" s="15"/>
      <c r="LM68" s="15"/>
      <c r="LN68" s="15"/>
      <c r="LO68" s="15"/>
      <c r="LP68" s="15"/>
      <c r="LQ68" s="15"/>
      <c r="LR68" s="15"/>
      <c r="LS68" s="15"/>
      <c r="LT68" s="16"/>
      <c r="LU68" s="15"/>
      <c r="LV68" s="16"/>
      <c r="LW68" s="15"/>
      <c r="LX68" s="15"/>
      <c r="LY68" s="15"/>
      <c r="LZ68" s="15"/>
      <c r="MA68" s="15"/>
      <c r="MB68" s="15"/>
      <c r="MC68" s="15"/>
      <c r="MD68" s="15"/>
      <c r="ME68" s="15"/>
      <c r="MF68" s="15"/>
      <c r="MG68" s="15"/>
      <c r="MH68" s="15"/>
      <c r="MI68" s="15"/>
      <c r="MJ68" s="15"/>
      <c r="MK68" s="15"/>
      <c r="ML68" s="15"/>
      <c r="MM68" s="15"/>
      <c r="MN68" s="15"/>
      <c r="MO68" s="15"/>
      <c r="MP68" s="15"/>
      <c r="MQ68" s="15"/>
      <c r="MR68" s="15"/>
      <c r="MS68" s="15"/>
      <c r="MT68" s="15"/>
      <c r="MU68" s="15"/>
      <c r="MV68" s="15"/>
      <c r="MW68" s="15"/>
      <c r="MX68" s="15"/>
      <c r="MY68" s="15"/>
      <c r="MZ68" s="15"/>
      <c r="NA68" s="15"/>
      <c r="NB68" s="15"/>
      <c r="NC68" s="15"/>
      <c r="ND68" s="15"/>
      <c r="NE68" s="15"/>
      <c r="NF68" s="15"/>
      <c r="NG68" s="15"/>
      <c r="NH68" s="15"/>
      <c r="NI68" s="12"/>
      <c r="NT68" s="13"/>
      <c r="NW68" s="13"/>
    </row>
    <row r="69" spans="76:387" ht="10.75" customHeight="1">
      <c r="BX69" s="12"/>
      <c r="CB69" s="12"/>
      <c r="CE69" s="12"/>
      <c r="DZ69" s="13"/>
      <c r="EC69" s="12"/>
      <c r="EV69" s="13"/>
      <c r="EX69" s="13"/>
      <c r="FK69" s="13"/>
      <c r="GV69" s="13"/>
      <c r="GY69" s="13"/>
      <c r="HC69" s="13"/>
      <c r="JT69" s="12"/>
      <c r="JW69" s="12"/>
      <c r="LT69" s="13"/>
      <c r="LV69" s="13"/>
      <c r="MW69" s="9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1"/>
      <c r="NI69" s="12"/>
      <c r="NT69" s="13"/>
      <c r="NW69" s="13"/>
    </row>
    <row r="70" spans="76:387" ht="10.75" customHeight="1">
      <c r="BX70" s="12"/>
      <c r="CB70" s="12"/>
      <c r="CE70" s="12"/>
      <c r="DZ70" s="13"/>
      <c r="EC70" s="12"/>
      <c r="EV70" s="13"/>
      <c r="EX70" s="13"/>
      <c r="FK70" s="13"/>
      <c r="GV70" s="13"/>
      <c r="GY70" s="13"/>
      <c r="HC70" s="13"/>
      <c r="JT70" s="12"/>
      <c r="JW70" s="12"/>
      <c r="LT70" s="13"/>
      <c r="LV70" s="13"/>
      <c r="MW70" s="12"/>
      <c r="NH70" s="13"/>
      <c r="NI70" s="12"/>
      <c r="NT70" s="13"/>
      <c r="NW70" s="13"/>
    </row>
    <row r="71" spans="76:387" ht="10.75" customHeight="1">
      <c r="BX71" s="14"/>
      <c r="BY71" s="15"/>
      <c r="BZ71" s="15"/>
      <c r="CA71" s="15"/>
      <c r="CB71" s="14"/>
      <c r="CC71" s="15"/>
      <c r="CD71" s="15"/>
      <c r="CE71" s="14"/>
      <c r="CF71" s="15"/>
      <c r="CG71" s="15"/>
      <c r="CH71" s="15"/>
      <c r="CI71" s="15"/>
      <c r="CJ71" s="15"/>
      <c r="CK71" s="15"/>
      <c r="CL71" s="15"/>
      <c r="CM71" s="15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Y71" s="15"/>
      <c r="CZ71" s="15"/>
      <c r="DA71" s="15"/>
      <c r="DB71" s="15"/>
      <c r="DC71" s="15"/>
      <c r="DD71" s="15"/>
      <c r="DE71" s="15"/>
      <c r="DF71" s="15"/>
      <c r="DG71" s="15"/>
      <c r="DH71" s="15"/>
      <c r="DI71" s="15"/>
      <c r="DJ71" s="15"/>
      <c r="DK71" s="15"/>
      <c r="DL71" s="15"/>
      <c r="DM71" s="15"/>
      <c r="DN71" s="15"/>
      <c r="DO71" s="15"/>
      <c r="DP71" s="15"/>
      <c r="DQ71" s="15"/>
      <c r="DR71" s="15"/>
      <c r="DS71" s="15"/>
      <c r="DT71" s="15"/>
      <c r="DU71" s="15"/>
      <c r="DV71" s="15"/>
      <c r="DW71" s="15"/>
      <c r="DX71" s="15"/>
      <c r="DY71" s="15"/>
      <c r="DZ71" s="16"/>
      <c r="EA71" s="15"/>
      <c r="EB71" s="15"/>
      <c r="EC71" s="14"/>
      <c r="ED71" s="15"/>
      <c r="EE71" s="15"/>
      <c r="EF71" s="15"/>
      <c r="EG71" s="15"/>
      <c r="EH71" s="15"/>
      <c r="EI71" s="15"/>
      <c r="EJ71" s="15"/>
      <c r="EK71" s="15"/>
      <c r="EL71" s="15"/>
      <c r="EM71" s="15"/>
      <c r="EN71" s="15"/>
      <c r="EO71" s="15"/>
      <c r="EP71" s="15"/>
      <c r="EQ71" s="15"/>
      <c r="ER71" s="15"/>
      <c r="ES71" s="15"/>
      <c r="ET71" s="15"/>
      <c r="EU71" s="15"/>
      <c r="EV71" s="16"/>
      <c r="EW71" s="15"/>
      <c r="EX71" s="16"/>
      <c r="EY71" s="15"/>
      <c r="EZ71" s="15"/>
      <c r="FA71" s="15"/>
      <c r="FB71" s="15"/>
      <c r="FC71" s="15"/>
      <c r="FD71" s="15"/>
      <c r="FE71" s="15"/>
      <c r="FF71" s="15"/>
      <c r="FG71" s="15"/>
      <c r="FH71" s="15"/>
      <c r="FI71" s="15"/>
      <c r="FJ71" s="15"/>
      <c r="FK71" s="16"/>
      <c r="GV71" s="13"/>
      <c r="GY71" s="13"/>
      <c r="HC71" s="13"/>
      <c r="JT71" s="12"/>
      <c r="JW71" s="12"/>
      <c r="LT71" s="13"/>
      <c r="LV71" s="13"/>
      <c r="MW71" s="12"/>
      <c r="NH71" s="13"/>
      <c r="NI71" s="12"/>
      <c r="NT71" s="13"/>
      <c r="NW71" s="13"/>
    </row>
    <row r="72" spans="76:387" ht="10.75" customHeight="1">
      <c r="BX72" s="12"/>
      <c r="CB72" s="12"/>
      <c r="CE72" s="12"/>
      <c r="DZ72" s="13"/>
      <c r="EC72" s="12"/>
      <c r="EV72" s="13"/>
      <c r="EX72" s="13"/>
      <c r="GV72" s="13"/>
      <c r="GY72" s="13"/>
      <c r="HC72" s="13"/>
      <c r="JT72" s="12"/>
      <c r="JW72" s="12"/>
      <c r="LT72" s="13"/>
      <c r="LV72" s="13"/>
      <c r="MW72" s="12"/>
      <c r="NH72" s="13"/>
      <c r="NI72" s="12"/>
      <c r="NT72" s="13"/>
      <c r="NW72" s="13"/>
    </row>
    <row r="73" spans="76:387" ht="10.75" customHeight="1">
      <c r="BX73" s="12"/>
      <c r="CB73" s="12"/>
      <c r="CE73" s="12"/>
      <c r="DZ73" s="13"/>
      <c r="EC73" s="14"/>
      <c r="ED73" s="15"/>
      <c r="EE73" s="15"/>
      <c r="EF73" s="15"/>
      <c r="EG73" s="15"/>
      <c r="EH73" s="15"/>
      <c r="EI73" s="15"/>
      <c r="EJ73" s="15"/>
      <c r="EK73" s="15"/>
      <c r="EL73" s="15"/>
      <c r="EM73" s="15"/>
      <c r="EN73" s="15"/>
      <c r="EO73" s="15"/>
      <c r="EP73" s="15"/>
      <c r="EQ73" s="15"/>
      <c r="ER73" s="15"/>
      <c r="ES73" s="15"/>
      <c r="ET73" s="15"/>
      <c r="EU73" s="15"/>
      <c r="EV73" s="16"/>
      <c r="EX73" s="13"/>
      <c r="GV73" s="13"/>
      <c r="GY73" s="13"/>
      <c r="HC73" s="13"/>
      <c r="JT73" s="12"/>
      <c r="JW73" s="12"/>
      <c r="LT73" s="13"/>
      <c r="LV73" s="13"/>
      <c r="MW73" s="12"/>
      <c r="NH73" s="13"/>
      <c r="NI73" s="12"/>
      <c r="NT73" s="13"/>
      <c r="NW73" s="13"/>
    </row>
    <row r="74" spans="76:387" ht="10.75" customHeight="1">
      <c r="BX74" s="12"/>
      <c r="CB74" s="12"/>
      <c r="CE74" s="12"/>
      <c r="DZ74" s="13"/>
      <c r="EC74" s="12"/>
      <c r="EX74" s="13"/>
      <c r="GV74" s="13"/>
      <c r="GY74" s="13"/>
      <c r="HC74" s="13"/>
      <c r="JT74" s="12"/>
      <c r="JW74" s="12"/>
      <c r="LT74" s="13"/>
      <c r="LV74" s="13"/>
      <c r="MW74" s="12"/>
      <c r="NH74" s="13"/>
      <c r="NI74" s="12"/>
      <c r="NT74" s="13"/>
      <c r="NW74" s="13"/>
    </row>
    <row r="75" spans="76:387" ht="10.75" customHeight="1">
      <c r="BX75" s="12"/>
      <c r="CB75" s="12"/>
      <c r="CE75" s="12"/>
      <c r="DZ75" s="13"/>
      <c r="EC75" s="14"/>
      <c r="ED75" s="15"/>
      <c r="EE75" s="15"/>
      <c r="EF75" s="15"/>
      <c r="EG75" s="15"/>
      <c r="EH75" s="15"/>
      <c r="EI75" s="15"/>
      <c r="EJ75" s="15"/>
      <c r="EK75" s="15"/>
      <c r="EL75" s="15"/>
      <c r="EM75" s="15"/>
      <c r="EN75" s="15"/>
      <c r="EO75" s="15"/>
      <c r="EP75" s="15"/>
      <c r="EQ75" s="15"/>
      <c r="ER75" s="15"/>
      <c r="ES75" s="15"/>
      <c r="ET75" s="15"/>
      <c r="EU75" s="15"/>
      <c r="EV75" s="15"/>
      <c r="EW75" s="15"/>
      <c r="EX75" s="16"/>
      <c r="GV75" s="13"/>
      <c r="GY75" s="13"/>
      <c r="HC75" s="13"/>
      <c r="JT75" s="12"/>
      <c r="JW75" s="12"/>
      <c r="LT75" s="13"/>
      <c r="LV75" s="13"/>
      <c r="MW75" s="12"/>
      <c r="NH75" s="13"/>
      <c r="NI75" s="12"/>
      <c r="NT75" s="13"/>
      <c r="NW75" s="13"/>
    </row>
    <row r="76" spans="76:387" ht="10.75" customHeight="1">
      <c r="BX76" s="12"/>
      <c r="CB76" s="12"/>
      <c r="CE76" s="12"/>
      <c r="DZ76" s="13"/>
      <c r="EC76" s="12"/>
      <c r="GV76" s="13"/>
      <c r="GY76" s="13"/>
      <c r="HC76" s="13"/>
      <c r="JT76" s="12"/>
      <c r="JW76" s="12"/>
      <c r="LT76" s="13"/>
      <c r="LV76" s="13"/>
      <c r="MW76" s="12"/>
      <c r="NH76" s="13"/>
      <c r="NI76" s="12"/>
      <c r="NT76" s="13"/>
      <c r="NW76" s="13"/>
    </row>
    <row r="77" spans="76:387" ht="10.75" customHeight="1">
      <c r="BX77" s="12"/>
      <c r="CB77" s="12"/>
      <c r="CE77" s="12"/>
      <c r="DZ77" s="13"/>
      <c r="EC77" s="12"/>
      <c r="GV77" s="13"/>
      <c r="GY77" s="13"/>
      <c r="HC77" s="13"/>
      <c r="JT77" s="12"/>
      <c r="JW77" s="12"/>
      <c r="LT77" s="13"/>
      <c r="LV77" s="13"/>
      <c r="MW77" s="12"/>
      <c r="NH77" s="13"/>
      <c r="NI77" s="12"/>
      <c r="NT77" s="13"/>
      <c r="NW77" s="13"/>
    </row>
    <row r="78" spans="76:387" ht="10.75" customHeight="1">
      <c r="BX78" s="12"/>
      <c r="CB78" s="12"/>
      <c r="CE78" s="12"/>
      <c r="DZ78" s="13"/>
      <c r="EC78" s="12"/>
      <c r="GV78" s="13"/>
      <c r="GY78" s="13"/>
      <c r="HC78" s="13"/>
      <c r="JT78" s="12"/>
      <c r="JW78" s="12"/>
      <c r="LT78" s="13"/>
      <c r="LV78" s="13"/>
      <c r="MW78" s="12"/>
      <c r="NH78" s="13"/>
      <c r="NI78" s="12"/>
      <c r="NT78" s="13"/>
      <c r="NW78" s="13"/>
    </row>
    <row r="79" spans="76:387" ht="10.75" customHeight="1">
      <c r="BX79" s="12"/>
      <c r="CB79" s="12"/>
      <c r="CE79" s="12"/>
      <c r="DZ79" s="13"/>
      <c r="EC79" s="12"/>
      <c r="GV79" s="13"/>
      <c r="GY79" s="13"/>
      <c r="HC79" s="13"/>
      <c r="JT79" s="12"/>
      <c r="JW79" s="12"/>
      <c r="LT79" s="13"/>
      <c r="LV79" s="13"/>
      <c r="MW79" s="12"/>
      <c r="NH79" s="13"/>
      <c r="NI79" s="12"/>
      <c r="NT79" s="13"/>
      <c r="NW79" s="13"/>
    </row>
    <row r="80" spans="76:387" ht="10.75" customHeight="1">
      <c r="BX80" s="12"/>
      <c r="CB80" s="12"/>
      <c r="CE80" s="12"/>
      <c r="DZ80" s="13"/>
      <c r="EC80" s="12"/>
      <c r="GV80" s="13"/>
      <c r="GY80" s="13"/>
      <c r="HC80" s="13"/>
      <c r="JT80" s="12"/>
      <c r="JW80" s="12"/>
      <c r="LT80" s="13"/>
      <c r="LV80" s="13"/>
      <c r="MW80" s="14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6"/>
      <c r="NI80" s="14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6"/>
      <c r="NW80" s="13"/>
    </row>
    <row r="81" spans="76:387" ht="10.75" customHeight="1">
      <c r="BX81" s="12"/>
      <c r="CB81" s="12"/>
      <c r="CE81" s="12"/>
      <c r="DZ81" s="13"/>
      <c r="EC81" s="12"/>
      <c r="GV81" s="13"/>
      <c r="GY81" s="13"/>
      <c r="HC81" s="13"/>
      <c r="JT81" s="12"/>
      <c r="JW81" s="12"/>
      <c r="LT81" s="13"/>
      <c r="LV81" s="13"/>
      <c r="MW81" s="9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1"/>
      <c r="NW81" s="13"/>
    </row>
    <row r="82" spans="76:387" ht="10.75" customHeight="1">
      <c r="BX82" s="12"/>
      <c r="CB82" s="12"/>
      <c r="CE82" s="12"/>
      <c r="DZ82" s="13"/>
      <c r="EC82" s="12"/>
      <c r="GV82" s="13"/>
      <c r="GY82" s="13"/>
      <c r="HC82" s="13"/>
      <c r="JT82" s="12"/>
      <c r="JW82" s="12"/>
      <c r="LT82" s="13"/>
      <c r="LV82" s="13"/>
      <c r="MW82" s="14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6"/>
      <c r="NW82" s="13"/>
    </row>
    <row r="83" spans="76:387" ht="10.75" customHeight="1">
      <c r="BX83" s="12"/>
      <c r="CB83" s="12"/>
      <c r="CE83" s="12"/>
      <c r="DZ83" s="13"/>
      <c r="EC83" s="12"/>
      <c r="GV83" s="13"/>
      <c r="GY83" s="13"/>
      <c r="HC83" s="13"/>
      <c r="JT83" s="12"/>
      <c r="JW83" s="12"/>
      <c r="LT83" s="13"/>
      <c r="LV83" s="13"/>
      <c r="NT83" s="13"/>
      <c r="NW83" s="13"/>
    </row>
    <row r="84" spans="76:387" ht="10.75" customHeight="1">
      <c r="BX84" s="12"/>
      <c r="CB84" s="12"/>
      <c r="CE84" s="12"/>
      <c r="DZ84" s="13"/>
      <c r="EC84" s="12"/>
      <c r="GV84" s="13"/>
      <c r="GY84" s="13"/>
      <c r="HC84" s="13"/>
      <c r="JT84" s="12"/>
      <c r="JW84" s="12"/>
      <c r="LT84" s="13"/>
      <c r="LV84" s="13"/>
      <c r="NT84" s="13"/>
      <c r="NW84" s="13"/>
    </row>
    <row r="85" spans="76:387" ht="10.75" customHeight="1">
      <c r="BX85" s="12"/>
      <c r="CB85" s="12"/>
      <c r="CE85" s="12"/>
      <c r="DZ85" s="13"/>
      <c r="EC85" s="12"/>
      <c r="GV85" s="13"/>
      <c r="GY85" s="13"/>
      <c r="HC85" s="13"/>
      <c r="JT85" s="12"/>
      <c r="JW85" s="12"/>
      <c r="LT85" s="13"/>
      <c r="LV85" s="13"/>
      <c r="NT85" s="13"/>
      <c r="NW85" s="13"/>
    </row>
    <row r="86" spans="76:387" ht="10.75" customHeight="1">
      <c r="BX86" s="12"/>
      <c r="CB86" s="12"/>
      <c r="CE86" s="12"/>
      <c r="DZ86" s="13"/>
      <c r="EC86" s="12"/>
      <c r="GV86" s="13"/>
      <c r="GY86" s="13"/>
      <c r="HC86" s="13"/>
      <c r="JT86" s="12"/>
      <c r="JW86" s="12"/>
      <c r="LT86" s="13"/>
      <c r="LV86" s="13"/>
      <c r="NT86" s="13"/>
      <c r="NW86" s="13"/>
    </row>
    <row r="87" spans="76:387" ht="10.75" customHeight="1">
      <c r="BX87" s="12"/>
      <c r="CB87" s="12"/>
      <c r="CE87" s="12"/>
      <c r="DZ87" s="13"/>
      <c r="EC87" s="12"/>
      <c r="GV87" s="13"/>
      <c r="GY87" s="13"/>
      <c r="HC87" s="13"/>
      <c r="JT87" s="12"/>
      <c r="JW87" s="12"/>
      <c r="LT87" s="13"/>
      <c r="LV87" s="13"/>
      <c r="NT87" s="13"/>
      <c r="NW87" s="13"/>
    </row>
    <row r="88" spans="76:387" ht="10.75" customHeight="1">
      <c r="BX88" s="12"/>
      <c r="CB88" s="12"/>
      <c r="CE88" s="12"/>
      <c r="DZ88" s="13"/>
      <c r="EC88" s="12"/>
      <c r="GV88" s="13"/>
      <c r="GY88" s="13"/>
      <c r="HC88" s="13"/>
      <c r="JT88" s="12"/>
      <c r="JW88" s="12"/>
      <c r="LT88" s="13"/>
      <c r="LV88" s="13"/>
      <c r="NT88" s="13"/>
      <c r="NW88" s="13"/>
    </row>
    <row r="89" spans="76:387" ht="10.75" customHeight="1">
      <c r="BX89" s="12"/>
      <c r="CB89" s="12"/>
      <c r="CE89" s="12"/>
      <c r="DZ89" s="13"/>
      <c r="EC89" s="12"/>
      <c r="GV89" s="13"/>
      <c r="GY89" s="13"/>
      <c r="HC89" s="13"/>
      <c r="JT89" s="12"/>
      <c r="JW89" s="12"/>
      <c r="LT89" s="13"/>
      <c r="LV89" s="13"/>
      <c r="NT89" s="13"/>
      <c r="NW89" s="13"/>
    </row>
    <row r="90" spans="76:387" ht="10.75" customHeight="1">
      <c r="BX90" s="12"/>
      <c r="CB90" s="12"/>
      <c r="CE90" s="12"/>
      <c r="DZ90" s="13"/>
      <c r="EC90" s="12"/>
      <c r="GV90" s="13"/>
      <c r="GY90" s="13"/>
      <c r="HC90" s="13"/>
      <c r="JT90" s="12"/>
      <c r="JW90" s="12"/>
      <c r="LT90" s="13"/>
      <c r="LV90" s="13"/>
      <c r="NT90" s="13"/>
      <c r="NW90" s="13"/>
    </row>
    <row r="91" spans="76:387" ht="10.75" customHeight="1">
      <c r="BX91" s="12"/>
      <c r="CB91" s="12"/>
      <c r="CE91" s="12"/>
      <c r="DZ91" s="13"/>
      <c r="EC91" s="12"/>
      <c r="GV91" s="13"/>
      <c r="GY91" s="13"/>
      <c r="HC91" s="13"/>
      <c r="JT91" s="12"/>
      <c r="JW91" s="12"/>
      <c r="LT91" s="13"/>
      <c r="LV91" s="13"/>
      <c r="NT91" s="13"/>
      <c r="NW91" s="13"/>
    </row>
    <row r="92" spans="76:387" ht="10.75" customHeight="1">
      <c r="BX92" s="12"/>
      <c r="CB92" s="12"/>
      <c r="CE92" s="12"/>
      <c r="DZ92" s="13"/>
      <c r="EC92" s="12"/>
      <c r="GV92" s="13"/>
      <c r="GY92" s="13"/>
      <c r="HC92" s="13"/>
      <c r="JT92" s="12"/>
      <c r="JW92" s="12"/>
      <c r="LT92" s="13"/>
      <c r="LV92" s="13"/>
      <c r="NT92" s="13"/>
      <c r="NW92" s="13"/>
    </row>
    <row r="93" spans="76:387" ht="10.75" customHeight="1">
      <c r="BX93" s="12"/>
      <c r="CB93" s="12"/>
      <c r="CE93" s="12"/>
      <c r="DZ93" s="13"/>
      <c r="EC93" s="12"/>
      <c r="GV93" s="13"/>
      <c r="GY93" s="13"/>
      <c r="HC93" s="13"/>
      <c r="JT93" s="12"/>
      <c r="JW93" s="12"/>
      <c r="LT93" s="13"/>
      <c r="LV93" s="13"/>
      <c r="NT93" s="13"/>
      <c r="NW93" s="13"/>
    </row>
    <row r="94" spans="76:387" ht="10.75" customHeight="1">
      <c r="BX94" s="12"/>
      <c r="CB94" s="12"/>
      <c r="CE94" s="12"/>
      <c r="DZ94" s="13"/>
      <c r="EC94" s="12"/>
      <c r="GV94" s="13"/>
      <c r="GY94" s="13"/>
      <c r="HC94" s="13"/>
      <c r="JT94" s="12"/>
      <c r="JW94" s="12"/>
      <c r="LT94" s="13"/>
      <c r="LV94" s="13"/>
      <c r="NT94" s="13"/>
      <c r="NW94" s="13"/>
    </row>
    <row r="95" spans="76:387" ht="10.75" customHeight="1">
      <c r="BX95" s="12"/>
      <c r="CB95" s="12"/>
      <c r="CE95" s="12"/>
      <c r="DZ95" s="13"/>
      <c r="EC95" s="12"/>
      <c r="GV95" s="13"/>
      <c r="GY95" s="13"/>
      <c r="HC95" s="13"/>
      <c r="JT95" s="12"/>
      <c r="JW95" s="12"/>
      <c r="LT95" s="13"/>
      <c r="LV95" s="13"/>
      <c r="NT95" s="13"/>
      <c r="NW95" s="13"/>
    </row>
    <row r="96" spans="76:387" ht="10.75" customHeight="1">
      <c r="BX96" s="12"/>
      <c r="CB96" s="12"/>
      <c r="CE96" s="12"/>
      <c r="DZ96" s="13"/>
      <c r="EC96" s="12"/>
      <c r="GV96" s="13"/>
      <c r="GY96" s="13"/>
      <c r="HC96" s="13"/>
      <c r="JT96" s="12"/>
      <c r="JW96" s="12"/>
      <c r="LT96" s="13"/>
      <c r="LV96" s="13"/>
      <c r="NT96" s="13"/>
      <c r="NW96" s="13"/>
    </row>
    <row r="97" spans="76:387" ht="10.75" customHeight="1">
      <c r="BX97" s="12"/>
      <c r="CB97" s="12"/>
      <c r="CE97" s="12"/>
      <c r="DZ97" s="13"/>
      <c r="EC97" s="12"/>
      <c r="GV97" s="13"/>
      <c r="GY97" s="13"/>
      <c r="HC97" s="13"/>
      <c r="JT97" s="12"/>
      <c r="JW97" s="12"/>
      <c r="LT97" s="13"/>
      <c r="LV97" s="13"/>
      <c r="NT97" s="13"/>
      <c r="NW97" s="13"/>
    </row>
    <row r="98" spans="76:387" ht="10.75" customHeight="1">
      <c r="BX98" s="12"/>
      <c r="CB98" s="12"/>
      <c r="CE98" s="12"/>
      <c r="DZ98" s="13"/>
      <c r="EC98" s="12"/>
      <c r="GV98" s="13"/>
      <c r="GY98" s="13"/>
      <c r="HC98" s="13"/>
      <c r="JT98" s="12"/>
      <c r="JW98" s="12"/>
      <c r="LT98" s="13"/>
      <c r="LV98" s="13"/>
      <c r="NT98" s="13"/>
      <c r="NW98" s="13"/>
    </row>
    <row r="99" spans="76:387" ht="10.75" customHeight="1">
      <c r="BX99" s="12"/>
      <c r="CB99" s="12"/>
      <c r="CE99" s="12"/>
      <c r="DZ99" s="13"/>
      <c r="EC99" s="12"/>
      <c r="GV99" s="13"/>
      <c r="GY99" s="13"/>
      <c r="HC99" s="13"/>
      <c r="JT99" s="12"/>
      <c r="JW99" s="12"/>
      <c r="LT99" s="13"/>
      <c r="LV99" s="13"/>
      <c r="NT99" s="13"/>
      <c r="NW99" s="13"/>
    </row>
    <row r="100" spans="76:387" ht="10.75" customHeight="1">
      <c r="BX100" s="12"/>
      <c r="CB100" s="96"/>
      <c r="CC100" s="97"/>
      <c r="CD100" s="97"/>
      <c r="CE100" s="12"/>
      <c r="DZ100" s="13"/>
      <c r="EC100" s="12"/>
      <c r="EL100" s="97"/>
      <c r="EM100" s="97"/>
      <c r="EN100" s="97"/>
      <c r="EO100" s="97"/>
      <c r="GV100" s="13"/>
      <c r="GW100" s="97"/>
      <c r="GX100" s="97"/>
      <c r="GY100" s="98"/>
      <c r="HC100" s="13"/>
      <c r="JT100" s="12"/>
      <c r="JW100" s="12"/>
      <c r="LT100" s="13"/>
      <c r="LV100" s="13"/>
      <c r="NT100" s="13"/>
      <c r="NW100" s="13"/>
    </row>
    <row r="101" spans="76:387" ht="10.75" customHeight="1">
      <c r="BX101" s="12"/>
      <c r="CB101" s="96"/>
      <c r="CC101" s="97"/>
      <c r="CD101" s="97"/>
      <c r="CE101" s="14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  <c r="CV101" s="15"/>
      <c r="CW101" s="15"/>
      <c r="CX101" s="15"/>
      <c r="CY101" s="15"/>
      <c r="CZ101" s="15"/>
      <c r="DA101" s="15"/>
      <c r="DB101" s="15"/>
      <c r="DC101" s="15"/>
      <c r="DD101" s="15"/>
      <c r="DE101" s="15"/>
      <c r="DF101" s="15"/>
      <c r="DG101" s="15"/>
      <c r="DH101" s="15"/>
      <c r="DI101" s="15"/>
      <c r="DJ101" s="15"/>
      <c r="DK101" s="15"/>
      <c r="DL101" s="15"/>
      <c r="DM101" s="15"/>
      <c r="DN101" s="15"/>
      <c r="DO101" s="15"/>
      <c r="DP101" s="15"/>
      <c r="DQ101" s="15"/>
      <c r="DR101" s="15"/>
      <c r="DS101" s="15"/>
      <c r="DT101" s="15"/>
      <c r="DU101" s="15"/>
      <c r="DV101" s="15"/>
      <c r="DW101" s="15"/>
      <c r="DX101" s="15"/>
      <c r="DY101" s="15"/>
      <c r="DZ101" s="16"/>
      <c r="EC101" s="14"/>
      <c r="ED101" s="15"/>
      <c r="EE101" s="15"/>
      <c r="EF101" s="15"/>
      <c r="EG101" s="15"/>
      <c r="EH101" s="15"/>
      <c r="EI101" s="15"/>
      <c r="EJ101" s="15"/>
      <c r="EK101" s="15"/>
      <c r="EL101" s="60"/>
      <c r="EM101" s="60"/>
      <c r="EN101" s="60"/>
      <c r="EO101" s="60"/>
      <c r="EP101" s="15"/>
      <c r="EQ101" s="15"/>
      <c r="ER101" s="15"/>
      <c r="ES101" s="15"/>
      <c r="ET101" s="15"/>
      <c r="EU101" s="15"/>
      <c r="EV101" s="15"/>
      <c r="EW101" s="15"/>
      <c r="EX101" s="15"/>
      <c r="GV101" s="13"/>
      <c r="GW101" s="97"/>
      <c r="GX101" s="97"/>
      <c r="GY101" s="98"/>
      <c r="HC101" s="13"/>
      <c r="JT101" s="12"/>
      <c r="JW101" s="12"/>
      <c r="LT101" s="13"/>
      <c r="LV101" s="13"/>
      <c r="NT101" s="13"/>
      <c r="NW101" s="13"/>
    </row>
    <row r="102" spans="76:387" ht="10.75" customHeight="1">
      <c r="BX102" s="12"/>
      <c r="CB102" s="96"/>
      <c r="CC102" s="97"/>
      <c r="CD102" s="97"/>
      <c r="CE102" s="12"/>
      <c r="EC102" s="49"/>
      <c r="ED102" s="49"/>
      <c r="EE102" s="49"/>
      <c r="EF102" s="49"/>
      <c r="EG102" s="49"/>
      <c r="EH102" s="49"/>
      <c r="EI102" s="49"/>
      <c r="EJ102" s="49"/>
      <c r="EK102" s="49"/>
      <c r="EL102" s="97"/>
      <c r="EM102" s="97"/>
      <c r="EN102" s="97"/>
      <c r="EO102" s="97"/>
      <c r="EP102" s="49"/>
      <c r="EQ102" s="49"/>
      <c r="ER102" s="49"/>
      <c r="ES102" s="49"/>
      <c r="ET102" s="49"/>
      <c r="EU102" s="49"/>
      <c r="EV102" s="49"/>
      <c r="EW102" s="49"/>
      <c r="EX102" s="49"/>
      <c r="EY102" s="141"/>
      <c r="EZ102" s="235"/>
      <c r="GV102" s="13"/>
      <c r="GW102" s="97"/>
      <c r="GX102" s="97"/>
      <c r="GY102" s="98"/>
      <c r="HC102" s="13"/>
      <c r="JT102" s="12"/>
      <c r="JW102" s="12"/>
      <c r="LT102" s="13"/>
      <c r="LV102" s="13"/>
      <c r="NT102" s="13"/>
      <c r="NW102" s="13"/>
    </row>
    <row r="103" spans="76:387" ht="10.75" customHeight="1">
      <c r="BX103" s="12"/>
      <c r="CB103" s="96"/>
      <c r="CC103" s="97"/>
      <c r="CD103" s="97"/>
      <c r="CE103" s="12"/>
      <c r="EC103" s="49"/>
      <c r="ED103" s="49"/>
      <c r="EE103" s="49"/>
      <c r="EF103" s="49"/>
      <c r="EG103" s="49"/>
      <c r="EH103" s="49"/>
      <c r="EI103" s="49"/>
      <c r="EJ103" s="49"/>
      <c r="EK103" s="49"/>
      <c r="EL103" s="97"/>
      <c r="EM103" s="97"/>
      <c r="EN103" s="97"/>
      <c r="EO103" s="97"/>
      <c r="EP103" s="49"/>
      <c r="EQ103" s="49"/>
      <c r="ER103" s="49"/>
      <c r="ES103" s="49"/>
      <c r="ET103" s="49"/>
      <c r="EU103" s="49"/>
      <c r="EV103" s="49"/>
      <c r="EW103" s="49"/>
      <c r="EX103" s="49"/>
      <c r="EY103" s="49"/>
      <c r="EZ103" s="208"/>
      <c r="GV103" s="13"/>
      <c r="GW103" s="97"/>
      <c r="GX103" s="97"/>
      <c r="GY103" s="98"/>
      <c r="HC103" s="13"/>
      <c r="JT103" s="12"/>
      <c r="JW103" s="12"/>
      <c r="LT103" s="13"/>
      <c r="LV103" s="13"/>
      <c r="NT103" s="13"/>
      <c r="NW103" s="13"/>
    </row>
    <row r="104" spans="76:387" ht="10.75" customHeight="1">
      <c r="BX104" s="12"/>
      <c r="CB104" s="12"/>
      <c r="CE104" s="9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10"/>
      <c r="DP104" s="11"/>
      <c r="DS104" s="9"/>
      <c r="DT104" s="10"/>
      <c r="DU104" s="10"/>
      <c r="DV104" s="10"/>
      <c r="DW104" s="10"/>
      <c r="DX104" s="10"/>
      <c r="DY104" s="10"/>
      <c r="DZ104" s="10"/>
      <c r="EA104" s="10"/>
      <c r="EB104" s="10"/>
      <c r="EC104" s="10"/>
      <c r="ED104" s="10"/>
      <c r="EE104" s="10"/>
      <c r="EF104" s="10"/>
      <c r="EG104" s="10"/>
      <c r="EH104" s="10"/>
      <c r="EI104" s="10"/>
      <c r="EJ104" s="10"/>
      <c r="EK104" s="10"/>
      <c r="EL104" s="10"/>
      <c r="EM104" s="10"/>
      <c r="EN104" s="10"/>
      <c r="EO104" s="10"/>
      <c r="EP104" s="10"/>
      <c r="EQ104" s="10"/>
      <c r="ER104" s="10"/>
      <c r="ES104" s="10"/>
      <c r="ET104" s="10"/>
      <c r="EU104" s="10"/>
      <c r="EV104" s="10"/>
      <c r="EW104" s="10"/>
      <c r="EX104" s="11"/>
      <c r="EY104" s="214"/>
      <c r="EZ104" s="208"/>
      <c r="GV104" s="13"/>
      <c r="GY104" s="13"/>
      <c r="HC104" s="13"/>
      <c r="JT104" s="12"/>
      <c r="JW104" s="12"/>
      <c r="LT104" s="13"/>
      <c r="LV104" s="13"/>
      <c r="NT104" s="13"/>
      <c r="NW104" s="13"/>
    </row>
    <row r="105" spans="76:387" ht="10.75" customHeight="1">
      <c r="BX105" s="12"/>
      <c r="CB105" s="12"/>
      <c r="CE105" s="12"/>
      <c r="DP105" s="13"/>
      <c r="DS105" s="12"/>
      <c r="EX105" s="13"/>
      <c r="EY105" s="214"/>
      <c r="EZ105" s="208"/>
      <c r="GV105" s="13"/>
      <c r="GY105" s="13"/>
      <c r="HC105" s="13"/>
      <c r="JT105" s="12"/>
      <c r="JW105" s="12"/>
      <c r="LT105" s="13"/>
      <c r="LV105" s="13"/>
      <c r="NT105" s="13"/>
      <c r="NW105" s="13"/>
    </row>
    <row r="106" spans="76:387" ht="10.75" customHeight="1">
      <c r="BX106" s="12"/>
      <c r="CB106" s="12"/>
      <c r="CE106" s="12"/>
      <c r="DP106" s="13"/>
      <c r="DS106" s="12"/>
      <c r="EX106" s="13"/>
      <c r="EY106" s="214"/>
      <c r="EZ106" s="208"/>
      <c r="GV106" s="13"/>
      <c r="GY106" s="13"/>
      <c r="HC106" s="13"/>
      <c r="JT106" s="12"/>
      <c r="JW106" s="14"/>
      <c r="JX106" s="15"/>
      <c r="JY106" s="15"/>
      <c r="JZ106" s="15"/>
      <c r="KA106" s="15"/>
      <c r="KB106" s="15"/>
      <c r="KC106" s="15"/>
      <c r="KD106" s="15"/>
      <c r="KE106" s="15"/>
      <c r="KF106" s="15"/>
      <c r="KG106" s="15"/>
      <c r="KH106" s="15"/>
      <c r="KI106" s="15"/>
      <c r="KJ106" s="15"/>
      <c r="KK106" s="15"/>
      <c r="KL106" s="15"/>
      <c r="KM106" s="15"/>
      <c r="KN106" s="15"/>
      <c r="KO106" s="15"/>
      <c r="KP106" s="15"/>
      <c r="KQ106" s="15"/>
      <c r="KR106" s="15"/>
      <c r="KS106" s="15"/>
      <c r="KT106" s="15"/>
      <c r="KU106" s="15"/>
      <c r="KV106" s="15"/>
      <c r="KW106" s="15"/>
      <c r="KX106" s="15"/>
      <c r="KY106" s="15"/>
      <c r="KZ106" s="15"/>
      <c r="LA106" s="15"/>
      <c r="LB106" s="15"/>
      <c r="LC106" s="15"/>
      <c r="LD106" s="15"/>
      <c r="LE106" s="15"/>
      <c r="LF106" s="15"/>
      <c r="LG106" s="15"/>
      <c r="LH106" s="15"/>
      <c r="LI106" s="15"/>
      <c r="LJ106" s="15"/>
      <c r="LK106" s="15"/>
      <c r="LL106" s="15"/>
      <c r="LM106" s="15"/>
      <c r="LN106" s="15"/>
      <c r="LO106" s="15"/>
      <c r="LP106" s="15"/>
      <c r="LQ106" s="15"/>
      <c r="LR106" s="15"/>
      <c r="LS106" s="15"/>
      <c r="LT106" s="16"/>
      <c r="LV106" s="13"/>
      <c r="NT106" s="13"/>
      <c r="NW106" s="13"/>
    </row>
    <row r="107" spans="76:387" ht="10.75" customHeight="1">
      <c r="BX107" s="12"/>
      <c r="CB107" s="12"/>
      <c r="CE107" s="12"/>
      <c r="DP107" s="13"/>
      <c r="DS107" s="12"/>
      <c r="EX107" s="13"/>
      <c r="EY107" s="214"/>
      <c r="EZ107" s="208"/>
      <c r="GV107" s="13"/>
      <c r="GY107" s="13"/>
      <c r="GZ107" s="9"/>
      <c r="HA107" s="10"/>
      <c r="HB107" s="10"/>
      <c r="HC107" s="11"/>
      <c r="HD107" s="10"/>
      <c r="HE107" s="10"/>
      <c r="HF107" s="10"/>
      <c r="HG107" s="10"/>
      <c r="HH107" s="10"/>
      <c r="HI107" s="10"/>
      <c r="HJ107" s="10"/>
      <c r="HK107" s="10"/>
      <c r="HL107" s="10"/>
      <c r="HM107" s="10"/>
      <c r="HN107" s="10"/>
      <c r="HO107" s="10"/>
      <c r="HP107" s="10"/>
      <c r="HQ107" s="10"/>
      <c r="HR107" s="10"/>
      <c r="HS107" s="10"/>
      <c r="HT107" s="10"/>
      <c r="HU107" s="10"/>
      <c r="HV107" s="10"/>
      <c r="HW107" s="10"/>
      <c r="HX107" s="10"/>
      <c r="HY107" s="10"/>
      <c r="HZ107" s="10"/>
      <c r="IA107" s="10"/>
      <c r="IB107" s="10"/>
      <c r="IC107" s="10"/>
      <c r="ID107" s="10"/>
      <c r="IE107" s="11"/>
      <c r="JT107" s="12"/>
      <c r="JW107" s="12"/>
      <c r="LV107" s="13"/>
      <c r="NT107" s="13"/>
      <c r="NW107" s="13"/>
    </row>
    <row r="108" spans="76:387" ht="10.75" customHeight="1">
      <c r="BX108" s="12"/>
      <c r="CB108" s="12"/>
      <c r="CE108" s="12"/>
      <c r="DP108" s="13"/>
      <c r="DS108" s="12"/>
      <c r="EX108" s="13"/>
      <c r="EY108" s="214"/>
      <c r="EZ108" s="208"/>
      <c r="GV108" s="13"/>
      <c r="GY108" s="13"/>
      <c r="GZ108" s="12"/>
      <c r="HC108" s="13"/>
      <c r="IE108" s="13"/>
      <c r="JT108" s="12"/>
      <c r="JW108" s="14"/>
      <c r="JX108" s="15"/>
      <c r="JY108" s="15"/>
      <c r="JZ108" s="15"/>
      <c r="KA108" s="15"/>
      <c r="KB108" s="15"/>
      <c r="KC108" s="15"/>
      <c r="KD108" s="15"/>
      <c r="KE108" s="15"/>
      <c r="KF108" s="15"/>
      <c r="KG108" s="15"/>
      <c r="KH108" s="15"/>
      <c r="KI108" s="15"/>
      <c r="KJ108" s="15"/>
      <c r="KK108" s="15"/>
      <c r="KL108" s="15"/>
      <c r="KM108" s="15"/>
      <c r="KN108" s="15"/>
      <c r="KO108" s="15"/>
      <c r="KP108" s="15"/>
      <c r="KQ108" s="15"/>
      <c r="KR108" s="15"/>
      <c r="KS108" s="15"/>
      <c r="KT108" s="15"/>
      <c r="KU108" s="15"/>
      <c r="KV108" s="15"/>
      <c r="KW108" s="15"/>
      <c r="KX108" s="15"/>
      <c r="KY108" s="15"/>
      <c r="KZ108" s="15"/>
      <c r="LA108" s="15"/>
      <c r="LB108" s="15"/>
      <c r="LC108" s="15"/>
      <c r="LD108" s="15"/>
      <c r="LE108" s="15"/>
      <c r="LF108" s="15"/>
      <c r="LG108" s="15"/>
      <c r="LH108" s="15"/>
      <c r="LI108" s="15"/>
      <c r="LJ108" s="15"/>
      <c r="LK108" s="15"/>
      <c r="LL108" s="15"/>
      <c r="LM108" s="15"/>
      <c r="LN108" s="15"/>
      <c r="LO108" s="15"/>
      <c r="LP108" s="15"/>
      <c r="LQ108" s="15"/>
      <c r="LR108" s="15"/>
      <c r="LS108" s="15"/>
      <c r="LT108" s="15"/>
      <c r="LU108" s="15"/>
      <c r="LV108" s="16"/>
      <c r="NT108" s="13"/>
      <c r="NW108" s="13"/>
    </row>
    <row r="109" spans="76:387" ht="10.75" customHeight="1">
      <c r="BX109" s="12"/>
      <c r="CB109" s="12"/>
      <c r="CE109" s="12"/>
      <c r="DP109" s="13"/>
      <c r="DS109" s="12"/>
      <c r="EX109" s="13"/>
      <c r="EY109" s="214"/>
      <c r="EZ109" s="208"/>
      <c r="GV109" s="13"/>
      <c r="GY109" s="13"/>
      <c r="GZ109" s="12"/>
      <c r="HC109" s="13"/>
      <c r="IE109" s="13"/>
      <c r="JT109" s="12"/>
      <c r="JW109" s="9"/>
      <c r="JX109" s="10"/>
      <c r="JY109" s="10"/>
      <c r="JZ109" s="10"/>
      <c r="KA109" s="10"/>
      <c r="KB109" s="10"/>
      <c r="KC109" s="10"/>
      <c r="KD109" s="10"/>
      <c r="KE109" s="10"/>
      <c r="KF109" s="10"/>
      <c r="KG109" s="10"/>
      <c r="KH109" s="10"/>
      <c r="KI109" s="10"/>
      <c r="KJ109" s="10"/>
      <c r="KK109" s="10"/>
      <c r="KL109" s="10"/>
      <c r="KM109" s="10"/>
      <c r="KN109" s="10"/>
      <c r="KO109" s="10"/>
      <c r="KP109" s="10"/>
      <c r="KQ109" s="10"/>
      <c r="KR109" s="10"/>
      <c r="KS109" s="10"/>
      <c r="KT109" s="10"/>
      <c r="KU109" s="10"/>
      <c r="KV109" s="10"/>
      <c r="KW109" s="10"/>
      <c r="KX109" s="10"/>
      <c r="KY109" s="10"/>
      <c r="KZ109" s="10"/>
      <c r="LA109" s="10"/>
      <c r="LB109" s="11"/>
      <c r="LC109" s="10"/>
      <c r="LD109" s="11"/>
      <c r="NT109" s="13"/>
      <c r="NW109" s="13"/>
    </row>
    <row r="110" spans="76:387" ht="10.75" customHeight="1">
      <c r="BX110" s="12"/>
      <c r="CB110" s="12"/>
      <c r="CE110" s="12"/>
      <c r="DP110" s="13"/>
      <c r="DS110" s="12"/>
      <c r="EX110" s="13"/>
      <c r="EY110" s="214"/>
      <c r="EZ110" s="208"/>
      <c r="GV110" s="13"/>
      <c r="GY110" s="13"/>
      <c r="GZ110" s="12"/>
      <c r="HC110" s="13"/>
      <c r="IE110" s="13"/>
      <c r="JT110" s="12"/>
      <c r="JW110" s="12"/>
      <c r="LB110" s="13"/>
      <c r="LD110" s="13"/>
      <c r="NT110" s="13"/>
      <c r="NW110" s="13"/>
    </row>
    <row r="111" spans="76:387" ht="10.75" customHeight="1">
      <c r="BX111" s="12"/>
      <c r="CB111" s="12"/>
      <c r="CE111" s="12"/>
      <c r="DP111" s="13"/>
      <c r="DS111" s="12"/>
      <c r="EA111" s="15"/>
      <c r="EB111" s="15"/>
      <c r="EC111" s="15"/>
      <c r="ED111" s="15"/>
      <c r="EE111" s="15"/>
      <c r="EF111" s="15"/>
      <c r="EG111" s="15"/>
      <c r="EH111" s="15"/>
      <c r="EI111" s="15"/>
      <c r="EJ111" s="15"/>
      <c r="EK111" s="15"/>
      <c r="EL111" s="15"/>
      <c r="EM111" s="15"/>
      <c r="EN111" s="15"/>
      <c r="EO111" s="15"/>
      <c r="EP111" s="15"/>
      <c r="EX111" s="13"/>
      <c r="EY111" s="214"/>
      <c r="EZ111" s="208"/>
      <c r="GV111" s="13"/>
      <c r="GY111" s="13"/>
      <c r="GZ111" s="12"/>
      <c r="HC111" s="13"/>
      <c r="IE111" s="13"/>
      <c r="JT111" s="12"/>
      <c r="JW111" s="12"/>
      <c r="LB111" s="13"/>
      <c r="LD111" s="13"/>
      <c r="NT111" s="13"/>
      <c r="NW111" s="13"/>
    </row>
    <row r="112" spans="76:387" ht="10.75" customHeight="1">
      <c r="BX112" s="12"/>
      <c r="CB112" s="12"/>
      <c r="CE112" s="12"/>
      <c r="DP112" s="13"/>
      <c r="DS112" s="12"/>
      <c r="DZ112" s="13"/>
      <c r="EQ112" s="12"/>
      <c r="EX112" s="13"/>
      <c r="EY112" s="214"/>
      <c r="EZ112" s="208"/>
      <c r="GV112" s="13"/>
      <c r="GY112" s="13"/>
      <c r="GZ112" s="12"/>
      <c r="HC112" s="13"/>
      <c r="IE112" s="13"/>
      <c r="JT112" s="12"/>
      <c r="JW112" s="12"/>
      <c r="LB112" s="13"/>
      <c r="LD112" s="13"/>
      <c r="NT112" s="13"/>
      <c r="NW112" s="13"/>
    </row>
    <row r="113" spans="76:387" ht="10.75" customHeight="1">
      <c r="BX113" s="12"/>
      <c r="CB113" s="12"/>
      <c r="CE113" s="12"/>
      <c r="DP113" s="13"/>
      <c r="DS113" s="12"/>
      <c r="DZ113" s="13"/>
      <c r="EQ113" s="12"/>
      <c r="EX113" s="13"/>
      <c r="EY113" s="214"/>
      <c r="EZ113" s="208"/>
      <c r="GV113" s="13"/>
      <c r="GY113" s="13"/>
      <c r="GZ113" s="12"/>
      <c r="HC113" s="13"/>
      <c r="IE113" s="13"/>
      <c r="JT113" s="12"/>
      <c r="JW113" s="12"/>
      <c r="LB113" s="13"/>
      <c r="LD113" s="13"/>
      <c r="NT113" s="13"/>
      <c r="NW113" s="13"/>
    </row>
    <row r="114" spans="76:387" ht="10.75" customHeight="1">
      <c r="BX114" s="12"/>
      <c r="CB114" s="12"/>
      <c r="CE114" s="12"/>
      <c r="DP114" s="13"/>
      <c r="DS114" s="12"/>
      <c r="DZ114" s="13"/>
      <c r="EQ114" s="12"/>
      <c r="EX114" s="13"/>
      <c r="EY114" s="214"/>
      <c r="EZ114" s="208"/>
      <c r="GV114" s="13"/>
      <c r="GY114" s="13"/>
      <c r="GZ114" s="12"/>
      <c r="HC114" s="13"/>
      <c r="IE114" s="13"/>
      <c r="JT114" s="12"/>
      <c r="JW114" s="12"/>
      <c r="LB114" s="13"/>
      <c r="LD114" s="13"/>
      <c r="NT114" s="13"/>
      <c r="NW114" s="13"/>
    </row>
    <row r="115" spans="76:387" ht="10.75" customHeight="1">
      <c r="BX115" s="12"/>
      <c r="CB115" s="12"/>
      <c r="CE115" s="12"/>
      <c r="DP115" s="13"/>
      <c r="DS115" s="12"/>
      <c r="DZ115" s="13"/>
      <c r="EQ115" s="12"/>
      <c r="EX115" s="13"/>
      <c r="EY115" s="214"/>
      <c r="EZ115" s="208"/>
      <c r="GV115" s="13"/>
      <c r="GY115" s="13"/>
      <c r="GZ115" s="12"/>
      <c r="HC115" s="13"/>
      <c r="IE115" s="13"/>
      <c r="JT115" s="12"/>
      <c r="JW115" s="12"/>
      <c r="LB115" s="13"/>
      <c r="LD115" s="13"/>
      <c r="NT115" s="13"/>
      <c r="NW115" s="13"/>
    </row>
    <row r="116" spans="76:387" ht="10.75" customHeight="1">
      <c r="BX116" s="12"/>
      <c r="CB116" s="12"/>
      <c r="CE116" s="12"/>
      <c r="DP116" s="13"/>
      <c r="DS116" s="12"/>
      <c r="DZ116" s="13"/>
      <c r="EQ116" s="12"/>
      <c r="EX116" s="13"/>
      <c r="EY116" s="214"/>
      <c r="EZ116" s="208"/>
      <c r="GV116" s="13"/>
      <c r="GY116" s="13"/>
      <c r="GZ116" s="12"/>
      <c r="HC116" s="13"/>
      <c r="IE116" s="13"/>
      <c r="JT116" s="12"/>
      <c r="JW116" s="12"/>
      <c r="LB116" s="13"/>
      <c r="LD116" s="13"/>
      <c r="NT116" s="13"/>
      <c r="NW116" s="13"/>
    </row>
    <row r="117" spans="76:387" ht="10.75" customHeight="1">
      <c r="BX117" s="12"/>
      <c r="CB117" s="12"/>
      <c r="CE117" s="12"/>
      <c r="DP117" s="13"/>
      <c r="DS117" s="12"/>
      <c r="DZ117" s="13"/>
      <c r="EQ117" s="12"/>
      <c r="EX117" s="13"/>
      <c r="EY117" s="214"/>
      <c r="EZ117" s="208"/>
      <c r="GV117" s="13"/>
      <c r="GY117" s="13"/>
      <c r="GZ117" s="12"/>
      <c r="HC117" s="13"/>
      <c r="IE117" s="13"/>
      <c r="JT117" s="12"/>
      <c r="JW117" s="12"/>
      <c r="LB117" s="13"/>
      <c r="LD117" s="13"/>
      <c r="NT117" s="13"/>
      <c r="NW117" s="13"/>
    </row>
    <row r="118" spans="76:387" ht="10.75" customHeight="1">
      <c r="BX118" s="12"/>
      <c r="CB118" s="12"/>
      <c r="CE118" s="12"/>
      <c r="DP118" s="13"/>
      <c r="DS118" s="12"/>
      <c r="DZ118" s="13"/>
      <c r="EQ118" s="12"/>
      <c r="EX118" s="13"/>
      <c r="EY118" s="214"/>
      <c r="EZ118" s="208"/>
      <c r="GV118" s="13"/>
      <c r="GY118" s="13"/>
      <c r="GZ118" s="12"/>
      <c r="HC118" s="13"/>
      <c r="IE118" s="13"/>
      <c r="JT118" s="12"/>
      <c r="JW118" s="12"/>
      <c r="LB118" s="13"/>
      <c r="LD118" s="13"/>
      <c r="NT118" s="13"/>
      <c r="NW118" s="13"/>
    </row>
    <row r="119" spans="76:387" ht="10.75" customHeight="1">
      <c r="BX119" s="12"/>
      <c r="CB119" s="12"/>
      <c r="CE119" s="12"/>
      <c r="DP119" s="13"/>
      <c r="DS119" s="12"/>
      <c r="DZ119" s="13"/>
      <c r="EQ119" s="12"/>
      <c r="EX119" s="13"/>
      <c r="EY119" s="214"/>
      <c r="EZ119" s="208"/>
      <c r="GV119" s="13"/>
      <c r="GY119" s="13"/>
      <c r="GZ119" s="12"/>
      <c r="HC119" s="13"/>
      <c r="IE119" s="13"/>
      <c r="JT119" s="12"/>
      <c r="JW119" s="12"/>
      <c r="LB119" s="13"/>
      <c r="LD119" s="13"/>
      <c r="NT119" s="13"/>
      <c r="NW119" s="13"/>
    </row>
    <row r="120" spans="76:387" ht="10.75" customHeight="1">
      <c r="BX120" s="12"/>
      <c r="CB120" s="12"/>
      <c r="CE120" s="12"/>
      <c r="DP120" s="13"/>
      <c r="DS120" s="12"/>
      <c r="DZ120" s="13"/>
      <c r="EQ120" s="12"/>
      <c r="EX120" s="13"/>
      <c r="EY120" s="214"/>
      <c r="EZ120" s="208"/>
      <c r="GV120" s="13"/>
      <c r="GY120" s="13"/>
      <c r="GZ120" s="12"/>
      <c r="HC120" s="13"/>
      <c r="IE120" s="13"/>
      <c r="JT120" s="12"/>
      <c r="JW120" s="12"/>
      <c r="LB120" s="13"/>
      <c r="LD120" s="13"/>
      <c r="NT120" s="13"/>
      <c r="NW120" s="13"/>
    </row>
    <row r="121" spans="76:387" ht="10.75" customHeight="1">
      <c r="BX121" s="12"/>
      <c r="CB121" s="12"/>
      <c r="CE121" s="12"/>
      <c r="DP121" s="13"/>
      <c r="DS121" s="12"/>
      <c r="DZ121" s="13"/>
      <c r="EQ121" s="12"/>
      <c r="EX121" s="13"/>
      <c r="EY121" s="214"/>
      <c r="EZ121" s="208"/>
      <c r="GV121" s="13"/>
      <c r="GY121" s="13"/>
      <c r="GZ121" s="12"/>
      <c r="HC121" s="13"/>
      <c r="IE121" s="13"/>
      <c r="JT121" s="12"/>
      <c r="JW121" s="12"/>
      <c r="LB121" s="13"/>
      <c r="LD121" s="13"/>
      <c r="NT121" s="13"/>
      <c r="NW121" s="13"/>
    </row>
    <row r="122" spans="76:387" ht="10.75" customHeight="1">
      <c r="BX122" s="12"/>
      <c r="CB122" s="12"/>
      <c r="CE122" s="12"/>
      <c r="DP122" s="13"/>
      <c r="DS122" s="12"/>
      <c r="DZ122" s="13"/>
      <c r="EQ122" s="12"/>
      <c r="EX122" s="13"/>
      <c r="EY122" s="214"/>
      <c r="EZ122" s="208"/>
      <c r="GV122" s="13"/>
      <c r="GY122" s="13"/>
      <c r="GZ122" s="12"/>
      <c r="HC122" s="13"/>
      <c r="IE122" s="13"/>
      <c r="JT122" s="12"/>
      <c r="JW122" s="12"/>
      <c r="LB122" s="13"/>
      <c r="LD122" s="13"/>
      <c r="NT122" s="13"/>
      <c r="NW122" s="13"/>
    </row>
    <row r="123" spans="76:387" ht="10.75" customHeight="1">
      <c r="BX123" s="12"/>
      <c r="CB123" s="12"/>
      <c r="CE123" s="14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6"/>
      <c r="DS123" s="12"/>
      <c r="DZ123" s="13"/>
      <c r="EQ123" s="12"/>
      <c r="EX123" s="13"/>
      <c r="EY123" s="214"/>
      <c r="EZ123" s="208"/>
      <c r="GV123" s="13"/>
      <c r="GY123" s="13"/>
      <c r="GZ123" s="12"/>
      <c r="HC123" s="13"/>
      <c r="IE123" s="13"/>
      <c r="JT123" s="12"/>
      <c r="JW123" s="12"/>
      <c r="LB123" s="13"/>
      <c r="LD123" s="13"/>
      <c r="NT123" s="13"/>
      <c r="NW123" s="13"/>
    </row>
    <row r="124" spans="76:387" ht="10.75" customHeight="1">
      <c r="BX124" s="12"/>
      <c r="CB124" s="12"/>
      <c r="DS124" s="12"/>
      <c r="DZ124" s="13"/>
      <c r="EQ124" s="12"/>
      <c r="EX124" s="13"/>
      <c r="EY124" s="214"/>
      <c r="EZ124" s="208"/>
      <c r="GV124" s="13"/>
      <c r="GY124" s="13"/>
      <c r="GZ124" s="12"/>
      <c r="HC124" s="13"/>
      <c r="IE124" s="13"/>
      <c r="JT124" s="12"/>
      <c r="JW124" s="12"/>
      <c r="LB124" s="13"/>
      <c r="LD124" s="13"/>
      <c r="NT124" s="13"/>
      <c r="NW124" s="13"/>
    </row>
    <row r="125" spans="76:387" ht="10.75" customHeight="1">
      <c r="BX125" s="12"/>
      <c r="CB125" s="12"/>
      <c r="DS125" s="12"/>
      <c r="DZ125" s="13"/>
      <c r="EQ125" s="12"/>
      <c r="EX125" s="13"/>
      <c r="EY125" s="214"/>
      <c r="EZ125" s="208"/>
      <c r="GV125" s="13"/>
      <c r="GY125" s="13"/>
      <c r="GZ125" s="12"/>
      <c r="HC125" s="13"/>
      <c r="IE125" s="13"/>
      <c r="JT125" s="12"/>
      <c r="JW125" s="12"/>
      <c r="LB125" s="13"/>
      <c r="LD125" s="13"/>
      <c r="NT125" s="13"/>
      <c r="NW125" s="13"/>
    </row>
    <row r="126" spans="76:387" ht="10.75" customHeight="1">
      <c r="BX126" s="12"/>
      <c r="CB126" s="12"/>
      <c r="DS126" s="12"/>
      <c r="DZ126" s="13"/>
      <c r="EQ126" s="12"/>
      <c r="EX126" s="13"/>
      <c r="EY126" s="214"/>
      <c r="EZ126" s="208"/>
      <c r="GV126" s="13"/>
      <c r="GY126" s="13"/>
      <c r="GZ126" s="12"/>
      <c r="HC126" s="13"/>
      <c r="IE126" s="13"/>
      <c r="JT126" s="12"/>
      <c r="JW126" s="14"/>
      <c r="JX126" s="15"/>
      <c r="JY126" s="15"/>
      <c r="JZ126" s="15"/>
      <c r="KA126" s="15"/>
      <c r="KB126" s="15"/>
      <c r="KC126" s="15"/>
      <c r="KD126" s="15"/>
      <c r="KE126" s="15"/>
      <c r="KF126" s="15"/>
      <c r="KG126" s="15"/>
      <c r="KH126" s="15"/>
      <c r="KI126" s="15"/>
      <c r="KJ126" s="15"/>
      <c r="KK126" s="15"/>
      <c r="KL126" s="15"/>
      <c r="KM126" s="15"/>
      <c r="KN126" s="15"/>
      <c r="KO126" s="15"/>
      <c r="KP126" s="15"/>
      <c r="KQ126" s="15"/>
      <c r="KR126" s="15"/>
      <c r="KS126" s="15"/>
      <c r="KT126" s="15"/>
      <c r="KU126" s="15"/>
      <c r="KV126" s="15"/>
      <c r="KW126" s="15"/>
      <c r="KX126" s="15"/>
      <c r="KY126" s="15"/>
      <c r="KZ126" s="15"/>
      <c r="LA126" s="15"/>
      <c r="LB126" s="16"/>
      <c r="LD126" s="13"/>
      <c r="NT126" s="13"/>
      <c r="NW126" s="13"/>
    </row>
    <row r="127" spans="76:387" ht="10.75" customHeight="1">
      <c r="BX127" s="12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L127" s="10"/>
      <c r="CM127" s="10"/>
      <c r="CN127" s="10"/>
      <c r="CO127" s="10"/>
      <c r="CP127" s="10"/>
      <c r="CQ127" s="10"/>
      <c r="CR127" s="10"/>
      <c r="CS127" s="10"/>
      <c r="CT127" s="10"/>
      <c r="CU127" s="10"/>
      <c r="CV127" s="10"/>
      <c r="CW127" s="10"/>
      <c r="CX127" s="10"/>
      <c r="CY127" s="10"/>
      <c r="CZ127" s="10"/>
      <c r="DA127" s="10"/>
      <c r="DB127" s="10"/>
      <c r="DC127" s="10"/>
      <c r="DD127" s="10"/>
      <c r="DE127" s="10"/>
      <c r="DF127" s="10"/>
      <c r="DG127" s="10"/>
      <c r="DH127" s="10"/>
      <c r="DI127" s="10"/>
      <c r="DJ127" s="10"/>
      <c r="DK127" s="10"/>
      <c r="DL127" s="10"/>
      <c r="DM127" s="10"/>
      <c r="DN127" s="10"/>
      <c r="DO127" s="11"/>
      <c r="DS127" s="12"/>
      <c r="DZ127" s="13"/>
      <c r="EQ127" s="12"/>
      <c r="EX127" s="13"/>
      <c r="EY127" s="214"/>
      <c r="EZ127" s="208"/>
      <c r="GV127" s="13"/>
      <c r="GY127" s="13"/>
      <c r="GZ127" s="12"/>
      <c r="HC127" s="13"/>
      <c r="IE127" s="13"/>
      <c r="JT127" s="12"/>
      <c r="JW127" s="12"/>
      <c r="LD127" s="13"/>
      <c r="NT127" s="13"/>
      <c r="NW127" s="13"/>
    </row>
    <row r="128" spans="76:387" ht="10.75" customHeight="1">
      <c r="BX128" s="12"/>
      <c r="DO128" s="13"/>
      <c r="DS128" s="12"/>
      <c r="DZ128" s="13"/>
      <c r="EQ128" s="12"/>
      <c r="EX128" s="13"/>
      <c r="EY128" s="214"/>
      <c r="EZ128" s="208"/>
      <c r="GV128" s="13"/>
      <c r="GY128" s="13"/>
      <c r="GZ128" s="12"/>
      <c r="HC128" s="13"/>
      <c r="IE128" s="13"/>
      <c r="JT128" s="12"/>
      <c r="JW128" s="14"/>
      <c r="JX128" s="15"/>
      <c r="JY128" s="15"/>
      <c r="JZ128" s="15"/>
      <c r="KA128" s="15"/>
      <c r="KB128" s="15"/>
      <c r="KC128" s="15"/>
      <c r="KD128" s="15"/>
      <c r="KE128" s="15"/>
      <c r="KF128" s="15"/>
      <c r="KG128" s="15"/>
      <c r="KH128" s="15"/>
      <c r="KI128" s="15"/>
      <c r="KJ128" s="15"/>
      <c r="KK128" s="15"/>
      <c r="KL128" s="15"/>
      <c r="KM128" s="15"/>
      <c r="KN128" s="15"/>
      <c r="KO128" s="15"/>
      <c r="KP128" s="15"/>
      <c r="KQ128" s="15"/>
      <c r="KR128" s="15"/>
      <c r="KS128" s="15"/>
      <c r="KT128" s="15"/>
      <c r="KU128" s="15"/>
      <c r="KV128" s="15"/>
      <c r="KW128" s="15"/>
      <c r="KX128" s="15"/>
      <c r="KY128" s="15"/>
      <c r="KZ128" s="15"/>
      <c r="LA128" s="15"/>
      <c r="LB128" s="15"/>
      <c r="LC128" s="15"/>
      <c r="LD128" s="16"/>
      <c r="NT128" s="13"/>
      <c r="NW128" s="13"/>
    </row>
    <row r="129" spans="76:387" ht="10.75" customHeight="1">
      <c r="BX129" s="12"/>
      <c r="DO129" s="13"/>
      <c r="DS129" s="12"/>
      <c r="DZ129" s="13"/>
      <c r="EQ129" s="12"/>
      <c r="EX129" s="13"/>
      <c r="EY129" s="214"/>
      <c r="EZ129" s="208"/>
      <c r="GV129" s="13"/>
      <c r="GY129" s="13"/>
      <c r="GZ129" s="12"/>
      <c r="HC129" s="13"/>
      <c r="IE129" s="13"/>
      <c r="JT129" s="12"/>
      <c r="JW129" s="9"/>
      <c r="JX129" s="10"/>
      <c r="JY129" s="10"/>
      <c r="JZ129" s="10"/>
      <c r="KA129" s="10"/>
      <c r="KB129" s="10"/>
      <c r="KC129" s="10"/>
      <c r="KD129" s="10"/>
      <c r="KE129" s="10"/>
      <c r="KF129" s="10"/>
      <c r="KG129" s="10"/>
      <c r="KH129" s="10"/>
      <c r="KI129" s="10"/>
      <c r="KJ129" s="10"/>
      <c r="KK129" s="10"/>
      <c r="KL129" s="10"/>
      <c r="KM129" s="10"/>
      <c r="KN129" s="10"/>
      <c r="KO129" s="10"/>
      <c r="KP129" s="10"/>
      <c r="KQ129" s="10"/>
      <c r="KR129" s="10"/>
      <c r="KS129" s="10"/>
      <c r="KT129" s="10"/>
      <c r="KU129" s="10"/>
      <c r="KV129" s="10"/>
      <c r="KW129" s="10"/>
      <c r="KX129" s="10"/>
      <c r="KY129" s="10"/>
      <c r="KZ129" s="10"/>
      <c r="LA129" s="10"/>
      <c r="LB129" s="10"/>
      <c r="LC129" s="9"/>
      <c r="LD129" s="11"/>
      <c r="NT129" s="13"/>
      <c r="NW129" s="13"/>
    </row>
    <row r="130" spans="76:387" ht="10.75" customHeight="1">
      <c r="BX130" s="12"/>
      <c r="DO130" s="13"/>
      <c r="DS130" s="12"/>
      <c r="DZ130" s="13"/>
      <c r="EQ130" s="12"/>
      <c r="EX130" s="13"/>
      <c r="EY130" s="214"/>
      <c r="EZ130" s="208"/>
      <c r="GV130" s="13"/>
      <c r="GY130" s="13"/>
      <c r="GZ130" s="12"/>
      <c r="HC130" s="13"/>
      <c r="IE130" s="13"/>
      <c r="JT130" s="12"/>
      <c r="JW130" s="12"/>
      <c r="LC130" s="12"/>
      <c r="LD130" s="13"/>
      <c r="NT130" s="13"/>
      <c r="NW130" s="13"/>
    </row>
    <row r="131" spans="76:387" ht="10.75" customHeight="1">
      <c r="BX131" s="12"/>
      <c r="DO131" s="13"/>
      <c r="DS131" s="12"/>
      <c r="DZ131" s="13"/>
      <c r="EQ131" s="12"/>
      <c r="EX131" s="13"/>
      <c r="EY131" s="214"/>
      <c r="EZ131" s="208"/>
      <c r="GV131" s="13"/>
      <c r="GY131" s="13"/>
      <c r="GZ131" s="12"/>
      <c r="HC131" s="13"/>
      <c r="IE131" s="13"/>
      <c r="JT131" s="12"/>
      <c r="JW131" s="12"/>
      <c r="LC131" s="12"/>
      <c r="LD131" s="13"/>
      <c r="NT131" s="13"/>
      <c r="NW131" s="13"/>
    </row>
    <row r="132" spans="76:387" ht="10.75" customHeight="1">
      <c r="BX132" s="12"/>
      <c r="DO132" s="13"/>
      <c r="DS132" s="12"/>
      <c r="DZ132" s="13"/>
      <c r="EQ132" s="12"/>
      <c r="EX132" s="13"/>
      <c r="EY132" s="214"/>
      <c r="EZ132" s="208"/>
      <c r="GV132" s="13"/>
      <c r="GY132" s="13"/>
      <c r="GZ132" s="12"/>
      <c r="HC132" s="13"/>
      <c r="IE132" s="13"/>
      <c r="JT132" s="12"/>
      <c r="JW132" s="12"/>
      <c r="LC132" s="12"/>
      <c r="LD132" s="13"/>
      <c r="NT132" s="13"/>
      <c r="NW132" s="13"/>
    </row>
    <row r="133" spans="76:387" ht="10.75" customHeight="1">
      <c r="BX133" s="12"/>
      <c r="DO133" s="13"/>
      <c r="DS133" s="12"/>
      <c r="DZ133" s="13"/>
      <c r="EQ133" s="12"/>
      <c r="EX133" s="13"/>
      <c r="EY133" s="214"/>
      <c r="EZ133" s="208"/>
      <c r="GV133" s="13"/>
      <c r="GY133" s="13"/>
      <c r="GZ133" s="12"/>
      <c r="HC133" s="13"/>
      <c r="IE133" s="13"/>
      <c r="JT133" s="12"/>
      <c r="JW133" s="12"/>
      <c r="LC133" s="12"/>
      <c r="LD133" s="13"/>
      <c r="NT133" s="13"/>
      <c r="NW133" s="13"/>
    </row>
    <row r="134" spans="76:387" ht="10.75" customHeight="1">
      <c r="BX134" s="12"/>
      <c r="DO134" s="13"/>
      <c r="DS134" s="12"/>
      <c r="DZ134" s="13"/>
      <c r="EQ134" s="12"/>
      <c r="EX134" s="13"/>
      <c r="EY134" s="214"/>
      <c r="EZ134" s="208"/>
      <c r="GV134" s="13"/>
      <c r="GY134" s="13"/>
      <c r="GZ134" s="12"/>
      <c r="HC134" s="13"/>
      <c r="IE134" s="13"/>
      <c r="JT134" s="12"/>
      <c r="JW134" s="12"/>
      <c r="LC134" s="12"/>
      <c r="LD134" s="13"/>
      <c r="NT134" s="13"/>
      <c r="NW134" s="13"/>
    </row>
    <row r="135" spans="76:387" ht="10.75" customHeight="1">
      <c r="BX135" s="12"/>
      <c r="DO135" s="13"/>
      <c r="DS135" s="12"/>
      <c r="DZ135" s="13"/>
      <c r="EQ135" s="14"/>
      <c r="ER135" s="15"/>
      <c r="ES135" s="15"/>
      <c r="ET135" s="15"/>
      <c r="EU135" s="15"/>
      <c r="EV135" s="15"/>
      <c r="EW135" s="15"/>
      <c r="EX135" s="16"/>
      <c r="EY135" s="236"/>
      <c r="EZ135" s="209"/>
      <c r="GV135" s="13"/>
      <c r="GY135" s="13"/>
      <c r="GZ135" s="12"/>
      <c r="HC135" s="13"/>
      <c r="IE135" s="13"/>
      <c r="JT135" s="12"/>
      <c r="JW135" s="12"/>
      <c r="LC135" s="12"/>
      <c r="LD135" s="13"/>
      <c r="NT135" s="13"/>
      <c r="NW135" s="13"/>
    </row>
    <row r="136" spans="76:387" ht="10.75" customHeight="1">
      <c r="BX136" s="12"/>
      <c r="DO136" s="13"/>
      <c r="DS136" s="12"/>
      <c r="DZ136" s="13"/>
      <c r="GV136" s="13"/>
      <c r="GY136" s="13"/>
      <c r="GZ136" s="12"/>
      <c r="HC136" s="13"/>
      <c r="IE136" s="13"/>
      <c r="JT136" s="12"/>
      <c r="JW136" s="12"/>
      <c r="LC136" s="14"/>
      <c r="LD136" s="16"/>
      <c r="NT136" s="13"/>
      <c r="NW136" s="13"/>
    </row>
    <row r="137" spans="76:387" ht="10.75" customHeight="1">
      <c r="BX137" s="12"/>
      <c r="DO137" s="13"/>
      <c r="DS137" s="12"/>
      <c r="DZ137" s="13"/>
      <c r="GV137" s="13"/>
      <c r="GY137" s="13"/>
      <c r="GZ137" s="12"/>
      <c r="HC137" s="13"/>
      <c r="IE137" s="13"/>
      <c r="JT137" s="12"/>
      <c r="JW137" s="12"/>
      <c r="KE137" s="9"/>
      <c r="KF137" s="10"/>
      <c r="KG137" s="10"/>
      <c r="KH137" s="10"/>
      <c r="KI137" s="10"/>
      <c r="KJ137" s="10"/>
      <c r="KK137" s="10"/>
      <c r="KL137" s="10"/>
      <c r="KM137" s="10"/>
      <c r="KN137" s="10"/>
      <c r="KO137" s="10"/>
      <c r="KP137" s="10"/>
      <c r="KQ137" s="10"/>
      <c r="KR137" s="10"/>
      <c r="KS137" s="10"/>
      <c r="KT137" s="10"/>
      <c r="KU137" s="10"/>
      <c r="KV137" s="10"/>
      <c r="KW137" s="10"/>
      <c r="KX137" s="10"/>
      <c r="KY137" s="10"/>
      <c r="KZ137" s="10"/>
      <c r="LA137" s="10"/>
      <c r="LB137" s="10"/>
      <c r="NT137" s="13"/>
      <c r="NW137" s="13"/>
    </row>
    <row r="138" spans="76:387" ht="10.75" customHeight="1">
      <c r="BX138" s="12"/>
      <c r="DO138" s="13"/>
      <c r="DS138" s="12"/>
      <c r="DZ138" s="13"/>
      <c r="GV138" s="13"/>
      <c r="GY138" s="13"/>
      <c r="GZ138" s="12"/>
      <c r="HC138" s="13"/>
      <c r="IE138" s="13"/>
      <c r="JT138" s="12"/>
      <c r="JW138" s="12"/>
      <c r="KE138" s="12"/>
      <c r="NT138" s="13"/>
      <c r="NW138" s="13"/>
    </row>
    <row r="139" spans="76:387" ht="10.75" customHeight="1">
      <c r="BX139" s="12"/>
      <c r="DO139" s="13"/>
      <c r="DS139" s="12"/>
      <c r="DZ139" s="13"/>
      <c r="GV139" s="13"/>
      <c r="GY139" s="13"/>
      <c r="GZ139" s="12"/>
      <c r="HC139" s="13"/>
      <c r="IE139" s="13"/>
      <c r="JT139" s="12"/>
      <c r="JW139" s="12"/>
      <c r="KE139" s="12"/>
      <c r="NT139" s="13"/>
      <c r="NW139" s="13"/>
    </row>
    <row r="140" spans="76:387" ht="10.75" customHeight="1">
      <c r="BX140" s="12"/>
      <c r="DO140" s="13"/>
      <c r="DS140" s="12"/>
      <c r="DZ140" s="13"/>
      <c r="GV140" s="13"/>
      <c r="GY140" s="13"/>
      <c r="GZ140" s="12"/>
      <c r="HC140" s="13"/>
      <c r="IE140" s="13"/>
      <c r="JT140" s="12"/>
      <c r="JW140" s="12"/>
      <c r="KE140" s="12"/>
      <c r="NT140" s="13"/>
      <c r="NW140" s="13"/>
    </row>
    <row r="141" spans="76:387" ht="10.75" customHeight="1">
      <c r="BX141" s="12"/>
      <c r="DO141" s="13"/>
      <c r="DS141" s="12"/>
      <c r="DZ141" s="13"/>
      <c r="GV141" s="13"/>
      <c r="GY141" s="13"/>
      <c r="GZ141" s="12"/>
      <c r="HC141" s="13"/>
      <c r="IE141" s="13"/>
      <c r="JT141" s="12"/>
      <c r="JW141" s="12"/>
      <c r="KE141" s="12"/>
      <c r="NT141" s="13"/>
      <c r="NW141" s="13"/>
    </row>
    <row r="142" spans="76:387" ht="10.75" customHeight="1">
      <c r="BX142" s="12"/>
      <c r="DO142" s="13"/>
      <c r="DS142" s="12"/>
      <c r="DZ142" s="13"/>
      <c r="GV142" s="13"/>
      <c r="GY142" s="13"/>
      <c r="GZ142" s="12"/>
      <c r="HC142" s="13"/>
      <c r="IE142" s="13"/>
      <c r="JT142" s="12"/>
      <c r="JW142" s="12"/>
      <c r="KE142" s="12"/>
      <c r="NT142" s="13"/>
      <c r="NW142" s="13"/>
    </row>
    <row r="143" spans="76:387" ht="10.75" customHeight="1">
      <c r="BX143" s="12"/>
      <c r="DO143" s="13"/>
      <c r="DS143" s="12"/>
      <c r="DZ143" s="13"/>
      <c r="GV143" s="13"/>
      <c r="GY143" s="13"/>
      <c r="GZ143" s="12"/>
      <c r="HC143" s="13"/>
      <c r="IE143" s="13"/>
      <c r="JT143" s="12"/>
      <c r="JW143" s="12"/>
      <c r="KE143" s="12"/>
      <c r="NT143" s="13"/>
      <c r="NW143" s="13"/>
    </row>
    <row r="144" spans="76:387" ht="10.75" customHeight="1">
      <c r="BX144" s="12"/>
      <c r="DO144" s="13"/>
      <c r="DS144" s="12"/>
      <c r="DZ144" s="13"/>
      <c r="GV144" s="13"/>
      <c r="GY144" s="13"/>
      <c r="GZ144" s="12"/>
      <c r="HC144" s="13"/>
      <c r="IE144" s="13"/>
      <c r="JT144" s="12"/>
      <c r="JW144" s="12"/>
      <c r="KE144" s="12"/>
      <c r="NT144" s="13"/>
      <c r="NW144" s="13"/>
    </row>
    <row r="145" spans="76:387" ht="10.75" customHeight="1">
      <c r="BX145" s="12"/>
      <c r="DO145" s="13"/>
      <c r="DS145" s="12"/>
      <c r="DZ145" s="13"/>
      <c r="GV145" s="13"/>
      <c r="GY145" s="13"/>
      <c r="GZ145" s="12"/>
      <c r="HC145" s="13"/>
      <c r="IE145" s="13"/>
      <c r="JT145" s="12"/>
      <c r="JW145" s="12"/>
      <c r="KE145" s="12"/>
      <c r="NT145" s="13"/>
      <c r="NW145" s="13"/>
    </row>
    <row r="146" spans="76:387" ht="10.75" customHeight="1">
      <c r="BX146" s="12"/>
      <c r="DO146" s="13"/>
      <c r="DS146" s="12"/>
      <c r="DZ146" s="13"/>
      <c r="GV146" s="13"/>
      <c r="GY146" s="13"/>
      <c r="GZ146" s="12"/>
      <c r="HC146" s="13"/>
      <c r="IE146" s="13"/>
      <c r="JT146" s="12"/>
      <c r="JW146" s="12"/>
      <c r="KE146" s="12"/>
      <c r="NT146" s="13"/>
      <c r="NW146" s="13"/>
    </row>
    <row r="147" spans="76:387" ht="10.75" customHeight="1">
      <c r="BX147" s="12"/>
      <c r="DO147" s="13"/>
      <c r="DS147" s="12"/>
      <c r="DZ147" s="13"/>
      <c r="GV147" s="13"/>
      <c r="GY147" s="13"/>
      <c r="GZ147" s="12"/>
      <c r="HC147" s="13"/>
      <c r="IE147" s="13"/>
      <c r="JT147" s="12"/>
      <c r="JW147" s="12"/>
      <c r="KE147" s="12"/>
      <c r="NT147" s="13"/>
      <c r="NW147" s="13"/>
    </row>
    <row r="148" spans="76:387" ht="10.75" customHeight="1">
      <c r="BX148" s="12"/>
      <c r="DO148" s="13"/>
      <c r="DS148" s="12"/>
      <c r="DZ148" s="13"/>
      <c r="GV148" s="13"/>
      <c r="GY148" s="13"/>
      <c r="GZ148" s="12"/>
      <c r="HC148" s="13"/>
      <c r="IE148" s="13"/>
      <c r="JT148" s="12"/>
      <c r="JW148" s="12"/>
      <c r="KE148" s="12"/>
      <c r="NT148" s="13"/>
      <c r="NW148" s="13"/>
    </row>
    <row r="149" spans="76:387" ht="10.75" customHeight="1">
      <c r="BX149" s="12"/>
      <c r="DO149" s="13"/>
      <c r="DS149" s="12"/>
      <c r="DZ149" s="13"/>
      <c r="GV149" s="13"/>
      <c r="GY149" s="13"/>
      <c r="GZ149" s="12"/>
      <c r="HC149" s="13"/>
      <c r="IE149" s="13"/>
      <c r="JT149" s="12"/>
      <c r="JW149" s="12"/>
      <c r="KE149" s="12"/>
      <c r="NT149" s="13"/>
      <c r="NW149" s="13"/>
    </row>
    <row r="150" spans="76:387" ht="10.75" customHeight="1">
      <c r="BX150" s="12"/>
      <c r="DO150" s="13"/>
      <c r="DS150" s="12"/>
      <c r="DZ150" s="13"/>
      <c r="GV150" s="13"/>
      <c r="GY150" s="13"/>
      <c r="GZ150" s="12"/>
      <c r="HC150" s="13"/>
      <c r="IE150" s="13"/>
      <c r="JT150" s="12"/>
      <c r="JW150" s="12"/>
      <c r="KE150" s="12"/>
      <c r="NT150" s="13"/>
      <c r="NW150" s="13"/>
    </row>
    <row r="151" spans="76:387" ht="10.75" customHeight="1">
      <c r="BX151" s="12"/>
      <c r="DO151" s="13"/>
      <c r="DS151" s="14"/>
      <c r="DT151" s="15"/>
      <c r="DU151" s="15"/>
      <c r="DV151" s="15"/>
      <c r="DW151" s="15"/>
      <c r="DX151" s="15"/>
      <c r="DY151" s="15"/>
      <c r="DZ151" s="16"/>
      <c r="EA151" s="15"/>
      <c r="EB151" s="15"/>
      <c r="EC151" s="15"/>
      <c r="ED151" s="15"/>
      <c r="EE151" s="15"/>
      <c r="EF151" s="15"/>
      <c r="EG151" s="15"/>
      <c r="EH151" s="15"/>
      <c r="EI151" s="15"/>
      <c r="EJ151" s="15"/>
      <c r="EK151" s="15"/>
      <c r="EL151" s="15"/>
      <c r="EM151" s="15"/>
      <c r="EN151" s="15"/>
      <c r="EO151" s="15"/>
      <c r="EP151" s="15"/>
      <c r="EQ151" s="15"/>
      <c r="ER151" s="15"/>
      <c r="ES151" s="15"/>
      <c r="ET151" s="15"/>
      <c r="EU151" s="15"/>
      <c r="EV151" s="15"/>
      <c r="EW151" s="15"/>
      <c r="EX151" s="15"/>
      <c r="EY151" s="15"/>
      <c r="EZ151" s="15"/>
      <c r="FA151" s="15"/>
      <c r="FB151" s="15"/>
      <c r="FC151" s="15"/>
      <c r="FD151" s="15"/>
      <c r="FE151" s="15"/>
      <c r="FF151" s="15"/>
      <c r="FG151" s="15"/>
      <c r="FH151" s="15"/>
      <c r="FI151" s="15"/>
      <c r="FJ151" s="15"/>
      <c r="FK151" s="15"/>
      <c r="FL151" s="15"/>
      <c r="FM151" s="15"/>
      <c r="FN151" s="15"/>
      <c r="FO151" s="15"/>
      <c r="FP151" s="15"/>
      <c r="FQ151" s="15"/>
      <c r="FR151" s="15"/>
      <c r="FS151" s="15"/>
      <c r="FT151" s="15"/>
      <c r="FU151" s="15"/>
      <c r="FV151" s="15"/>
      <c r="FW151" s="15"/>
      <c r="FX151" s="15"/>
      <c r="FY151" s="15"/>
      <c r="FZ151" s="15"/>
      <c r="GA151" s="15"/>
      <c r="GB151" s="15"/>
      <c r="GC151" s="15"/>
      <c r="GD151" s="15"/>
      <c r="GE151" s="15"/>
      <c r="GF151" s="15"/>
      <c r="GG151" s="15"/>
      <c r="GH151" s="15"/>
      <c r="GI151" s="15"/>
      <c r="GJ151" s="15"/>
      <c r="GK151" s="15"/>
      <c r="GL151" s="15"/>
      <c r="GM151" s="15"/>
      <c r="GN151" s="15"/>
      <c r="GO151" s="15"/>
      <c r="GP151" s="15"/>
      <c r="GQ151" s="15"/>
      <c r="GR151" s="15"/>
      <c r="GS151" s="15"/>
      <c r="GT151" s="15"/>
      <c r="GU151" s="15"/>
      <c r="GV151" s="16"/>
      <c r="GY151" s="13"/>
      <c r="GZ151" s="12"/>
      <c r="HC151" s="13"/>
      <c r="IE151" s="13"/>
      <c r="JT151" s="12"/>
      <c r="JW151" s="12"/>
      <c r="KE151" s="12"/>
      <c r="NT151" s="13"/>
      <c r="NW151" s="13"/>
    </row>
    <row r="152" spans="76:387" ht="10.75" customHeight="1">
      <c r="BX152" s="12"/>
      <c r="CB152" s="96"/>
      <c r="CC152" s="97"/>
      <c r="CD152" s="97"/>
      <c r="CE152" s="97"/>
      <c r="DO152" s="13"/>
      <c r="EL152" s="97"/>
      <c r="EM152" s="97"/>
      <c r="EN152" s="97"/>
      <c r="EO152" s="97"/>
      <c r="GV152" s="97"/>
      <c r="GW152" s="97"/>
      <c r="GX152" s="97"/>
      <c r="GY152" s="98"/>
      <c r="GZ152" s="12"/>
      <c r="HC152" s="13"/>
      <c r="IE152" s="13"/>
      <c r="JT152" s="12"/>
      <c r="JW152" s="12"/>
      <c r="KE152" s="12"/>
      <c r="NT152" s="13"/>
      <c r="NW152" s="13"/>
    </row>
    <row r="153" spans="76:387" ht="10.75" customHeight="1">
      <c r="BX153" s="12"/>
      <c r="CB153" s="96"/>
      <c r="CC153" s="97"/>
      <c r="CD153" s="97"/>
      <c r="CE153" s="97"/>
      <c r="DO153" s="13"/>
      <c r="EL153" s="97"/>
      <c r="EM153" s="97"/>
      <c r="EN153" s="97"/>
      <c r="EO153" s="97"/>
      <c r="GV153" s="97"/>
      <c r="GW153" s="97"/>
      <c r="GX153" s="97"/>
      <c r="GY153" s="98"/>
      <c r="GZ153" s="12"/>
      <c r="HC153" s="13"/>
      <c r="IE153" s="13"/>
      <c r="JT153" s="12"/>
      <c r="JW153" s="12"/>
      <c r="KE153" s="12"/>
      <c r="NT153" s="13"/>
      <c r="NW153" s="13"/>
    </row>
    <row r="154" spans="76:387" ht="10.75" customHeight="1">
      <c r="BX154" s="12"/>
      <c r="CB154" s="59"/>
      <c r="CC154" s="60"/>
      <c r="CD154" s="60"/>
      <c r="CE154" s="60"/>
      <c r="DO154" s="13"/>
      <c r="DP154" s="15"/>
      <c r="DQ154" s="15"/>
      <c r="DR154" s="15"/>
      <c r="DS154" s="15"/>
      <c r="DT154" s="15"/>
      <c r="DU154" s="15"/>
      <c r="DV154" s="15"/>
      <c r="DW154" s="15"/>
      <c r="DX154" s="15"/>
      <c r="DY154" s="15"/>
      <c r="DZ154" s="15"/>
      <c r="EA154" s="15"/>
      <c r="EB154" s="15"/>
      <c r="EC154" s="15"/>
      <c r="ED154" s="15"/>
      <c r="EE154" s="15"/>
      <c r="EF154" s="15"/>
      <c r="EG154" s="15"/>
      <c r="EH154" s="15"/>
      <c r="EI154" s="15"/>
      <c r="EJ154" s="15"/>
      <c r="EK154" s="15"/>
      <c r="EL154" s="60"/>
      <c r="EM154" s="60"/>
      <c r="EN154" s="60"/>
      <c r="EO154" s="60"/>
      <c r="EP154" s="15"/>
      <c r="EQ154" s="15"/>
      <c r="ER154" s="15"/>
      <c r="ES154" s="15"/>
      <c r="ET154" s="15"/>
      <c r="EU154" s="15"/>
      <c r="EV154" s="15"/>
      <c r="EW154" s="15"/>
      <c r="EX154" s="15"/>
      <c r="EY154" s="15"/>
      <c r="EZ154" s="15"/>
      <c r="FA154" s="15"/>
      <c r="FB154" s="15"/>
      <c r="FC154" s="15"/>
      <c r="FD154" s="15"/>
      <c r="FE154" s="15"/>
      <c r="FF154" s="15"/>
      <c r="FG154" s="15"/>
      <c r="FH154" s="15"/>
      <c r="FI154" s="15"/>
      <c r="FJ154" s="15"/>
      <c r="FK154" s="15"/>
      <c r="FL154" s="15"/>
      <c r="FM154" s="15"/>
      <c r="FN154" s="15"/>
      <c r="FO154" s="15"/>
      <c r="FP154" s="15"/>
      <c r="FQ154" s="15"/>
      <c r="FR154" s="15"/>
      <c r="FS154" s="15"/>
      <c r="FT154" s="15"/>
      <c r="FU154" s="15"/>
      <c r="FV154" s="15"/>
      <c r="FW154" s="15"/>
      <c r="FX154" s="15"/>
      <c r="FY154" s="15"/>
      <c r="FZ154" s="15"/>
      <c r="GA154" s="15"/>
      <c r="GB154" s="15"/>
      <c r="GC154" s="15"/>
      <c r="GD154" s="15"/>
      <c r="GE154" s="15"/>
      <c r="GF154" s="15"/>
      <c r="GG154" s="15"/>
      <c r="GH154" s="15"/>
      <c r="GI154" s="15"/>
      <c r="GJ154" s="15"/>
      <c r="GK154" s="15"/>
      <c r="GL154" s="15"/>
      <c r="GM154" s="15"/>
      <c r="GN154" s="15"/>
      <c r="GO154" s="15"/>
      <c r="GP154" s="15"/>
      <c r="GQ154" s="15"/>
      <c r="GR154" s="15"/>
      <c r="GS154" s="15"/>
      <c r="GT154" s="15"/>
      <c r="GU154" s="15"/>
      <c r="GV154" s="60"/>
      <c r="GW154" s="60"/>
      <c r="GX154" s="60"/>
      <c r="GY154" s="61"/>
      <c r="GZ154" s="12"/>
      <c r="HC154" s="13"/>
      <c r="IE154" s="13"/>
      <c r="JT154" s="12"/>
      <c r="JW154" s="12"/>
      <c r="KE154" s="14"/>
      <c r="KF154" s="15"/>
      <c r="KG154" s="15"/>
      <c r="KH154" s="15"/>
      <c r="KI154" s="15"/>
      <c r="KJ154" s="15"/>
      <c r="KK154" s="15"/>
      <c r="KL154" s="15"/>
      <c r="KM154" s="15"/>
      <c r="KN154" s="15"/>
      <c r="KO154" s="15"/>
      <c r="KP154" s="15"/>
      <c r="KQ154" s="15"/>
      <c r="KR154" s="15"/>
      <c r="KS154" s="15"/>
      <c r="KT154" s="15"/>
      <c r="KU154" s="15"/>
      <c r="KV154" s="15"/>
      <c r="KW154" s="15"/>
      <c r="KX154" s="15"/>
      <c r="KY154" s="15"/>
      <c r="KZ154" s="15"/>
      <c r="LA154" s="15"/>
      <c r="LB154" s="15"/>
      <c r="NT154" s="13"/>
      <c r="NW154" s="13"/>
    </row>
    <row r="155" spans="76:387" ht="10.75" customHeight="1">
      <c r="BX155" s="12"/>
      <c r="DP155" s="9"/>
      <c r="DQ155" s="10"/>
      <c r="DR155" s="10"/>
      <c r="DS155" s="10"/>
      <c r="DT155" s="10"/>
      <c r="DU155" s="10"/>
      <c r="DV155" s="10"/>
      <c r="DW155" s="10"/>
      <c r="DX155" s="10"/>
      <c r="DY155" s="10"/>
      <c r="DZ155" s="10"/>
      <c r="EA155" s="10"/>
      <c r="EB155" s="10"/>
      <c r="EC155" s="10"/>
      <c r="ED155" s="10"/>
      <c r="EE155" s="10"/>
      <c r="EF155" s="10"/>
      <c r="EG155" s="10"/>
      <c r="EH155" s="10"/>
      <c r="EI155" s="10"/>
      <c r="EJ155" s="10"/>
      <c r="EK155" s="10"/>
      <c r="EL155" s="10"/>
      <c r="EM155" s="10"/>
      <c r="EN155" s="10"/>
      <c r="EO155" s="10"/>
      <c r="EP155" s="10"/>
      <c r="EQ155" s="10"/>
      <c r="ER155" s="10"/>
      <c r="ES155" s="10"/>
      <c r="ET155" s="10"/>
      <c r="EU155" s="10"/>
      <c r="EV155" s="10"/>
      <c r="EW155" s="10"/>
      <c r="EX155" s="10"/>
      <c r="EY155" s="10"/>
      <c r="EZ155" s="10"/>
      <c r="FA155" s="10"/>
      <c r="FB155" s="10"/>
      <c r="FC155" s="10"/>
      <c r="FD155" s="10"/>
      <c r="FE155" s="10"/>
      <c r="FF155" s="10"/>
      <c r="FG155" s="10"/>
      <c r="FH155" s="10"/>
      <c r="FI155" s="10"/>
      <c r="FJ155" s="10"/>
      <c r="FK155" s="10"/>
      <c r="FL155" s="10"/>
      <c r="FM155" s="10"/>
      <c r="FN155" s="10"/>
      <c r="FO155" s="10"/>
      <c r="FP155" s="10"/>
      <c r="FQ155" s="10"/>
      <c r="FR155" s="10"/>
      <c r="FS155" s="10"/>
      <c r="FT155" s="10"/>
      <c r="FU155" s="10"/>
      <c r="FV155" s="10"/>
      <c r="FW155" s="10"/>
      <c r="FX155" s="10"/>
      <c r="FY155" s="10"/>
      <c r="FZ155" s="10"/>
      <c r="GA155" s="10"/>
      <c r="GB155" s="10"/>
      <c r="GC155" s="10"/>
      <c r="GD155" s="10"/>
      <c r="GE155" s="10"/>
      <c r="GF155" s="10"/>
      <c r="GG155" s="10"/>
      <c r="GH155" s="10"/>
      <c r="GI155" s="10"/>
      <c r="GJ155" s="10"/>
      <c r="GK155" s="10"/>
      <c r="GL155" s="10"/>
      <c r="GM155" s="10"/>
      <c r="GN155" s="10"/>
      <c r="GO155" s="10"/>
      <c r="GP155" s="10"/>
      <c r="GQ155" s="10"/>
      <c r="GR155" s="10"/>
      <c r="GS155" s="10"/>
      <c r="GT155" s="10"/>
      <c r="GU155" s="10"/>
      <c r="GV155" s="10"/>
      <c r="GW155" s="10"/>
      <c r="GX155" s="10"/>
      <c r="GY155" s="10"/>
      <c r="HC155" s="13"/>
      <c r="IE155" s="13"/>
      <c r="JT155" s="12"/>
      <c r="JW155" s="12"/>
      <c r="LC155" s="9"/>
      <c r="LD155" s="11"/>
      <c r="NT155" s="13"/>
      <c r="NW155" s="13"/>
    </row>
    <row r="156" spans="76:387" ht="10.75" customHeight="1">
      <c r="BX156" s="12"/>
      <c r="DP156" s="12"/>
      <c r="HC156" s="13"/>
      <c r="IE156" s="13"/>
      <c r="JT156" s="12"/>
      <c r="JW156" s="12"/>
      <c r="LC156" s="12"/>
      <c r="LD156" s="13"/>
      <c r="NT156" s="13"/>
      <c r="NW156" s="13"/>
    </row>
    <row r="157" spans="76:387" ht="10.75" customHeight="1">
      <c r="BX157" s="12"/>
      <c r="DP157" s="12"/>
      <c r="HC157" s="13"/>
      <c r="IE157" s="13"/>
      <c r="JT157" s="12"/>
      <c r="JW157" s="12"/>
      <c r="LC157" s="12"/>
      <c r="LD157" s="13"/>
      <c r="NT157" s="13"/>
      <c r="NW157" s="13"/>
    </row>
    <row r="158" spans="76:387" ht="10.75" customHeight="1">
      <c r="BX158" s="14"/>
      <c r="BY158" s="15"/>
      <c r="BZ158" s="15"/>
      <c r="CA158" s="15"/>
      <c r="CB158" s="15"/>
      <c r="CC158" s="15"/>
      <c r="CD158" s="15"/>
      <c r="CE158" s="15"/>
      <c r="CF158" s="15"/>
      <c r="CG158" s="15"/>
      <c r="CH158" s="15"/>
      <c r="CI158" s="15"/>
      <c r="CJ158" s="15"/>
      <c r="CK158" s="15"/>
      <c r="CL158" s="15"/>
      <c r="CM158" s="15"/>
      <c r="CN158" s="15"/>
      <c r="CO158" s="15"/>
      <c r="CP158" s="15"/>
      <c r="CQ158" s="15"/>
      <c r="CR158" s="15"/>
      <c r="CS158" s="15"/>
      <c r="CT158" s="15"/>
      <c r="CU158" s="15"/>
      <c r="CV158" s="15"/>
      <c r="CW158" s="15"/>
      <c r="CX158" s="15"/>
      <c r="CY158" s="15"/>
      <c r="CZ158" s="15"/>
      <c r="DA158" s="15"/>
      <c r="DB158" s="15"/>
      <c r="DC158" s="15"/>
      <c r="DD158" s="15"/>
      <c r="DE158" s="15"/>
      <c r="DF158" s="15"/>
      <c r="DG158" s="15"/>
      <c r="DH158" s="15"/>
      <c r="DI158" s="15"/>
      <c r="DJ158" s="15"/>
      <c r="DK158" s="15"/>
      <c r="DL158" s="15"/>
      <c r="DM158" s="15"/>
      <c r="DN158" s="15"/>
      <c r="DO158" s="15"/>
      <c r="DP158" s="14"/>
      <c r="DQ158" s="15"/>
      <c r="DR158" s="15"/>
      <c r="DS158" s="15"/>
      <c r="DT158" s="15"/>
      <c r="DU158" s="15"/>
      <c r="DV158" s="15"/>
      <c r="DW158" s="15"/>
      <c r="DX158" s="15"/>
      <c r="DY158" s="15"/>
      <c r="DZ158" s="15"/>
      <c r="EA158" s="15"/>
      <c r="EB158" s="15"/>
      <c r="EC158" s="15"/>
      <c r="ED158" s="15"/>
      <c r="EE158" s="15"/>
      <c r="EF158" s="15"/>
      <c r="EG158" s="15"/>
      <c r="EH158" s="15"/>
      <c r="EI158" s="15"/>
      <c r="EJ158" s="15"/>
      <c r="EK158" s="15"/>
      <c r="EL158" s="15"/>
      <c r="EM158" s="15"/>
      <c r="EN158" s="15"/>
      <c r="EO158" s="15"/>
      <c r="EP158" s="15"/>
      <c r="EQ158" s="15"/>
      <c r="ER158" s="15"/>
      <c r="ES158" s="15"/>
      <c r="ET158" s="15"/>
      <c r="EU158" s="15"/>
      <c r="EV158" s="15"/>
      <c r="EW158" s="15"/>
      <c r="EX158" s="15"/>
      <c r="EY158" s="15"/>
      <c r="EZ158" s="15"/>
      <c r="FA158" s="15"/>
      <c r="FB158" s="15"/>
      <c r="FC158" s="15"/>
      <c r="FD158" s="15"/>
      <c r="FE158" s="15"/>
      <c r="FF158" s="15"/>
      <c r="FG158" s="15"/>
      <c r="FH158" s="15"/>
      <c r="FI158" s="15"/>
      <c r="FJ158" s="15"/>
      <c r="FK158" s="15"/>
      <c r="FL158" s="15"/>
      <c r="FM158" s="15"/>
      <c r="FN158" s="15"/>
      <c r="FO158" s="15"/>
      <c r="FP158" s="15"/>
      <c r="FQ158" s="15"/>
      <c r="FR158" s="15"/>
      <c r="FS158" s="15"/>
      <c r="FT158" s="15"/>
      <c r="FU158" s="15"/>
      <c r="FV158" s="15"/>
      <c r="FW158" s="15"/>
      <c r="FX158" s="15"/>
      <c r="FY158" s="15"/>
      <c r="FZ158" s="15"/>
      <c r="GA158" s="15"/>
      <c r="GB158" s="15"/>
      <c r="GC158" s="15"/>
      <c r="GD158" s="15"/>
      <c r="GE158" s="15"/>
      <c r="GF158" s="15"/>
      <c r="GG158" s="15"/>
      <c r="GH158" s="15"/>
      <c r="GI158" s="15"/>
      <c r="GJ158" s="15"/>
      <c r="GK158" s="15"/>
      <c r="GL158" s="15"/>
      <c r="GM158" s="15"/>
      <c r="GN158" s="15"/>
      <c r="GO158" s="15"/>
      <c r="GP158" s="15"/>
      <c r="GQ158" s="15"/>
      <c r="GR158" s="15"/>
      <c r="GS158" s="15"/>
      <c r="GT158" s="15"/>
      <c r="GU158" s="15"/>
      <c r="GV158" s="15"/>
      <c r="GW158" s="15"/>
      <c r="GX158" s="15"/>
      <c r="GY158" s="15"/>
      <c r="GZ158" s="15"/>
      <c r="HA158" s="15"/>
      <c r="HB158" s="15"/>
      <c r="HC158" s="16"/>
      <c r="IE158" s="13"/>
      <c r="JT158" s="12"/>
      <c r="JW158" s="12"/>
      <c r="LC158" s="12"/>
      <c r="LD158" s="13"/>
      <c r="NT158" s="13"/>
      <c r="NW158" s="13"/>
    </row>
    <row r="159" spans="76:387" ht="10.75" customHeight="1">
      <c r="DP159" s="12"/>
      <c r="IE159" s="13"/>
      <c r="JT159" s="12"/>
      <c r="JW159" s="12"/>
      <c r="LC159" s="12"/>
      <c r="LD159" s="13"/>
      <c r="NT159" s="13"/>
      <c r="NW159" s="13"/>
    </row>
    <row r="160" spans="76:387" ht="10.75" customHeight="1">
      <c r="DP160" s="12"/>
      <c r="IE160" s="13"/>
      <c r="JT160" s="12"/>
      <c r="JW160" s="12"/>
      <c r="LC160" s="12"/>
      <c r="LD160" s="13"/>
      <c r="NT160" s="13"/>
      <c r="NW160" s="13"/>
    </row>
    <row r="161" spans="120:387" ht="10.75" customHeight="1">
      <c r="DP161" s="12"/>
      <c r="IE161" s="13"/>
      <c r="JT161" s="12"/>
      <c r="JW161" s="12"/>
      <c r="LC161" s="12"/>
      <c r="LD161" s="13"/>
      <c r="NT161" s="13"/>
      <c r="NW161" s="13"/>
    </row>
    <row r="162" spans="120:387" ht="10.75" customHeight="1">
      <c r="DP162" s="12"/>
      <c r="IE162" s="13"/>
      <c r="JT162" s="12"/>
      <c r="JW162" s="14"/>
      <c r="JX162" s="15"/>
      <c r="JY162" s="15"/>
      <c r="JZ162" s="15"/>
      <c r="KA162" s="15"/>
      <c r="KB162" s="15"/>
      <c r="KC162" s="15"/>
      <c r="KD162" s="15"/>
      <c r="KE162" s="15"/>
      <c r="KF162" s="15"/>
      <c r="KG162" s="15"/>
      <c r="KH162" s="15"/>
      <c r="KI162" s="15"/>
      <c r="KJ162" s="15"/>
      <c r="KK162" s="15"/>
      <c r="KL162" s="15"/>
      <c r="KM162" s="15"/>
      <c r="KN162" s="15"/>
      <c r="KO162" s="15"/>
      <c r="KP162" s="15"/>
      <c r="KQ162" s="15"/>
      <c r="KR162" s="15"/>
      <c r="KS162" s="15"/>
      <c r="KT162" s="15"/>
      <c r="KU162" s="15"/>
      <c r="KV162" s="15"/>
      <c r="KW162" s="15"/>
      <c r="KX162" s="15"/>
      <c r="KY162" s="15"/>
      <c r="KZ162" s="15"/>
      <c r="LA162" s="15"/>
      <c r="LB162" s="15"/>
      <c r="LC162" s="14"/>
      <c r="LD162" s="16"/>
      <c r="LE162" s="15"/>
      <c r="LF162" s="15"/>
      <c r="LG162" s="15"/>
      <c r="LH162" s="15"/>
      <c r="LI162" s="15"/>
      <c r="LJ162" s="15"/>
      <c r="LK162" s="15"/>
      <c r="LL162" s="15"/>
      <c r="LM162" s="15"/>
      <c r="LN162" s="15"/>
      <c r="LO162" s="15"/>
      <c r="LP162" s="15"/>
      <c r="LQ162" s="15"/>
      <c r="LR162" s="15"/>
      <c r="LS162" s="15"/>
      <c r="LT162" s="15"/>
      <c r="LU162" s="15"/>
      <c r="LV162" s="15"/>
      <c r="LW162" s="15"/>
      <c r="LX162" s="15"/>
      <c r="LY162" s="15"/>
      <c r="LZ162" s="15"/>
      <c r="MA162" s="15"/>
      <c r="MB162" s="15"/>
      <c r="MC162" s="15"/>
      <c r="MD162" s="15"/>
      <c r="ME162" s="15"/>
      <c r="MF162" s="15"/>
      <c r="MG162" s="15"/>
      <c r="MH162" s="15"/>
      <c r="MI162" s="15"/>
      <c r="MJ162" s="15"/>
      <c r="MK162" s="15"/>
      <c r="ML162" s="15"/>
      <c r="MM162" s="15"/>
      <c r="MN162" s="15"/>
      <c r="MO162" s="15"/>
      <c r="MP162" s="15"/>
      <c r="MQ162" s="15"/>
      <c r="MR162" s="15"/>
      <c r="MS162" s="15"/>
      <c r="MT162" s="15"/>
      <c r="MU162" s="15"/>
      <c r="MV162" s="15"/>
      <c r="MW162" s="15"/>
      <c r="MX162" s="15"/>
      <c r="MY162" s="15"/>
      <c r="MZ162" s="15"/>
      <c r="NA162" s="15"/>
      <c r="NB162" s="15"/>
      <c r="NC162" s="15"/>
      <c r="ND162" s="15"/>
      <c r="NE162" s="15"/>
      <c r="NF162" s="15"/>
      <c r="NG162" s="15"/>
      <c r="NH162" s="15"/>
      <c r="NI162" s="15"/>
      <c r="NJ162" s="15"/>
      <c r="NK162" s="15"/>
      <c r="NL162" s="15"/>
      <c r="NM162" s="15"/>
      <c r="NN162" s="15"/>
      <c r="NO162" s="15"/>
      <c r="NP162" s="15"/>
      <c r="NQ162" s="15"/>
      <c r="NR162" s="15"/>
      <c r="NS162" s="15"/>
      <c r="NT162" s="16"/>
      <c r="NW162" s="13"/>
    </row>
    <row r="163" spans="120:387" ht="10.75" customHeight="1">
      <c r="DP163" s="12"/>
      <c r="IE163" s="13"/>
      <c r="JT163" s="12"/>
      <c r="NW163" s="13"/>
    </row>
    <row r="164" spans="120:387" ht="10.75" customHeight="1">
      <c r="DP164" s="12"/>
      <c r="IE164" s="13"/>
      <c r="JT164" s="12"/>
      <c r="NW164" s="13"/>
    </row>
    <row r="165" spans="120:387" ht="10.75" customHeight="1">
      <c r="DP165" s="12"/>
      <c r="IE165" s="13"/>
      <c r="JT165" s="14"/>
      <c r="JU165" s="15"/>
      <c r="JV165" s="15"/>
      <c r="JW165" s="15"/>
      <c r="JX165" s="15"/>
      <c r="JY165" s="15"/>
      <c r="JZ165" s="15"/>
      <c r="KA165" s="15"/>
      <c r="KB165" s="15"/>
      <c r="KC165" s="15"/>
      <c r="KD165" s="15"/>
      <c r="KE165" s="15"/>
      <c r="KF165" s="15"/>
      <c r="KG165" s="15"/>
      <c r="KH165" s="15"/>
      <c r="KI165" s="15"/>
      <c r="KJ165" s="15"/>
      <c r="KK165" s="15"/>
      <c r="KL165" s="15"/>
      <c r="KM165" s="15"/>
      <c r="KN165" s="15"/>
      <c r="KO165" s="15"/>
      <c r="KP165" s="15"/>
      <c r="KQ165" s="15"/>
      <c r="KR165" s="15"/>
      <c r="KS165" s="15"/>
      <c r="KT165" s="15"/>
      <c r="KU165" s="15"/>
      <c r="KV165" s="15"/>
      <c r="KW165" s="15"/>
      <c r="KX165" s="15"/>
      <c r="KY165" s="15"/>
      <c r="KZ165" s="15"/>
      <c r="LA165" s="15"/>
      <c r="LB165" s="15"/>
      <c r="LC165" s="15"/>
      <c r="LD165" s="15"/>
      <c r="LE165" s="15"/>
      <c r="LF165" s="15"/>
      <c r="LG165" s="15"/>
      <c r="LH165" s="15"/>
      <c r="LI165" s="15"/>
      <c r="LJ165" s="15"/>
      <c r="LK165" s="15"/>
      <c r="LL165" s="15"/>
      <c r="LM165" s="15"/>
      <c r="LN165" s="15"/>
      <c r="LO165" s="15"/>
      <c r="LP165" s="15"/>
      <c r="LQ165" s="15"/>
      <c r="LR165" s="15"/>
      <c r="LS165" s="15"/>
      <c r="LT165" s="15"/>
      <c r="LU165" s="15"/>
      <c r="LV165" s="15"/>
      <c r="LW165" s="15"/>
      <c r="LX165" s="15"/>
      <c r="LY165" s="15"/>
      <c r="LZ165" s="15"/>
      <c r="MA165" s="15"/>
      <c r="MB165" s="15"/>
      <c r="MC165" s="15"/>
      <c r="MD165" s="15"/>
      <c r="ME165" s="15"/>
      <c r="MF165" s="15"/>
      <c r="MG165" s="15"/>
      <c r="MH165" s="15"/>
      <c r="MI165" s="15"/>
      <c r="MJ165" s="15"/>
      <c r="MK165" s="15"/>
      <c r="ML165" s="15"/>
      <c r="MM165" s="15"/>
      <c r="MN165" s="15"/>
      <c r="MO165" s="15"/>
      <c r="MP165" s="15"/>
      <c r="MQ165" s="15"/>
      <c r="MR165" s="15"/>
      <c r="MS165" s="15"/>
      <c r="MT165" s="15"/>
      <c r="MU165" s="15"/>
      <c r="MV165" s="15"/>
      <c r="MW165" s="15"/>
      <c r="MX165" s="15"/>
      <c r="MY165" s="15"/>
      <c r="MZ165" s="15"/>
      <c r="NA165" s="15"/>
      <c r="NB165" s="15"/>
      <c r="NC165" s="15"/>
      <c r="ND165" s="15"/>
      <c r="NE165" s="15"/>
      <c r="NF165" s="15"/>
      <c r="NG165" s="15"/>
      <c r="NH165" s="15"/>
      <c r="NI165" s="15"/>
      <c r="NJ165" s="15"/>
      <c r="NK165" s="15"/>
      <c r="NL165" s="15"/>
      <c r="NM165" s="15"/>
      <c r="NN165" s="15"/>
      <c r="NO165" s="15"/>
      <c r="NP165" s="15"/>
      <c r="NQ165" s="15"/>
      <c r="NR165" s="15"/>
      <c r="NS165" s="15"/>
      <c r="NT165" s="15"/>
      <c r="NU165" s="15"/>
      <c r="NV165" s="15"/>
      <c r="NW165" s="16"/>
    </row>
    <row r="166" spans="120:387" ht="10.75" customHeight="1">
      <c r="DP166" s="12"/>
      <c r="IE166" s="13"/>
    </row>
    <row r="167" spans="120:387" ht="10.75" customHeight="1">
      <c r="DP167" s="12"/>
      <c r="IE167" s="13"/>
    </row>
    <row r="168" spans="120:387" ht="10.75" customHeight="1">
      <c r="DP168" s="12"/>
      <c r="IE168" s="13"/>
    </row>
    <row r="169" spans="120:387" ht="10.75" customHeight="1">
      <c r="DP169" s="12"/>
      <c r="IE169" s="13"/>
    </row>
    <row r="170" spans="120:387" ht="10.75" customHeight="1">
      <c r="DP170" s="12"/>
      <c r="IE170" s="13"/>
    </row>
    <row r="171" spans="120:387" ht="10.75" customHeight="1">
      <c r="DP171" s="12"/>
      <c r="IE171" s="13"/>
    </row>
    <row r="172" spans="120:387" ht="10.75" customHeight="1">
      <c r="DP172" s="12"/>
      <c r="IE172" s="13"/>
    </row>
    <row r="173" spans="120:387" ht="10.75" customHeight="1">
      <c r="DP173" s="12"/>
      <c r="IE173" s="13"/>
    </row>
    <row r="174" spans="120:387" ht="10.75" customHeight="1">
      <c r="DP174" s="12"/>
      <c r="IE174" s="13"/>
    </row>
    <row r="175" spans="120:387" ht="10.75" customHeight="1">
      <c r="DP175" s="12"/>
      <c r="IE175" s="13"/>
    </row>
    <row r="176" spans="120:387" ht="10.75" customHeight="1">
      <c r="DP176" s="12"/>
      <c r="IE176" s="13"/>
    </row>
    <row r="177" spans="120:239" ht="10.75" customHeight="1">
      <c r="DP177" s="12"/>
      <c r="IE177" s="13"/>
    </row>
    <row r="178" spans="120:239" ht="10.75" customHeight="1">
      <c r="DP178" s="12"/>
      <c r="IE178" s="13"/>
    </row>
    <row r="179" spans="120:239" ht="10.75" customHeight="1">
      <c r="DP179" s="12"/>
      <c r="IE179" s="13"/>
    </row>
    <row r="180" spans="120:239" ht="10.75" customHeight="1">
      <c r="DP180" s="12"/>
      <c r="IE180" s="13"/>
    </row>
    <row r="181" spans="120:239" ht="10.75" customHeight="1">
      <c r="DP181" s="12"/>
      <c r="IE181" s="13"/>
    </row>
    <row r="182" spans="120:239" ht="10.75" customHeight="1">
      <c r="DP182" s="12"/>
      <c r="IE182" s="13"/>
    </row>
    <row r="183" spans="120:239" ht="10.75" customHeight="1">
      <c r="DP183" s="12"/>
      <c r="IE183" s="13"/>
    </row>
    <row r="184" spans="120:239" ht="10.75" customHeight="1">
      <c r="DP184" s="12"/>
      <c r="IE184" s="13"/>
    </row>
    <row r="185" spans="120:239" ht="10.75" customHeight="1">
      <c r="DP185" s="12"/>
      <c r="IE185" s="13"/>
    </row>
    <row r="186" spans="120:239" ht="10.75" customHeight="1">
      <c r="DP186" s="14"/>
      <c r="DQ186" s="15"/>
      <c r="DR186" s="15"/>
      <c r="DS186" s="15"/>
      <c r="DT186" s="15"/>
      <c r="DU186" s="15"/>
      <c r="DV186" s="15"/>
      <c r="DW186" s="15"/>
      <c r="DX186" s="15"/>
      <c r="DY186" s="15"/>
      <c r="DZ186" s="15"/>
      <c r="EA186" s="15"/>
      <c r="EB186" s="15"/>
      <c r="EC186" s="15"/>
      <c r="ED186" s="15"/>
      <c r="EE186" s="15"/>
      <c r="EF186" s="15"/>
      <c r="EG186" s="15"/>
      <c r="EH186" s="15"/>
      <c r="EI186" s="15"/>
      <c r="EJ186" s="15"/>
      <c r="EK186" s="15"/>
      <c r="EL186" s="15"/>
      <c r="EM186" s="15"/>
      <c r="EN186" s="15"/>
      <c r="EO186" s="15"/>
      <c r="EP186" s="15"/>
      <c r="EQ186" s="15"/>
      <c r="ER186" s="15"/>
      <c r="ES186" s="15"/>
      <c r="ET186" s="15"/>
      <c r="EU186" s="15"/>
      <c r="EV186" s="15"/>
      <c r="EW186" s="15"/>
      <c r="EX186" s="15"/>
      <c r="EY186" s="15"/>
      <c r="EZ186" s="15"/>
      <c r="FA186" s="15"/>
      <c r="FB186" s="15"/>
      <c r="FC186" s="15"/>
      <c r="FD186" s="15"/>
      <c r="FE186" s="15"/>
      <c r="FF186" s="15"/>
      <c r="FG186" s="15"/>
      <c r="FH186" s="15"/>
      <c r="FI186" s="15"/>
      <c r="FJ186" s="15"/>
      <c r="FK186" s="15"/>
      <c r="FL186" s="15"/>
      <c r="FM186" s="15"/>
      <c r="FN186" s="15"/>
      <c r="FO186" s="15"/>
      <c r="FP186" s="15"/>
      <c r="FQ186" s="15"/>
      <c r="FR186" s="15"/>
      <c r="FS186" s="15"/>
      <c r="FT186" s="15"/>
      <c r="FU186" s="15"/>
      <c r="FV186" s="15"/>
      <c r="FW186" s="15"/>
      <c r="FX186" s="15"/>
      <c r="FY186" s="15"/>
      <c r="FZ186" s="15"/>
      <c r="GA186" s="15"/>
      <c r="GB186" s="15"/>
      <c r="GC186" s="15"/>
      <c r="GD186" s="15"/>
      <c r="GE186" s="15"/>
      <c r="GF186" s="15"/>
      <c r="GG186" s="15"/>
      <c r="GH186" s="15"/>
      <c r="GI186" s="15"/>
      <c r="GJ186" s="15"/>
      <c r="GK186" s="15"/>
      <c r="GL186" s="15"/>
      <c r="GM186" s="15"/>
      <c r="GN186" s="15"/>
      <c r="GO186" s="15"/>
      <c r="GP186" s="15"/>
      <c r="GQ186" s="15"/>
      <c r="GR186" s="15"/>
      <c r="GS186" s="15"/>
      <c r="GT186" s="15"/>
      <c r="GU186" s="15"/>
      <c r="GV186" s="15"/>
      <c r="GW186" s="15"/>
      <c r="GX186" s="15"/>
      <c r="GY186" s="15"/>
      <c r="GZ186" s="15"/>
      <c r="HA186" s="15"/>
      <c r="HB186" s="15"/>
      <c r="HC186" s="15"/>
      <c r="HD186" s="15"/>
      <c r="HE186" s="15"/>
      <c r="HF186" s="15"/>
      <c r="HG186" s="15"/>
      <c r="HH186" s="15"/>
      <c r="HI186" s="15"/>
      <c r="HJ186" s="15"/>
      <c r="HK186" s="15"/>
      <c r="HL186" s="15"/>
      <c r="HM186" s="15"/>
      <c r="HN186" s="15"/>
      <c r="HO186" s="15"/>
      <c r="HP186" s="15"/>
      <c r="HQ186" s="15"/>
      <c r="HR186" s="15"/>
      <c r="HS186" s="15"/>
      <c r="HT186" s="15"/>
      <c r="HU186" s="15"/>
      <c r="HV186" s="15"/>
      <c r="HW186" s="15"/>
      <c r="HX186" s="15"/>
      <c r="HY186" s="15"/>
      <c r="HZ186" s="15"/>
      <c r="IA186" s="15"/>
      <c r="IB186" s="15"/>
      <c r="IC186" s="15"/>
      <c r="ID186" s="15"/>
      <c r="IE186" s="16"/>
    </row>
    <row r="206" spans="268:536" ht="10.75" customHeight="1">
      <c r="JH206" s="56"/>
      <c r="JI206" s="57"/>
      <c r="JJ206" s="57"/>
      <c r="JK206" s="57"/>
      <c r="JL206" s="10"/>
      <c r="JM206" s="10"/>
      <c r="JN206" s="10"/>
      <c r="JO206" s="10"/>
      <c r="JP206" s="10"/>
      <c r="JQ206" s="10"/>
      <c r="JR206" s="10"/>
      <c r="JS206" s="10"/>
      <c r="JT206" s="10"/>
      <c r="JU206" s="10"/>
      <c r="JV206" s="10"/>
      <c r="JW206" s="10"/>
      <c r="JX206" s="10"/>
      <c r="JY206" s="10"/>
      <c r="JZ206" s="10"/>
      <c r="KA206" s="10"/>
      <c r="KB206" s="10"/>
      <c r="KC206" s="10"/>
      <c r="KD206" s="10"/>
      <c r="KE206" s="10"/>
      <c r="KF206" s="10"/>
      <c r="KG206" s="10"/>
      <c r="KH206" s="10"/>
      <c r="KI206" s="10"/>
      <c r="KJ206" s="10"/>
      <c r="KK206" s="10"/>
      <c r="KL206" s="10"/>
      <c r="KM206" s="10"/>
      <c r="KN206" s="10"/>
      <c r="KO206" s="10"/>
      <c r="KP206" s="10"/>
      <c r="KQ206" s="10"/>
      <c r="KR206" s="10"/>
      <c r="KS206" s="10"/>
      <c r="KT206" s="10"/>
      <c r="KU206" s="10"/>
      <c r="KV206" s="10"/>
      <c r="KW206" s="10"/>
      <c r="KX206" s="10"/>
      <c r="KY206" s="10"/>
      <c r="KZ206" s="10"/>
      <c r="LA206" s="10"/>
      <c r="LB206" s="10"/>
      <c r="LC206" s="10"/>
      <c r="LD206" s="10"/>
      <c r="LE206" s="10"/>
      <c r="LF206" s="10"/>
      <c r="LG206" s="10"/>
      <c r="LH206" s="10"/>
      <c r="LI206" s="10"/>
      <c r="LJ206" s="10"/>
      <c r="LK206" s="10"/>
      <c r="LL206" s="10"/>
      <c r="LM206" s="57"/>
      <c r="LN206" s="57"/>
      <c r="LO206" s="57"/>
      <c r="LP206" s="58"/>
      <c r="LQ206" s="10"/>
      <c r="LR206" s="10"/>
      <c r="LS206" s="10"/>
      <c r="LT206" s="10"/>
      <c r="LU206" s="10"/>
      <c r="LV206" s="10"/>
      <c r="LW206" s="10"/>
      <c r="LX206" s="10"/>
      <c r="LY206" s="10"/>
      <c r="LZ206" s="10"/>
      <c r="MA206" s="10"/>
      <c r="MB206" s="10"/>
      <c r="MC206" s="10"/>
      <c r="MD206" s="10"/>
      <c r="ME206" s="10"/>
      <c r="MF206" s="10"/>
      <c r="MG206" s="10"/>
      <c r="MH206" s="10"/>
      <c r="MI206" s="10"/>
      <c r="MJ206" s="10"/>
      <c r="MK206" s="10"/>
      <c r="ML206" s="10"/>
      <c r="MM206" s="10"/>
      <c r="MN206" s="10"/>
      <c r="MO206" s="10"/>
      <c r="MP206" s="10"/>
      <c r="MQ206" s="10"/>
      <c r="MR206" s="10"/>
      <c r="MS206" s="10"/>
      <c r="MT206" s="10"/>
      <c r="MU206" s="10"/>
      <c r="MV206" s="10"/>
      <c r="MW206" s="10"/>
      <c r="MX206" s="10"/>
      <c r="MY206" s="10"/>
      <c r="MZ206" s="10"/>
      <c r="NA206" s="10"/>
      <c r="NB206" s="10"/>
      <c r="NC206" s="10"/>
      <c r="ND206" s="10"/>
      <c r="NE206" s="10"/>
      <c r="NF206" s="10"/>
      <c r="NG206" s="10"/>
      <c r="NH206" s="10"/>
      <c r="NI206" s="10"/>
      <c r="NJ206" s="10"/>
      <c r="NK206" s="10"/>
      <c r="NL206" s="10"/>
      <c r="NM206" s="10"/>
      <c r="NN206" s="10"/>
      <c r="NO206" s="10"/>
      <c r="NP206" s="10"/>
      <c r="NQ206" s="10"/>
      <c r="NR206" s="10"/>
      <c r="NS206" s="10"/>
      <c r="NT206" s="57"/>
      <c r="NU206" s="57"/>
      <c r="NV206" s="57"/>
      <c r="NW206" s="58"/>
      <c r="PA206" s="56"/>
      <c r="PB206" s="57"/>
      <c r="PC206" s="57"/>
      <c r="PD206" s="57"/>
      <c r="PE206" s="10"/>
      <c r="PF206" s="10"/>
      <c r="PG206" s="10"/>
      <c r="PH206" s="10"/>
      <c r="PI206" s="10"/>
      <c r="PJ206" s="10"/>
      <c r="PK206" s="10"/>
      <c r="PL206" s="10"/>
      <c r="PM206" s="10"/>
      <c r="PN206" s="10"/>
      <c r="PO206" s="10"/>
      <c r="PP206" s="10"/>
      <c r="PQ206" s="10"/>
      <c r="PR206" s="10"/>
      <c r="PS206" s="10"/>
      <c r="PT206" s="10"/>
      <c r="PU206" s="10"/>
      <c r="PV206" s="10"/>
      <c r="PW206" s="10"/>
      <c r="PX206" s="10"/>
      <c r="PY206" s="10"/>
      <c r="PZ206" s="10"/>
      <c r="QA206" s="10"/>
      <c r="QB206" s="10"/>
      <c r="QC206" s="10"/>
      <c r="QD206" s="10"/>
      <c r="QE206" s="10"/>
      <c r="QF206" s="10"/>
      <c r="QG206" s="10"/>
      <c r="QH206" s="10"/>
      <c r="QI206" s="10"/>
      <c r="QJ206" s="10"/>
      <c r="QK206" s="10"/>
      <c r="QL206" s="10"/>
      <c r="QM206" s="10"/>
      <c r="QN206" s="10"/>
      <c r="QO206" s="10"/>
      <c r="QP206" s="10"/>
      <c r="QQ206" s="10"/>
      <c r="QR206" s="10"/>
      <c r="QS206" s="10"/>
      <c r="QT206" s="10"/>
      <c r="QU206" s="10"/>
      <c r="QV206" s="10"/>
      <c r="QW206" s="10"/>
      <c r="QX206" s="10"/>
      <c r="QY206" s="10"/>
      <c r="QZ206" s="10"/>
      <c r="RA206" s="10"/>
      <c r="RB206" s="10"/>
      <c r="RC206" s="10"/>
      <c r="RD206" s="10"/>
      <c r="RE206" s="10"/>
      <c r="RF206" s="57"/>
      <c r="RG206" s="57"/>
      <c r="RH206" s="57"/>
      <c r="RI206" s="58"/>
      <c r="RJ206" s="10"/>
      <c r="RK206" s="10"/>
      <c r="RL206" s="10"/>
      <c r="RM206" s="10"/>
      <c r="RN206" s="10"/>
      <c r="RO206" s="10"/>
      <c r="RP206" s="10"/>
      <c r="RQ206" s="10"/>
      <c r="RR206" s="10"/>
      <c r="RS206" s="10"/>
      <c r="RT206" s="10"/>
      <c r="RU206" s="10"/>
      <c r="RV206" s="10"/>
      <c r="RW206" s="10"/>
      <c r="RX206" s="10"/>
      <c r="RY206" s="10"/>
      <c r="RZ206" s="10"/>
      <c r="SA206" s="10"/>
      <c r="SB206" s="10"/>
      <c r="SC206" s="10"/>
      <c r="SD206" s="10"/>
      <c r="SE206" s="10"/>
      <c r="SF206" s="10"/>
      <c r="SG206" s="10"/>
      <c r="SH206" s="10"/>
      <c r="SI206" s="10"/>
      <c r="SJ206" s="10"/>
      <c r="SK206" s="10"/>
      <c r="SL206" s="10"/>
      <c r="SM206" s="10"/>
      <c r="SN206" s="10"/>
      <c r="SO206" s="10"/>
      <c r="SP206" s="10"/>
      <c r="SQ206" s="10"/>
      <c r="SR206" s="10"/>
      <c r="SS206" s="10"/>
      <c r="ST206" s="10"/>
      <c r="SU206" s="10"/>
      <c r="SV206" s="10"/>
      <c r="SW206" s="10"/>
      <c r="SX206" s="10"/>
      <c r="SY206" s="10"/>
      <c r="SZ206" s="10"/>
      <c r="TA206" s="10"/>
      <c r="TB206" s="10"/>
      <c r="TC206" s="10"/>
      <c r="TD206" s="10"/>
      <c r="TE206" s="10"/>
      <c r="TF206" s="10"/>
      <c r="TG206" s="10"/>
      <c r="TH206" s="10"/>
      <c r="TI206" s="10"/>
      <c r="TJ206" s="10"/>
      <c r="TK206" s="10"/>
      <c r="TL206" s="10"/>
      <c r="TM206" s="57"/>
      <c r="TN206" s="57"/>
      <c r="TO206" s="57"/>
      <c r="TP206" s="58"/>
    </row>
    <row r="207" spans="268:536" ht="10.75" customHeight="1">
      <c r="JH207" s="96"/>
      <c r="JI207" s="97"/>
      <c r="JJ207" s="97"/>
      <c r="JK207" s="97"/>
      <c r="LM207" s="97"/>
      <c r="LN207" s="97"/>
      <c r="LO207" s="97"/>
      <c r="LP207" s="98"/>
      <c r="NT207" s="97"/>
      <c r="NU207" s="97"/>
      <c r="NV207" s="97"/>
      <c r="NW207" s="98"/>
      <c r="PA207" s="96"/>
      <c r="PB207" s="97"/>
      <c r="PC207" s="97"/>
      <c r="PD207" s="97"/>
      <c r="RF207" s="97"/>
      <c r="RG207" s="97"/>
      <c r="RH207" s="97"/>
      <c r="RI207" s="98"/>
      <c r="TM207" s="97"/>
      <c r="TN207" s="97"/>
      <c r="TO207" s="97"/>
      <c r="TP207" s="98"/>
    </row>
    <row r="208" spans="268:536" ht="10.75" customHeight="1">
      <c r="JH208" s="96"/>
      <c r="JI208" s="97"/>
      <c r="JJ208" s="97"/>
      <c r="JK208" s="97"/>
      <c r="LM208" s="97"/>
      <c r="LN208" s="97"/>
      <c r="LO208" s="97"/>
      <c r="LP208" s="98"/>
      <c r="NT208" s="97"/>
      <c r="NU208" s="97"/>
      <c r="NV208" s="97"/>
      <c r="NW208" s="98"/>
      <c r="PA208" s="96"/>
      <c r="PB208" s="97"/>
      <c r="PC208" s="97"/>
      <c r="PD208" s="97"/>
      <c r="RF208" s="97"/>
      <c r="RG208" s="97"/>
      <c r="RH208" s="97"/>
      <c r="RI208" s="98"/>
      <c r="TM208" s="97"/>
      <c r="TN208" s="97"/>
      <c r="TO208" s="97"/>
      <c r="TP208" s="98"/>
    </row>
    <row r="209" spans="74:536" ht="10.75" customHeight="1">
      <c r="JH209" s="12"/>
      <c r="JK209" s="9"/>
      <c r="JL209" s="10"/>
      <c r="JM209" s="10"/>
      <c r="JN209" s="10"/>
      <c r="JO209" s="10"/>
      <c r="JP209" s="10"/>
      <c r="JQ209" s="10"/>
      <c r="JR209" s="10"/>
      <c r="JS209" s="10"/>
      <c r="JT209" s="10"/>
      <c r="JU209" s="10"/>
      <c r="JV209" s="10"/>
      <c r="JW209" s="10"/>
      <c r="JX209" s="10"/>
      <c r="JY209" s="10"/>
      <c r="JZ209" s="10"/>
      <c r="KA209" s="10"/>
      <c r="KB209" s="10"/>
      <c r="KC209" s="10"/>
      <c r="KD209" s="10"/>
      <c r="KE209" s="10"/>
      <c r="KF209" s="10"/>
      <c r="KG209" s="10"/>
      <c r="KH209" s="10"/>
      <c r="KI209" s="10"/>
      <c r="KJ209" s="10"/>
      <c r="KK209" s="10"/>
      <c r="KL209" s="10"/>
      <c r="KM209" s="10"/>
      <c r="KN209" s="10"/>
      <c r="KO209" s="10"/>
      <c r="KP209" s="10"/>
      <c r="KQ209" s="10"/>
      <c r="KR209" s="10"/>
      <c r="KS209" s="10"/>
      <c r="KT209" s="10"/>
      <c r="KU209" s="10"/>
      <c r="KV209" s="10"/>
      <c r="KW209" s="10"/>
      <c r="KX209" s="10"/>
      <c r="KY209" s="10"/>
      <c r="KZ209" s="10"/>
      <c r="LA209" s="9"/>
      <c r="LB209" s="10"/>
      <c r="LC209" s="10"/>
      <c r="LD209" s="10"/>
      <c r="LE209" s="10"/>
      <c r="LF209" s="10"/>
      <c r="LG209" s="10"/>
      <c r="LH209" s="10"/>
      <c r="LI209" s="10"/>
      <c r="LJ209" s="10"/>
      <c r="LK209" s="10"/>
      <c r="LL209" s="10"/>
      <c r="LM209" s="10"/>
      <c r="LN209" s="11"/>
      <c r="LO209" s="9"/>
      <c r="LP209" s="11"/>
      <c r="LQ209" s="9"/>
      <c r="LR209" s="10"/>
      <c r="LS209" s="10"/>
      <c r="LT209" s="10"/>
      <c r="LU209" s="10"/>
      <c r="LV209" s="10"/>
      <c r="LW209" s="10"/>
      <c r="LX209" s="10"/>
      <c r="LY209" s="10"/>
      <c r="LZ209" s="10"/>
      <c r="MA209" s="10"/>
      <c r="MB209" s="10"/>
      <c r="MC209" s="10"/>
      <c r="MD209" s="10"/>
      <c r="ME209" s="10"/>
      <c r="MF209" s="10"/>
      <c r="MG209" s="10"/>
      <c r="MH209" s="11"/>
      <c r="MI209" s="10"/>
      <c r="MJ209" s="11"/>
      <c r="MK209" s="10"/>
      <c r="ML209" s="10"/>
      <c r="MM209" s="10"/>
      <c r="MN209" s="10"/>
      <c r="MO209" s="10"/>
      <c r="MP209" s="10"/>
      <c r="MQ209" s="10"/>
      <c r="MR209" s="10"/>
      <c r="MS209" s="10"/>
      <c r="MT209" s="10"/>
      <c r="MU209" s="10"/>
      <c r="MV209" s="10"/>
      <c r="MW209" s="10"/>
      <c r="MX209" s="10"/>
      <c r="MY209" s="10"/>
      <c r="MZ209" s="10"/>
      <c r="NA209" s="10"/>
      <c r="NB209" s="10"/>
      <c r="NC209" s="10"/>
      <c r="ND209" s="10"/>
      <c r="NE209" s="10"/>
      <c r="NF209" s="10"/>
      <c r="NG209" s="10"/>
      <c r="NH209" s="11"/>
      <c r="NI209" s="9"/>
      <c r="NJ209" s="10"/>
      <c r="NK209" s="10"/>
      <c r="NL209" s="10"/>
      <c r="NM209" s="10"/>
      <c r="NN209" s="10"/>
      <c r="NO209" s="10"/>
      <c r="NP209" s="10"/>
      <c r="NQ209" s="10"/>
      <c r="NR209" s="10"/>
      <c r="NS209" s="10"/>
      <c r="NT209" s="11"/>
      <c r="NW209" s="13"/>
      <c r="PA209" s="12"/>
      <c r="PD209" s="9"/>
      <c r="PE209" s="10"/>
      <c r="PF209" s="10"/>
      <c r="PG209" s="10"/>
      <c r="PH209" s="10"/>
      <c r="PI209" s="10"/>
      <c r="PJ209" s="10"/>
      <c r="PK209" s="10"/>
      <c r="PL209" s="10"/>
      <c r="PM209" s="10"/>
      <c r="PN209" s="10"/>
      <c r="PO209" s="10"/>
      <c r="PP209" s="10"/>
      <c r="PQ209" s="10"/>
      <c r="PR209" s="10"/>
      <c r="PS209" s="10"/>
      <c r="PT209" s="10"/>
      <c r="PU209" s="10"/>
      <c r="PV209" s="10"/>
      <c r="PW209" s="10"/>
      <c r="PX209" s="10"/>
      <c r="PY209" s="10"/>
      <c r="PZ209" s="10"/>
      <c r="QA209" s="10"/>
      <c r="QB209" s="10"/>
      <c r="QC209" s="10"/>
      <c r="QD209" s="10"/>
      <c r="QE209" s="10"/>
      <c r="QF209" s="10"/>
      <c r="QG209" s="10"/>
      <c r="QH209" s="10"/>
      <c r="QI209" s="11"/>
      <c r="QJ209" s="10"/>
      <c r="QK209" s="11"/>
      <c r="QL209" s="10"/>
      <c r="QM209" s="10"/>
      <c r="QN209" s="10"/>
      <c r="QO209" s="10"/>
      <c r="QP209" s="10"/>
      <c r="QQ209" s="10"/>
      <c r="QR209" s="10"/>
      <c r="QS209" s="10"/>
      <c r="QT209" s="10"/>
      <c r="QU209" s="10"/>
      <c r="QV209" s="10"/>
      <c r="QW209" s="10"/>
      <c r="QX209" s="10"/>
      <c r="QY209" s="10"/>
      <c r="QZ209" s="10"/>
      <c r="RA209" s="10"/>
      <c r="RB209" s="10"/>
      <c r="RC209" s="10"/>
      <c r="RD209" s="10"/>
      <c r="RE209" s="10"/>
      <c r="RF209" s="10"/>
      <c r="RG209" s="11"/>
      <c r="RH209" s="9"/>
      <c r="RI209" s="11"/>
      <c r="RJ209" s="10"/>
      <c r="RK209" s="10"/>
      <c r="RL209" s="10"/>
      <c r="RM209" s="10"/>
      <c r="RN209" s="10"/>
      <c r="RO209" s="10"/>
      <c r="RP209" s="10"/>
      <c r="RQ209" s="10"/>
      <c r="RR209" s="10"/>
      <c r="RS209" s="10"/>
      <c r="RT209" s="10"/>
      <c r="RU209" s="10"/>
      <c r="RV209" s="10"/>
      <c r="RW209" s="10"/>
      <c r="RX209" s="10"/>
      <c r="RY209" s="10"/>
      <c r="RZ209" s="10"/>
      <c r="SA209" s="10"/>
      <c r="SB209" s="10"/>
      <c r="SC209" s="10"/>
      <c r="SD209" s="10"/>
      <c r="SE209" s="10"/>
      <c r="SF209" s="10"/>
      <c r="SG209" s="10"/>
      <c r="SH209" s="10"/>
      <c r="SI209" s="10"/>
      <c r="SJ209" s="10"/>
      <c r="SK209" s="10"/>
      <c r="SL209" s="10"/>
      <c r="SM209" s="10"/>
      <c r="SN209" s="10"/>
      <c r="SO209" s="10"/>
      <c r="SP209" s="10"/>
      <c r="SQ209" s="10"/>
      <c r="SR209" s="10"/>
      <c r="SS209" s="10"/>
      <c r="ST209" s="10"/>
      <c r="SU209" s="10"/>
      <c r="SV209" s="10"/>
      <c r="SW209" s="10"/>
      <c r="SX209" s="10"/>
      <c r="SY209" s="10"/>
      <c r="SZ209" s="10"/>
      <c r="TA209" s="10"/>
      <c r="TB209" s="10"/>
      <c r="TC209" s="10"/>
      <c r="TD209" s="10"/>
      <c r="TE209" s="10"/>
      <c r="TF209" s="10"/>
      <c r="TG209" s="10"/>
      <c r="TH209" s="10"/>
      <c r="TI209" s="10"/>
      <c r="TJ209" s="10"/>
      <c r="TK209" s="10"/>
      <c r="TL209" s="10"/>
      <c r="TM209" s="11"/>
      <c r="TP209" s="13"/>
    </row>
    <row r="210" spans="74:536" ht="10.75" customHeight="1">
      <c r="JH210" s="12"/>
      <c r="JK210" s="12"/>
      <c r="LA210" s="12"/>
      <c r="LN210" s="13"/>
      <c r="LO210" s="12"/>
      <c r="LP210" s="13"/>
      <c r="LQ210" s="12"/>
      <c r="MH210" s="13"/>
      <c r="MJ210" s="13"/>
      <c r="NH210" s="13"/>
      <c r="NI210" s="12"/>
      <c r="NT210" s="13"/>
      <c r="NW210" s="13"/>
      <c r="PA210" s="12"/>
      <c r="PD210" s="12"/>
      <c r="QI210" s="13"/>
      <c r="QK210" s="13"/>
      <c r="RG210" s="13"/>
      <c r="RH210" s="12"/>
      <c r="RI210" s="13"/>
      <c r="TM210" s="13"/>
      <c r="TP210" s="13"/>
    </row>
    <row r="211" spans="74:536" ht="10.75" customHeight="1">
      <c r="JH211" s="12"/>
      <c r="JK211" s="12"/>
      <c r="LA211" s="12"/>
      <c r="LN211" s="13"/>
      <c r="LO211" s="12"/>
      <c r="LP211" s="13"/>
      <c r="LQ211" s="12"/>
      <c r="MH211" s="13"/>
      <c r="MJ211" s="13"/>
      <c r="NH211" s="13"/>
      <c r="NI211" s="12"/>
      <c r="NT211" s="13"/>
      <c r="NW211" s="13"/>
      <c r="PA211" s="12"/>
      <c r="PD211" s="12"/>
      <c r="QI211" s="13"/>
      <c r="QK211" s="13"/>
      <c r="RG211" s="13"/>
      <c r="RH211" s="12"/>
      <c r="RI211" s="13"/>
      <c r="TM211" s="13"/>
      <c r="TP211" s="13"/>
    </row>
    <row r="212" spans="74:536" ht="10.75" customHeight="1">
      <c r="BV212" s="9"/>
      <c r="BW212" s="10"/>
      <c r="BX212" s="10"/>
      <c r="BY212" s="10"/>
      <c r="BZ212" s="10"/>
      <c r="CA212" s="10"/>
      <c r="CB212" s="10"/>
      <c r="CC212" s="10"/>
      <c r="CD212" s="10"/>
      <c r="CE212" s="10"/>
      <c r="CF212" s="10"/>
      <c r="CG212" s="10"/>
      <c r="CH212" s="10"/>
      <c r="CI212" s="10"/>
      <c r="CJ212" s="10"/>
      <c r="CK212" s="10"/>
      <c r="CL212" s="10"/>
      <c r="CM212" s="10"/>
      <c r="CN212" s="10"/>
      <c r="CO212" s="10"/>
      <c r="CP212" s="10"/>
      <c r="CQ212" s="10"/>
      <c r="CR212" s="10"/>
      <c r="CS212" s="10"/>
      <c r="CT212" s="10"/>
      <c r="CU212" s="10"/>
      <c r="CV212" s="10"/>
      <c r="CW212" s="10"/>
      <c r="CX212" s="10"/>
      <c r="CY212" s="10"/>
      <c r="CZ212" s="10"/>
      <c r="DA212" s="10"/>
      <c r="DB212" s="10"/>
      <c r="DC212" s="10"/>
      <c r="DD212" s="10"/>
      <c r="DE212" s="10"/>
      <c r="DF212" s="10"/>
      <c r="DG212" s="10"/>
      <c r="DH212" s="10"/>
      <c r="DI212" s="10"/>
      <c r="DJ212" s="10"/>
      <c r="DK212" s="10"/>
      <c r="DL212" s="10"/>
      <c r="DM212" s="10"/>
      <c r="DN212" s="10"/>
      <c r="DO212" s="10"/>
      <c r="DP212" s="10"/>
      <c r="DQ212" s="10"/>
      <c r="DR212" s="10"/>
      <c r="DS212" s="10"/>
      <c r="DT212" s="10"/>
      <c r="DU212" s="10"/>
      <c r="DV212" s="10"/>
      <c r="DW212" s="10"/>
      <c r="DX212" s="10"/>
      <c r="DY212" s="10"/>
      <c r="DZ212" s="10"/>
      <c r="EA212" s="10"/>
      <c r="EB212" s="10"/>
      <c r="EC212" s="10"/>
      <c r="ED212" s="10"/>
      <c r="EE212" s="10"/>
      <c r="EF212" s="10"/>
      <c r="EG212" s="10"/>
      <c r="EH212" s="10"/>
      <c r="EI212" s="10"/>
      <c r="EJ212" s="10"/>
      <c r="EK212" s="10"/>
      <c r="EL212" s="10"/>
      <c r="EM212" s="10"/>
      <c r="EN212" s="10"/>
      <c r="EO212" s="10"/>
      <c r="EP212" s="10"/>
      <c r="EQ212" s="10"/>
      <c r="ER212" s="10"/>
      <c r="ES212" s="10"/>
      <c r="ET212" s="10"/>
      <c r="EU212" s="10"/>
      <c r="EV212" s="10"/>
      <c r="EW212" s="10"/>
      <c r="EX212" s="10"/>
      <c r="EY212" s="10"/>
      <c r="EZ212" s="10"/>
      <c r="FA212" s="10"/>
      <c r="FB212" s="10"/>
      <c r="FC212" s="10"/>
      <c r="FD212" s="10"/>
      <c r="FE212" s="10"/>
      <c r="FF212" s="10"/>
      <c r="FG212" s="10"/>
      <c r="FH212" s="10"/>
      <c r="FI212" s="10"/>
      <c r="FJ212" s="10"/>
      <c r="FK212" s="10"/>
      <c r="FL212" s="10"/>
      <c r="FM212" s="11"/>
      <c r="JH212" s="12"/>
      <c r="JK212" s="12"/>
      <c r="LA212" s="12"/>
      <c r="LN212" s="13"/>
      <c r="LO212" s="12"/>
      <c r="LP212" s="13"/>
      <c r="LQ212" s="12"/>
      <c r="MH212" s="13"/>
      <c r="MJ212" s="13"/>
      <c r="NH212" s="13"/>
      <c r="NI212" s="12"/>
      <c r="NT212" s="13"/>
      <c r="NW212" s="13"/>
      <c r="PA212" s="12"/>
      <c r="PD212" s="12"/>
      <c r="QI212" s="13"/>
      <c r="QK212" s="13"/>
      <c r="RG212" s="13"/>
      <c r="RH212" s="12"/>
      <c r="RI212" s="13"/>
      <c r="TM212" s="13"/>
      <c r="TP212" s="13"/>
    </row>
    <row r="213" spans="74:536" ht="10.75" customHeight="1">
      <c r="BV213" s="14"/>
      <c r="BW213" s="15"/>
      <c r="BX213" s="15"/>
      <c r="BY213" s="15"/>
      <c r="BZ213" s="15"/>
      <c r="CA213" s="15"/>
      <c r="CB213" s="15"/>
      <c r="CC213" s="15"/>
      <c r="CD213" s="15"/>
      <c r="CE213" s="15"/>
      <c r="CF213" s="15"/>
      <c r="CG213" s="15"/>
      <c r="CH213" s="15"/>
      <c r="CI213" s="15"/>
      <c r="CJ213" s="15"/>
      <c r="CK213" s="15"/>
      <c r="CL213" s="15"/>
      <c r="CM213" s="15"/>
      <c r="CN213" s="15"/>
      <c r="CO213" s="15"/>
      <c r="CP213" s="15"/>
      <c r="CQ213" s="15"/>
      <c r="CR213" s="15"/>
      <c r="CS213" s="15"/>
      <c r="CT213" s="15"/>
      <c r="CU213" s="15"/>
      <c r="CV213" s="15"/>
      <c r="CW213" s="15"/>
      <c r="CX213" s="15"/>
      <c r="CY213" s="15"/>
      <c r="CZ213" s="15"/>
      <c r="DA213" s="15"/>
      <c r="DB213" s="15"/>
      <c r="DC213" s="15"/>
      <c r="DD213" s="15"/>
      <c r="DE213" s="15"/>
      <c r="DF213" s="15"/>
      <c r="DG213" s="15"/>
      <c r="DH213" s="15"/>
      <c r="DI213" s="15"/>
      <c r="DJ213" s="15"/>
      <c r="DK213" s="15"/>
      <c r="DL213" s="15"/>
      <c r="DM213" s="15"/>
      <c r="DN213" s="15"/>
      <c r="DO213" s="15"/>
      <c r="DP213" s="15"/>
      <c r="DQ213" s="15"/>
      <c r="DR213" s="15"/>
      <c r="DS213" s="15"/>
      <c r="DT213" s="15"/>
      <c r="DU213" s="15"/>
      <c r="DV213" s="15"/>
      <c r="DW213" s="15"/>
      <c r="DX213" s="15"/>
      <c r="DY213" s="15"/>
      <c r="DZ213" s="15"/>
      <c r="EA213" s="15"/>
      <c r="EB213" s="15"/>
      <c r="EC213" s="15"/>
      <c r="ED213" s="15"/>
      <c r="EE213" s="15"/>
      <c r="EF213" s="15"/>
      <c r="EG213" s="15"/>
      <c r="EH213" s="15"/>
      <c r="EI213" s="15"/>
      <c r="EJ213" s="15"/>
      <c r="EK213" s="15"/>
      <c r="EL213" s="15"/>
      <c r="EM213" s="15"/>
      <c r="EN213" s="15"/>
      <c r="EO213" s="15"/>
      <c r="EP213" s="15"/>
      <c r="EQ213" s="15"/>
      <c r="ER213" s="15"/>
      <c r="ES213" s="15"/>
      <c r="ET213" s="15"/>
      <c r="EU213" s="15"/>
      <c r="EV213" s="15"/>
      <c r="EW213" s="15"/>
      <c r="EX213" s="15"/>
      <c r="EY213" s="15"/>
      <c r="EZ213" s="15"/>
      <c r="FA213" s="15"/>
      <c r="FB213" s="15"/>
      <c r="FC213" s="15"/>
      <c r="FD213" s="15"/>
      <c r="FE213" s="15"/>
      <c r="FF213" s="15"/>
      <c r="FG213" s="15"/>
      <c r="FH213" s="15"/>
      <c r="FI213" s="15"/>
      <c r="FJ213" s="15"/>
      <c r="FK213" s="15"/>
      <c r="FL213" s="15"/>
      <c r="FM213" s="16"/>
      <c r="JH213" s="12"/>
      <c r="JK213" s="12"/>
      <c r="LA213" s="12"/>
      <c r="LN213" s="13"/>
      <c r="LO213" s="12"/>
      <c r="LP213" s="13"/>
      <c r="LQ213" s="12"/>
      <c r="MH213" s="13"/>
      <c r="MJ213" s="13"/>
      <c r="NH213" s="13"/>
      <c r="NI213" s="12"/>
      <c r="NT213" s="13"/>
      <c r="NW213" s="13"/>
      <c r="PA213" s="12"/>
      <c r="PD213" s="12"/>
      <c r="QI213" s="13"/>
      <c r="QK213" s="13"/>
      <c r="RG213" s="13"/>
      <c r="RH213" s="12"/>
      <c r="RI213" s="13"/>
      <c r="TM213" s="13"/>
      <c r="TP213" s="13"/>
    </row>
    <row r="214" spans="74:536" ht="10.75" customHeight="1">
      <c r="CB214" s="12"/>
      <c r="CC214" s="13"/>
      <c r="CD214" s="9"/>
      <c r="CE214" s="10"/>
      <c r="CF214" s="10"/>
      <c r="CG214" s="10"/>
      <c r="CH214" s="10"/>
      <c r="CI214" s="10"/>
      <c r="CJ214" s="10"/>
      <c r="CK214" s="10"/>
      <c r="CL214" s="10"/>
      <c r="CM214" s="10"/>
      <c r="CN214" s="10"/>
      <c r="CO214" s="10"/>
      <c r="CP214" s="10"/>
      <c r="CQ214" s="11"/>
      <c r="FF214" s="12"/>
      <c r="FG214" s="13"/>
      <c r="JH214" s="12"/>
      <c r="JK214" s="12"/>
      <c r="LA214" s="12"/>
      <c r="LN214" s="13"/>
      <c r="LO214" s="12"/>
      <c r="LP214" s="13"/>
      <c r="LQ214" s="12"/>
      <c r="MH214" s="13"/>
      <c r="MJ214" s="13"/>
      <c r="NH214" s="13"/>
      <c r="NI214" s="12"/>
      <c r="NT214" s="13"/>
      <c r="NW214" s="13"/>
      <c r="PA214" s="12"/>
      <c r="PD214" s="12"/>
      <c r="QI214" s="13"/>
      <c r="QK214" s="13"/>
      <c r="RG214" s="13"/>
      <c r="RH214" s="12"/>
      <c r="RI214" s="13"/>
      <c r="TM214" s="13"/>
      <c r="TP214" s="13"/>
    </row>
    <row r="215" spans="74:536" ht="10.75" customHeight="1">
      <c r="CB215" s="12"/>
      <c r="CC215" s="13"/>
      <c r="CD215" s="12"/>
      <c r="CE215" s="9"/>
      <c r="CF215" s="10"/>
      <c r="CG215" s="10"/>
      <c r="CH215" s="10"/>
      <c r="CI215" s="10"/>
      <c r="CJ215" s="10"/>
      <c r="CK215" s="10"/>
      <c r="CL215" s="10"/>
      <c r="CM215" s="10"/>
      <c r="CN215" s="10"/>
      <c r="CO215" s="10"/>
      <c r="CP215" s="11"/>
      <c r="CQ215" s="13"/>
      <c r="FF215" s="12"/>
      <c r="FG215" s="13"/>
      <c r="JH215" s="12"/>
      <c r="JK215" s="12"/>
      <c r="LA215" s="12"/>
      <c r="LN215" s="13"/>
      <c r="LO215" s="12"/>
      <c r="LP215" s="13"/>
      <c r="LQ215" s="12"/>
      <c r="MH215" s="13"/>
      <c r="MJ215" s="13"/>
      <c r="NH215" s="13"/>
      <c r="NI215" s="12"/>
      <c r="NT215" s="13"/>
      <c r="NW215" s="13"/>
      <c r="PA215" s="12"/>
      <c r="PD215" s="12"/>
      <c r="QI215" s="13"/>
      <c r="QK215" s="13"/>
      <c r="RG215" s="13"/>
      <c r="RH215" s="12"/>
      <c r="RI215" s="13"/>
      <c r="TM215" s="13"/>
      <c r="TP215" s="13"/>
    </row>
    <row r="216" spans="74:536" ht="10.75" customHeight="1">
      <c r="CB216" s="12"/>
      <c r="CC216" s="13"/>
      <c r="CD216" s="12"/>
      <c r="CE216" s="12"/>
      <c r="CP216" s="13"/>
      <c r="CQ216" s="13"/>
      <c r="FF216" s="12"/>
      <c r="FG216" s="13"/>
      <c r="JH216" s="12"/>
      <c r="JK216" s="12"/>
      <c r="LA216" s="12"/>
      <c r="LN216" s="13"/>
      <c r="LO216" s="12"/>
      <c r="LP216" s="13"/>
      <c r="LQ216" s="12"/>
      <c r="MH216" s="13"/>
      <c r="MJ216" s="13"/>
      <c r="NH216" s="13"/>
      <c r="NI216" s="14"/>
      <c r="NJ216" s="15"/>
      <c r="NK216" s="15"/>
      <c r="NL216" s="15"/>
      <c r="NM216" s="15"/>
      <c r="NN216" s="15"/>
      <c r="NO216" s="15"/>
      <c r="NP216" s="15"/>
      <c r="NQ216" s="15"/>
      <c r="NR216" s="15"/>
      <c r="NS216" s="15"/>
      <c r="NT216" s="16"/>
      <c r="NW216" s="13"/>
      <c r="PA216" s="12"/>
      <c r="PD216" s="12"/>
      <c r="QI216" s="13"/>
      <c r="QK216" s="13"/>
      <c r="RG216" s="13"/>
      <c r="RH216" s="12"/>
      <c r="RI216" s="13"/>
      <c r="TM216" s="13"/>
      <c r="TP216" s="13"/>
    </row>
    <row r="217" spans="74:536" ht="10.75" customHeight="1">
      <c r="CB217" s="12"/>
      <c r="CC217" s="13"/>
      <c r="CD217" s="12"/>
      <c r="CE217" s="12"/>
      <c r="CP217" s="13"/>
      <c r="CQ217" s="13"/>
      <c r="FF217" s="12"/>
      <c r="FG217" s="13"/>
      <c r="JH217" s="12"/>
      <c r="JK217" s="12"/>
      <c r="LA217" s="12"/>
      <c r="LN217" s="13"/>
      <c r="LO217" s="12"/>
      <c r="LP217" s="13"/>
      <c r="LQ217" s="12"/>
      <c r="MH217" s="13"/>
      <c r="MJ217" s="13"/>
      <c r="NH217" s="13"/>
      <c r="NI217" s="9"/>
      <c r="NJ217" s="10"/>
      <c r="NK217" s="10"/>
      <c r="NL217" s="10"/>
      <c r="NM217" s="10"/>
      <c r="NN217" s="10"/>
      <c r="NO217" s="10"/>
      <c r="NP217" s="10"/>
      <c r="NQ217" s="10"/>
      <c r="NR217" s="10"/>
      <c r="NS217" s="10"/>
      <c r="NT217" s="11"/>
      <c r="NW217" s="13"/>
      <c r="PA217" s="12"/>
      <c r="PD217" s="12"/>
      <c r="QI217" s="13"/>
      <c r="QK217" s="13"/>
      <c r="RG217" s="13"/>
      <c r="RH217" s="12"/>
      <c r="RI217" s="13"/>
      <c r="TM217" s="13"/>
      <c r="TP217" s="13"/>
    </row>
    <row r="218" spans="74:536" ht="10.75" customHeight="1">
      <c r="CB218" s="12"/>
      <c r="CC218" s="13"/>
      <c r="CD218" s="12"/>
      <c r="CE218" s="12"/>
      <c r="CP218" s="13"/>
      <c r="CQ218" s="13"/>
      <c r="FF218" s="12"/>
      <c r="FG218" s="13"/>
      <c r="JH218" s="12"/>
      <c r="JK218" s="12"/>
      <c r="LA218" s="12"/>
      <c r="LN218" s="13"/>
      <c r="LO218" s="12"/>
      <c r="LP218" s="13"/>
      <c r="LQ218" s="12"/>
      <c r="MH218" s="13"/>
      <c r="MJ218" s="13"/>
      <c r="NH218" s="13"/>
      <c r="NI218" s="12"/>
      <c r="NT218" s="13"/>
      <c r="NW218" s="13"/>
      <c r="PA218" s="12"/>
      <c r="PD218" s="12"/>
      <c r="QI218" s="13"/>
      <c r="QK218" s="13"/>
      <c r="RG218" s="13"/>
      <c r="RH218" s="12"/>
      <c r="RI218" s="13"/>
      <c r="TM218" s="13"/>
      <c r="TP218" s="13"/>
    </row>
    <row r="219" spans="74:536" ht="10.75" customHeight="1">
      <c r="CB219" s="12"/>
      <c r="CC219" s="13"/>
      <c r="CD219" s="12"/>
      <c r="CE219" s="12"/>
      <c r="CP219" s="13"/>
      <c r="CQ219" s="13"/>
      <c r="FF219" s="12"/>
      <c r="FG219" s="13"/>
      <c r="JH219" s="12"/>
      <c r="JK219" s="12"/>
      <c r="LA219" s="12"/>
      <c r="LN219" s="13"/>
      <c r="LO219" s="12"/>
      <c r="LP219" s="13"/>
      <c r="LQ219" s="12"/>
      <c r="MH219" s="13"/>
      <c r="MJ219" s="13"/>
      <c r="NH219" s="13"/>
      <c r="NI219" s="12"/>
      <c r="NT219" s="13"/>
      <c r="NW219" s="13"/>
      <c r="PA219" s="12"/>
      <c r="PD219" s="12"/>
      <c r="QI219" s="13"/>
      <c r="QK219" s="13"/>
      <c r="RG219" s="13"/>
      <c r="RH219" s="12"/>
      <c r="RI219" s="13"/>
      <c r="TM219" s="13"/>
      <c r="TP219" s="13"/>
    </row>
    <row r="220" spans="74:536" ht="10.75" customHeight="1">
      <c r="CB220" s="12"/>
      <c r="CC220" s="13"/>
      <c r="CD220" s="12"/>
      <c r="CE220" s="12"/>
      <c r="CP220" s="13"/>
      <c r="CQ220" s="13"/>
      <c r="FF220" s="12"/>
      <c r="FG220" s="13"/>
      <c r="JH220" s="12"/>
      <c r="JK220" s="12"/>
      <c r="LA220" s="14"/>
      <c r="LB220" s="15"/>
      <c r="LC220" s="15"/>
      <c r="LD220" s="15"/>
      <c r="LE220" s="15"/>
      <c r="LF220" s="15"/>
      <c r="LG220" s="15"/>
      <c r="LH220" s="15"/>
      <c r="LI220" s="15"/>
      <c r="LJ220" s="15"/>
      <c r="LK220" s="15"/>
      <c r="LL220" s="15"/>
      <c r="LM220" s="15"/>
      <c r="LN220" s="16"/>
      <c r="LO220" s="14"/>
      <c r="LP220" s="16"/>
      <c r="LQ220" s="14"/>
      <c r="LR220" s="15"/>
      <c r="LS220" s="15"/>
      <c r="LT220" s="15"/>
      <c r="LU220" s="15"/>
      <c r="LV220" s="15"/>
      <c r="LW220" s="15"/>
      <c r="LX220" s="15"/>
      <c r="LY220" s="15"/>
      <c r="LZ220" s="15"/>
      <c r="MA220" s="15"/>
      <c r="MB220" s="15"/>
      <c r="MC220" s="15"/>
      <c r="MD220" s="15"/>
      <c r="ME220" s="15"/>
      <c r="MF220" s="15"/>
      <c r="MG220" s="15"/>
      <c r="MH220" s="16"/>
      <c r="MI220" s="15"/>
      <c r="MJ220" s="16"/>
      <c r="MK220" s="15"/>
      <c r="ML220" s="15"/>
      <c r="MM220" s="15"/>
      <c r="MN220" s="15"/>
      <c r="MO220" s="15"/>
      <c r="MP220" s="15"/>
      <c r="MQ220" s="15"/>
      <c r="MR220" s="15"/>
      <c r="MS220" s="15"/>
      <c r="MT220" s="15"/>
      <c r="MU220" s="15"/>
      <c r="MV220" s="15"/>
      <c r="MW220" s="15"/>
      <c r="MX220" s="15"/>
      <c r="MY220" s="15"/>
      <c r="MZ220" s="15"/>
      <c r="NA220" s="15"/>
      <c r="NB220" s="15"/>
      <c r="NC220" s="15"/>
      <c r="ND220" s="15"/>
      <c r="NE220" s="15"/>
      <c r="NF220" s="15"/>
      <c r="NG220" s="15"/>
      <c r="NH220" s="16"/>
      <c r="NI220" s="12"/>
      <c r="NT220" s="13"/>
      <c r="NW220" s="13"/>
      <c r="PA220" s="12"/>
      <c r="PD220" s="12"/>
      <c r="QI220" s="13"/>
      <c r="QK220" s="13"/>
      <c r="RG220" s="13"/>
      <c r="RH220" s="12"/>
      <c r="RI220" s="13"/>
      <c r="TM220" s="13"/>
      <c r="TP220" s="13"/>
    </row>
    <row r="221" spans="74:536" ht="10.75" customHeight="1">
      <c r="CB221" s="12"/>
      <c r="CC221" s="13"/>
      <c r="CD221" s="12"/>
      <c r="CE221" s="12"/>
      <c r="CP221" s="13"/>
      <c r="CQ221" s="13"/>
      <c r="FF221" s="12"/>
      <c r="FG221" s="13"/>
      <c r="JH221" s="12"/>
      <c r="JK221" s="12"/>
      <c r="LA221" s="9"/>
      <c r="LB221" s="10"/>
      <c r="LC221" s="10"/>
      <c r="LD221" s="10"/>
      <c r="LE221" s="10"/>
      <c r="LF221" s="10"/>
      <c r="LG221" s="10"/>
      <c r="LH221" s="10"/>
      <c r="LI221" s="10"/>
      <c r="LJ221" s="10"/>
      <c r="LK221" s="10"/>
      <c r="LL221" s="10"/>
      <c r="LM221" s="10"/>
      <c r="LN221" s="11"/>
      <c r="LO221" s="12"/>
      <c r="LP221" s="13"/>
      <c r="NG221" s="9"/>
      <c r="NH221" s="11"/>
      <c r="NI221" s="12"/>
      <c r="NT221" s="13"/>
      <c r="NW221" s="13"/>
      <c r="PA221" s="12"/>
      <c r="PD221" s="12"/>
      <c r="QI221" s="13"/>
      <c r="QK221" s="13"/>
      <c r="RG221" s="13"/>
      <c r="RH221" s="12"/>
      <c r="RI221" s="13"/>
      <c r="TM221" s="13"/>
      <c r="TP221" s="13"/>
    </row>
    <row r="222" spans="74:536" ht="10.75" customHeight="1">
      <c r="CB222" s="12"/>
      <c r="CC222" s="13"/>
      <c r="CD222" s="12"/>
      <c r="CE222" s="12"/>
      <c r="CP222" s="13"/>
      <c r="CQ222" s="13"/>
      <c r="FF222" s="12"/>
      <c r="FG222" s="13"/>
      <c r="JH222" s="12"/>
      <c r="JK222" s="12"/>
      <c r="LA222" s="14"/>
      <c r="LB222" s="15"/>
      <c r="LC222" s="15"/>
      <c r="LD222" s="15"/>
      <c r="LE222" s="15"/>
      <c r="LF222" s="15"/>
      <c r="LG222" s="15"/>
      <c r="LH222" s="15"/>
      <c r="LI222" s="15"/>
      <c r="LJ222" s="15"/>
      <c r="LK222" s="15"/>
      <c r="LL222" s="15"/>
      <c r="LM222" s="15"/>
      <c r="LN222" s="16"/>
      <c r="LO222" s="12"/>
      <c r="LP222" s="13"/>
      <c r="LQ222" s="15"/>
      <c r="LR222" s="15"/>
      <c r="LS222" s="15"/>
      <c r="LT222" s="15"/>
      <c r="LU222" s="15"/>
      <c r="LV222" s="15"/>
      <c r="LW222" s="15"/>
      <c r="LX222" s="15"/>
      <c r="LY222" s="15"/>
      <c r="LZ222" s="15"/>
      <c r="MA222" s="15"/>
      <c r="MB222" s="15"/>
      <c r="MC222" s="15"/>
      <c r="MD222" s="15"/>
      <c r="ME222" s="15"/>
      <c r="MF222" s="15"/>
      <c r="MG222" s="15"/>
      <c r="MH222" s="15"/>
      <c r="MI222" s="15"/>
      <c r="MJ222" s="15"/>
      <c r="MK222" s="15"/>
      <c r="ML222" s="15"/>
      <c r="MM222" s="15"/>
      <c r="MN222" s="15"/>
      <c r="MO222" s="15"/>
      <c r="MP222" s="15"/>
      <c r="MQ222" s="15"/>
      <c r="MR222" s="15"/>
      <c r="MS222" s="15"/>
      <c r="MT222" s="15"/>
      <c r="MU222" s="15"/>
      <c r="MV222" s="15"/>
      <c r="MW222" s="15"/>
      <c r="MX222" s="15"/>
      <c r="MY222" s="15"/>
      <c r="MZ222" s="15"/>
      <c r="NA222" s="15"/>
      <c r="NB222" s="15"/>
      <c r="NC222" s="15"/>
      <c r="ND222" s="15"/>
      <c r="NE222" s="15"/>
      <c r="NF222" s="15"/>
      <c r="NG222" s="14"/>
      <c r="NH222" s="16"/>
      <c r="NI222" s="12"/>
      <c r="NT222" s="13"/>
      <c r="NW222" s="13"/>
      <c r="PA222" s="12"/>
      <c r="PD222" s="12"/>
      <c r="QI222" s="13"/>
      <c r="QK222" s="13"/>
      <c r="RG222" s="13"/>
      <c r="RH222" s="12"/>
      <c r="RI222" s="13"/>
      <c r="TM222" s="13"/>
      <c r="TP222" s="13"/>
    </row>
    <row r="223" spans="74:536" ht="10.75" customHeight="1">
      <c r="CB223" s="12"/>
      <c r="CC223" s="13"/>
      <c r="CD223" s="12"/>
      <c r="CE223" s="12"/>
      <c r="CP223" s="13"/>
      <c r="CQ223" s="13"/>
      <c r="FF223" s="12"/>
      <c r="FG223" s="13"/>
      <c r="JH223" s="12"/>
      <c r="JK223" s="12"/>
      <c r="LN223" s="13"/>
      <c r="LO223" s="12"/>
      <c r="LP223" s="13"/>
      <c r="NG223" s="12"/>
      <c r="NH223" s="13"/>
      <c r="NI223" s="12"/>
      <c r="NT223" s="13"/>
      <c r="NW223" s="13"/>
      <c r="PA223" s="12"/>
      <c r="PD223" s="12"/>
      <c r="QI223" s="13"/>
      <c r="QK223" s="13"/>
      <c r="RG223" s="13"/>
      <c r="RH223" s="12"/>
      <c r="RI223" s="13"/>
      <c r="TM223" s="13"/>
      <c r="TP223" s="13"/>
    </row>
    <row r="224" spans="74:536" ht="10.75" customHeight="1">
      <c r="CB224" s="12"/>
      <c r="CC224" s="13"/>
      <c r="CD224" s="12"/>
      <c r="CE224" s="12"/>
      <c r="CP224" s="13"/>
      <c r="CQ224" s="13"/>
      <c r="FF224" s="12"/>
      <c r="FG224" s="13"/>
      <c r="JH224" s="12"/>
      <c r="JK224" s="12"/>
      <c r="LN224" s="13"/>
      <c r="LO224" s="12"/>
      <c r="LP224" s="13"/>
      <c r="NG224" s="12"/>
      <c r="NH224" s="13"/>
      <c r="NI224" s="12"/>
      <c r="NT224" s="13"/>
      <c r="NW224" s="13"/>
      <c r="PA224" s="12"/>
      <c r="PD224" s="12"/>
      <c r="QI224" s="13"/>
      <c r="QK224" s="13"/>
      <c r="RG224" s="13"/>
      <c r="RH224" s="12"/>
      <c r="RI224" s="13"/>
      <c r="TM224" s="13"/>
      <c r="TP224" s="13"/>
    </row>
    <row r="225" spans="80:536" ht="10.75" customHeight="1">
      <c r="CB225" s="12"/>
      <c r="CC225" s="13"/>
      <c r="CD225" s="12"/>
      <c r="CE225" s="12"/>
      <c r="CP225" s="13"/>
      <c r="CQ225" s="13"/>
      <c r="FF225" s="12"/>
      <c r="FG225" s="13"/>
      <c r="JH225" s="12"/>
      <c r="JK225" s="12"/>
      <c r="LN225" s="13"/>
      <c r="LO225" s="12"/>
      <c r="LP225" s="13"/>
      <c r="NG225" s="12"/>
      <c r="NH225" s="13"/>
      <c r="NI225" s="12"/>
      <c r="NT225" s="13"/>
      <c r="NW225" s="13"/>
      <c r="PA225" s="12"/>
      <c r="PD225" s="12"/>
      <c r="QI225" s="13"/>
      <c r="QK225" s="13"/>
      <c r="RG225" s="13"/>
      <c r="RH225" s="12"/>
      <c r="RI225" s="13"/>
      <c r="TM225" s="13"/>
      <c r="TP225" s="13"/>
    </row>
    <row r="226" spans="80:536" ht="10.75" customHeight="1">
      <c r="CB226" s="12"/>
      <c r="CC226" s="13"/>
      <c r="CD226" s="12"/>
      <c r="CE226" s="12"/>
      <c r="CP226" s="13"/>
      <c r="CQ226" s="13"/>
      <c r="FF226" s="12"/>
      <c r="FG226" s="13"/>
      <c r="JH226" s="12"/>
      <c r="JK226" s="12"/>
      <c r="LN226" s="13"/>
      <c r="LO226" s="12"/>
      <c r="LP226" s="13"/>
      <c r="NG226" s="12"/>
      <c r="NH226" s="13"/>
      <c r="NI226" s="12"/>
      <c r="NT226" s="13"/>
      <c r="NW226" s="13"/>
      <c r="PA226" s="12"/>
      <c r="PD226" s="14"/>
      <c r="PE226" s="15"/>
      <c r="PF226" s="15"/>
      <c r="PG226" s="15"/>
      <c r="PH226" s="15"/>
      <c r="PI226" s="15"/>
      <c r="PJ226" s="15"/>
      <c r="PK226" s="15"/>
      <c r="PL226" s="15"/>
      <c r="PM226" s="15"/>
      <c r="PN226" s="15"/>
      <c r="PO226" s="15"/>
      <c r="PP226" s="15"/>
      <c r="PQ226" s="15"/>
      <c r="PR226" s="15"/>
      <c r="PS226" s="15"/>
      <c r="PT226" s="15"/>
      <c r="PU226" s="15"/>
      <c r="PV226" s="15"/>
      <c r="PW226" s="15"/>
      <c r="PX226" s="15"/>
      <c r="PY226" s="15"/>
      <c r="PZ226" s="15"/>
      <c r="QA226" s="15"/>
      <c r="QB226" s="15"/>
      <c r="QC226" s="15"/>
      <c r="QD226" s="15"/>
      <c r="QE226" s="15"/>
      <c r="QF226" s="15"/>
      <c r="QG226" s="15"/>
      <c r="QH226" s="15"/>
      <c r="QI226" s="16"/>
      <c r="QJ226" s="15"/>
      <c r="QK226" s="16"/>
      <c r="QL226" s="15"/>
      <c r="QM226" s="15"/>
      <c r="QN226" s="15"/>
      <c r="QO226" s="15"/>
      <c r="QP226" s="15"/>
      <c r="QQ226" s="15"/>
      <c r="QR226" s="15"/>
      <c r="QS226" s="15"/>
      <c r="QT226" s="15"/>
      <c r="QU226" s="15"/>
      <c r="QV226" s="15"/>
      <c r="QW226" s="15"/>
      <c r="QX226" s="15"/>
      <c r="QY226" s="15"/>
      <c r="QZ226" s="15"/>
      <c r="RA226" s="15"/>
      <c r="RB226" s="15"/>
      <c r="RC226" s="15"/>
      <c r="RD226" s="15"/>
      <c r="RE226" s="15"/>
      <c r="RF226" s="15"/>
      <c r="RG226" s="16"/>
      <c r="RH226" s="12"/>
      <c r="RI226" s="13"/>
      <c r="TM226" s="13"/>
      <c r="TP226" s="13"/>
    </row>
    <row r="227" spans="80:536" ht="10.75" customHeight="1">
      <c r="CB227" s="12"/>
      <c r="CC227" s="13"/>
      <c r="CD227" s="12"/>
      <c r="CE227" s="12"/>
      <c r="CP227" s="13"/>
      <c r="CQ227" s="13"/>
      <c r="FF227" s="12"/>
      <c r="FG227" s="13"/>
      <c r="JH227" s="12"/>
      <c r="JK227" s="12"/>
      <c r="LN227" s="13"/>
      <c r="LO227" s="12"/>
      <c r="LP227" s="13"/>
      <c r="NG227" s="12"/>
      <c r="NH227" s="13"/>
      <c r="NI227" s="12"/>
      <c r="NT227" s="13"/>
      <c r="NW227" s="13"/>
      <c r="PA227" s="12"/>
      <c r="PD227" s="9"/>
      <c r="PE227" s="10"/>
      <c r="PF227" s="10"/>
      <c r="PG227" s="10"/>
      <c r="PH227" s="10"/>
      <c r="PI227" s="10"/>
      <c r="PJ227" s="10"/>
      <c r="PK227" s="10"/>
      <c r="PL227" s="10"/>
      <c r="PM227" s="10"/>
      <c r="PN227" s="10"/>
      <c r="PO227" s="10"/>
      <c r="PP227" s="10"/>
      <c r="PQ227" s="10"/>
      <c r="PR227" s="10"/>
      <c r="PS227" s="10"/>
      <c r="PT227" s="10"/>
      <c r="PU227" s="10"/>
      <c r="PV227" s="10"/>
      <c r="PW227" s="10"/>
      <c r="PX227" s="10"/>
      <c r="PY227" s="10"/>
      <c r="PZ227" s="10"/>
      <c r="QA227" s="10"/>
      <c r="QB227" s="10"/>
      <c r="QC227" s="10"/>
      <c r="QD227" s="10"/>
      <c r="QE227" s="10"/>
      <c r="QF227" s="10"/>
      <c r="QG227" s="10"/>
      <c r="QH227" s="10"/>
      <c r="QI227" s="10"/>
      <c r="QJ227" s="10"/>
      <c r="QK227" s="10"/>
      <c r="QL227" s="10"/>
      <c r="QM227" s="10"/>
      <c r="QN227" s="10"/>
      <c r="QO227" s="10"/>
      <c r="QP227" s="10"/>
      <c r="QQ227" s="10"/>
      <c r="QR227" s="10"/>
      <c r="QS227" s="10"/>
      <c r="QT227" s="10"/>
      <c r="QU227" s="10"/>
      <c r="QV227" s="10"/>
      <c r="QW227" s="10"/>
      <c r="QX227" s="10"/>
      <c r="QY227" s="10"/>
      <c r="QZ227" s="10"/>
      <c r="RA227" s="10"/>
      <c r="RB227" s="10"/>
      <c r="RC227" s="10"/>
      <c r="RD227" s="10"/>
      <c r="RE227" s="10"/>
      <c r="RF227" s="10"/>
      <c r="RG227" s="11"/>
      <c r="RH227" s="12"/>
      <c r="RI227" s="13"/>
      <c r="TM227" s="13"/>
      <c r="TP227" s="13"/>
    </row>
    <row r="228" spans="80:536" ht="10.75" customHeight="1">
      <c r="CB228" s="12"/>
      <c r="CC228" s="13"/>
      <c r="CD228" s="12"/>
      <c r="CE228" s="12"/>
      <c r="CP228" s="13"/>
      <c r="CQ228" s="13"/>
      <c r="FF228" s="12"/>
      <c r="FG228" s="13"/>
      <c r="JH228" s="12"/>
      <c r="JK228" s="12"/>
      <c r="LN228" s="13"/>
      <c r="LO228" s="12"/>
      <c r="LP228" s="13"/>
      <c r="NG228" s="14"/>
      <c r="NH228" s="16"/>
      <c r="NI228" s="14"/>
      <c r="NJ228" s="15"/>
      <c r="NK228" s="15"/>
      <c r="NL228" s="15"/>
      <c r="NM228" s="15"/>
      <c r="NN228" s="15"/>
      <c r="NO228" s="15"/>
      <c r="NP228" s="15"/>
      <c r="NQ228" s="15"/>
      <c r="NR228" s="15"/>
      <c r="NS228" s="15"/>
      <c r="NT228" s="16"/>
      <c r="NW228" s="13"/>
      <c r="PA228" s="12"/>
      <c r="PD228" s="12"/>
      <c r="RG228" s="13"/>
      <c r="RH228" s="12"/>
      <c r="RI228" s="13"/>
      <c r="TM228" s="13"/>
      <c r="TP228" s="13"/>
    </row>
    <row r="229" spans="80:536" ht="10.75" customHeight="1">
      <c r="CB229" s="12"/>
      <c r="CC229" s="13"/>
      <c r="CD229" s="12"/>
      <c r="CE229" s="12"/>
      <c r="CP229" s="13"/>
      <c r="CQ229" s="13"/>
      <c r="FF229" s="12"/>
      <c r="FG229" s="13"/>
      <c r="JH229" s="12"/>
      <c r="JK229" s="12"/>
      <c r="LN229" s="13"/>
      <c r="LO229" s="12"/>
      <c r="LP229" s="13"/>
      <c r="NT229" s="13"/>
      <c r="NW229" s="13"/>
      <c r="PA229" s="12"/>
      <c r="PD229" s="9"/>
      <c r="PE229" s="10"/>
      <c r="PF229" s="10"/>
      <c r="PG229" s="10"/>
      <c r="PH229" s="10"/>
      <c r="PI229" s="10"/>
      <c r="PJ229" s="10"/>
      <c r="PK229" s="10"/>
      <c r="PL229" s="10"/>
      <c r="PM229" s="10"/>
      <c r="PN229" s="10"/>
      <c r="PO229" s="10"/>
      <c r="PP229" s="10"/>
      <c r="PQ229" s="10"/>
      <c r="PR229" s="10"/>
      <c r="PS229" s="10"/>
      <c r="PT229" s="10"/>
      <c r="PU229" s="10"/>
      <c r="PV229" s="10"/>
      <c r="PW229" s="10"/>
      <c r="PX229" s="10"/>
      <c r="PY229" s="10"/>
      <c r="PZ229" s="10"/>
      <c r="QA229" s="10"/>
      <c r="QB229" s="10"/>
      <c r="QC229" s="10"/>
      <c r="QD229" s="10"/>
      <c r="QE229" s="10"/>
      <c r="QF229" s="10"/>
      <c r="QG229" s="10"/>
      <c r="QH229" s="10"/>
      <c r="QI229" s="10"/>
      <c r="QJ229" s="10"/>
      <c r="QK229" s="10"/>
      <c r="QL229" s="10"/>
      <c r="QM229" s="10"/>
      <c r="QN229" s="10"/>
      <c r="QO229" s="10"/>
      <c r="QP229" s="10"/>
      <c r="QQ229" s="10"/>
      <c r="QR229" s="10"/>
      <c r="QS229" s="10"/>
      <c r="QT229" s="10"/>
      <c r="QU229" s="10"/>
      <c r="QV229" s="10"/>
      <c r="QW229" s="10"/>
      <c r="QX229" s="10"/>
      <c r="QY229" s="10"/>
      <c r="QZ229" s="10"/>
      <c r="RA229" s="10"/>
      <c r="RB229" s="10"/>
      <c r="RC229" s="10"/>
      <c r="RD229" s="10"/>
      <c r="RE229" s="10"/>
      <c r="RF229" s="10"/>
      <c r="RG229" s="11"/>
      <c r="RH229" s="12"/>
      <c r="RI229" s="13"/>
      <c r="TM229" s="13"/>
      <c r="TP229" s="13"/>
    </row>
    <row r="230" spans="80:536" ht="10.75" customHeight="1">
      <c r="CB230" s="12"/>
      <c r="CC230" s="13"/>
      <c r="CD230" s="12"/>
      <c r="CE230" s="12"/>
      <c r="CP230" s="13"/>
      <c r="CQ230" s="13"/>
      <c r="FF230" s="12"/>
      <c r="FG230" s="13"/>
      <c r="JH230" s="12"/>
      <c r="JK230" s="12"/>
      <c r="LN230" s="13"/>
      <c r="LO230" s="12"/>
      <c r="LP230" s="13"/>
      <c r="NT230" s="13"/>
      <c r="NW230" s="13"/>
      <c r="PA230" s="12"/>
      <c r="PD230" s="12"/>
      <c r="RG230" s="13"/>
      <c r="RH230" s="12"/>
      <c r="RI230" s="13"/>
      <c r="TM230" s="13"/>
      <c r="TP230" s="13"/>
    </row>
    <row r="231" spans="80:536" ht="10.75" customHeight="1">
      <c r="CB231" s="12"/>
      <c r="CC231" s="13"/>
      <c r="CD231" s="12"/>
      <c r="CE231" s="12"/>
      <c r="CP231" s="13"/>
      <c r="CQ231" s="13"/>
      <c r="FF231" s="12"/>
      <c r="FG231" s="13"/>
      <c r="JH231" s="12"/>
      <c r="JK231" s="12"/>
      <c r="LN231" s="13"/>
      <c r="LO231" s="12"/>
      <c r="LP231" s="13"/>
      <c r="NT231" s="13"/>
      <c r="NW231" s="13"/>
      <c r="PA231" s="12"/>
      <c r="PD231" s="12"/>
      <c r="RG231" s="13"/>
      <c r="RH231" s="12"/>
      <c r="RI231" s="13"/>
      <c r="TM231" s="13"/>
      <c r="TP231" s="13"/>
    </row>
    <row r="232" spans="80:536" ht="10.75" customHeight="1">
      <c r="CB232" s="12"/>
      <c r="CC232" s="13"/>
      <c r="CD232" s="12"/>
      <c r="CE232" s="12"/>
      <c r="CP232" s="13"/>
      <c r="CQ232" s="13"/>
      <c r="DK232" s="17"/>
      <c r="FF232" s="12"/>
      <c r="FG232" s="13"/>
      <c r="JH232" s="12"/>
      <c r="JK232" s="12"/>
      <c r="LN232" s="13"/>
      <c r="LO232" s="12"/>
      <c r="LP232" s="13"/>
      <c r="NT232" s="13"/>
      <c r="NW232" s="13"/>
      <c r="PA232" s="12"/>
      <c r="PD232" s="12"/>
      <c r="RG232" s="13"/>
      <c r="RH232" s="12"/>
      <c r="RI232" s="13"/>
      <c r="TM232" s="13"/>
      <c r="TP232" s="13"/>
    </row>
    <row r="233" spans="80:536" ht="10.75" customHeight="1">
      <c r="CB233" s="12"/>
      <c r="CC233" s="13"/>
      <c r="CD233" s="12"/>
      <c r="CE233" s="12"/>
      <c r="CP233" s="13"/>
      <c r="CQ233" s="13"/>
      <c r="DK233" s="18"/>
      <c r="FF233" s="12"/>
      <c r="FG233" s="13"/>
      <c r="JH233" s="12"/>
      <c r="JK233" s="12"/>
      <c r="LN233" s="13"/>
      <c r="LO233" s="12"/>
      <c r="LP233" s="13"/>
      <c r="NT233" s="13"/>
      <c r="NW233" s="13"/>
      <c r="PA233" s="12"/>
      <c r="PD233" s="12"/>
      <c r="RG233" s="13"/>
      <c r="RH233" s="12"/>
      <c r="RI233" s="13"/>
      <c r="TM233" s="13"/>
      <c r="TP233" s="13"/>
    </row>
    <row r="234" spans="80:536" ht="10.75" customHeight="1">
      <c r="CB234" s="12"/>
      <c r="CC234" s="13"/>
      <c r="CD234" s="12"/>
      <c r="CE234" s="12"/>
      <c r="CP234" s="13"/>
      <c r="CQ234" s="13"/>
      <c r="DK234" s="18"/>
      <c r="FF234" s="12"/>
      <c r="FG234" s="13"/>
      <c r="JH234" s="12"/>
      <c r="JK234" s="12"/>
      <c r="LN234" s="13"/>
      <c r="LO234" s="12"/>
      <c r="LP234" s="13"/>
      <c r="NT234" s="13"/>
      <c r="NW234" s="13"/>
      <c r="PA234" s="12"/>
      <c r="PD234" s="12"/>
      <c r="RG234" s="13"/>
      <c r="RH234" s="12"/>
      <c r="RI234" s="13"/>
      <c r="TM234" s="13"/>
      <c r="TP234" s="13"/>
    </row>
    <row r="235" spans="80:536" ht="10.75" customHeight="1">
      <c r="CB235" s="12"/>
      <c r="CC235" s="13"/>
      <c r="CD235" s="12"/>
      <c r="CE235" s="12"/>
      <c r="CP235" s="13"/>
      <c r="CQ235" s="13"/>
      <c r="DK235" s="18"/>
      <c r="DP235" s="17"/>
      <c r="FF235" s="12"/>
      <c r="FG235" s="13"/>
      <c r="JH235" s="12"/>
      <c r="JK235" s="12"/>
      <c r="LN235" s="13"/>
      <c r="LO235" s="12"/>
      <c r="LP235" s="13"/>
      <c r="NT235" s="13"/>
      <c r="NW235" s="13"/>
      <c r="PA235" s="12"/>
      <c r="PD235" s="12"/>
      <c r="RG235" s="13"/>
      <c r="RH235" s="12"/>
      <c r="RI235" s="13"/>
      <c r="TM235" s="13"/>
      <c r="TP235" s="13"/>
    </row>
    <row r="236" spans="80:536" ht="10.75" customHeight="1">
      <c r="CB236" s="12"/>
      <c r="CC236" s="13"/>
      <c r="CD236" s="12"/>
      <c r="CE236" s="12"/>
      <c r="CP236" s="13"/>
      <c r="CQ236" s="13"/>
      <c r="DK236" s="18"/>
      <c r="DP236" s="18"/>
      <c r="FF236" s="12"/>
      <c r="FG236" s="13"/>
      <c r="JH236" s="12"/>
      <c r="JK236" s="12"/>
      <c r="LN236" s="13"/>
      <c r="LO236" s="12"/>
      <c r="LP236" s="13"/>
      <c r="NT236" s="13"/>
      <c r="NW236" s="13"/>
      <c r="PA236" s="12"/>
      <c r="PD236" s="12"/>
      <c r="RG236" s="13"/>
      <c r="RH236" s="12"/>
      <c r="RI236" s="13"/>
      <c r="TM236" s="13"/>
      <c r="TP236" s="13"/>
    </row>
    <row r="237" spans="80:536" ht="10.75" customHeight="1">
      <c r="CB237" s="12"/>
      <c r="CC237" s="13"/>
      <c r="CD237" s="12"/>
      <c r="CE237" s="12"/>
      <c r="CP237" s="13"/>
      <c r="CQ237" s="13"/>
      <c r="DK237" s="18"/>
      <c r="DP237" s="18"/>
      <c r="FF237" s="12"/>
      <c r="FG237" s="13"/>
      <c r="JH237" s="12"/>
      <c r="JK237" s="12"/>
      <c r="LN237" s="13"/>
      <c r="LO237" s="12"/>
      <c r="LP237" s="13"/>
      <c r="NT237" s="13"/>
      <c r="NW237" s="13"/>
      <c r="PA237" s="12"/>
      <c r="PD237" s="12"/>
      <c r="RG237" s="13"/>
      <c r="RH237" s="12"/>
      <c r="RI237" s="13"/>
      <c r="TM237" s="13"/>
      <c r="TP237" s="13"/>
    </row>
    <row r="238" spans="80:536" ht="10.75" customHeight="1">
      <c r="CB238" s="12"/>
      <c r="CC238" s="13"/>
      <c r="CD238" s="12"/>
      <c r="CE238" s="14"/>
      <c r="CF238" s="15"/>
      <c r="CG238" s="15"/>
      <c r="CH238" s="15"/>
      <c r="CI238" s="15"/>
      <c r="CJ238" s="15"/>
      <c r="CK238" s="15"/>
      <c r="CL238" s="15"/>
      <c r="CM238" s="15"/>
      <c r="CN238" s="15"/>
      <c r="CO238" s="15"/>
      <c r="CP238" s="16"/>
      <c r="CQ238" s="13"/>
      <c r="DK238" s="18"/>
      <c r="DP238" s="18"/>
      <c r="DU238" s="17"/>
      <c r="FF238" s="12"/>
      <c r="FG238" s="13"/>
      <c r="JH238" s="12"/>
      <c r="JK238" s="12"/>
      <c r="LN238" s="13"/>
      <c r="LO238" s="12"/>
      <c r="LP238" s="13"/>
      <c r="NT238" s="13"/>
      <c r="NW238" s="13"/>
      <c r="PA238" s="12"/>
      <c r="PD238" s="12"/>
      <c r="RG238" s="13"/>
      <c r="RH238" s="12"/>
      <c r="RI238" s="13"/>
      <c r="TM238" s="13"/>
      <c r="TP238" s="13"/>
    </row>
    <row r="239" spans="80:536" ht="10.75" customHeight="1">
      <c r="CB239" s="12"/>
      <c r="CC239" s="13"/>
      <c r="CD239" s="12"/>
      <c r="CQ239" s="13"/>
      <c r="DK239" s="18"/>
      <c r="DP239" s="18"/>
      <c r="DU239" s="18"/>
      <c r="FF239" s="12"/>
      <c r="FG239" s="13"/>
      <c r="JH239" s="12"/>
      <c r="JK239" s="12"/>
      <c r="LN239" s="13"/>
      <c r="LO239" s="12"/>
      <c r="LP239" s="13"/>
      <c r="NT239" s="13"/>
      <c r="NW239" s="13"/>
      <c r="PA239" s="12"/>
      <c r="PD239" s="12"/>
      <c r="RG239" s="13"/>
      <c r="RH239" s="12"/>
      <c r="RI239" s="13"/>
      <c r="TM239" s="13"/>
      <c r="TP239" s="13"/>
    </row>
    <row r="240" spans="80:536" ht="10.75" customHeight="1">
      <c r="CB240" s="12"/>
      <c r="CC240" s="13"/>
      <c r="CD240" s="9"/>
      <c r="CE240" s="10"/>
      <c r="CF240" s="10"/>
      <c r="CG240" s="10"/>
      <c r="CH240" s="10"/>
      <c r="CI240" s="10"/>
      <c r="CJ240" s="10"/>
      <c r="CK240" s="10"/>
      <c r="CL240" s="10"/>
      <c r="CM240" s="10"/>
      <c r="CN240" s="10"/>
      <c r="CO240" s="10"/>
      <c r="CP240" s="10"/>
      <c r="CQ240" s="11"/>
      <c r="DK240" s="18"/>
      <c r="DP240" s="18"/>
      <c r="DU240" s="18"/>
      <c r="FF240" s="12"/>
      <c r="FG240" s="13"/>
      <c r="JH240" s="12"/>
      <c r="JK240" s="12"/>
      <c r="LN240" s="13"/>
      <c r="LO240" s="12"/>
      <c r="LP240" s="13"/>
      <c r="NT240" s="13"/>
      <c r="NW240" s="13"/>
      <c r="PA240" s="12"/>
      <c r="PD240" s="12"/>
      <c r="RG240" s="13"/>
      <c r="RH240" s="12"/>
      <c r="RI240" s="13"/>
      <c r="TM240" s="13"/>
      <c r="TP240" s="13"/>
    </row>
    <row r="241" spans="74:536" ht="10.75" customHeight="1">
      <c r="CB241" s="14"/>
      <c r="CC241" s="16"/>
      <c r="CD241" s="14"/>
      <c r="CE241" s="15"/>
      <c r="CF241" s="15"/>
      <c r="CG241" s="15"/>
      <c r="CH241" s="15"/>
      <c r="CI241" s="15"/>
      <c r="CJ241" s="15"/>
      <c r="CK241" s="15"/>
      <c r="CL241" s="15"/>
      <c r="CM241" s="15"/>
      <c r="CN241" s="15"/>
      <c r="CO241" s="15"/>
      <c r="CP241" s="15"/>
      <c r="CQ241" s="16"/>
      <c r="DK241" s="18"/>
      <c r="DP241" s="18"/>
      <c r="DU241" s="18"/>
      <c r="DZ241" s="17"/>
      <c r="FF241" s="12"/>
      <c r="FG241" s="13"/>
      <c r="JH241" s="12"/>
      <c r="JK241" s="12"/>
      <c r="LN241" s="13"/>
      <c r="LO241" s="12"/>
      <c r="LP241" s="13"/>
      <c r="NT241" s="13"/>
      <c r="NW241" s="13"/>
      <c r="PA241" s="12"/>
      <c r="PD241" s="12"/>
      <c r="RG241" s="13"/>
      <c r="RH241" s="12"/>
      <c r="RI241" s="13"/>
      <c r="TM241" s="13"/>
      <c r="TP241" s="13"/>
    </row>
    <row r="242" spans="74:536" ht="10.75" customHeight="1">
      <c r="BV242" s="9"/>
      <c r="BW242" s="10"/>
      <c r="BX242" s="10"/>
      <c r="BY242" s="10"/>
      <c r="BZ242" s="10"/>
      <c r="CA242" s="10"/>
      <c r="CB242" s="10"/>
      <c r="CC242" s="10"/>
      <c r="CD242" s="10"/>
      <c r="CE242" s="10"/>
      <c r="CF242" s="10"/>
      <c r="CG242" s="10"/>
      <c r="CH242" s="10"/>
      <c r="CI242" s="10"/>
      <c r="CJ242" s="10"/>
      <c r="CK242" s="10"/>
      <c r="CL242" s="10"/>
      <c r="CM242" s="10"/>
      <c r="CN242" s="10"/>
      <c r="CO242" s="10"/>
      <c r="CP242" s="10"/>
      <c r="CQ242" s="10"/>
      <c r="CR242" s="10"/>
      <c r="CS242" s="10"/>
      <c r="CT242" s="10"/>
      <c r="CU242" s="10"/>
      <c r="CV242" s="10"/>
      <c r="CW242" s="10"/>
      <c r="CX242" s="10"/>
      <c r="CY242" s="10"/>
      <c r="CZ242" s="10"/>
      <c r="DA242" s="10"/>
      <c r="DB242" s="10"/>
      <c r="DC242" s="10"/>
      <c r="DD242" s="10"/>
      <c r="DE242" s="10"/>
      <c r="DF242" s="10"/>
      <c r="DG242" s="10"/>
      <c r="DH242" s="11"/>
      <c r="DI242" s="254"/>
      <c r="DJ242" s="254"/>
      <c r="DK242" s="255"/>
      <c r="DL242" s="254"/>
      <c r="DM242" s="254"/>
      <c r="DN242" s="254"/>
      <c r="DO242" s="254"/>
      <c r="DP242" s="255"/>
      <c r="DQ242" s="254"/>
      <c r="DR242" s="254"/>
      <c r="DS242" s="254"/>
      <c r="DT242" s="254"/>
      <c r="DU242" s="255"/>
      <c r="DV242" s="254"/>
      <c r="DW242" s="254"/>
      <c r="DX242" s="254"/>
      <c r="DY242" s="254"/>
      <c r="DZ242" s="255"/>
      <c r="EA242" s="254"/>
      <c r="EB242" s="254"/>
      <c r="EC242" s="254"/>
      <c r="ED242" s="254"/>
      <c r="EE242" s="254"/>
      <c r="EF242" s="254"/>
      <c r="EG242" s="254"/>
      <c r="EH242" s="254"/>
      <c r="EI242" s="254"/>
      <c r="EJ242" s="254"/>
      <c r="EK242" s="254"/>
      <c r="EL242" s="254"/>
      <c r="EM242" s="254"/>
      <c r="EN242" s="254"/>
      <c r="EO242" s="254"/>
      <c r="EP242" s="254"/>
      <c r="EQ242" s="254"/>
      <c r="ER242" s="254"/>
      <c r="ES242" s="254"/>
      <c r="ET242" s="254"/>
      <c r="EU242" s="254"/>
      <c r="EV242" s="254"/>
      <c r="EW242" s="254"/>
      <c r="EX242" s="254"/>
      <c r="EY242" s="254"/>
      <c r="EZ242" s="254"/>
      <c r="FA242" s="254"/>
      <c r="FB242" s="254"/>
      <c r="FC242" s="254"/>
      <c r="FD242" s="254"/>
      <c r="FE242" s="254"/>
      <c r="FF242" s="9"/>
      <c r="FG242" s="10"/>
      <c r="FH242" s="10"/>
      <c r="FI242" s="10"/>
      <c r="FJ242" s="10"/>
      <c r="FK242" s="10"/>
      <c r="FL242" s="10"/>
      <c r="FM242" s="10"/>
      <c r="FN242" s="10"/>
      <c r="FO242" s="10"/>
      <c r="FP242" s="10"/>
      <c r="FQ242" s="10"/>
      <c r="FR242" s="10"/>
      <c r="FS242" s="10"/>
      <c r="FT242" s="10"/>
      <c r="FU242" s="10"/>
      <c r="FV242" s="10"/>
      <c r="FW242" s="10"/>
      <c r="FX242" s="10"/>
      <c r="FY242" s="10"/>
      <c r="FZ242" s="10"/>
      <c r="GA242" s="10"/>
      <c r="GB242" s="10"/>
      <c r="GC242" s="10"/>
      <c r="GD242" s="10"/>
      <c r="GE242" s="10"/>
      <c r="GF242" s="10"/>
      <c r="GG242" s="10"/>
      <c r="GH242" s="10"/>
      <c r="GI242" s="10"/>
      <c r="GJ242" s="10"/>
      <c r="GK242" s="10"/>
      <c r="GL242" s="10"/>
      <c r="GM242" s="10"/>
      <c r="GN242" s="10"/>
      <c r="GO242" s="10"/>
      <c r="GP242" s="10"/>
      <c r="GQ242" s="10"/>
      <c r="GR242" s="10"/>
      <c r="GS242" s="10"/>
      <c r="GT242" s="10"/>
      <c r="GU242" s="10"/>
      <c r="GV242" s="10"/>
      <c r="GW242" s="10"/>
      <c r="GX242" s="10"/>
      <c r="GY242" s="10"/>
      <c r="GZ242" s="10"/>
      <c r="HA242" s="10"/>
      <c r="HB242" s="10"/>
      <c r="HC242" s="10"/>
      <c r="HD242" s="10"/>
      <c r="HE242" s="11"/>
      <c r="JH242" s="12"/>
      <c r="JK242" s="12"/>
      <c r="LN242" s="13"/>
      <c r="LO242" s="12"/>
      <c r="LP242" s="13"/>
      <c r="NT242" s="13"/>
      <c r="NW242" s="13"/>
      <c r="PA242" s="12"/>
      <c r="PD242" s="12"/>
      <c r="RG242" s="13"/>
      <c r="RH242" s="12"/>
      <c r="RI242" s="13"/>
      <c r="TM242" s="13"/>
      <c r="TP242" s="13"/>
    </row>
    <row r="243" spans="74:536" ht="10.75" customHeight="1">
      <c r="BV243" s="14"/>
      <c r="BW243" s="15"/>
      <c r="BX243" s="15"/>
      <c r="BY243" s="15"/>
      <c r="BZ243" s="15"/>
      <c r="CA243" s="15"/>
      <c r="CB243" s="15"/>
      <c r="CC243" s="15"/>
      <c r="CD243" s="15"/>
      <c r="CE243" s="15"/>
      <c r="CF243" s="15"/>
      <c r="CG243" s="15"/>
      <c r="CH243" s="15"/>
      <c r="CI243" s="15"/>
      <c r="CJ243" s="15"/>
      <c r="CK243" s="15"/>
      <c r="CL243" s="15"/>
      <c r="CM243" s="15"/>
      <c r="CN243" s="15"/>
      <c r="CO243" s="15"/>
      <c r="CP243" s="15"/>
      <c r="CQ243" s="15"/>
      <c r="CR243" s="15"/>
      <c r="CS243" s="15"/>
      <c r="CT243" s="15"/>
      <c r="CU243" s="15"/>
      <c r="CV243" s="15"/>
      <c r="CW243" s="15"/>
      <c r="CX243" s="15"/>
      <c r="CY243" s="15"/>
      <c r="CZ243" s="15"/>
      <c r="DA243" s="15"/>
      <c r="DB243" s="15"/>
      <c r="DC243" s="15"/>
      <c r="DD243" s="15"/>
      <c r="DE243" s="15"/>
      <c r="DF243" s="15"/>
      <c r="DG243" s="15"/>
      <c r="DH243" s="16"/>
      <c r="DK243" s="18"/>
      <c r="DN243" s="256"/>
      <c r="DO243" s="256"/>
      <c r="DP243" s="257"/>
      <c r="DQ243" s="256"/>
      <c r="DR243" s="256"/>
      <c r="DS243" s="256"/>
      <c r="DT243" s="256"/>
      <c r="DU243" s="257"/>
      <c r="DV243" s="256"/>
      <c r="DW243" s="256"/>
      <c r="DX243" s="256"/>
      <c r="DY243" s="256"/>
      <c r="DZ243" s="257"/>
      <c r="EA243" s="256"/>
      <c r="EB243" s="256"/>
      <c r="EC243" s="256"/>
      <c r="ED243" s="256"/>
      <c r="EE243" s="256"/>
      <c r="EF243" s="256"/>
      <c r="EG243" s="256"/>
      <c r="EH243" s="256"/>
      <c r="EI243" s="256"/>
      <c r="EJ243" s="256"/>
      <c r="EK243" s="256"/>
      <c r="EL243" s="256"/>
      <c r="EM243" s="256"/>
      <c r="EN243" s="256"/>
      <c r="EO243" s="256"/>
      <c r="EP243" s="256"/>
      <c r="EQ243" s="256"/>
      <c r="ER243" s="256"/>
      <c r="ES243" s="256"/>
      <c r="ET243" s="256"/>
      <c r="EU243" s="256"/>
      <c r="EV243" s="256"/>
      <c r="EW243" s="256"/>
      <c r="EX243" s="256"/>
      <c r="EY243" s="256"/>
      <c r="EZ243" s="256"/>
      <c r="FA243" s="256"/>
      <c r="FB243" s="256"/>
      <c r="FC243" s="256"/>
      <c r="FD243" s="256"/>
      <c r="FE243" s="256"/>
      <c r="FF243" s="14"/>
      <c r="FG243" s="15"/>
      <c r="FH243" s="15"/>
      <c r="FI243" s="15"/>
      <c r="FJ243" s="15"/>
      <c r="FK243" s="15"/>
      <c r="FL243" s="15"/>
      <c r="FM243" s="15"/>
      <c r="FN243" s="15"/>
      <c r="FO243" s="15"/>
      <c r="FP243" s="15"/>
      <c r="FQ243" s="15"/>
      <c r="FR243" s="15"/>
      <c r="FS243" s="15"/>
      <c r="FT243" s="15"/>
      <c r="FU243" s="15"/>
      <c r="FV243" s="15"/>
      <c r="FW243" s="15"/>
      <c r="FX243" s="15"/>
      <c r="FY243" s="15"/>
      <c r="FZ243" s="15"/>
      <c r="GA243" s="15"/>
      <c r="GB243" s="15"/>
      <c r="GC243" s="15"/>
      <c r="GD243" s="15"/>
      <c r="GE243" s="15"/>
      <c r="GF243" s="15"/>
      <c r="GG243" s="15"/>
      <c r="GH243" s="15"/>
      <c r="GI243" s="15"/>
      <c r="GJ243" s="15"/>
      <c r="GK243" s="15"/>
      <c r="GL243" s="15"/>
      <c r="GM243" s="15"/>
      <c r="GN243" s="15"/>
      <c r="GO243" s="15"/>
      <c r="GP243" s="15"/>
      <c r="GQ243" s="15"/>
      <c r="GR243" s="15"/>
      <c r="GS243" s="15"/>
      <c r="GT243" s="15"/>
      <c r="GU243" s="15"/>
      <c r="GV243" s="15"/>
      <c r="GW243" s="15"/>
      <c r="GX243" s="15"/>
      <c r="GY243" s="15"/>
      <c r="GZ243" s="15"/>
      <c r="HA243" s="15"/>
      <c r="HB243" s="15"/>
      <c r="HC243" s="15"/>
      <c r="HD243" s="15"/>
      <c r="HE243" s="16"/>
      <c r="JH243" s="12"/>
      <c r="JK243" s="12"/>
      <c r="LN243" s="13"/>
      <c r="LO243" s="12"/>
      <c r="LP243" s="13"/>
      <c r="NT243" s="13"/>
      <c r="NW243" s="13"/>
      <c r="PA243" s="12"/>
      <c r="PD243" s="12"/>
      <c r="RG243" s="13"/>
      <c r="RH243" s="12"/>
      <c r="RI243" s="13"/>
      <c r="TM243" s="13"/>
      <c r="TP243" s="13"/>
    </row>
    <row r="244" spans="74:536" ht="10.75" customHeight="1">
      <c r="CB244" s="9"/>
      <c r="CC244" s="10"/>
      <c r="CD244" s="11"/>
      <c r="DI244" s="9"/>
      <c r="DJ244" s="10"/>
      <c r="DK244" s="10"/>
      <c r="DL244" s="10"/>
      <c r="DM244" s="11"/>
      <c r="DP244" s="18"/>
      <c r="DU244" s="18"/>
      <c r="DZ244" s="18"/>
      <c r="EB244" s="13"/>
      <c r="EE244" s="18"/>
      <c r="GW244" s="9"/>
      <c r="GX244" s="10"/>
      <c r="GY244" s="11"/>
      <c r="JH244" s="12"/>
      <c r="JK244" s="12"/>
      <c r="LN244" s="13"/>
      <c r="LO244" s="12"/>
      <c r="LP244" s="13"/>
      <c r="NT244" s="13"/>
      <c r="NW244" s="13"/>
      <c r="PA244" s="12"/>
      <c r="PD244" s="12"/>
      <c r="RG244" s="13"/>
      <c r="RH244" s="12"/>
      <c r="RI244" s="13"/>
      <c r="TM244" s="13"/>
      <c r="TP244" s="13"/>
    </row>
    <row r="245" spans="74:536" ht="10.75" customHeight="1">
      <c r="CB245" s="12"/>
      <c r="CD245" s="13"/>
      <c r="DI245" s="14"/>
      <c r="DJ245" s="15"/>
      <c r="DK245" s="15"/>
      <c r="DL245" s="15"/>
      <c r="DM245" s="16"/>
      <c r="DP245" s="18"/>
      <c r="DU245" s="18"/>
      <c r="DZ245" s="18"/>
      <c r="EB245" s="13"/>
      <c r="EE245" s="18"/>
      <c r="GW245" s="12"/>
      <c r="GY245" s="13"/>
      <c r="JH245" s="12"/>
      <c r="JK245" s="12"/>
      <c r="LN245" s="13"/>
      <c r="LO245" s="12"/>
      <c r="LP245" s="13"/>
      <c r="NT245" s="13"/>
      <c r="NW245" s="13"/>
      <c r="PA245" s="12"/>
      <c r="PD245" s="12"/>
      <c r="RG245" s="13"/>
      <c r="RH245" s="12"/>
      <c r="RI245" s="13"/>
      <c r="TM245" s="13"/>
      <c r="TP245" s="13"/>
    </row>
    <row r="246" spans="74:536" ht="10.75" customHeight="1">
      <c r="CB246" s="12"/>
      <c r="CD246" s="13"/>
      <c r="DP246" s="19"/>
      <c r="DU246" s="18"/>
      <c r="DZ246" s="18"/>
      <c r="EB246" s="13"/>
      <c r="EE246" s="18"/>
      <c r="GW246" s="12"/>
      <c r="GY246" s="13"/>
      <c r="JH246" s="12"/>
      <c r="JK246" s="12"/>
      <c r="LN246" s="13"/>
      <c r="LO246" s="12"/>
      <c r="LP246" s="13"/>
      <c r="NT246" s="13"/>
      <c r="NW246" s="13"/>
      <c r="PA246" s="12"/>
      <c r="PD246" s="12"/>
      <c r="RG246" s="13"/>
      <c r="RH246" s="12"/>
      <c r="RI246" s="13"/>
      <c r="TM246" s="13"/>
      <c r="TP246" s="13"/>
    </row>
    <row r="247" spans="74:536" ht="10.75" customHeight="1">
      <c r="CB247" s="12"/>
      <c r="CD247" s="13"/>
      <c r="DN247" s="9"/>
      <c r="DO247" s="10"/>
      <c r="DP247" s="10"/>
      <c r="DQ247" s="10"/>
      <c r="DR247" s="11"/>
      <c r="DU247" s="18"/>
      <c r="DZ247" s="18"/>
      <c r="EB247" s="13"/>
      <c r="EE247" s="18"/>
      <c r="EJ247" s="17"/>
      <c r="GW247" s="12"/>
      <c r="GY247" s="13"/>
      <c r="JH247" s="12"/>
      <c r="JK247" s="12"/>
      <c r="LN247" s="13"/>
      <c r="LO247" s="12"/>
      <c r="LP247" s="13"/>
      <c r="NT247" s="13"/>
      <c r="NW247" s="13"/>
      <c r="PA247" s="12"/>
      <c r="PD247" s="12"/>
      <c r="RG247" s="13"/>
      <c r="RH247" s="12"/>
      <c r="RI247" s="13"/>
      <c r="TM247" s="13"/>
      <c r="TP247" s="13"/>
    </row>
    <row r="248" spans="74:536" ht="10.75" customHeight="1">
      <c r="CB248" s="12"/>
      <c r="CD248" s="13"/>
      <c r="DN248" s="14"/>
      <c r="DO248" s="15"/>
      <c r="DP248" s="15"/>
      <c r="DQ248" s="15"/>
      <c r="DR248" s="16"/>
      <c r="DU248" s="18"/>
      <c r="DZ248" s="18"/>
      <c r="EB248" s="13"/>
      <c r="EE248" s="18"/>
      <c r="EJ248" s="18"/>
      <c r="GW248" s="12"/>
      <c r="GY248" s="13"/>
      <c r="JH248" s="12"/>
      <c r="JK248" s="12"/>
      <c r="LN248" s="13"/>
      <c r="LO248" s="12"/>
      <c r="LP248" s="13"/>
      <c r="NT248" s="13"/>
      <c r="NW248" s="13"/>
      <c r="PA248" s="12"/>
      <c r="PD248" s="12"/>
      <c r="RG248" s="13"/>
      <c r="RH248" s="12"/>
      <c r="RI248" s="13"/>
      <c r="TM248" s="13"/>
      <c r="TP248" s="13"/>
    </row>
    <row r="249" spans="74:536" ht="10.75" customHeight="1">
      <c r="CB249" s="12"/>
      <c r="CD249" s="13"/>
      <c r="DU249" s="19"/>
      <c r="DZ249" s="18"/>
      <c r="EB249" s="13"/>
      <c r="EE249" s="18"/>
      <c r="EJ249" s="18"/>
      <c r="GW249" s="12"/>
      <c r="GY249" s="13"/>
      <c r="JH249" s="12"/>
      <c r="JK249" s="12"/>
      <c r="LN249" s="13"/>
      <c r="LO249" s="12"/>
      <c r="LP249" s="13"/>
      <c r="NT249" s="13"/>
      <c r="NW249" s="13"/>
      <c r="PA249" s="12"/>
      <c r="PD249" s="12"/>
      <c r="RG249" s="13"/>
      <c r="RH249" s="12"/>
      <c r="RI249" s="13"/>
      <c r="TM249" s="13"/>
      <c r="TP249" s="13"/>
    </row>
    <row r="250" spans="74:536" ht="10.75" customHeight="1">
      <c r="CB250" s="12"/>
      <c r="CD250" s="13"/>
      <c r="DS250" s="9"/>
      <c r="DT250" s="10"/>
      <c r="DU250" s="10"/>
      <c r="DV250" s="10"/>
      <c r="DW250" s="11"/>
      <c r="DZ250" s="18"/>
      <c r="EB250" s="13"/>
      <c r="EE250" s="18"/>
      <c r="EJ250" s="18"/>
      <c r="EO250" s="17"/>
      <c r="GW250" s="12"/>
      <c r="GY250" s="13"/>
      <c r="JH250" s="12"/>
      <c r="JK250" s="12"/>
      <c r="LN250" s="13"/>
      <c r="LO250" s="12"/>
      <c r="LP250" s="13"/>
      <c r="NT250" s="13"/>
      <c r="NW250" s="13"/>
      <c r="PA250" s="12"/>
      <c r="PD250" s="12"/>
      <c r="RG250" s="13"/>
      <c r="RH250" s="12"/>
      <c r="RI250" s="13"/>
      <c r="TM250" s="13"/>
      <c r="TP250" s="13"/>
    </row>
    <row r="251" spans="74:536" ht="10.75" customHeight="1">
      <c r="CB251" s="12"/>
      <c r="CD251" s="13"/>
      <c r="DS251" s="14"/>
      <c r="DT251" s="15"/>
      <c r="DU251" s="15"/>
      <c r="DV251" s="15"/>
      <c r="DW251" s="16"/>
      <c r="DZ251" s="18"/>
      <c r="EB251" s="13"/>
      <c r="EE251" s="18"/>
      <c r="EJ251" s="18"/>
      <c r="EO251" s="18"/>
      <c r="GW251" s="12"/>
      <c r="GY251" s="13"/>
      <c r="JH251" s="12"/>
      <c r="JK251" s="12"/>
      <c r="LN251" s="13"/>
      <c r="LO251" s="12"/>
      <c r="LP251" s="13"/>
      <c r="NT251" s="13"/>
      <c r="NW251" s="13"/>
      <c r="PA251" s="12"/>
      <c r="PD251" s="12"/>
      <c r="RG251" s="13"/>
      <c r="RH251" s="12"/>
      <c r="RI251" s="13"/>
      <c r="TM251" s="13"/>
      <c r="TP251" s="13"/>
    </row>
    <row r="252" spans="74:536" ht="10.75" customHeight="1">
      <c r="CB252" s="12"/>
      <c r="CD252" s="13"/>
      <c r="DZ252" s="19"/>
      <c r="EB252" s="13"/>
      <c r="EE252" s="18"/>
      <c r="EJ252" s="18"/>
      <c r="EO252" s="18"/>
      <c r="GW252" s="12"/>
      <c r="GY252" s="13"/>
      <c r="JH252" s="12"/>
      <c r="JK252" s="12"/>
      <c r="LN252" s="13"/>
      <c r="LO252" s="12"/>
      <c r="LP252" s="13"/>
      <c r="NT252" s="13"/>
      <c r="NW252" s="13"/>
      <c r="PA252" s="12"/>
      <c r="PD252" s="12"/>
      <c r="RG252" s="13"/>
      <c r="RH252" s="12"/>
      <c r="RI252" s="13"/>
      <c r="TM252" s="13"/>
      <c r="TP252" s="13"/>
    </row>
    <row r="253" spans="74:536" ht="10.75" customHeight="1">
      <c r="CB253" s="12"/>
      <c r="CD253" s="13"/>
      <c r="DX253" s="9"/>
      <c r="DY253" s="10"/>
      <c r="DZ253" s="10"/>
      <c r="EA253" s="9"/>
      <c r="EB253" s="11"/>
      <c r="EE253" s="18"/>
      <c r="EJ253" s="18"/>
      <c r="EO253" s="18"/>
      <c r="ET253" s="17"/>
      <c r="GW253" s="12"/>
      <c r="GY253" s="13"/>
      <c r="JH253" s="12"/>
      <c r="JK253" s="12"/>
      <c r="LN253" s="13"/>
      <c r="LO253" s="12"/>
      <c r="LP253" s="13"/>
      <c r="NT253" s="13"/>
      <c r="NW253" s="13"/>
      <c r="PA253" s="12"/>
      <c r="PD253" s="12"/>
      <c r="RG253" s="13"/>
      <c r="RH253" s="12"/>
      <c r="RI253" s="13"/>
      <c r="TM253" s="13"/>
      <c r="TP253" s="13"/>
    </row>
    <row r="254" spans="74:536" ht="10.75" customHeight="1">
      <c r="CB254" s="12"/>
      <c r="CD254" s="13"/>
      <c r="DX254" s="14"/>
      <c r="DY254" s="15"/>
      <c r="DZ254" s="15"/>
      <c r="EA254" s="14"/>
      <c r="EB254" s="16"/>
      <c r="EE254" s="18"/>
      <c r="EJ254" s="18"/>
      <c r="EO254" s="18"/>
      <c r="ET254" s="18"/>
      <c r="GW254" s="12"/>
      <c r="GY254" s="13"/>
      <c r="JH254" s="12"/>
      <c r="JK254" s="12"/>
      <c r="LN254" s="13"/>
      <c r="LO254" s="12"/>
      <c r="LP254" s="13"/>
      <c r="NT254" s="13"/>
      <c r="NW254" s="13"/>
      <c r="PA254" s="12"/>
      <c r="PD254" s="12"/>
      <c r="RG254" s="13"/>
      <c r="RH254" s="12"/>
      <c r="RI254" s="13"/>
      <c r="TM254" s="13"/>
      <c r="TP254" s="13"/>
    </row>
    <row r="255" spans="74:536" ht="10.75" customHeight="1">
      <c r="CB255" s="12"/>
      <c r="CD255" s="13"/>
      <c r="EA255" s="12"/>
      <c r="EB255" s="13"/>
      <c r="EE255" s="19"/>
      <c r="EJ255" s="18"/>
      <c r="EO255" s="18"/>
      <c r="ET255" s="18"/>
      <c r="GW255" s="12"/>
      <c r="GY255" s="13"/>
      <c r="JH255" s="12"/>
      <c r="JK255" s="12"/>
      <c r="LN255" s="13"/>
      <c r="LO255" s="12"/>
      <c r="LP255" s="13"/>
      <c r="NT255" s="13"/>
      <c r="NW255" s="13"/>
      <c r="PA255" s="12"/>
      <c r="PD255" s="12"/>
      <c r="RG255" s="13"/>
      <c r="RH255" s="12"/>
      <c r="RI255" s="13"/>
      <c r="TM255" s="13"/>
      <c r="TP255" s="13"/>
    </row>
    <row r="256" spans="74:536" ht="10.75" customHeight="1">
      <c r="CB256" s="12"/>
      <c r="CD256" s="13"/>
      <c r="EA256" s="12"/>
      <c r="EB256" s="13"/>
      <c r="EC256" s="9"/>
      <c r="ED256" s="10"/>
      <c r="EE256" s="10"/>
      <c r="EF256" s="10"/>
      <c r="EG256" s="11"/>
      <c r="EJ256" s="18"/>
      <c r="EO256" s="18"/>
      <c r="ET256" s="18"/>
      <c r="EY256" s="17"/>
      <c r="GW256" s="12"/>
      <c r="GY256" s="13"/>
      <c r="JH256" s="96"/>
      <c r="JI256" s="97"/>
      <c r="JJ256" s="97"/>
      <c r="JK256" s="14"/>
      <c r="JL256" s="15"/>
      <c r="JM256" s="15"/>
      <c r="JN256" s="15"/>
      <c r="JO256" s="15"/>
      <c r="JP256" s="15"/>
      <c r="JQ256" s="15"/>
      <c r="JR256" s="15"/>
      <c r="JS256" s="15"/>
      <c r="JT256" s="15"/>
      <c r="JU256" s="15"/>
      <c r="JV256" s="15"/>
      <c r="JW256" s="15"/>
      <c r="JX256" s="15"/>
      <c r="JY256" s="15"/>
      <c r="JZ256" s="15"/>
      <c r="KA256" s="15"/>
      <c r="KB256" s="15"/>
      <c r="KC256" s="15"/>
      <c r="KD256" s="15"/>
      <c r="KE256" s="15"/>
      <c r="KF256" s="15"/>
      <c r="KG256" s="15"/>
      <c r="KH256" s="15"/>
      <c r="KI256" s="15"/>
      <c r="KJ256" s="15"/>
      <c r="KK256" s="15"/>
      <c r="KL256" s="15"/>
      <c r="KM256" s="15"/>
      <c r="KN256" s="15"/>
      <c r="KO256" s="15"/>
      <c r="KP256" s="15"/>
      <c r="KQ256" s="15"/>
      <c r="KR256" s="15"/>
      <c r="KS256" s="15"/>
      <c r="KT256" s="15"/>
      <c r="KU256" s="15"/>
      <c r="KV256" s="15"/>
      <c r="KW256" s="15"/>
      <c r="KX256" s="15"/>
      <c r="KY256" s="15"/>
      <c r="KZ256" s="15"/>
      <c r="LA256" s="15"/>
      <c r="LB256" s="15"/>
      <c r="LC256" s="15"/>
      <c r="LD256" s="15"/>
      <c r="LE256" s="15"/>
      <c r="LF256" s="15"/>
      <c r="LG256" s="15"/>
      <c r="LH256" s="15"/>
      <c r="LI256" s="15"/>
      <c r="LJ256" s="15"/>
      <c r="LK256" s="15"/>
      <c r="LL256" s="15"/>
      <c r="LM256" s="60"/>
      <c r="LN256" s="61"/>
      <c r="LO256" s="96"/>
      <c r="LP256" s="98"/>
      <c r="NT256" s="13"/>
      <c r="NU256" s="97"/>
      <c r="NV256" s="97"/>
      <c r="NW256" s="98"/>
      <c r="PA256" s="96"/>
      <c r="PB256" s="97"/>
      <c r="PC256" s="97"/>
      <c r="PD256" s="12"/>
      <c r="RF256" s="97"/>
      <c r="RG256" s="98"/>
      <c r="RH256" s="96"/>
      <c r="RI256" s="98"/>
      <c r="TM256" s="13"/>
      <c r="TN256" s="97"/>
      <c r="TO256" s="97"/>
      <c r="TP256" s="98"/>
    </row>
    <row r="257" spans="80:536" ht="10.75" customHeight="1">
      <c r="CB257" s="12"/>
      <c r="CD257" s="13"/>
      <c r="EA257" s="12"/>
      <c r="EB257" s="13"/>
      <c r="EC257" s="14"/>
      <c r="ED257" s="15"/>
      <c r="EE257" s="15"/>
      <c r="EF257" s="15"/>
      <c r="EG257" s="16"/>
      <c r="EJ257" s="18"/>
      <c r="EO257" s="18"/>
      <c r="ET257" s="18"/>
      <c r="EY257" s="18"/>
      <c r="GW257" s="12"/>
      <c r="GY257" s="13"/>
      <c r="JH257" s="96"/>
      <c r="JI257" s="97"/>
      <c r="JJ257" s="97"/>
      <c r="JK257" s="12"/>
      <c r="LM257" s="97"/>
      <c r="LN257" s="98"/>
      <c r="LO257" s="96"/>
      <c r="LP257" s="98"/>
      <c r="NT257" s="13"/>
      <c r="NU257" s="97"/>
      <c r="NV257" s="97"/>
      <c r="NW257" s="98"/>
      <c r="PA257" s="96"/>
      <c r="PB257" s="97"/>
      <c r="PC257" s="97"/>
      <c r="PD257" s="12"/>
      <c r="RF257" s="97"/>
      <c r="RG257" s="98"/>
      <c r="RH257" s="96"/>
      <c r="RI257" s="98"/>
      <c r="TM257" s="13"/>
      <c r="TN257" s="97"/>
      <c r="TO257" s="97"/>
      <c r="TP257" s="98"/>
    </row>
    <row r="258" spans="80:536" ht="10.75" customHeight="1">
      <c r="CB258" s="12"/>
      <c r="CD258" s="13"/>
      <c r="EA258" s="12"/>
      <c r="EB258" s="13"/>
      <c r="EJ258" s="19"/>
      <c r="EO258" s="18"/>
      <c r="ET258" s="18"/>
      <c r="EY258" s="18"/>
      <c r="GW258" s="12"/>
      <c r="GY258" s="13"/>
      <c r="JH258" s="59"/>
      <c r="JI258" s="60"/>
      <c r="JJ258" s="60"/>
      <c r="JK258" s="14"/>
      <c r="JL258" s="15"/>
      <c r="JM258" s="15"/>
      <c r="JN258" s="15"/>
      <c r="JO258" s="15"/>
      <c r="JP258" s="15"/>
      <c r="JQ258" s="15"/>
      <c r="JR258" s="15"/>
      <c r="JS258" s="15"/>
      <c r="JT258" s="15"/>
      <c r="JU258" s="15"/>
      <c r="JV258" s="15"/>
      <c r="JW258" s="15"/>
      <c r="JX258" s="15"/>
      <c r="JY258" s="15"/>
      <c r="JZ258" s="15"/>
      <c r="KA258" s="15"/>
      <c r="KB258" s="15"/>
      <c r="KC258" s="15"/>
      <c r="KD258" s="15"/>
      <c r="KE258" s="15"/>
      <c r="KF258" s="15"/>
      <c r="KG258" s="15"/>
      <c r="KH258" s="15"/>
      <c r="KI258" s="15"/>
      <c r="KJ258" s="15"/>
      <c r="KK258" s="15"/>
      <c r="KL258" s="15"/>
      <c r="KM258" s="15"/>
      <c r="KN258" s="15"/>
      <c r="KO258" s="15"/>
      <c r="KP258" s="15"/>
      <c r="KQ258" s="15"/>
      <c r="KR258" s="15"/>
      <c r="KS258" s="15"/>
      <c r="KT258" s="15"/>
      <c r="KU258" s="15"/>
      <c r="KV258" s="15"/>
      <c r="KW258" s="15"/>
      <c r="KX258" s="15"/>
      <c r="KY258" s="15"/>
      <c r="KZ258" s="15"/>
      <c r="LA258" s="15"/>
      <c r="LB258" s="15"/>
      <c r="LC258" s="15"/>
      <c r="LD258" s="15"/>
      <c r="LE258" s="15"/>
      <c r="LF258" s="15"/>
      <c r="LG258" s="15"/>
      <c r="LH258" s="15"/>
      <c r="LI258" s="15"/>
      <c r="LJ258" s="15"/>
      <c r="LK258" s="15"/>
      <c r="LL258" s="15"/>
      <c r="LM258" s="60"/>
      <c r="LN258" s="61"/>
      <c r="LO258" s="59"/>
      <c r="LP258" s="61"/>
      <c r="NT258" s="13"/>
      <c r="NU258" s="97"/>
      <c r="NV258" s="97"/>
      <c r="NW258" s="98"/>
      <c r="PA258" s="59"/>
      <c r="PB258" s="60"/>
      <c r="PC258" s="60"/>
      <c r="PD258" s="12"/>
      <c r="RF258" s="97"/>
      <c r="RG258" s="98"/>
      <c r="RH258" s="96"/>
      <c r="RI258" s="98"/>
      <c r="TM258" s="13"/>
      <c r="TN258" s="97"/>
      <c r="TO258" s="97"/>
      <c r="TP258" s="98"/>
    </row>
    <row r="259" spans="80:536" ht="10.75" customHeight="1">
      <c r="CB259" s="12"/>
      <c r="CD259" s="13"/>
      <c r="EA259" s="12"/>
      <c r="EB259" s="13"/>
      <c r="EH259" s="9"/>
      <c r="EI259" s="10"/>
      <c r="EJ259" s="10"/>
      <c r="EK259" s="10"/>
      <c r="EL259" s="11"/>
      <c r="EO259" s="18"/>
      <c r="ET259" s="18"/>
      <c r="EY259" s="18"/>
      <c r="FD259" s="17"/>
      <c r="GW259" s="12"/>
      <c r="GY259" s="13"/>
      <c r="JH259" s="96"/>
      <c r="JI259" s="97"/>
      <c r="JJ259" s="97"/>
      <c r="JK259" s="12"/>
      <c r="KP259" s="13"/>
      <c r="KQ259" s="12"/>
      <c r="KS259" s="12"/>
      <c r="NT259" s="13"/>
      <c r="NU259" s="97"/>
      <c r="NV259" s="97"/>
      <c r="NW259" s="98"/>
      <c r="PA259" s="96"/>
      <c r="PB259" s="97"/>
      <c r="PC259" s="97"/>
      <c r="PD259" s="12"/>
      <c r="RG259" s="13"/>
      <c r="RH259" s="9"/>
      <c r="RI259" s="11"/>
      <c r="TM259" s="13"/>
      <c r="TN259" s="97"/>
      <c r="TO259" s="97"/>
      <c r="TP259" s="98"/>
    </row>
    <row r="260" spans="80:536" ht="10.75" customHeight="1">
      <c r="CB260" s="12"/>
      <c r="CD260" s="13"/>
      <c r="EA260" s="12"/>
      <c r="EB260" s="13"/>
      <c r="EH260" s="14"/>
      <c r="EI260" s="15"/>
      <c r="EJ260" s="15"/>
      <c r="EK260" s="15"/>
      <c r="EL260" s="16"/>
      <c r="EO260" s="18"/>
      <c r="ET260" s="18"/>
      <c r="EY260" s="18"/>
      <c r="FD260" s="18"/>
      <c r="GW260" s="12"/>
      <c r="GY260" s="13"/>
      <c r="JH260" s="12"/>
      <c r="JK260" s="12"/>
      <c r="KP260" s="13"/>
      <c r="KQ260" s="12"/>
      <c r="KS260" s="12"/>
      <c r="NT260" s="13"/>
      <c r="NW260" s="13"/>
      <c r="PA260" s="12"/>
      <c r="PD260" s="9"/>
      <c r="PE260" s="10"/>
      <c r="PF260" s="10"/>
      <c r="PG260" s="10"/>
      <c r="PH260" s="10"/>
      <c r="PI260" s="10"/>
      <c r="PJ260" s="10"/>
      <c r="PK260" s="10"/>
      <c r="PL260" s="10"/>
      <c r="PM260" s="10"/>
      <c r="PN260" s="10"/>
      <c r="PO260" s="11"/>
      <c r="PP260" s="10"/>
      <c r="PQ260" s="11"/>
      <c r="RG260" s="13"/>
      <c r="RH260" s="12"/>
      <c r="RI260" s="13"/>
      <c r="TM260" s="13"/>
      <c r="TP260" s="13"/>
    </row>
    <row r="261" spans="80:536" ht="10.75" customHeight="1">
      <c r="CB261" s="12"/>
      <c r="CD261" s="13"/>
      <c r="EA261" s="12"/>
      <c r="EB261" s="13"/>
      <c r="EO261" s="18"/>
      <c r="ET261" s="18"/>
      <c r="EY261" s="18"/>
      <c r="FD261" s="18"/>
      <c r="GW261" s="12"/>
      <c r="GY261" s="13"/>
      <c r="JH261" s="12"/>
      <c r="JK261" s="12"/>
      <c r="KP261" s="13"/>
      <c r="KQ261" s="12"/>
      <c r="KS261" s="12"/>
      <c r="LY261" s="9"/>
      <c r="LZ261" s="10"/>
      <c r="MA261" s="10"/>
      <c r="MB261" s="10"/>
      <c r="MC261" s="10"/>
      <c r="MD261" s="10"/>
      <c r="ME261" s="10"/>
      <c r="MF261" s="10"/>
      <c r="MG261" s="10"/>
      <c r="MH261" s="10"/>
      <c r="MI261" s="10"/>
      <c r="MJ261" s="11"/>
      <c r="MK261" s="10"/>
      <c r="ML261" s="10"/>
      <c r="MM261" s="10"/>
      <c r="MN261" s="10"/>
      <c r="MO261" s="10"/>
      <c r="MP261" s="10"/>
      <c r="MQ261" s="10"/>
      <c r="MR261" s="10"/>
      <c r="MS261" s="10"/>
      <c r="MT261" s="10"/>
      <c r="MU261" s="10"/>
      <c r="MV261" s="10"/>
      <c r="MW261" s="10"/>
      <c r="MX261" s="10"/>
      <c r="MY261" s="10"/>
      <c r="MZ261" s="10"/>
      <c r="NA261" s="10"/>
      <c r="NB261" s="10"/>
      <c r="NC261" s="10"/>
      <c r="ND261" s="10"/>
      <c r="NE261" s="10"/>
      <c r="NF261" s="10"/>
      <c r="NG261" s="10"/>
      <c r="NH261" s="10"/>
      <c r="NI261" s="10"/>
      <c r="NJ261" s="10"/>
      <c r="NK261" s="10"/>
      <c r="NL261" s="10"/>
      <c r="NM261" s="10"/>
      <c r="NN261" s="10"/>
      <c r="NO261" s="10"/>
      <c r="NP261" s="10"/>
      <c r="NQ261" s="10"/>
      <c r="NR261" s="10"/>
      <c r="NS261" s="10"/>
      <c r="NT261" s="11"/>
      <c r="NW261" s="13"/>
      <c r="PA261" s="12"/>
      <c r="PD261" s="12"/>
      <c r="PO261" s="13"/>
      <c r="PQ261" s="13"/>
      <c r="RG261" s="13"/>
      <c r="RH261" s="12"/>
      <c r="RI261" s="13"/>
      <c r="TM261" s="13"/>
      <c r="TP261" s="13"/>
    </row>
    <row r="262" spans="80:536" ht="10.75" customHeight="1">
      <c r="CB262" s="12"/>
      <c r="CD262" s="13"/>
      <c r="EA262" s="12"/>
      <c r="EC262" s="9"/>
      <c r="ED262" s="10"/>
      <c r="EE262" s="10"/>
      <c r="EF262" s="10"/>
      <c r="EG262" s="10"/>
      <c r="EH262" s="10"/>
      <c r="EI262" s="10"/>
      <c r="EJ262" s="10"/>
      <c r="EK262" s="10"/>
      <c r="EL262" s="10"/>
      <c r="EM262" s="9"/>
      <c r="EN262" s="10"/>
      <c r="EO262" s="10"/>
      <c r="EP262" s="10"/>
      <c r="EQ262" s="11"/>
      <c r="ER262" s="10"/>
      <c r="ES262" s="11"/>
      <c r="ET262" s="11"/>
      <c r="EU262" s="10"/>
      <c r="EV262" s="10"/>
      <c r="EW262" s="10"/>
      <c r="EX262" s="10"/>
      <c r="EY262" s="18"/>
      <c r="FD262" s="18"/>
      <c r="FI262" s="17"/>
      <c r="GW262" s="12"/>
      <c r="GY262" s="13"/>
      <c r="JH262" s="12"/>
      <c r="JK262" s="12"/>
      <c r="KP262" s="13"/>
      <c r="KQ262" s="12"/>
      <c r="KS262" s="12"/>
      <c r="LY262" s="12"/>
      <c r="MJ262" s="13"/>
      <c r="NT262" s="13"/>
      <c r="NW262" s="13"/>
      <c r="PA262" s="12"/>
      <c r="PD262" s="12"/>
      <c r="PO262" s="13"/>
      <c r="PQ262" s="13"/>
      <c r="RG262" s="13"/>
      <c r="RH262" s="12"/>
      <c r="RI262" s="13"/>
      <c r="TM262" s="13"/>
      <c r="TP262" s="13"/>
    </row>
    <row r="263" spans="80:536" ht="10.75" customHeight="1">
      <c r="CB263" s="12"/>
      <c r="CD263" s="13"/>
      <c r="EA263" s="12"/>
      <c r="EC263" s="14"/>
      <c r="ED263" s="15"/>
      <c r="EE263" s="15"/>
      <c r="EF263" s="15"/>
      <c r="EG263" s="15"/>
      <c r="EH263" s="15"/>
      <c r="EI263" s="15"/>
      <c r="EJ263" s="15"/>
      <c r="EK263" s="15"/>
      <c r="EL263" s="15"/>
      <c r="EM263" s="14"/>
      <c r="EN263" s="15"/>
      <c r="EO263" s="15"/>
      <c r="EP263" s="15"/>
      <c r="EQ263" s="16"/>
      <c r="ER263" s="15"/>
      <c r="ES263" s="16"/>
      <c r="ET263" s="16"/>
      <c r="EU263" s="15"/>
      <c r="EV263" s="15"/>
      <c r="EY263" s="18"/>
      <c r="FD263" s="18"/>
      <c r="FI263" s="18"/>
      <c r="GW263" s="12"/>
      <c r="GY263" s="13"/>
      <c r="JH263" s="12"/>
      <c r="JK263" s="12"/>
      <c r="KP263" s="13"/>
      <c r="KQ263" s="12"/>
      <c r="KS263" s="12"/>
      <c r="LY263" s="12"/>
      <c r="MJ263" s="13"/>
      <c r="NT263" s="13"/>
      <c r="NW263" s="13"/>
      <c r="PA263" s="12"/>
      <c r="PD263" s="12"/>
      <c r="PO263" s="13"/>
      <c r="PQ263" s="13"/>
      <c r="RG263" s="13"/>
      <c r="RH263" s="12"/>
      <c r="RI263" s="13"/>
      <c r="TM263" s="13"/>
      <c r="TP263" s="13"/>
    </row>
    <row r="264" spans="80:536" ht="10.75" customHeight="1">
      <c r="CB264" s="12"/>
      <c r="CD264" s="13"/>
      <c r="EA264" s="12"/>
      <c r="EB264" s="13"/>
      <c r="ET264" s="19"/>
      <c r="EW264" s="12"/>
      <c r="EY264" s="18"/>
      <c r="FD264" s="18"/>
      <c r="FI264" s="18"/>
      <c r="GA264" s="9"/>
      <c r="GB264" s="10"/>
      <c r="GC264" s="10"/>
      <c r="GD264" s="10"/>
      <c r="GE264" s="10"/>
      <c r="GF264" s="10"/>
      <c r="GG264" s="10"/>
      <c r="GH264" s="10"/>
      <c r="GI264" s="10"/>
      <c r="GJ264" s="10"/>
      <c r="GK264" s="10"/>
      <c r="GL264" s="10"/>
      <c r="GM264" s="10"/>
      <c r="GN264" s="11"/>
      <c r="GW264" s="12"/>
      <c r="GY264" s="13"/>
      <c r="JH264" s="12"/>
      <c r="JK264" s="12"/>
      <c r="KP264" s="13"/>
      <c r="KQ264" s="12"/>
      <c r="KS264" s="12"/>
      <c r="LY264" s="12"/>
      <c r="MJ264" s="13"/>
      <c r="NT264" s="13"/>
      <c r="NW264" s="13"/>
      <c r="PA264" s="12"/>
      <c r="PD264" s="12"/>
      <c r="PO264" s="13"/>
      <c r="PQ264" s="13"/>
      <c r="RG264" s="13"/>
      <c r="RH264" s="12"/>
      <c r="RI264" s="13"/>
      <c r="TM264" s="13"/>
      <c r="TP264" s="13"/>
    </row>
    <row r="265" spans="80:536" ht="10.75" customHeight="1">
      <c r="CB265" s="12"/>
      <c r="CD265" s="13"/>
      <c r="EA265" s="12"/>
      <c r="EB265" s="13"/>
      <c r="ER265" s="9"/>
      <c r="ES265" s="10"/>
      <c r="ET265" s="10"/>
      <c r="EU265" s="10"/>
      <c r="EV265" s="10"/>
      <c r="EW265" s="12"/>
      <c r="EY265" s="18"/>
      <c r="FD265" s="18"/>
      <c r="FI265" s="18"/>
      <c r="FN265" s="17"/>
      <c r="GA265" s="12"/>
      <c r="GB265" s="9"/>
      <c r="GC265" s="10"/>
      <c r="GD265" s="10"/>
      <c r="GE265" s="10"/>
      <c r="GF265" s="10"/>
      <c r="GG265" s="10"/>
      <c r="GH265" s="9"/>
      <c r="GI265" s="10"/>
      <c r="GJ265" s="10"/>
      <c r="GK265" s="10"/>
      <c r="GL265" s="10"/>
      <c r="GM265" s="11"/>
      <c r="GN265" s="13"/>
      <c r="GW265" s="12"/>
      <c r="GY265" s="13"/>
      <c r="JH265" s="12"/>
      <c r="JK265" s="12"/>
      <c r="KP265" s="13"/>
      <c r="KQ265" s="12"/>
      <c r="KS265" s="12"/>
      <c r="LY265" s="12"/>
      <c r="MJ265" s="13"/>
      <c r="NT265" s="13"/>
      <c r="NW265" s="13"/>
      <c r="PA265" s="12"/>
      <c r="PD265" s="12"/>
      <c r="PO265" s="13"/>
      <c r="PQ265" s="13"/>
      <c r="RG265" s="13"/>
      <c r="RH265" s="9"/>
      <c r="RI265" s="11"/>
      <c r="TM265" s="13"/>
      <c r="TP265" s="13"/>
    </row>
    <row r="266" spans="80:536" ht="10.75" customHeight="1">
      <c r="CB266" s="12"/>
      <c r="CD266" s="13"/>
      <c r="EA266" s="12"/>
      <c r="EB266" s="13"/>
      <c r="ER266" s="14"/>
      <c r="ES266" s="15"/>
      <c r="ET266" s="15"/>
      <c r="EU266" s="15"/>
      <c r="EV266" s="15"/>
      <c r="EW266" s="12"/>
      <c r="EY266" s="18"/>
      <c r="FD266" s="18"/>
      <c r="FI266" s="18"/>
      <c r="FN266" s="18"/>
      <c r="GA266" s="12"/>
      <c r="GB266" s="12"/>
      <c r="GH266" s="12"/>
      <c r="GM266" s="13"/>
      <c r="GN266" s="13"/>
      <c r="GW266" s="12"/>
      <c r="GY266" s="13"/>
      <c r="JH266" s="12"/>
      <c r="JK266" s="12"/>
      <c r="KP266" s="13"/>
      <c r="KQ266" s="12"/>
      <c r="KS266" s="12"/>
      <c r="LY266" s="12"/>
      <c r="MJ266" s="13"/>
      <c r="NT266" s="13"/>
      <c r="NW266" s="13"/>
      <c r="PA266" s="12"/>
      <c r="PD266" s="12"/>
      <c r="PO266" s="13"/>
      <c r="PQ266" s="13"/>
      <c r="RG266" s="13"/>
      <c r="RH266" s="14"/>
      <c r="RI266" s="16"/>
      <c r="TM266" s="13"/>
      <c r="TP266" s="13"/>
    </row>
    <row r="267" spans="80:536" ht="10.75" customHeight="1">
      <c r="CB267" s="12"/>
      <c r="CD267" s="13"/>
      <c r="EA267" s="12"/>
      <c r="EB267" s="13"/>
      <c r="EW267" s="12"/>
      <c r="EY267" s="19"/>
      <c r="FD267" s="18"/>
      <c r="FI267" s="18"/>
      <c r="FN267" s="18"/>
      <c r="GA267" s="12"/>
      <c r="GB267" s="12"/>
      <c r="GH267" s="12"/>
      <c r="GM267" s="13"/>
      <c r="GN267" s="13"/>
      <c r="GW267" s="12"/>
      <c r="GY267" s="13"/>
      <c r="JH267" s="12"/>
      <c r="JK267" s="12"/>
      <c r="KP267" s="13"/>
      <c r="KQ267" s="12"/>
      <c r="KS267" s="12"/>
      <c r="LY267" s="12"/>
      <c r="MJ267" s="13"/>
      <c r="NT267" s="13"/>
      <c r="NW267" s="13"/>
      <c r="PA267" s="12"/>
      <c r="PD267" s="12"/>
      <c r="PO267" s="13"/>
      <c r="PQ267" s="13"/>
      <c r="RG267" s="13"/>
      <c r="RH267" s="12"/>
      <c r="RI267" s="13"/>
      <c r="TM267" s="13"/>
      <c r="TP267" s="13"/>
    </row>
    <row r="268" spans="80:536" ht="10.75" customHeight="1">
      <c r="CB268" s="12"/>
      <c r="CD268" s="13"/>
      <c r="EA268" s="12"/>
      <c r="EB268" s="13"/>
      <c r="EW268" s="9"/>
      <c r="EX268" s="11"/>
      <c r="EY268" s="10"/>
      <c r="EZ268" s="10"/>
      <c r="FA268" s="11"/>
      <c r="FD268" s="18"/>
      <c r="FI268" s="18"/>
      <c r="FN268" s="18"/>
      <c r="FS268" s="17"/>
      <c r="GA268" s="12"/>
      <c r="GB268" s="12"/>
      <c r="GH268" s="12"/>
      <c r="GM268" s="13"/>
      <c r="GN268" s="13"/>
      <c r="GW268" s="12"/>
      <c r="GY268" s="13"/>
      <c r="JH268" s="12"/>
      <c r="JK268" s="12"/>
      <c r="KP268" s="13"/>
      <c r="KQ268" s="12"/>
      <c r="KS268" s="12"/>
      <c r="LY268" s="12"/>
      <c r="MJ268" s="13"/>
      <c r="NT268" s="13"/>
      <c r="NW268" s="13"/>
      <c r="PA268" s="12"/>
      <c r="PD268" s="12"/>
      <c r="PO268" s="13"/>
      <c r="PQ268" s="13"/>
      <c r="RG268" s="13"/>
      <c r="RH268" s="12"/>
      <c r="RI268" s="13"/>
      <c r="TM268" s="13"/>
      <c r="TP268" s="13"/>
    </row>
    <row r="269" spans="80:536" ht="10.75" customHeight="1">
      <c r="CB269" s="12"/>
      <c r="CD269" s="13"/>
      <c r="EA269" s="12"/>
      <c r="EB269" s="13"/>
      <c r="EW269" s="14"/>
      <c r="EX269" s="16"/>
      <c r="EY269" s="15"/>
      <c r="EZ269" s="15"/>
      <c r="FA269" s="16"/>
      <c r="FD269" s="18"/>
      <c r="FI269" s="18"/>
      <c r="FN269" s="18"/>
      <c r="FS269" s="18"/>
      <c r="GA269" s="12"/>
      <c r="GB269" s="12"/>
      <c r="GH269" s="12"/>
      <c r="GM269" s="13"/>
      <c r="GN269" s="13"/>
      <c r="GW269" s="12"/>
      <c r="GY269" s="13"/>
      <c r="JH269" s="12"/>
      <c r="JK269" s="12"/>
      <c r="KP269" s="13"/>
      <c r="KQ269" s="12"/>
      <c r="KS269" s="12"/>
      <c r="LY269" s="12"/>
      <c r="MJ269" s="13"/>
      <c r="NT269" s="13"/>
      <c r="NW269" s="13"/>
      <c r="PA269" s="12"/>
      <c r="PD269" s="12"/>
      <c r="PO269" s="13"/>
      <c r="PQ269" s="13"/>
      <c r="RG269" s="13"/>
      <c r="RH269" s="12"/>
      <c r="RI269" s="13"/>
      <c r="TM269" s="13"/>
      <c r="TP269" s="13"/>
    </row>
    <row r="270" spans="80:536" ht="10.75" customHeight="1">
      <c r="CB270" s="12"/>
      <c r="CD270" s="13"/>
      <c r="EA270" s="12"/>
      <c r="EB270" s="13"/>
      <c r="EW270" s="12"/>
      <c r="EX270" s="13"/>
      <c r="FD270" s="19"/>
      <c r="FI270" s="18"/>
      <c r="FN270" s="18"/>
      <c r="FS270" s="18"/>
      <c r="GA270" s="12"/>
      <c r="GB270" s="14"/>
      <c r="GC270" s="15"/>
      <c r="GD270" s="15"/>
      <c r="GE270" s="15"/>
      <c r="GF270" s="15"/>
      <c r="GG270" s="15"/>
      <c r="GH270" s="14"/>
      <c r="GI270" s="15"/>
      <c r="GJ270" s="15"/>
      <c r="GK270" s="15"/>
      <c r="GL270" s="15"/>
      <c r="GM270" s="16"/>
      <c r="GN270" s="13"/>
      <c r="GW270" s="12"/>
      <c r="GY270" s="13"/>
      <c r="JH270" s="12"/>
      <c r="JK270" s="12"/>
      <c r="KP270" s="13"/>
      <c r="KQ270" s="12"/>
      <c r="KS270" s="12"/>
      <c r="LY270" s="12"/>
      <c r="MJ270" s="13"/>
      <c r="NT270" s="13"/>
      <c r="NW270" s="13"/>
      <c r="PA270" s="12"/>
      <c r="PD270" s="12"/>
      <c r="PO270" s="13"/>
      <c r="PQ270" s="13"/>
      <c r="RG270" s="13"/>
      <c r="RH270" s="12"/>
      <c r="RI270" s="13"/>
      <c r="TM270" s="13"/>
      <c r="TP270" s="13"/>
    </row>
    <row r="271" spans="80:536" ht="10.75" customHeight="1">
      <c r="CB271" s="12"/>
      <c r="CD271" s="13"/>
      <c r="EA271" s="12"/>
      <c r="EB271" s="13"/>
      <c r="EW271" s="12"/>
      <c r="EX271" s="13"/>
      <c r="FB271" s="9"/>
      <c r="FC271" s="10"/>
      <c r="FD271" s="10"/>
      <c r="FE271" s="10"/>
      <c r="FF271" s="11"/>
      <c r="FI271" s="18"/>
      <c r="FN271" s="18"/>
      <c r="FS271" s="18"/>
      <c r="FX271" s="17"/>
      <c r="GA271" s="12"/>
      <c r="GB271" s="12"/>
      <c r="GH271" s="12"/>
      <c r="GM271" s="13"/>
      <c r="GN271" s="13"/>
      <c r="GW271" s="12"/>
      <c r="GY271" s="13"/>
      <c r="JH271" s="12"/>
      <c r="JK271" s="12"/>
      <c r="KP271" s="13"/>
      <c r="KQ271" s="12"/>
      <c r="KS271" s="12"/>
      <c r="LY271" s="12"/>
      <c r="MJ271" s="13"/>
      <c r="NT271" s="13"/>
      <c r="NW271" s="13"/>
      <c r="PA271" s="12"/>
      <c r="PD271" s="12"/>
      <c r="PO271" s="13"/>
      <c r="PQ271" s="13"/>
      <c r="RG271" s="13"/>
      <c r="RH271" s="12"/>
      <c r="RI271" s="13"/>
      <c r="TM271" s="13"/>
      <c r="TP271" s="13"/>
    </row>
    <row r="272" spans="80:536" ht="10.75" customHeight="1">
      <c r="CB272" s="12"/>
      <c r="CD272" s="13"/>
      <c r="EA272" s="12"/>
      <c r="EB272" s="13"/>
      <c r="EW272" s="12"/>
      <c r="EX272" s="13"/>
      <c r="FB272" s="14"/>
      <c r="FC272" s="15"/>
      <c r="FD272" s="15"/>
      <c r="FE272" s="15"/>
      <c r="FF272" s="16"/>
      <c r="FI272" s="18"/>
      <c r="FN272" s="18"/>
      <c r="FS272" s="18"/>
      <c r="FX272" s="18"/>
      <c r="GA272" s="12"/>
      <c r="GB272" s="12"/>
      <c r="GH272" s="12"/>
      <c r="GM272" s="13"/>
      <c r="GN272" s="13"/>
      <c r="GW272" s="12"/>
      <c r="GY272" s="13"/>
      <c r="JH272" s="12"/>
      <c r="JK272" s="12"/>
      <c r="KP272" s="13"/>
      <c r="KQ272" s="12"/>
      <c r="KS272" s="12"/>
      <c r="LY272" s="12"/>
      <c r="MJ272" s="13"/>
      <c r="NT272" s="13"/>
      <c r="NW272" s="13"/>
      <c r="PA272" s="12"/>
      <c r="PD272" s="12"/>
      <c r="PO272" s="13"/>
      <c r="PQ272" s="13"/>
      <c r="RG272" s="13"/>
      <c r="RH272" s="12"/>
      <c r="RI272" s="13"/>
      <c r="TM272" s="13"/>
      <c r="TP272" s="13"/>
    </row>
    <row r="273" spans="80:536" ht="10.75" customHeight="1">
      <c r="CB273" s="12"/>
      <c r="CD273" s="13"/>
      <c r="EA273" s="12"/>
      <c r="EB273" s="13"/>
      <c r="EW273" s="12"/>
      <c r="EX273" s="13"/>
      <c r="FI273" s="19"/>
      <c r="FN273" s="18"/>
      <c r="FS273" s="18"/>
      <c r="FX273" s="18"/>
      <c r="GA273" s="12"/>
      <c r="GB273" s="12"/>
      <c r="GH273" s="12"/>
      <c r="GM273" s="13"/>
      <c r="GN273" s="13"/>
      <c r="GW273" s="12"/>
      <c r="GY273" s="13"/>
      <c r="JH273" s="12"/>
      <c r="JK273" s="12"/>
      <c r="KP273" s="13"/>
      <c r="KQ273" s="12"/>
      <c r="KS273" s="12"/>
      <c r="LY273" s="12"/>
      <c r="MJ273" s="13"/>
      <c r="NT273" s="13"/>
      <c r="NW273" s="13"/>
      <c r="PA273" s="12"/>
      <c r="PD273" s="12"/>
      <c r="PO273" s="13"/>
      <c r="PQ273" s="13"/>
      <c r="RG273" s="13"/>
      <c r="RH273" s="12"/>
      <c r="RI273" s="13"/>
      <c r="TM273" s="13"/>
      <c r="TP273" s="13"/>
    </row>
    <row r="274" spans="80:536" ht="10.75" customHeight="1">
      <c r="CB274" s="12"/>
      <c r="CD274" s="13"/>
      <c r="EA274" s="12"/>
      <c r="EB274" s="13"/>
      <c r="EW274" s="12"/>
      <c r="EX274" s="13"/>
      <c r="FG274" s="9"/>
      <c r="FH274" s="10"/>
      <c r="FI274" s="10"/>
      <c r="FJ274" s="10"/>
      <c r="FK274" s="11"/>
      <c r="FN274" s="18"/>
      <c r="FS274" s="18"/>
      <c r="FX274" s="18"/>
      <c r="GA274" s="12"/>
      <c r="GB274" s="12"/>
      <c r="GC274" s="17"/>
      <c r="GH274" s="12"/>
      <c r="GM274" s="13"/>
      <c r="GN274" s="13"/>
      <c r="GW274" s="12"/>
      <c r="GY274" s="13"/>
      <c r="JH274" s="12"/>
      <c r="JK274" s="12"/>
      <c r="KP274" s="13"/>
      <c r="KQ274" s="12"/>
      <c r="KS274" s="12"/>
      <c r="LY274" s="12"/>
      <c r="MJ274" s="13"/>
      <c r="NT274" s="13"/>
      <c r="NW274" s="13"/>
      <c r="PA274" s="12"/>
      <c r="PD274" s="14"/>
      <c r="PE274" s="15"/>
      <c r="PF274" s="15"/>
      <c r="PG274" s="15"/>
      <c r="PH274" s="15"/>
      <c r="PI274" s="15"/>
      <c r="PJ274" s="15"/>
      <c r="PK274" s="15"/>
      <c r="PL274" s="15"/>
      <c r="PM274" s="15"/>
      <c r="PN274" s="15"/>
      <c r="PO274" s="16"/>
      <c r="PP274" s="15"/>
      <c r="PQ274" s="16"/>
      <c r="PR274" s="15"/>
      <c r="PS274" s="15"/>
      <c r="PT274" s="15"/>
      <c r="PU274" s="15"/>
      <c r="PV274" s="15"/>
      <c r="PW274" s="15"/>
      <c r="PX274" s="15"/>
      <c r="PY274" s="15"/>
      <c r="PZ274" s="15"/>
      <c r="QA274" s="15"/>
      <c r="QB274" s="15"/>
      <c r="QC274" s="15"/>
      <c r="QD274" s="15"/>
      <c r="QE274" s="15"/>
      <c r="QF274" s="15"/>
      <c r="QG274" s="15"/>
      <c r="QH274" s="15"/>
      <c r="QI274" s="15"/>
      <c r="QJ274" s="15"/>
      <c r="QK274" s="15"/>
      <c r="QL274" s="15"/>
      <c r="QM274" s="15"/>
      <c r="QN274" s="15"/>
      <c r="QO274" s="15"/>
      <c r="QP274" s="15"/>
      <c r="QQ274" s="15"/>
      <c r="QR274" s="15"/>
      <c r="QS274" s="15"/>
      <c r="QT274" s="15"/>
      <c r="QU274" s="15"/>
      <c r="QV274" s="15"/>
      <c r="QW274" s="15"/>
      <c r="QX274" s="15"/>
      <c r="QY274" s="15"/>
      <c r="QZ274" s="15"/>
      <c r="RA274" s="15"/>
      <c r="RB274" s="15"/>
      <c r="RC274" s="15"/>
      <c r="RD274" s="15"/>
      <c r="RE274" s="15"/>
      <c r="RF274" s="15"/>
      <c r="RG274" s="16"/>
      <c r="RH274" s="12"/>
      <c r="RI274" s="13"/>
      <c r="TM274" s="13"/>
      <c r="TP274" s="13"/>
    </row>
    <row r="275" spans="80:536" ht="10.75" customHeight="1">
      <c r="CB275" s="12"/>
      <c r="CD275" s="13"/>
      <c r="EA275" s="12"/>
      <c r="EB275" s="13"/>
      <c r="EW275" s="12"/>
      <c r="EX275" s="13"/>
      <c r="FG275" s="14"/>
      <c r="FH275" s="15"/>
      <c r="FI275" s="15"/>
      <c r="FJ275" s="15"/>
      <c r="FK275" s="16"/>
      <c r="FN275" s="18"/>
      <c r="FS275" s="18"/>
      <c r="FX275" s="18"/>
      <c r="GA275" s="12"/>
      <c r="GB275" s="12"/>
      <c r="GC275" s="18"/>
      <c r="GH275" s="12"/>
      <c r="GM275" s="13"/>
      <c r="GN275" s="13"/>
      <c r="GW275" s="12"/>
      <c r="GY275" s="13"/>
      <c r="JH275" s="12"/>
      <c r="JK275" s="12"/>
      <c r="KP275" s="13"/>
      <c r="KQ275" s="12"/>
      <c r="KS275" s="12"/>
      <c r="LY275" s="12"/>
      <c r="MJ275" s="13"/>
      <c r="NT275" s="13"/>
      <c r="NW275" s="13"/>
      <c r="PA275" s="12"/>
      <c r="PD275" s="12"/>
      <c r="PO275" s="13"/>
      <c r="PQ275" s="13"/>
      <c r="RG275" s="13"/>
      <c r="RH275" s="12"/>
      <c r="RI275" s="13"/>
      <c r="TM275" s="13"/>
      <c r="TP275" s="13"/>
    </row>
    <row r="276" spans="80:536" ht="10.75" customHeight="1">
      <c r="CB276" s="12"/>
      <c r="CD276" s="13"/>
      <c r="EA276" s="12"/>
      <c r="EB276" s="13"/>
      <c r="EW276" s="12"/>
      <c r="EX276" s="13"/>
      <c r="FN276" s="19"/>
      <c r="FS276" s="18"/>
      <c r="FX276" s="18"/>
      <c r="GA276" s="12"/>
      <c r="GB276" s="14"/>
      <c r="GC276" s="19"/>
      <c r="GD276" s="15"/>
      <c r="GE276" s="15"/>
      <c r="GF276" s="15"/>
      <c r="GG276" s="15"/>
      <c r="GH276" s="14"/>
      <c r="GI276" s="15"/>
      <c r="GJ276" s="15"/>
      <c r="GK276" s="15"/>
      <c r="GL276" s="15"/>
      <c r="GM276" s="16"/>
      <c r="GN276" s="13"/>
      <c r="GW276" s="12"/>
      <c r="GY276" s="13"/>
      <c r="JH276" s="12"/>
      <c r="JK276" s="12"/>
      <c r="KP276" s="13"/>
      <c r="KQ276" s="12"/>
      <c r="KS276" s="12"/>
      <c r="LY276" s="12"/>
      <c r="MJ276" s="13"/>
      <c r="NT276" s="13"/>
      <c r="NW276" s="13"/>
      <c r="PA276" s="12"/>
      <c r="PD276" s="14"/>
      <c r="PE276" s="15"/>
      <c r="PF276" s="15"/>
      <c r="PG276" s="15"/>
      <c r="PH276" s="15"/>
      <c r="PI276" s="15"/>
      <c r="PJ276" s="15"/>
      <c r="PK276" s="15"/>
      <c r="PL276" s="15"/>
      <c r="PM276" s="15"/>
      <c r="PN276" s="15"/>
      <c r="PO276" s="16"/>
      <c r="PP276" s="15"/>
      <c r="PQ276" s="16"/>
      <c r="PR276" s="15"/>
      <c r="PS276" s="15"/>
      <c r="PT276" s="15"/>
      <c r="PU276" s="15"/>
      <c r="PV276" s="15"/>
      <c r="PW276" s="15"/>
      <c r="PX276" s="15"/>
      <c r="PY276" s="15"/>
      <c r="PZ276" s="15"/>
      <c r="QA276" s="15"/>
      <c r="QB276" s="15"/>
      <c r="QC276" s="15"/>
      <c r="QD276" s="15"/>
      <c r="QE276" s="15"/>
      <c r="QF276" s="15"/>
      <c r="QG276" s="15"/>
      <c r="QH276" s="15"/>
      <c r="QI276" s="15"/>
      <c r="QJ276" s="15"/>
      <c r="QK276" s="15"/>
      <c r="QL276" s="15"/>
      <c r="QM276" s="15"/>
      <c r="QN276" s="15"/>
      <c r="QO276" s="15"/>
      <c r="QP276" s="15"/>
      <c r="QQ276" s="15"/>
      <c r="QR276" s="15"/>
      <c r="QS276" s="15"/>
      <c r="QT276" s="15"/>
      <c r="QU276" s="15"/>
      <c r="QV276" s="15"/>
      <c r="QW276" s="15"/>
      <c r="QX276" s="15"/>
      <c r="QY276" s="15"/>
      <c r="QZ276" s="15"/>
      <c r="RA276" s="15"/>
      <c r="RB276" s="15"/>
      <c r="RC276" s="15"/>
      <c r="RD276" s="15"/>
      <c r="RE276" s="15"/>
      <c r="RF276" s="15"/>
      <c r="RG276" s="16"/>
      <c r="RH276" s="12"/>
      <c r="RI276" s="13"/>
      <c r="TM276" s="13"/>
      <c r="TP276" s="13"/>
    </row>
    <row r="277" spans="80:536" ht="10.75" customHeight="1">
      <c r="CB277" s="12"/>
      <c r="CD277" s="13"/>
      <c r="EA277" s="12"/>
      <c r="EB277" s="13"/>
      <c r="EW277" s="12"/>
      <c r="EX277" s="13"/>
      <c r="FL277" s="9"/>
      <c r="FM277" s="10"/>
      <c r="FN277" s="10"/>
      <c r="FO277" s="10"/>
      <c r="FP277" s="11"/>
      <c r="FS277" s="18"/>
      <c r="FX277" s="18"/>
      <c r="GA277" s="14"/>
      <c r="GB277" s="15"/>
      <c r="GC277" s="19"/>
      <c r="GD277" s="15"/>
      <c r="GE277" s="15"/>
      <c r="GF277" s="15"/>
      <c r="GG277" s="15"/>
      <c r="GH277" s="19"/>
      <c r="GI277" s="15"/>
      <c r="GJ277" s="15"/>
      <c r="GK277" s="15"/>
      <c r="GL277" s="15"/>
      <c r="GM277" s="15"/>
      <c r="GN277" s="16"/>
      <c r="GW277" s="12"/>
      <c r="GY277" s="13"/>
      <c r="JH277" s="12"/>
      <c r="JK277" s="12"/>
      <c r="KP277" s="13"/>
      <c r="KQ277" s="12"/>
      <c r="KS277" s="12"/>
      <c r="LY277" s="12"/>
      <c r="MJ277" s="13"/>
      <c r="NT277" s="13"/>
      <c r="NW277" s="13"/>
      <c r="PA277" s="12"/>
      <c r="PD277" s="12"/>
      <c r="PO277" s="13"/>
      <c r="PQ277" s="13"/>
      <c r="PR277" s="12"/>
      <c r="RG277" s="13"/>
      <c r="RH277" s="12"/>
      <c r="RI277" s="13"/>
      <c r="TM277" s="13"/>
      <c r="TP277" s="13"/>
    </row>
    <row r="278" spans="80:536" ht="10.75" customHeight="1">
      <c r="CB278" s="12"/>
      <c r="CD278" s="13"/>
      <c r="EA278" s="12"/>
      <c r="EB278" s="13"/>
      <c r="EL278" s="12"/>
      <c r="EO278" s="13"/>
      <c r="EW278" s="12"/>
      <c r="EX278" s="13"/>
      <c r="FL278" s="14"/>
      <c r="FM278" s="15"/>
      <c r="FN278" s="15"/>
      <c r="FO278" s="15"/>
      <c r="FP278" s="16"/>
      <c r="FS278" s="18"/>
      <c r="FX278" s="18"/>
      <c r="GC278" s="18"/>
      <c r="GH278" s="18"/>
      <c r="GW278" s="12"/>
      <c r="GY278" s="13"/>
      <c r="JH278" s="12"/>
      <c r="JK278" s="14"/>
      <c r="JL278" s="15"/>
      <c r="JM278" s="15"/>
      <c r="JN278" s="15"/>
      <c r="JO278" s="15"/>
      <c r="JP278" s="15"/>
      <c r="JQ278" s="15"/>
      <c r="JR278" s="15"/>
      <c r="JS278" s="15"/>
      <c r="JT278" s="15"/>
      <c r="JU278" s="15"/>
      <c r="JV278" s="15"/>
      <c r="JW278" s="15"/>
      <c r="JX278" s="15"/>
      <c r="JY278" s="15"/>
      <c r="JZ278" s="15"/>
      <c r="KA278" s="15"/>
      <c r="KB278" s="15"/>
      <c r="KC278" s="15"/>
      <c r="KD278" s="15"/>
      <c r="KE278" s="15"/>
      <c r="KF278" s="15"/>
      <c r="KG278" s="15"/>
      <c r="KH278" s="15"/>
      <c r="KI278" s="15"/>
      <c r="KJ278" s="15"/>
      <c r="KK278" s="15"/>
      <c r="KL278" s="15"/>
      <c r="KM278" s="15"/>
      <c r="KN278" s="15"/>
      <c r="KO278" s="15"/>
      <c r="KP278" s="16"/>
      <c r="KQ278" s="14"/>
      <c r="KR278" s="15"/>
      <c r="KS278" s="12"/>
      <c r="LY278" s="12"/>
      <c r="MJ278" s="13"/>
      <c r="NT278" s="13"/>
      <c r="NW278" s="13"/>
      <c r="PA278" s="12"/>
      <c r="PD278" s="12"/>
      <c r="PO278" s="13"/>
      <c r="PQ278" s="13"/>
      <c r="PR278" s="12"/>
      <c r="RG278" s="13"/>
      <c r="RH278" s="12"/>
      <c r="RI278" s="13"/>
      <c r="TM278" s="13"/>
      <c r="TP278" s="13"/>
    </row>
    <row r="279" spans="80:536" ht="10.75" customHeight="1">
      <c r="CB279" s="12"/>
      <c r="CD279" s="13"/>
      <c r="EA279" s="12"/>
      <c r="EB279" s="13"/>
      <c r="EL279" s="12"/>
      <c r="EO279" s="13"/>
      <c r="EW279" s="12"/>
      <c r="EX279" s="13"/>
      <c r="FS279" s="19"/>
      <c r="FX279" s="18"/>
      <c r="GC279" s="18"/>
      <c r="GH279" s="18"/>
      <c r="GW279" s="12"/>
      <c r="GY279" s="13"/>
      <c r="JH279" s="12"/>
      <c r="JK279" s="9"/>
      <c r="JL279" s="10"/>
      <c r="JM279" s="10"/>
      <c r="JN279" s="10"/>
      <c r="JO279" s="10"/>
      <c r="JP279" s="10"/>
      <c r="JQ279" s="10"/>
      <c r="JR279" s="10"/>
      <c r="JS279" s="10"/>
      <c r="JT279" s="10"/>
      <c r="JU279" s="10"/>
      <c r="JV279" s="10"/>
      <c r="JW279" s="10"/>
      <c r="JX279" s="10"/>
      <c r="JY279" s="10"/>
      <c r="JZ279" s="10"/>
      <c r="KA279" s="10"/>
      <c r="KB279" s="10"/>
      <c r="KC279" s="10"/>
      <c r="KD279" s="10"/>
      <c r="KE279" s="10"/>
      <c r="KF279" s="10"/>
      <c r="KG279" s="10"/>
      <c r="KH279" s="10"/>
      <c r="KI279" s="10"/>
      <c r="KJ279" s="10"/>
      <c r="KK279" s="10"/>
      <c r="KL279" s="10"/>
      <c r="KM279" s="10"/>
      <c r="KN279" s="10"/>
      <c r="KO279" s="10"/>
      <c r="KP279" s="10"/>
      <c r="KQ279" s="10"/>
      <c r="KR279" s="10"/>
      <c r="KS279" s="12"/>
      <c r="LY279" s="12"/>
      <c r="MJ279" s="13"/>
      <c r="NT279" s="13"/>
      <c r="NW279" s="13"/>
      <c r="PA279" s="12"/>
      <c r="PD279" s="12"/>
      <c r="PO279" s="13"/>
      <c r="PQ279" s="13"/>
      <c r="PR279" s="12"/>
      <c r="RG279" s="13"/>
      <c r="RH279" s="12"/>
      <c r="RI279" s="13"/>
      <c r="TM279" s="13"/>
      <c r="TP279" s="13"/>
    </row>
    <row r="280" spans="80:536" ht="10.75" customHeight="1">
      <c r="CB280" s="12"/>
      <c r="CD280" s="13"/>
      <c r="EA280" s="12"/>
      <c r="EB280" s="13"/>
      <c r="EL280" s="12"/>
      <c r="EO280" s="13"/>
      <c r="EW280" s="12"/>
      <c r="EX280" s="13"/>
      <c r="FQ280" s="9"/>
      <c r="FR280" s="10"/>
      <c r="FS280" s="10"/>
      <c r="FT280" s="10"/>
      <c r="FU280" s="11"/>
      <c r="FX280" s="18"/>
      <c r="GC280" s="18"/>
      <c r="GH280" s="18"/>
      <c r="GW280" s="12"/>
      <c r="GY280" s="13"/>
      <c r="JH280" s="12"/>
      <c r="JK280" s="14"/>
      <c r="JL280" s="15"/>
      <c r="JM280" s="15"/>
      <c r="JN280" s="15"/>
      <c r="JO280" s="15"/>
      <c r="JP280" s="15"/>
      <c r="JQ280" s="15"/>
      <c r="JR280" s="15"/>
      <c r="JS280" s="15"/>
      <c r="JT280" s="15"/>
      <c r="JU280" s="15"/>
      <c r="JV280" s="15"/>
      <c r="JW280" s="15"/>
      <c r="JX280" s="15"/>
      <c r="JY280" s="15"/>
      <c r="JZ280" s="15"/>
      <c r="KA280" s="15"/>
      <c r="KB280" s="15"/>
      <c r="KC280" s="15"/>
      <c r="KD280" s="15"/>
      <c r="KE280" s="15"/>
      <c r="KF280" s="15"/>
      <c r="KG280" s="15"/>
      <c r="KH280" s="15"/>
      <c r="KI280" s="15"/>
      <c r="KJ280" s="15"/>
      <c r="KK280" s="15"/>
      <c r="KL280" s="15"/>
      <c r="KM280" s="15"/>
      <c r="KN280" s="15"/>
      <c r="KO280" s="15"/>
      <c r="KP280" s="15"/>
      <c r="KQ280" s="15"/>
      <c r="KR280" s="15"/>
      <c r="KS280" s="12"/>
      <c r="LY280" s="12"/>
      <c r="MJ280" s="13"/>
      <c r="NT280" s="13"/>
      <c r="NW280" s="13"/>
      <c r="PA280" s="12"/>
      <c r="PD280" s="12"/>
      <c r="PO280" s="13"/>
      <c r="PQ280" s="13"/>
      <c r="PR280" s="12"/>
      <c r="RG280" s="13"/>
      <c r="RH280" s="12"/>
      <c r="RI280" s="13"/>
      <c r="TM280" s="13"/>
      <c r="TP280" s="13"/>
    </row>
    <row r="281" spans="80:536" ht="10.75" customHeight="1">
      <c r="CB281" s="12"/>
      <c r="CD281" s="13"/>
      <c r="EA281" s="12"/>
      <c r="EB281" s="13"/>
      <c r="EL281" s="12"/>
      <c r="EO281" s="13"/>
      <c r="EW281" s="12"/>
      <c r="EX281" s="13"/>
      <c r="FQ281" s="14"/>
      <c r="FR281" s="15"/>
      <c r="FS281" s="15"/>
      <c r="FT281" s="15"/>
      <c r="FU281" s="16"/>
      <c r="FX281" s="18"/>
      <c r="GC281" s="18"/>
      <c r="GH281" s="18"/>
      <c r="GW281" s="12"/>
      <c r="GY281" s="13"/>
      <c r="JH281" s="12"/>
      <c r="JK281" s="12"/>
      <c r="KQ281" s="9"/>
      <c r="KR281" s="10"/>
      <c r="KS281" s="12"/>
      <c r="LY281" s="12"/>
      <c r="MJ281" s="13"/>
      <c r="NT281" s="13"/>
      <c r="NW281" s="13"/>
      <c r="PA281" s="12"/>
      <c r="PD281" s="12"/>
      <c r="PO281" s="13"/>
      <c r="PQ281" s="13"/>
      <c r="PR281" s="12"/>
      <c r="RG281" s="13"/>
      <c r="RH281" s="12"/>
      <c r="RI281" s="13"/>
      <c r="TM281" s="13"/>
      <c r="TP281" s="13"/>
    </row>
    <row r="282" spans="80:536" ht="10.75" customHeight="1">
      <c r="CB282" s="12"/>
      <c r="CD282" s="13"/>
      <c r="EA282" s="12"/>
      <c r="EB282" s="13"/>
      <c r="EL282" s="12"/>
      <c r="EO282" s="13"/>
      <c r="EW282" s="12"/>
      <c r="EX282" s="13"/>
      <c r="FX282" s="19"/>
      <c r="GC282" s="18"/>
      <c r="GH282" s="18"/>
      <c r="GW282" s="12"/>
      <c r="GY282" s="13"/>
      <c r="JH282" s="12"/>
      <c r="JK282" s="12"/>
      <c r="KQ282" s="12"/>
      <c r="KS282" s="12"/>
      <c r="LY282" s="12"/>
      <c r="MJ282" s="13"/>
      <c r="NT282" s="13"/>
      <c r="NW282" s="13"/>
      <c r="PA282" s="12"/>
      <c r="PD282" s="12"/>
      <c r="PO282" s="13"/>
      <c r="PQ282" s="13"/>
      <c r="PR282" s="12"/>
      <c r="RG282" s="13"/>
      <c r="RH282" s="12"/>
      <c r="RI282" s="13"/>
      <c r="TM282" s="13"/>
      <c r="TP282" s="13"/>
    </row>
    <row r="283" spans="80:536" ht="10.75" customHeight="1">
      <c r="CB283" s="12"/>
      <c r="CD283" s="13"/>
      <c r="EA283" s="12"/>
      <c r="EB283" s="13"/>
      <c r="EL283" s="12"/>
      <c r="EO283" s="13"/>
      <c r="EW283" s="12"/>
      <c r="EX283" s="13"/>
      <c r="FV283" s="9"/>
      <c r="FW283" s="10"/>
      <c r="FX283" s="10"/>
      <c r="FY283" s="10"/>
      <c r="FZ283" s="11"/>
      <c r="GC283" s="18"/>
      <c r="GH283" s="18"/>
      <c r="GW283" s="12"/>
      <c r="GY283" s="13"/>
      <c r="JH283" s="12"/>
      <c r="JK283" s="12"/>
      <c r="KQ283" s="12"/>
      <c r="KS283" s="12"/>
      <c r="LY283" s="12"/>
      <c r="MJ283" s="13"/>
      <c r="NT283" s="13"/>
      <c r="NW283" s="13"/>
      <c r="PA283" s="12"/>
      <c r="PD283" s="12"/>
      <c r="PO283" s="13"/>
      <c r="PQ283" s="13"/>
      <c r="PR283" s="12"/>
      <c r="RG283" s="13"/>
      <c r="RH283" s="12"/>
      <c r="RI283" s="13"/>
      <c r="TM283" s="13"/>
      <c r="TP283" s="13"/>
    </row>
    <row r="284" spans="80:536" ht="10.75" customHeight="1">
      <c r="CB284" s="12"/>
      <c r="CD284" s="13"/>
      <c r="EA284" s="12"/>
      <c r="EB284" s="13"/>
      <c r="EL284" s="12"/>
      <c r="EO284" s="13"/>
      <c r="EW284" s="12"/>
      <c r="EX284" s="13"/>
      <c r="FV284" s="14"/>
      <c r="FW284" s="15"/>
      <c r="FX284" s="15"/>
      <c r="FY284" s="15"/>
      <c r="FZ284" s="16"/>
      <c r="GC284" s="18"/>
      <c r="GH284" s="18"/>
      <c r="GW284" s="12"/>
      <c r="GY284" s="13"/>
      <c r="JH284" s="12"/>
      <c r="JK284" s="12"/>
      <c r="KQ284" s="12"/>
      <c r="KS284" s="12"/>
      <c r="LY284" s="12"/>
      <c r="MJ284" s="13"/>
      <c r="NT284" s="13"/>
      <c r="NW284" s="13"/>
      <c r="PA284" s="12"/>
      <c r="PD284" s="12"/>
      <c r="PO284" s="13"/>
      <c r="PQ284" s="13"/>
      <c r="PR284" s="12"/>
      <c r="RG284" s="13"/>
      <c r="RH284" s="12"/>
      <c r="RI284" s="13"/>
      <c r="TM284" s="13"/>
      <c r="TP284" s="13"/>
    </row>
    <row r="285" spans="80:536" ht="10.75" customHeight="1">
      <c r="CB285" s="12"/>
      <c r="CD285" s="13"/>
      <c r="EA285" s="12"/>
      <c r="EB285" s="13"/>
      <c r="EL285" s="12"/>
      <c r="EO285" s="13"/>
      <c r="EW285" s="12"/>
      <c r="EX285" s="13"/>
      <c r="GC285" s="19"/>
      <c r="GH285" s="18"/>
      <c r="GW285" s="12"/>
      <c r="GY285" s="13"/>
      <c r="JH285" s="12"/>
      <c r="JK285" s="12"/>
      <c r="KQ285" s="12"/>
      <c r="KS285" s="12"/>
      <c r="LY285" s="12"/>
      <c r="MJ285" s="13"/>
      <c r="NT285" s="13"/>
      <c r="NW285" s="13"/>
      <c r="PA285" s="12"/>
      <c r="PD285" s="12"/>
      <c r="PO285" s="13"/>
      <c r="PQ285" s="13"/>
      <c r="PR285" s="12"/>
      <c r="RG285" s="13"/>
      <c r="RH285" s="12"/>
      <c r="RI285" s="13"/>
      <c r="TM285" s="13"/>
      <c r="TP285" s="13"/>
    </row>
    <row r="286" spans="80:536" ht="10.75" customHeight="1">
      <c r="CB286" s="12"/>
      <c r="CD286" s="13"/>
      <c r="EA286" s="12"/>
      <c r="EB286" s="13"/>
      <c r="EL286" s="12"/>
      <c r="EO286" s="13"/>
      <c r="EW286" s="12"/>
      <c r="EX286" s="13"/>
      <c r="GA286" s="9"/>
      <c r="GB286" s="10"/>
      <c r="GC286" s="10"/>
      <c r="GD286" s="10"/>
      <c r="GE286" s="11"/>
      <c r="GH286" s="18"/>
      <c r="GW286" s="12"/>
      <c r="GY286" s="13"/>
      <c r="JH286" s="12"/>
      <c r="JK286" s="12"/>
      <c r="KQ286" s="12"/>
      <c r="KS286" s="12"/>
      <c r="LY286" s="12"/>
      <c r="MJ286" s="13"/>
      <c r="NT286" s="13"/>
      <c r="NW286" s="13"/>
      <c r="PA286" s="12"/>
      <c r="PD286" s="12"/>
      <c r="PO286" s="13"/>
      <c r="PQ286" s="13"/>
      <c r="PR286" s="12"/>
      <c r="RG286" s="13"/>
      <c r="RH286" s="12"/>
      <c r="RI286" s="13"/>
      <c r="TM286" s="13"/>
      <c r="TP286" s="13"/>
    </row>
    <row r="287" spans="80:536" ht="10.75" customHeight="1">
      <c r="CB287" s="12"/>
      <c r="CD287" s="13"/>
      <c r="EA287" s="12"/>
      <c r="EB287" s="13"/>
      <c r="EL287" s="12"/>
      <c r="EO287" s="13"/>
      <c r="EW287" s="12"/>
      <c r="EX287" s="13"/>
      <c r="GA287" s="14"/>
      <c r="GB287" s="15"/>
      <c r="GC287" s="15"/>
      <c r="GD287" s="15"/>
      <c r="GE287" s="16"/>
      <c r="GH287" s="18"/>
      <c r="GW287" s="12"/>
      <c r="GY287" s="13"/>
      <c r="JH287" s="12"/>
      <c r="JK287" s="12"/>
      <c r="KQ287" s="12"/>
      <c r="KS287" s="12"/>
      <c r="LY287" s="12"/>
      <c r="MJ287" s="13"/>
      <c r="NT287" s="13"/>
      <c r="NW287" s="13"/>
      <c r="PA287" s="12"/>
      <c r="PD287" s="12"/>
      <c r="PO287" s="13"/>
      <c r="PQ287" s="13"/>
      <c r="PR287" s="12"/>
      <c r="RG287" s="13"/>
      <c r="RH287" s="12"/>
      <c r="RI287" s="13"/>
      <c r="TM287" s="13"/>
      <c r="TP287" s="13"/>
    </row>
    <row r="288" spans="80:536" ht="10.75" customHeight="1">
      <c r="CB288" s="12"/>
      <c r="CD288" s="13"/>
      <c r="EA288" s="12"/>
      <c r="EB288" s="13"/>
      <c r="EL288" s="12"/>
      <c r="EO288" s="13"/>
      <c r="EW288" s="12"/>
      <c r="EX288" s="13"/>
      <c r="GH288" s="19"/>
      <c r="GW288" s="12"/>
      <c r="GY288" s="13"/>
      <c r="JH288" s="12"/>
      <c r="JK288" s="12"/>
      <c r="KQ288" s="14"/>
      <c r="KR288" s="15"/>
      <c r="KS288" s="12"/>
      <c r="LY288" s="14"/>
      <c r="LZ288" s="15"/>
      <c r="MA288" s="15"/>
      <c r="MB288" s="15"/>
      <c r="MC288" s="15"/>
      <c r="MD288" s="15"/>
      <c r="ME288" s="15"/>
      <c r="MF288" s="15"/>
      <c r="MG288" s="15"/>
      <c r="MH288" s="15"/>
      <c r="MI288" s="15"/>
      <c r="MJ288" s="16"/>
      <c r="MK288" s="15"/>
      <c r="ML288" s="15"/>
      <c r="MM288" s="15"/>
      <c r="MN288" s="15"/>
      <c r="MO288" s="15"/>
      <c r="MP288" s="15"/>
      <c r="MQ288" s="15"/>
      <c r="MR288" s="15"/>
      <c r="MS288" s="15"/>
      <c r="MT288" s="15"/>
      <c r="MU288" s="15"/>
      <c r="MV288" s="15"/>
      <c r="MW288" s="15"/>
      <c r="MX288" s="15"/>
      <c r="MY288" s="15"/>
      <c r="MZ288" s="15"/>
      <c r="NA288" s="15"/>
      <c r="NB288" s="15"/>
      <c r="NC288" s="15"/>
      <c r="ND288" s="15"/>
      <c r="NE288" s="15"/>
      <c r="NF288" s="15"/>
      <c r="NG288" s="15"/>
      <c r="NH288" s="15"/>
      <c r="NI288" s="15"/>
      <c r="NJ288" s="15"/>
      <c r="NK288" s="15"/>
      <c r="NL288" s="15"/>
      <c r="NM288" s="15"/>
      <c r="NN288" s="15"/>
      <c r="NO288" s="15"/>
      <c r="NP288" s="15"/>
      <c r="NQ288" s="15"/>
      <c r="NR288" s="15"/>
      <c r="NS288" s="15"/>
      <c r="NT288" s="16"/>
      <c r="NW288" s="13"/>
      <c r="PA288" s="12"/>
      <c r="PD288" s="12"/>
      <c r="PO288" s="13"/>
      <c r="PQ288" s="13"/>
      <c r="PR288" s="12"/>
      <c r="RG288" s="13"/>
      <c r="RH288" s="12"/>
      <c r="RI288" s="13"/>
      <c r="TM288" s="13"/>
      <c r="TP288" s="13"/>
    </row>
    <row r="289" spans="80:536" ht="10.75" customHeight="1">
      <c r="CB289" s="12"/>
      <c r="CD289" s="13"/>
      <c r="EA289" s="12"/>
      <c r="EB289" s="13"/>
      <c r="EL289" s="12"/>
      <c r="EO289" s="13"/>
      <c r="EW289" s="12"/>
      <c r="EX289" s="13"/>
      <c r="GF289" s="9"/>
      <c r="GG289" s="10"/>
      <c r="GH289" s="10"/>
      <c r="GI289" s="10"/>
      <c r="GJ289" s="11"/>
      <c r="GK289" s="12"/>
      <c r="GW289" s="12"/>
      <c r="GY289" s="13"/>
      <c r="JH289" s="12"/>
      <c r="JK289" s="12"/>
      <c r="JS289" s="9"/>
      <c r="JT289" s="10"/>
      <c r="JU289" s="10"/>
      <c r="JV289" s="10"/>
      <c r="JW289" s="10"/>
      <c r="JX289" s="10"/>
      <c r="JY289" s="10"/>
      <c r="JZ289" s="10"/>
      <c r="KA289" s="10"/>
      <c r="KB289" s="10"/>
      <c r="KC289" s="10"/>
      <c r="KD289" s="10"/>
      <c r="KE289" s="10"/>
      <c r="KF289" s="10"/>
      <c r="KG289" s="10"/>
      <c r="KH289" s="10"/>
      <c r="KI289" s="10"/>
      <c r="KJ289" s="10"/>
      <c r="KK289" s="10"/>
      <c r="KL289" s="10"/>
      <c r="KM289" s="10"/>
      <c r="KN289" s="10"/>
      <c r="KO289" s="10"/>
      <c r="KP289" s="10"/>
      <c r="NT289" s="13"/>
      <c r="NW289" s="13"/>
      <c r="PA289" s="12"/>
      <c r="PD289" s="12"/>
      <c r="PO289" s="13"/>
      <c r="PQ289" s="13"/>
      <c r="PR289" s="12"/>
      <c r="RG289" s="13"/>
      <c r="RH289" s="12"/>
      <c r="RI289" s="13"/>
      <c r="TM289" s="13"/>
      <c r="TP289" s="13"/>
    </row>
    <row r="290" spans="80:536" ht="10.75" customHeight="1">
      <c r="CB290" s="12"/>
      <c r="CD290" s="13"/>
      <c r="EA290" s="12"/>
      <c r="EB290" s="13"/>
      <c r="EL290" s="12"/>
      <c r="EO290" s="13"/>
      <c r="EW290" s="12"/>
      <c r="EX290" s="13"/>
      <c r="GF290" s="14"/>
      <c r="GG290" s="15"/>
      <c r="GH290" s="15"/>
      <c r="GI290" s="15"/>
      <c r="GJ290" s="16"/>
      <c r="GK290" s="12"/>
      <c r="GW290" s="12"/>
      <c r="GY290" s="13"/>
      <c r="JH290" s="12"/>
      <c r="JK290" s="12"/>
      <c r="JS290" s="12"/>
      <c r="NT290" s="13"/>
      <c r="NW290" s="13"/>
      <c r="PA290" s="12"/>
      <c r="PD290" s="12"/>
      <c r="PO290" s="13"/>
      <c r="PQ290" s="13"/>
      <c r="PR290" s="12"/>
      <c r="RG290" s="13"/>
      <c r="RH290" s="12"/>
      <c r="RI290" s="13"/>
      <c r="TM290" s="13"/>
      <c r="TP290" s="13"/>
    </row>
    <row r="291" spans="80:536" ht="10.75" customHeight="1">
      <c r="CB291" s="14"/>
      <c r="CC291" s="15"/>
      <c r="CD291" s="16"/>
      <c r="CE291" s="15"/>
      <c r="CF291" s="15"/>
      <c r="CG291" s="15"/>
      <c r="CH291" s="15"/>
      <c r="CI291" s="15"/>
      <c r="CJ291" s="15"/>
      <c r="CK291" s="15"/>
      <c r="CL291" s="15"/>
      <c r="CM291" s="15"/>
      <c r="CN291" s="15"/>
      <c r="CO291" s="15"/>
      <c r="CP291" s="15"/>
      <c r="CQ291" s="15"/>
      <c r="CR291" s="15"/>
      <c r="CS291" s="15"/>
      <c r="CT291" s="15"/>
      <c r="CU291" s="15"/>
      <c r="CV291" s="15"/>
      <c r="CW291" s="15"/>
      <c r="CX291" s="15"/>
      <c r="CY291" s="15"/>
      <c r="CZ291" s="15"/>
      <c r="DA291" s="15"/>
      <c r="DB291" s="15"/>
      <c r="DC291" s="15"/>
      <c r="DD291" s="15"/>
      <c r="DE291" s="15"/>
      <c r="DF291" s="15"/>
      <c r="DG291" s="15"/>
      <c r="DH291" s="15"/>
      <c r="DI291" s="15"/>
      <c r="DJ291" s="15"/>
      <c r="DK291" s="15"/>
      <c r="DL291" s="15"/>
      <c r="DM291" s="15"/>
      <c r="DN291" s="15"/>
      <c r="DO291" s="15"/>
      <c r="DP291" s="15"/>
      <c r="DQ291" s="15"/>
      <c r="DR291" s="15"/>
      <c r="DS291" s="15"/>
      <c r="DT291" s="15"/>
      <c r="DU291" s="15"/>
      <c r="DV291" s="15"/>
      <c r="DW291" s="15"/>
      <c r="DX291" s="15"/>
      <c r="DY291" s="15"/>
      <c r="DZ291" s="15"/>
      <c r="EA291" s="14"/>
      <c r="EB291" s="16"/>
      <c r="EC291" s="15"/>
      <c r="ED291" s="15"/>
      <c r="EE291" s="15"/>
      <c r="EF291" s="15"/>
      <c r="EG291" s="15"/>
      <c r="EH291" s="15"/>
      <c r="EI291" s="15"/>
      <c r="EJ291" s="15"/>
      <c r="EK291" s="15"/>
      <c r="EL291" s="14"/>
      <c r="EM291" s="15"/>
      <c r="EN291" s="15"/>
      <c r="EO291" s="16"/>
      <c r="EP291" s="15"/>
      <c r="EQ291" s="15"/>
      <c r="ER291" s="15"/>
      <c r="ES291" s="15"/>
      <c r="ET291" s="15"/>
      <c r="EU291" s="15"/>
      <c r="EV291" s="15"/>
      <c r="EW291" s="14"/>
      <c r="EX291" s="16"/>
      <c r="EY291" s="15"/>
      <c r="EZ291" s="15"/>
      <c r="FA291" s="15"/>
      <c r="FB291" s="15"/>
      <c r="FC291" s="15"/>
      <c r="FD291" s="15"/>
      <c r="FE291" s="15"/>
      <c r="FF291" s="15"/>
      <c r="FG291" s="15"/>
      <c r="FH291" s="15"/>
      <c r="FI291" s="15"/>
      <c r="FJ291" s="15"/>
      <c r="FK291" s="15"/>
      <c r="FL291" s="15"/>
      <c r="FM291" s="15"/>
      <c r="FN291" s="15"/>
      <c r="FO291" s="15"/>
      <c r="FP291" s="15"/>
      <c r="FQ291" s="15"/>
      <c r="FR291" s="15"/>
      <c r="FS291" s="15"/>
      <c r="FT291" s="15"/>
      <c r="FU291" s="15"/>
      <c r="FV291" s="15"/>
      <c r="FW291" s="15"/>
      <c r="FX291" s="15"/>
      <c r="FY291" s="15"/>
      <c r="FZ291" s="15"/>
      <c r="GA291" s="15"/>
      <c r="GB291" s="15"/>
      <c r="GC291" s="15"/>
      <c r="GD291" s="15"/>
      <c r="GE291" s="15"/>
      <c r="GF291" s="15"/>
      <c r="GG291" s="15"/>
      <c r="GH291" s="15"/>
      <c r="GI291" s="15"/>
      <c r="GJ291" s="15"/>
      <c r="GK291" s="15"/>
      <c r="GL291" s="15"/>
      <c r="GM291" s="15"/>
      <c r="GN291" s="15"/>
      <c r="GO291" s="15"/>
      <c r="GP291" s="15"/>
      <c r="GQ291" s="15"/>
      <c r="GR291" s="15"/>
      <c r="GS291" s="15"/>
      <c r="GT291" s="15"/>
      <c r="GU291" s="15"/>
      <c r="GV291" s="15"/>
      <c r="GW291" s="14"/>
      <c r="GX291" s="15"/>
      <c r="GY291" s="16"/>
      <c r="JH291" s="12"/>
      <c r="JK291" s="12"/>
      <c r="JS291" s="12"/>
      <c r="NT291" s="13"/>
      <c r="NW291" s="13"/>
      <c r="PA291" s="12"/>
      <c r="PD291" s="12"/>
      <c r="PO291" s="13"/>
      <c r="PQ291" s="13"/>
      <c r="PR291" s="12"/>
      <c r="RG291" s="13"/>
      <c r="RH291" s="12"/>
      <c r="RI291" s="13"/>
      <c r="TM291" s="13"/>
      <c r="TP291" s="13"/>
    </row>
    <row r="292" spans="80:536" ht="10.75" customHeight="1">
      <c r="CB292" s="9"/>
      <c r="CC292" s="10"/>
      <c r="CD292" s="10"/>
      <c r="CE292" s="10"/>
      <c r="CF292" s="10"/>
      <c r="CG292" s="10"/>
      <c r="CH292" s="10"/>
      <c r="CI292" s="10"/>
      <c r="CJ292" s="10"/>
      <c r="CK292" s="10"/>
      <c r="CL292" s="10"/>
      <c r="CM292" s="10"/>
      <c r="CN292" s="10"/>
      <c r="CO292" s="10"/>
      <c r="CP292" s="10"/>
      <c r="CQ292" s="10"/>
      <c r="CR292" s="10"/>
      <c r="CS292" s="10"/>
      <c r="CT292" s="10"/>
      <c r="CU292" s="10"/>
      <c r="CV292" s="10"/>
      <c r="CW292" s="10"/>
      <c r="CX292" s="10"/>
      <c r="CY292" s="10"/>
      <c r="CZ292" s="10"/>
      <c r="DA292" s="10"/>
      <c r="DB292" s="10"/>
      <c r="DC292" s="10"/>
      <c r="DD292" s="10"/>
      <c r="DE292" s="10"/>
      <c r="DF292" s="10"/>
      <c r="DG292" s="10"/>
      <c r="DH292" s="10"/>
      <c r="DI292" s="10"/>
      <c r="DJ292" s="10"/>
      <c r="DK292" s="10"/>
      <c r="DL292" s="10"/>
      <c r="DM292" s="10"/>
      <c r="DN292" s="10"/>
      <c r="DO292" s="10"/>
      <c r="DP292" s="10"/>
      <c r="DQ292" s="10"/>
      <c r="DR292" s="10"/>
      <c r="DS292" s="10"/>
      <c r="DT292" s="10"/>
      <c r="DU292" s="10"/>
      <c r="DV292" s="10"/>
      <c r="DW292" s="10"/>
      <c r="DX292" s="10"/>
      <c r="DY292" s="10"/>
      <c r="DZ292" s="10"/>
      <c r="EA292" s="10"/>
      <c r="EB292" s="10"/>
      <c r="EC292" s="10"/>
      <c r="ED292" s="10"/>
      <c r="EE292" s="10"/>
      <c r="EF292" s="10"/>
      <c r="EG292" s="10"/>
      <c r="EH292" s="10"/>
      <c r="EI292" s="10"/>
      <c r="EJ292" s="10"/>
      <c r="EK292" s="10"/>
      <c r="EL292" s="10"/>
      <c r="EM292" s="10"/>
      <c r="EN292" s="10"/>
      <c r="EO292" s="10"/>
      <c r="EP292" s="10"/>
      <c r="EQ292" s="10"/>
      <c r="ER292" s="10"/>
      <c r="ES292" s="10"/>
      <c r="ET292" s="10"/>
      <c r="EU292" s="10"/>
      <c r="EV292" s="10"/>
      <c r="EW292" s="10"/>
      <c r="EX292" s="10"/>
      <c r="EY292" s="10"/>
      <c r="EZ292" s="10"/>
      <c r="FA292" s="10"/>
      <c r="FB292" s="10"/>
      <c r="FC292" s="10"/>
      <c r="FD292" s="10"/>
      <c r="FE292" s="10"/>
      <c r="FF292" s="10"/>
      <c r="FG292" s="10"/>
      <c r="FH292" s="10"/>
      <c r="FI292" s="10"/>
      <c r="FJ292" s="10"/>
      <c r="FK292" s="10"/>
      <c r="FL292" s="10"/>
      <c r="FM292" s="10"/>
      <c r="FN292" s="10"/>
      <c r="FO292" s="10"/>
      <c r="FP292" s="10"/>
      <c r="FQ292" s="10"/>
      <c r="FR292" s="10"/>
      <c r="FS292" s="10"/>
      <c r="FT292" s="10"/>
      <c r="FU292" s="10"/>
      <c r="FV292" s="10"/>
      <c r="FW292" s="10"/>
      <c r="FX292" s="10"/>
      <c r="FY292" s="10"/>
      <c r="FZ292" s="10"/>
      <c r="GA292" s="10"/>
      <c r="GB292" s="10"/>
      <c r="GC292" s="10"/>
      <c r="GD292" s="10"/>
      <c r="GE292" s="10"/>
      <c r="GF292" s="10"/>
      <c r="GG292" s="10"/>
      <c r="GH292" s="10"/>
      <c r="GI292" s="10"/>
      <c r="GJ292" s="10"/>
      <c r="GK292" s="10"/>
      <c r="GL292" s="10"/>
      <c r="GM292" s="10"/>
      <c r="GN292" s="10"/>
      <c r="GO292" s="10"/>
      <c r="GP292" s="10"/>
      <c r="GQ292" s="10"/>
      <c r="GR292" s="10"/>
      <c r="GS292" s="10"/>
      <c r="GT292" s="10"/>
      <c r="GU292" s="10"/>
      <c r="GV292" s="10"/>
      <c r="GW292" s="10"/>
      <c r="GX292" s="10"/>
      <c r="GY292" s="11"/>
      <c r="JH292" s="12"/>
      <c r="JK292" s="12"/>
      <c r="JS292" s="12"/>
      <c r="NT292" s="13"/>
      <c r="NW292" s="13"/>
      <c r="PA292" s="12"/>
      <c r="PD292" s="12"/>
      <c r="PO292" s="13"/>
      <c r="PQ292" s="13"/>
      <c r="PR292" s="12"/>
      <c r="RG292" s="13"/>
      <c r="RH292" s="12"/>
      <c r="RI292" s="13"/>
      <c r="TM292" s="13"/>
      <c r="TP292" s="13"/>
    </row>
    <row r="293" spans="80:536" ht="10.75" customHeight="1">
      <c r="CB293" s="12"/>
      <c r="GY293" s="13"/>
      <c r="JH293" s="12"/>
      <c r="JK293" s="12"/>
      <c r="JS293" s="12"/>
      <c r="NT293" s="13"/>
      <c r="NW293" s="13"/>
      <c r="PA293" s="12"/>
      <c r="PD293" s="12"/>
      <c r="PO293" s="13"/>
      <c r="PQ293" s="13"/>
      <c r="PR293" s="12"/>
      <c r="RG293" s="13"/>
      <c r="RH293" s="12"/>
      <c r="RI293" s="13"/>
      <c r="TM293" s="13"/>
      <c r="TP293" s="13"/>
    </row>
    <row r="294" spans="80:536" ht="10.75" customHeight="1">
      <c r="CB294" s="12"/>
      <c r="GY294" s="13"/>
      <c r="JH294" s="12"/>
      <c r="JK294" s="12"/>
      <c r="JS294" s="12"/>
      <c r="NT294" s="13"/>
      <c r="NW294" s="13"/>
      <c r="PA294" s="12"/>
      <c r="PD294" s="12"/>
      <c r="PO294" s="13"/>
      <c r="PQ294" s="13"/>
      <c r="PR294" s="12"/>
      <c r="RG294" s="13"/>
      <c r="RH294" s="12"/>
      <c r="RI294" s="13"/>
      <c r="TM294" s="13"/>
      <c r="TP294" s="13"/>
    </row>
    <row r="295" spans="80:536" ht="10.75" customHeight="1">
      <c r="CB295" s="12"/>
      <c r="GY295" s="13"/>
      <c r="JH295" s="12"/>
      <c r="JK295" s="12"/>
      <c r="JS295" s="12"/>
      <c r="NT295" s="13"/>
      <c r="NW295" s="13"/>
      <c r="PA295" s="12"/>
      <c r="PD295" s="12"/>
      <c r="PO295" s="13"/>
      <c r="PQ295" s="13"/>
      <c r="PR295" s="12"/>
      <c r="RG295" s="13"/>
      <c r="RH295" s="12"/>
      <c r="RI295" s="13"/>
      <c r="TM295" s="13"/>
      <c r="TP295" s="13"/>
    </row>
    <row r="296" spans="80:536" ht="10.75" customHeight="1">
      <c r="CB296" s="12"/>
      <c r="GY296" s="13"/>
      <c r="JH296" s="12"/>
      <c r="JK296" s="12"/>
      <c r="JS296" s="12"/>
      <c r="NT296" s="13"/>
      <c r="NW296" s="13"/>
      <c r="PA296" s="12"/>
      <c r="PD296" s="12"/>
      <c r="PO296" s="13"/>
      <c r="PQ296" s="13"/>
      <c r="PR296" s="12"/>
      <c r="RG296" s="13"/>
      <c r="RH296" s="12"/>
      <c r="RI296" s="13"/>
      <c r="TM296" s="13"/>
      <c r="TP296" s="13"/>
    </row>
    <row r="297" spans="80:536" ht="10.75" customHeight="1">
      <c r="CB297" s="12"/>
      <c r="GY297" s="13"/>
      <c r="JH297" s="12"/>
      <c r="JK297" s="12"/>
      <c r="JS297" s="12"/>
      <c r="NT297" s="13"/>
      <c r="NW297" s="13"/>
      <c r="PA297" s="12"/>
      <c r="PD297" s="12"/>
      <c r="PO297" s="13"/>
      <c r="PQ297" s="13"/>
      <c r="PR297" s="12"/>
      <c r="RG297" s="13"/>
      <c r="RH297" s="12"/>
      <c r="RI297" s="13"/>
      <c r="TM297" s="13"/>
      <c r="TP297" s="13"/>
    </row>
    <row r="298" spans="80:536" ht="10.75" customHeight="1">
      <c r="CB298" s="12"/>
      <c r="GY298" s="13"/>
      <c r="JH298" s="12"/>
      <c r="JK298" s="12"/>
      <c r="JS298" s="12"/>
      <c r="NT298" s="13"/>
      <c r="NW298" s="13"/>
      <c r="PA298" s="12"/>
      <c r="PD298" s="12"/>
      <c r="PO298" s="13"/>
      <c r="PQ298" s="13"/>
      <c r="PR298" s="12"/>
      <c r="RG298" s="13"/>
      <c r="RH298" s="12"/>
      <c r="RI298" s="13"/>
      <c r="TM298" s="13"/>
      <c r="TP298" s="13"/>
    </row>
    <row r="299" spans="80:536" ht="10.75" customHeight="1">
      <c r="CB299" s="14"/>
      <c r="CC299" s="15"/>
      <c r="CD299" s="15"/>
      <c r="CE299" s="15"/>
      <c r="CF299" s="15"/>
      <c r="CG299" s="15"/>
      <c r="CH299" s="15"/>
      <c r="CI299" s="15"/>
      <c r="CJ299" s="15"/>
      <c r="CK299" s="15"/>
      <c r="CL299" s="15"/>
      <c r="CM299" s="15"/>
      <c r="CN299" s="15"/>
      <c r="CO299" s="15"/>
      <c r="CP299" s="15"/>
      <c r="CQ299" s="15"/>
      <c r="CR299" s="15"/>
      <c r="CS299" s="15"/>
      <c r="CT299" s="15"/>
      <c r="CU299" s="15"/>
      <c r="CV299" s="15"/>
      <c r="CW299" s="15"/>
      <c r="CX299" s="15"/>
      <c r="CY299" s="15"/>
      <c r="CZ299" s="15"/>
      <c r="DA299" s="15"/>
      <c r="DB299" s="15"/>
      <c r="DC299" s="15"/>
      <c r="DD299" s="15"/>
      <c r="DE299" s="15"/>
      <c r="DF299" s="15"/>
      <c r="DG299" s="15"/>
      <c r="DH299" s="15"/>
      <c r="DI299" s="15"/>
      <c r="DJ299" s="15"/>
      <c r="DK299" s="15"/>
      <c r="DL299" s="15"/>
      <c r="DM299" s="15"/>
      <c r="DN299" s="15"/>
      <c r="DO299" s="15"/>
      <c r="DP299" s="15"/>
      <c r="DQ299" s="15"/>
      <c r="DR299" s="15"/>
      <c r="DS299" s="15"/>
      <c r="DT299" s="15"/>
      <c r="DU299" s="15"/>
      <c r="DV299" s="15"/>
      <c r="DW299" s="15"/>
      <c r="DX299" s="15"/>
      <c r="DY299" s="15"/>
      <c r="DZ299" s="15"/>
      <c r="EA299" s="15"/>
      <c r="EB299" s="15"/>
      <c r="EC299" s="15"/>
      <c r="ED299" s="15"/>
      <c r="EE299" s="15"/>
      <c r="EF299" s="15"/>
      <c r="EG299" s="15"/>
      <c r="EH299" s="15"/>
      <c r="EI299" s="15"/>
      <c r="EJ299" s="15"/>
      <c r="EK299" s="15"/>
      <c r="EL299" s="15"/>
      <c r="EM299" s="15"/>
      <c r="EN299" s="15"/>
      <c r="EO299" s="15"/>
      <c r="EP299" s="15"/>
      <c r="EQ299" s="15"/>
      <c r="ER299" s="15"/>
      <c r="ES299" s="15"/>
      <c r="ET299" s="15"/>
      <c r="EU299" s="15"/>
      <c r="EV299" s="15"/>
      <c r="EW299" s="15"/>
      <c r="EX299" s="15"/>
      <c r="EY299" s="15"/>
      <c r="EZ299" s="15"/>
      <c r="FA299" s="15"/>
      <c r="FB299" s="15"/>
      <c r="FC299" s="15"/>
      <c r="FD299" s="15"/>
      <c r="FE299" s="15"/>
      <c r="FF299" s="15"/>
      <c r="FG299" s="15"/>
      <c r="FH299" s="15"/>
      <c r="FI299" s="15"/>
      <c r="FJ299" s="15"/>
      <c r="FK299" s="15"/>
      <c r="FL299" s="15"/>
      <c r="FM299" s="15"/>
      <c r="FN299" s="15"/>
      <c r="FO299" s="15"/>
      <c r="FP299" s="15"/>
      <c r="FQ299" s="15"/>
      <c r="FR299" s="15"/>
      <c r="FS299" s="15"/>
      <c r="FT299" s="15"/>
      <c r="FU299" s="15"/>
      <c r="FV299" s="15"/>
      <c r="FW299" s="15"/>
      <c r="FX299" s="15"/>
      <c r="FY299" s="15"/>
      <c r="FZ299" s="15"/>
      <c r="GA299" s="15"/>
      <c r="GB299" s="15"/>
      <c r="GC299" s="15"/>
      <c r="GD299" s="15"/>
      <c r="GE299" s="15"/>
      <c r="GF299" s="15"/>
      <c r="GG299" s="15"/>
      <c r="GH299" s="15"/>
      <c r="GI299" s="15"/>
      <c r="GJ299" s="15"/>
      <c r="GK299" s="15"/>
      <c r="GL299" s="15"/>
      <c r="GM299" s="15"/>
      <c r="GN299" s="15"/>
      <c r="GO299" s="15"/>
      <c r="GP299" s="15"/>
      <c r="GQ299" s="15"/>
      <c r="GR299" s="15"/>
      <c r="GS299" s="15"/>
      <c r="GT299" s="15"/>
      <c r="GU299" s="15"/>
      <c r="GV299" s="15"/>
      <c r="GW299" s="15"/>
      <c r="GX299" s="15"/>
      <c r="GY299" s="16"/>
      <c r="JH299" s="12"/>
      <c r="JK299" s="12"/>
      <c r="JS299" s="12"/>
      <c r="NT299" s="13"/>
      <c r="NW299" s="13"/>
      <c r="PA299" s="12"/>
      <c r="PD299" s="12"/>
      <c r="PO299" s="13"/>
      <c r="PQ299" s="13"/>
      <c r="PR299" s="12"/>
      <c r="RG299" s="13"/>
      <c r="RH299" s="12"/>
      <c r="RI299" s="13"/>
      <c r="TM299" s="13"/>
      <c r="TP299" s="13"/>
    </row>
    <row r="300" spans="80:536" ht="10.75" customHeight="1">
      <c r="JH300" s="12"/>
      <c r="JK300" s="12"/>
      <c r="JS300" s="12"/>
      <c r="NT300" s="13"/>
      <c r="NW300" s="13"/>
      <c r="PA300" s="12"/>
      <c r="PD300" s="12"/>
      <c r="PO300" s="13"/>
      <c r="PQ300" s="13"/>
      <c r="PR300" s="14"/>
      <c r="PS300" s="15"/>
      <c r="PT300" s="15"/>
      <c r="PU300" s="15"/>
      <c r="PV300" s="15"/>
      <c r="PW300" s="15"/>
      <c r="PX300" s="15"/>
      <c r="PY300" s="15"/>
      <c r="PZ300" s="15"/>
      <c r="QA300" s="15"/>
      <c r="QB300" s="15"/>
      <c r="QC300" s="15"/>
      <c r="QD300" s="15"/>
      <c r="QE300" s="15"/>
      <c r="QF300" s="15"/>
      <c r="QG300" s="15"/>
      <c r="QH300" s="15"/>
      <c r="QI300" s="15"/>
      <c r="QJ300" s="15"/>
      <c r="QK300" s="15"/>
      <c r="QL300" s="15"/>
      <c r="QM300" s="15"/>
      <c r="QN300" s="15"/>
      <c r="QO300" s="15"/>
      <c r="QP300" s="15"/>
      <c r="QQ300" s="15"/>
      <c r="QR300" s="15"/>
      <c r="QS300" s="15"/>
      <c r="QT300" s="15"/>
      <c r="QU300" s="15"/>
      <c r="QV300" s="15"/>
      <c r="QW300" s="15"/>
      <c r="QX300" s="15"/>
      <c r="QY300" s="15"/>
      <c r="QZ300" s="15"/>
      <c r="RA300" s="15"/>
      <c r="RB300" s="15"/>
      <c r="RC300" s="15"/>
      <c r="RD300" s="15"/>
      <c r="RE300" s="15"/>
      <c r="RF300" s="15"/>
      <c r="RG300" s="16"/>
      <c r="RH300" s="14"/>
      <c r="RI300" s="16"/>
      <c r="TM300" s="13"/>
      <c r="TP300" s="13"/>
    </row>
    <row r="301" spans="80:536" ht="10.75" customHeight="1">
      <c r="JH301" s="12"/>
      <c r="JK301" s="12"/>
      <c r="JS301" s="12"/>
      <c r="NT301" s="13"/>
      <c r="NW301" s="13"/>
      <c r="PA301" s="12"/>
      <c r="PD301" s="12"/>
      <c r="PO301" s="13"/>
      <c r="PQ301" s="13"/>
      <c r="PR301" s="9"/>
      <c r="PS301" s="10"/>
      <c r="PT301" s="10"/>
      <c r="PU301" s="10"/>
      <c r="PV301" s="10"/>
      <c r="PW301" s="10"/>
      <c r="PX301" s="10"/>
      <c r="PY301" s="10"/>
      <c r="PZ301" s="10"/>
      <c r="QA301" s="10"/>
      <c r="QB301" s="10"/>
      <c r="QC301" s="10"/>
      <c r="QD301" s="10"/>
      <c r="QE301" s="10"/>
      <c r="QF301" s="10"/>
      <c r="QG301" s="10"/>
      <c r="QH301" s="10"/>
      <c r="QI301" s="10"/>
      <c r="QJ301" s="10"/>
      <c r="QK301" s="10"/>
      <c r="QL301" s="10"/>
      <c r="QM301" s="10"/>
      <c r="QN301" s="10"/>
      <c r="QO301" s="10"/>
      <c r="QP301" s="10"/>
      <c r="QQ301" s="10"/>
      <c r="QR301" s="10"/>
      <c r="QS301" s="10"/>
      <c r="QT301" s="10"/>
      <c r="QU301" s="10"/>
      <c r="QV301" s="10"/>
      <c r="QW301" s="10"/>
      <c r="QX301" s="10"/>
      <c r="QY301" s="10"/>
      <c r="QZ301" s="10"/>
      <c r="RA301" s="10"/>
      <c r="RB301" s="10"/>
      <c r="RC301" s="10"/>
      <c r="RD301" s="10"/>
      <c r="RE301" s="10"/>
      <c r="RF301" s="10"/>
      <c r="RG301" s="11"/>
      <c r="RH301" s="9"/>
      <c r="RI301" s="11"/>
      <c r="TM301" s="13"/>
      <c r="TP301" s="13"/>
    </row>
    <row r="302" spans="80:536" ht="10.75" customHeight="1">
      <c r="JH302" s="12"/>
      <c r="JK302" s="12"/>
      <c r="JS302" s="12"/>
      <c r="NT302" s="13"/>
      <c r="NW302" s="13"/>
      <c r="PA302" s="12"/>
      <c r="PD302" s="12"/>
      <c r="PO302" s="13"/>
      <c r="PQ302" s="13"/>
      <c r="PR302" s="14"/>
      <c r="PS302" s="15"/>
      <c r="PT302" s="15"/>
      <c r="PU302" s="15"/>
      <c r="PV302" s="15"/>
      <c r="PW302" s="15"/>
      <c r="PX302" s="15"/>
      <c r="PY302" s="15"/>
      <c r="PZ302" s="15"/>
      <c r="QA302" s="15"/>
      <c r="QB302" s="15"/>
      <c r="QC302" s="15"/>
      <c r="QD302" s="15"/>
      <c r="QE302" s="15"/>
      <c r="QF302" s="15"/>
      <c r="QG302" s="15"/>
      <c r="QH302" s="15"/>
      <c r="QI302" s="15"/>
      <c r="QJ302" s="15"/>
      <c r="QK302" s="15"/>
      <c r="QL302" s="15"/>
      <c r="QM302" s="15"/>
      <c r="QN302" s="15"/>
      <c r="QO302" s="15"/>
      <c r="QP302" s="15"/>
      <c r="QQ302" s="15"/>
      <c r="QR302" s="15"/>
      <c r="QS302" s="15"/>
      <c r="QT302" s="15"/>
      <c r="QU302" s="15"/>
      <c r="QV302" s="15"/>
      <c r="QW302" s="15"/>
      <c r="QX302" s="15"/>
      <c r="QY302" s="15"/>
      <c r="QZ302" s="15"/>
      <c r="RA302" s="15"/>
      <c r="RB302" s="15"/>
      <c r="RC302" s="15"/>
      <c r="RD302" s="15"/>
      <c r="RE302" s="15"/>
      <c r="RF302" s="15"/>
      <c r="RG302" s="16"/>
      <c r="RH302" s="14"/>
      <c r="RI302" s="16"/>
      <c r="TM302" s="13"/>
      <c r="TP302" s="13"/>
    </row>
    <row r="303" spans="80:536" ht="10.75" customHeight="1">
      <c r="JH303" s="12"/>
      <c r="JK303" s="12"/>
      <c r="JS303" s="12"/>
      <c r="NT303" s="13"/>
      <c r="NW303" s="13"/>
      <c r="PA303" s="12"/>
      <c r="PD303" s="9"/>
      <c r="PE303" s="10"/>
      <c r="PF303" s="10"/>
      <c r="PG303" s="10"/>
      <c r="PH303" s="10"/>
      <c r="PI303" s="10"/>
      <c r="PJ303" s="10"/>
      <c r="PK303" s="10"/>
      <c r="PL303" s="10"/>
      <c r="PM303" s="10"/>
      <c r="PN303" s="10"/>
      <c r="PO303" s="11"/>
      <c r="PP303" s="10"/>
      <c r="PQ303" s="11"/>
      <c r="PR303" s="10"/>
      <c r="PS303" s="10"/>
      <c r="PT303" s="10"/>
      <c r="PU303" s="10"/>
      <c r="PV303" s="10"/>
      <c r="PW303" s="10"/>
      <c r="PX303" s="10"/>
      <c r="PY303" s="10"/>
      <c r="PZ303" s="10"/>
      <c r="QA303" s="10"/>
      <c r="QB303" s="10"/>
      <c r="QC303" s="10"/>
      <c r="QD303" s="10"/>
      <c r="QE303" s="10"/>
      <c r="QF303" s="10"/>
      <c r="QG303" s="10"/>
      <c r="QH303" s="10"/>
      <c r="QI303" s="10"/>
      <c r="QJ303" s="10"/>
      <c r="QK303" s="10"/>
      <c r="QL303" s="10"/>
      <c r="QM303" s="10"/>
      <c r="QN303" s="10"/>
      <c r="QO303" s="10"/>
      <c r="QP303" s="10"/>
      <c r="QQ303" s="10"/>
      <c r="QR303" s="10"/>
      <c r="QS303" s="10"/>
      <c r="QT303" s="10"/>
      <c r="QU303" s="10"/>
      <c r="QV303" s="10"/>
      <c r="QW303" s="10"/>
      <c r="QX303" s="10"/>
      <c r="QY303" s="10"/>
      <c r="QZ303" s="10"/>
      <c r="RA303" s="10"/>
      <c r="RB303" s="10"/>
      <c r="RC303" s="10"/>
      <c r="RD303" s="10"/>
      <c r="RE303" s="10"/>
      <c r="RF303" s="10"/>
      <c r="RG303" s="11"/>
      <c r="RH303" s="9"/>
      <c r="RI303" s="11"/>
      <c r="TM303" s="13"/>
      <c r="TP303" s="13"/>
    </row>
    <row r="304" spans="80:536" ht="10.75" customHeight="1">
      <c r="JH304" s="12"/>
      <c r="JK304" s="12"/>
      <c r="JS304" s="12"/>
      <c r="NT304" s="13"/>
      <c r="NW304" s="13"/>
      <c r="PA304" s="12"/>
      <c r="PD304" s="12"/>
      <c r="PO304" s="13"/>
      <c r="PQ304" s="13"/>
      <c r="RG304" s="13"/>
      <c r="RH304" s="12"/>
      <c r="RI304" s="13"/>
      <c r="TM304" s="13"/>
      <c r="TP304" s="13"/>
    </row>
    <row r="305" spans="176:536" ht="10.75" customHeight="1">
      <c r="JH305" s="12"/>
      <c r="JK305" s="12"/>
      <c r="JS305" s="12"/>
      <c r="NT305" s="13"/>
      <c r="NW305" s="13"/>
      <c r="PA305" s="12"/>
      <c r="PD305" s="12"/>
      <c r="PO305" s="13"/>
      <c r="PQ305" s="13"/>
      <c r="RG305" s="13"/>
      <c r="RH305" s="12"/>
      <c r="RI305" s="13"/>
      <c r="TM305" s="13"/>
      <c r="TP305" s="13"/>
    </row>
    <row r="306" spans="176:536" ht="10.75" customHeight="1">
      <c r="JH306" s="12"/>
      <c r="JK306" s="12"/>
      <c r="JS306" s="14"/>
      <c r="JT306" s="15"/>
      <c r="JU306" s="15"/>
      <c r="JV306" s="15"/>
      <c r="JW306" s="15"/>
      <c r="JX306" s="15"/>
      <c r="JY306" s="15"/>
      <c r="JZ306" s="15"/>
      <c r="KA306" s="15"/>
      <c r="KB306" s="15"/>
      <c r="KC306" s="15"/>
      <c r="KD306" s="15"/>
      <c r="KE306" s="15"/>
      <c r="KF306" s="15"/>
      <c r="KG306" s="15"/>
      <c r="KH306" s="15"/>
      <c r="KI306" s="15"/>
      <c r="KJ306" s="15"/>
      <c r="KK306" s="15"/>
      <c r="KL306" s="15"/>
      <c r="KM306" s="15"/>
      <c r="KN306" s="15"/>
      <c r="KO306" s="15"/>
      <c r="KP306" s="15"/>
      <c r="NT306" s="13"/>
      <c r="NW306" s="13"/>
      <c r="PA306" s="12"/>
      <c r="PD306" s="12"/>
      <c r="PO306" s="13"/>
      <c r="PQ306" s="13"/>
      <c r="RG306" s="13"/>
      <c r="RH306" s="12"/>
      <c r="RI306" s="13"/>
      <c r="TM306" s="13"/>
      <c r="TP306" s="13"/>
    </row>
    <row r="307" spans="176:536" ht="10.75" customHeight="1">
      <c r="JH307" s="12"/>
      <c r="JK307" s="12"/>
      <c r="KQ307" s="9"/>
      <c r="KR307" s="10"/>
      <c r="KS307" s="12"/>
      <c r="NT307" s="13"/>
      <c r="NW307" s="13"/>
      <c r="PA307" s="12"/>
      <c r="PD307" s="12"/>
      <c r="PO307" s="13"/>
      <c r="PQ307" s="13"/>
      <c r="RG307" s="13"/>
      <c r="RH307" s="12"/>
      <c r="RI307" s="13"/>
      <c r="TM307" s="13"/>
      <c r="TP307" s="13"/>
    </row>
    <row r="308" spans="176:536" ht="10.75" customHeight="1">
      <c r="JH308" s="12"/>
      <c r="JK308" s="12"/>
      <c r="KQ308" s="12"/>
      <c r="KS308" s="12"/>
      <c r="NT308" s="13"/>
      <c r="NW308" s="13"/>
      <c r="PA308" s="12"/>
      <c r="PD308" s="12"/>
      <c r="PO308" s="13"/>
      <c r="PQ308" s="13"/>
      <c r="RG308" s="13"/>
      <c r="RH308" s="12"/>
      <c r="RI308" s="13"/>
      <c r="TM308" s="13"/>
      <c r="TP308" s="13"/>
    </row>
    <row r="309" spans="176:536" ht="10.75" customHeight="1">
      <c r="JH309" s="12"/>
      <c r="JK309" s="12"/>
      <c r="KQ309" s="12"/>
      <c r="KS309" s="12"/>
      <c r="NT309" s="13"/>
      <c r="NW309" s="13"/>
      <c r="PA309" s="12"/>
      <c r="PD309" s="12"/>
      <c r="PO309" s="13"/>
      <c r="PQ309" s="13"/>
      <c r="RG309" s="13"/>
      <c r="RH309" s="12"/>
      <c r="RI309" s="13"/>
      <c r="TM309" s="13"/>
      <c r="TP309" s="13"/>
    </row>
    <row r="310" spans="176:536" ht="10.75" customHeight="1">
      <c r="JH310" s="12"/>
      <c r="JK310" s="12"/>
      <c r="KQ310" s="12"/>
      <c r="KS310" s="12"/>
      <c r="NT310" s="13"/>
      <c r="NW310" s="13"/>
      <c r="PA310" s="12"/>
      <c r="PD310" s="12"/>
      <c r="PO310" s="13"/>
      <c r="PQ310" s="13"/>
      <c r="RG310" s="13"/>
      <c r="RH310" s="12"/>
      <c r="RI310" s="13"/>
      <c r="TM310" s="13"/>
      <c r="TP310" s="13"/>
    </row>
    <row r="311" spans="176:536" ht="10.75" customHeight="1">
      <c r="JH311" s="12"/>
      <c r="JK311" s="12"/>
      <c r="KQ311" s="12"/>
      <c r="KS311" s="12"/>
      <c r="NT311" s="13"/>
      <c r="NW311" s="13"/>
      <c r="PA311" s="12"/>
      <c r="PD311" s="12"/>
      <c r="PO311" s="13"/>
      <c r="PQ311" s="13"/>
      <c r="RG311" s="13"/>
      <c r="RH311" s="12"/>
      <c r="RI311" s="13"/>
      <c r="TM311" s="13"/>
      <c r="TP311" s="13"/>
    </row>
    <row r="312" spans="176:536" ht="10.75" customHeight="1">
      <c r="JH312" s="12"/>
      <c r="JK312" s="12"/>
      <c r="KQ312" s="12"/>
      <c r="KS312" s="12"/>
      <c r="NT312" s="13"/>
      <c r="NW312" s="13"/>
      <c r="PA312" s="12"/>
      <c r="PD312" s="12"/>
      <c r="PO312" s="13"/>
      <c r="PQ312" s="13"/>
      <c r="RG312" s="13"/>
      <c r="RH312" s="12"/>
      <c r="RI312" s="13"/>
      <c r="TM312" s="13"/>
      <c r="TP312" s="13"/>
    </row>
    <row r="313" spans="176:536" ht="10.75" customHeight="1">
      <c r="JH313" s="12"/>
      <c r="JK313" s="12"/>
      <c r="KQ313" s="12"/>
      <c r="KS313" s="12"/>
      <c r="NT313" s="13"/>
      <c r="NW313" s="13"/>
      <c r="PA313" s="12"/>
      <c r="PD313" s="12"/>
      <c r="PO313" s="13"/>
      <c r="PQ313" s="13"/>
      <c r="RG313" s="13"/>
      <c r="RH313" s="12"/>
      <c r="RI313" s="13"/>
      <c r="TM313" s="13"/>
      <c r="TP313" s="13"/>
    </row>
    <row r="314" spans="176:536" ht="10.75" customHeight="1">
      <c r="JH314" s="96"/>
      <c r="JI314" s="97"/>
      <c r="JJ314" s="97"/>
      <c r="JK314" s="14"/>
      <c r="JL314" s="15"/>
      <c r="JM314" s="15"/>
      <c r="JN314" s="15"/>
      <c r="JO314" s="15"/>
      <c r="JP314" s="15"/>
      <c r="JQ314" s="15"/>
      <c r="JR314" s="15"/>
      <c r="JS314" s="15"/>
      <c r="JT314" s="15"/>
      <c r="JU314" s="15"/>
      <c r="JV314" s="15"/>
      <c r="JW314" s="15"/>
      <c r="JX314" s="15"/>
      <c r="JY314" s="15"/>
      <c r="JZ314" s="15"/>
      <c r="KA314" s="15"/>
      <c r="KB314" s="15"/>
      <c r="KC314" s="15"/>
      <c r="KD314" s="15"/>
      <c r="KE314" s="15"/>
      <c r="KF314" s="15"/>
      <c r="KG314" s="15"/>
      <c r="KH314" s="15"/>
      <c r="KI314" s="15"/>
      <c r="KJ314" s="15"/>
      <c r="KK314" s="15"/>
      <c r="KL314" s="15"/>
      <c r="KM314" s="15"/>
      <c r="KN314" s="15"/>
      <c r="KO314" s="15"/>
      <c r="KP314" s="15"/>
      <c r="KQ314" s="14"/>
      <c r="KR314" s="15"/>
      <c r="KS314" s="14"/>
      <c r="KT314" s="15"/>
      <c r="KU314" s="15"/>
      <c r="KV314" s="15"/>
      <c r="KW314" s="15"/>
      <c r="KX314" s="15"/>
      <c r="KY314" s="15"/>
      <c r="KZ314" s="15"/>
      <c r="LA314" s="15"/>
      <c r="LB314" s="15"/>
      <c r="LC314" s="15"/>
      <c r="LD314" s="15"/>
      <c r="LE314" s="15"/>
      <c r="LF314" s="15"/>
      <c r="LG314" s="15"/>
      <c r="LH314" s="15"/>
      <c r="LI314" s="15"/>
      <c r="LJ314" s="15"/>
      <c r="LK314" s="15"/>
      <c r="LL314" s="15"/>
      <c r="LM314" s="15"/>
      <c r="LN314" s="15"/>
      <c r="LO314" s="15"/>
      <c r="LP314" s="15"/>
      <c r="LQ314" s="15"/>
      <c r="LR314" s="15"/>
      <c r="LS314" s="15"/>
      <c r="LT314" s="15"/>
      <c r="LU314" s="15"/>
      <c r="LV314" s="15"/>
      <c r="LW314" s="15"/>
      <c r="LX314" s="15"/>
      <c r="LY314" s="15"/>
      <c r="LZ314" s="15"/>
      <c r="MA314" s="15"/>
      <c r="MB314" s="15"/>
      <c r="MC314" s="15"/>
      <c r="MD314" s="15"/>
      <c r="ME314" s="15"/>
      <c r="MF314" s="15"/>
      <c r="MG314" s="15"/>
      <c r="MH314" s="15"/>
      <c r="MI314" s="15"/>
      <c r="MJ314" s="15"/>
      <c r="MK314" s="15"/>
      <c r="ML314" s="15"/>
      <c r="MM314" s="15"/>
      <c r="MN314" s="15"/>
      <c r="MO314" s="15"/>
      <c r="MP314" s="15"/>
      <c r="MQ314" s="15"/>
      <c r="MR314" s="15"/>
      <c r="MS314" s="15"/>
      <c r="MT314" s="15"/>
      <c r="MU314" s="15"/>
      <c r="MV314" s="15"/>
      <c r="MW314" s="15"/>
      <c r="MX314" s="15"/>
      <c r="MY314" s="15"/>
      <c r="MZ314" s="15"/>
      <c r="NA314" s="15"/>
      <c r="NB314" s="15"/>
      <c r="NC314" s="15"/>
      <c r="ND314" s="15"/>
      <c r="NE314" s="15"/>
      <c r="NF314" s="15"/>
      <c r="NG314" s="15"/>
      <c r="NH314" s="15"/>
      <c r="NI314" s="15"/>
      <c r="NJ314" s="15"/>
      <c r="NK314" s="15"/>
      <c r="NL314" s="15"/>
      <c r="NM314" s="15"/>
      <c r="NN314" s="15"/>
      <c r="NO314" s="15"/>
      <c r="NP314" s="15"/>
      <c r="NQ314" s="15"/>
      <c r="NR314" s="15"/>
      <c r="NS314" s="15"/>
      <c r="NT314" s="16"/>
      <c r="NU314" s="97"/>
      <c r="NV314" s="97"/>
      <c r="NW314" s="98"/>
      <c r="PA314" s="96"/>
      <c r="PB314" s="97"/>
      <c r="PC314" s="97"/>
      <c r="PD314" s="14"/>
      <c r="PE314" s="15"/>
      <c r="PF314" s="15"/>
      <c r="PG314" s="15"/>
      <c r="PH314" s="15"/>
      <c r="PI314" s="15"/>
      <c r="PJ314" s="15"/>
      <c r="PK314" s="15"/>
      <c r="PL314" s="15"/>
      <c r="PM314" s="15"/>
      <c r="PN314" s="15"/>
      <c r="PO314" s="16"/>
      <c r="PP314" s="15"/>
      <c r="PQ314" s="16"/>
      <c r="PR314" s="15"/>
      <c r="PS314" s="15"/>
      <c r="PT314" s="15"/>
      <c r="PU314" s="15"/>
      <c r="PV314" s="15"/>
      <c r="PW314" s="15"/>
      <c r="PX314" s="15"/>
      <c r="PY314" s="15"/>
      <c r="PZ314" s="15"/>
      <c r="QA314" s="15"/>
      <c r="QB314" s="15"/>
      <c r="QC314" s="15"/>
      <c r="QD314" s="15"/>
      <c r="QE314" s="15"/>
      <c r="QF314" s="15"/>
      <c r="QG314" s="15"/>
      <c r="QH314" s="15"/>
      <c r="QI314" s="15"/>
      <c r="QJ314" s="15"/>
      <c r="QK314" s="15"/>
      <c r="QL314" s="15"/>
      <c r="QM314" s="15"/>
      <c r="QN314" s="15"/>
      <c r="QO314" s="15"/>
      <c r="QP314" s="15"/>
      <c r="QQ314" s="15"/>
      <c r="QR314" s="15"/>
      <c r="QS314" s="15"/>
      <c r="QT314" s="15"/>
      <c r="QU314" s="15"/>
      <c r="QV314" s="15"/>
      <c r="QW314" s="15"/>
      <c r="QX314" s="15"/>
      <c r="QY314" s="15"/>
      <c r="QZ314" s="15"/>
      <c r="RA314" s="15"/>
      <c r="RB314" s="15"/>
      <c r="RC314" s="15"/>
      <c r="RD314" s="15"/>
      <c r="RE314" s="15"/>
      <c r="RF314" s="15"/>
      <c r="RG314" s="16"/>
      <c r="RH314" s="14"/>
      <c r="RI314" s="16"/>
      <c r="RJ314" s="15"/>
      <c r="RK314" s="15"/>
      <c r="RL314" s="15"/>
      <c r="RM314" s="15"/>
      <c r="RN314" s="15"/>
      <c r="RO314" s="15"/>
      <c r="RP314" s="15"/>
      <c r="RQ314" s="15"/>
      <c r="RR314" s="15"/>
      <c r="RS314" s="15"/>
      <c r="RT314" s="15"/>
      <c r="RU314" s="15"/>
      <c r="RV314" s="15"/>
      <c r="RW314" s="15"/>
      <c r="RX314" s="15"/>
      <c r="RY314" s="15"/>
      <c r="RZ314" s="15"/>
      <c r="SA314" s="15"/>
      <c r="SB314" s="15"/>
      <c r="SC314" s="15"/>
      <c r="SD314" s="15"/>
      <c r="SE314" s="15"/>
      <c r="SF314" s="15"/>
      <c r="SG314" s="15"/>
      <c r="SH314" s="15"/>
      <c r="SI314" s="15"/>
      <c r="SJ314" s="15"/>
      <c r="SK314" s="15"/>
      <c r="SL314" s="15"/>
      <c r="SM314" s="15"/>
      <c r="SN314" s="15"/>
      <c r="SO314" s="15"/>
      <c r="SP314" s="15"/>
      <c r="SQ314" s="15"/>
      <c r="SR314" s="15"/>
      <c r="SS314" s="15"/>
      <c r="ST314" s="15"/>
      <c r="SU314" s="15"/>
      <c r="SV314" s="15"/>
      <c r="SW314" s="15"/>
      <c r="SX314" s="15"/>
      <c r="SY314" s="15"/>
      <c r="SZ314" s="15"/>
      <c r="TA314" s="15"/>
      <c r="TB314" s="15"/>
      <c r="TC314" s="15"/>
      <c r="TD314" s="15"/>
      <c r="TE314" s="15"/>
      <c r="TF314" s="15"/>
      <c r="TG314" s="15"/>
      <c r="TH314" s="15"/>
      <c r="TI314" s="15"/>
      <c r="TJ314" s="15"/>
      <c r="TK314" s="15"/>
      <c r="TL314" s="15"/>
      <c r="TM314" s="16"/>
      <c r="TN314" s="97"/>
      <c r="TO314" s="97"/>
      <c r="TP314" s="98"/>
    </row>
    <row r="315" spans="176:536" ht="10.75" customHeight="1">
      <c r="JH315" s="96"/>
      <c r="JI315" s="97"/>
      <c r="JJ315" s="97"/>
      <c r="JK315" s="12"/>
      <c r="LM315" s="97"/>
      <c r="LN315" s="98"/>
      <c r="LO315" s="96"/>
      <c r="LP315" s="98"/>
      <c r="NU315" s="97"/>
      <c r="NV315" s="97"/>
      <c r="NW315" s="98"/>
      <c r="PA315" s="96"/>
      <c r="PB315" s="97"/>
      <c r="PC315" s="97"/>
      <c r="PD315" s="12"/>
      <c r="RF315" s="97"/>
      <c r="RG315" s="98"/>
      <c r="RH315" s="96"/>
      <c r="RI315" s="98"/>
      <c r="TN315" s="97"/>
      <c r="TO315" s="97"/>
      <c r="TP315" s="98"/>
    </row>
    <row r="316" spans="176:536" ht="10.75" customHeight="1">
      <c r="JH316" s="96"/>
      <c r="JI316" s="97"/>
      <c r="JJ316" s="97"/>
      <c r="JK316" s="12"/>
      <c r="LM316" s="97"/>
      <c r="LN316" s="98"/>
      <c r="LO316" s="96"/>
      <c r="LP316" s="98"/>
      <c r="NU316" s="97"/>
      <c r="NV316" s="97"/>
      <c r="NW316" s="98"/>
      <c r="PA316" s="96"/>
      <c r="PB316" s="97"/>
      <c r="PC316" s="97"/>
      <c r="PD316" s="12"/>
      <c r="RF316" s="97"/>
      <c r="RG316" s="98"/>
      <c r="RH316" s="96"/>
      <c r="RI316" s="98"/>
      <c r="TN316" s="97"/>
      <c r="TO316" s="97"/>
      <c r="TP316" s="98"/>
    </row>
    <row r="317" spans="176:536" ht="10.75" customHeight="1">
      <c r="JH317" s="59"/>
      <c r="JI317" s="60"/>
      <c r="JJ317" s="60"/>
      <c r="JK317" s="14"/>
      <c r="JL317" s="15"/>
      <c r="JM317" s="15"/>
      <c r="JN317" s="15"/>
      <c r="JO317" s="15"/>
      <c r="JP317" s="15"/>
      <c r="JQ317" s="15"/>
      <c r="JR317" s="15"/>
      <c r="JS317" s="15"/>
      <c r="JT317" s="15"/>
      <c r="JU317" s="15"/>
      <c r="JV317" s="15"/>
      <c r="JW317" s="15"/>
      <c r="JX317" s="15"/>
      <c r="JY317" s="15"/>
      <c r="JZ317" s="15"/>
      <c r="KA317" s="15"/>
      <c r="KB317" s="15"/>
      <c r="KC317" s="15"/>
      <c r="KD317" s="15"/>
      <c r="KE317" s="15"/>
      <c r="KF317" s="15"/>
      <c r="KG317" s="15"/>
      <c r="KH317" s="15"/>
      <c r="KI317" s="15"/>
      <c r="KJ317" s="15"/>
      <c r="KK317" s="15"/>
      <c r="KL317" s="15"/>
      <c r="KM317" s="15"/>
      <c r="KN317" s="15"/>
      <c r="KO317" s="15"/>
      <c r="KP317" s="15"/>
      <c r="KQ317" s="15"/>
      <c r="KR317" s="15"/>
      <c r="KS317" s="15"/>
      <c r="KT317" s="15"/>
      <c r="KU317" s="15"/>
      <c r="KV317" s="15"/>
      <c r="KW317" s="15"/>
      <c r="KX317" s="15"/>
      <c r="KY317" s="15"/>
      <c r="KZ317" s="15"/>
      <c r="LA317" s="15"/>
      <c r="LB317" s="15"/>
      <c r="LC317" s="15"/>
      <c r="LD317" s="15"/>
      <c r="LE317" s="15"/>
      <c r="LF317" s="15"/>
      <c r="LG317" s="15"/>
      <c r="LH317" s="15"/>
      <c r="LI317" s="15"/>
      <c r="LJ317" s="15"/>
      <c r="LK317" s="15"/>
      <c r="LL317" s="15"/>
      <c r="LM317" s="60"/>
      <c r="LN317" s="61"/>
      <c r="LO317" s="59"/>
      <c r="LP317" s="61"/>
      <c r="LQ317" s="15"/>
      <c r="LR317" s="15"/>
      <c r="LS317" s="15"/>
      <c r="LT317" s="15"/>
      <c r="LU317" s="15"/>
      <c r="LV317" s="15"/>
      <c r="LW317" s="15"/>
      <c r="LX317" s="15"/>
      <c r="LY317" s="15"/>
      <c r="LZ317" s="15"/>
      <c r="MA317" s="15"/>
      <c r="MB317" s="15"/>
      <c r="MC317" s="15"/>
      <c r="MD317" s="15"/>
      <c r="ME317" s="15"/>
      <c r="MF317" s="15"/>
      <c r="MG317" s="15"/>
      <c r="MH317" s="15"/>
      <c r="MI317" s="15"/>
      <c r="MJ317" s="15"/>
      <c r="MK317" s="15"/>
      <c r="ML317" s="15"/>
      <c r="MM317" s="15"/>
      <c r="MN317" s="15"/>
      <c r="MO317" s="15"/>
      <c r="MP317" s="15"/>
      <c r="MQ317" s="15"/>
      <c r="MR317" s="15"/>
      <c r="MS317" s="15"/>
      <c r="MT317" s="15"/>
      <c r="MU317" s="15"/>
      <c r="MV317" s="15"/>
      <c r="MW317" s="15"/>
      <c r="MX317" s="15"/>
      <c r="MY317" s="15"/>
      <c r="MZ317" s="15"/>
      <c r="NA317" s="15"/>
      <c r="NB317" s="15"/>
      <c r="NC317" s="15"/>
      <c r="ND317" s="15"/>
      <c r="NE317" s="15"/>
      <c r="NF317" s="15"/>
      <c r="NG317" s="15"/>
      <c r="NH317" s="15"/>
      <c r="NI317" s="15"/>
      <c r="NJ317" s="15"/>
      <c r="NK317" s="15"/>
      <c r="NL317" s="15"/>
      <c r="NM317" s="15"/>
      <c r="NN317" s="15"/>
      <c r="NO317" s="15"/>
      <c r="NP317" s="15"/>
      <c r="NQ317" s="15"/>
      <c r="NR317" s="15"/>
      <c r="NS317" s="15"/>
      <c r="NT317" s="15"/>
      <c r="NU317" s="60"/>
      <c r="NV317" s="60"/>
      <c r="NW317" s="61"/>
      <c r="PA317" s="59"/>
      <c r="PB317" s="60"/>
      <c r="PC317" s="60"/>
      <c r="PD317" s="14"/>
      <c r="PE317" s="15"/>
      <c r="PF317" s="15"/>
      <c r="PG317" s="15"/>
      <c r="PH317" s="15"/>
      <c r="PI317" s="15"/>
      <c r="PJ317" s="15"/>
      <c r="PK317" s="15"/>
      <c r="PL317" s="15"/>
      <c r="PM317" s="15"/>
      <c r="PN317" s="15"/>
      <c r="PO317" s="15"/>
      <c r="PP317" s="15"/>
      <c r="PQ317" s="15"/>
      <c r="PR317" s="15"/>
      <c r="PS317" s="15"/>
      <c r="PT317" s="15"/>
      <c r="PU317" s="15"/>
      <c r="PV317" s="15"/>
      <c r="PW317" s="15"/>
      <c r="PX317" s="15"/>
      <c r="PY317" s="15"/>
      <c r="PZ317" s="15"/>
      <c r="QA317" s="15"/>
      <c r="QB317" s="15"/>
      <c r="QC317" s="15"/>
      <c r="QD317" s="15"/>
      <c r="QE317" s="15"/>
      <c r="QF317" s="15"/>
      <c r="QG317" s="15"/>
      <c r="QH317" s="15"/>
      <c r="QI317" s="15"/>
      <c r="QJ317" s="15"/>
      <c r="QK317" s="15"/>
      <c r="QL317" s="15"/>
      <c r="QM317" s="15"/>
      <c r="QN317" s="15"/>
      <c r="QO317" s="15"/>
      <c r="QP317" s="15"/>
      <c r="QQ317" s="15"/>
      <c r="QR317" s="15"/>
      <c r="QS317" s="15"/>
      <c r="QT317" s="15"/>
      <c r="QU317" s="15"/>
      <c r="QV317" s="15"/>
      <c r="QW317" s="15"/>
      <c r="QX317" s="15"/>
      <c r="QY317" s="15"/>
      <c r="QZ317" s="15"/>
      <c r="RA317" s="15"/>
      <c r="RB317" s="15"/>
      <c r="RC317" s="15"/>
      <c r="RD317" s="15"/>
      <c r="RE317" s="15"/>
      <c r="RF317" s="60"/>
      <c r="RG317" s="61"/>
      <c r="RH317" s="59"/>
      <c r="RI317" s="61"/>
      <c r="RJ317" s="15"/>
      <c r="RK317" s="15"/>
      <c r="RL317" s="15"/>
      <c r="RM317" s="15"/>
      <c r="RN317" s="15"/>
      <c r="RO317" s="15"/>
      <c r="RP317" s="15"/>
      <c r="RQ317" s="15"/>
      <c r="RR317" s="15"/>
      <c r="RS317" s="15"/>
      <c r="RT317" s="15"/>
      <c r="RU317" s="15"/>
      <c r="RV317" s="15"/>
      <c r="RW317" s="15"/>
      <c r="RX317" s="15"/>
      <c r="RY317" s="15"/>
      <c r="RZ317" s="15"/>
      <c r="SA317" s="15"/>
      <c r="SB317" s="15"/>
      <c r="SC317" s="15"/>
      <c r="SD317" s="15"/>
      <c r="SE317" s="15"/>
      <c r="SF317" s="15"/>
      <c r="SG317" s="15"/>
      <c r="SH317" s="15"/>
      <c r="SI317" s="15"/>
      <c r="SJ317" s="15"/>
      <c r="SK317" s="15"/>
      <c r="SL317" s="15"/>
      <c r="SM317" s="15"/>
      <c r="SN317" s="15"/>
      <c r="SO317" s="15"/>
      <c r="SP317" s="15"/>
      <c r="SQ317" s="15"/>
      <c r="SR317" s="15"/>
      <c r="SS317" s="15"/>
      <c r="ST317" s="15"/>
      <c r="SU317" s="15"/>
      <c r="SV317" s="15"/>
      <c r="SW317" s="15"/>
      <c r="SX317" s="15"/>
      <c r="SY317" s="15"/>
      <c r="SZ317" s="15"/>
      <c r="TA317" s="15"/>
      <c r="TB317" s="15"/>
      <c r="TC317" s="15"/>
      <c r="TD317" s="15"/>
      <c r="TE317" s="15"/>
      <c r="TF317" s="15"/>
      <c r="TG317" s="15"/>
      <c r="TH317" s="15"/>
      <c r="TI317" s="15"/>
      <c r="TJ317" s="15"/>
      <c r="TK317" s="15"/>
      <c r="TL317" s="15"/>
      <c r="TM317" s="15"/>
      <c r="TN317" s="60"/>
      <c r="TO317" s="60"/>
      <c r="TP317" s="61"/>
    </row>
    <row r="320" spans="176:536" ht="10.75" customHeight="1">
      <c r="FT320" s="9"/>
      <c r="FU320" s="10"/>
      <c r="FV320" s="10"/>
      <c r="FW320" s="10"/>
      <c r="FX320" s="10"/>
      <c r="FY320" s="10"/>
      <c r="FZ320" s="10"/>
      <c r="GA320" s="10"/>
      <c r="GB320" s="10"/>
      <c r="GC320" s="10"/>
      <c r="GD320" s="10"/>
      <c r="GE320" s="10"/>
      <c r="GF320" s="10"/>
      <c r="GG320" s="10"/>
      <c r="GH320" s="10"/>
      <c r="GI320" s="10"/>
      <c r="GJ320" s="10"/>
      <c r="GK320" s="10"/>
      <c r="GL320" s="10"/>
      <c r="GM320" s="10"/>
      <c r="GN320" s="10"/>
      <c r="GO320" s="10"/>
      <c r="GP320" s="10"/>
      <c r="GQ320" s="10"/>
      <c r="GR320" s="10"/>
      <c r="GS320" s="10"/>
      <c r="GT320" s="10"/>
      <c r="GU320" s="10"/>
      <c r="GV320" s="10"/>
      <c r="GW320" s="11"/>
    </row>
    <row r="321" spans="44:205" ht="10.75" customHeight="1">
      <c r="FT321" s="12"/>
      <c r="GW321" s="13"/>
    </row>
    <row r="322" spans="44:205" ht="10.75" customHeight="1">
      <c r="FT322" s="12"/>
      <c r="GW322" s="13"/>
    </row>
    <row r="323" spans="44:205" ht="10.75" customHeight="1">
      <c r="AR323" s="56"/>
      <c r="AS323" s="57"/>
      <c r="AT323" s="57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57"/>
      <c r="CV323" s="57"/>
      <c r="CW323" s="57"/>
      <c r="CX323" s="57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  <c r="EB323" s="41"/>
      <c r="EC323" s="41"/>
      <c r="ED323" s="41"/>
      <c r="EE323" s="41"/>
      <c r="EF323" s="41"/>
      <c r="EG323" s="41"/>
      <c r="EH323" s="41"/>
      <c r="EI323" s="41"/>
      <c r="EJ323" s="41"/>
      <c r="EK323" s="41"/>
      <c r="EL323" s="41"/>
      <c r="EM323" s="41"/>
      <c r="EN323" s="41"/>
      <c r="EO323" s="41"/>
      <c r="EP323" s="41"/>
      <c r="EQ323" s="41"/>
      <c r="ER323" s="41"/>
      <c r="ES323" s="41"/>
      <c r="ET323" s="41"/>
      <c r="EU323" s="41"/>
      <c r="EV323" s="57"/>
      <c r="EW323" s="57"/>
      <c r="EX323" s="57"/>
      <c r="EY323" s="58"/>
      <c r="FT323" s="12"/>
      <c r="GW323" s="13"/>
    </row>
    <row r="324" spans="44:205" ht="10.75" customHeight="1">
      <c r="AR324" s="96"/>
      <c r="AS324" s="97"/>
      <c r="AT324" s="97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43"/>
      <c r="CB324" s="43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97"/>
      <c r="CV324" s="97"/>
      <c r="CW324" s="97"/>
      <c r="CX324" s="97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  <c r="EA324" s="43"/>
      <c r="EB324" s="43"/>
      <c r="EC324" s="43"/>
      <c r="ED324" s="43"/>
      <c r="EE324" s="43"/>
      <c r="EF324" s="43"/>
      <c r="EG324" s="43"/>
      <c r="EH324" s="43"/>
      <c r="EI324" s="43"/>
      <c r="EJ324" s="43"/>
      <c r="EK324" s="43"/>
      <c r="EL324" s="43"/>
      <c r="EM324" s="43"/>
      <c r="EN324" s="43"/>
      <c r="EO324" s="43"/>
      <c r="EP324" s="43"/>
      <c r="EQ324" s="43"/>
      <c r="ER324" s="43"/>
      <c r="ES324" s="43"/>
      <c r="ET324" s="43"/>
      <c r="EU324" s="43"/>
      <c r="EV324" s="97"/>
      <c r="EW324" s="97"/>
      <c r="EX324" s="97"/>
      <c r="EY324" s="98"/>
      <c r="FT324" s="12"/>
      <c r="GW324" s="13"/>
    </row>
    <row r="325" spans="44:205" ht="10.75" customHeight="1">
      <c r="AR325" s="96"/>
      <c r="AS325" s="97"/>
      <c r="AT325" s="97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43"/>
      <c r="CB325" s="43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97"/>
      <c r="CV325" s="97"/>
      <c r="CW325" s="97"/>
      <c r="CX325" s="97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  <c r="EA325" s="43"/>
      <c r="EB325" s="43"/>
      <c r="EC325" s="43"/>
      <c r="ED325" s="43"/>
      <c r="EE325" s="43"/>
      <c r="EF325" s="43"/>
      <c r="EG325" s="43"/>
      <c r="EH325" s="43"/>
      <c r="EI325" s="43"/>
      <c r="EJ325" s="43"/>
      <c r="EK325" s="43"/>
      <c r="EL325" s="43"/>
      <c r="EM325" s="43"/>
      <c r="EN325" s="43"/>
      <c r="EO325" s="43"/>
      <c r="EP325" s="43"/>
      <c r="EQ325" s="43"/>
      <c r="ER325" s="43"/>
      <c r="ES325" s="43"/>
      <c r="ET325" s="43"/>
      <c r="EU325" s="43"/>
      <c r="EV325" s="97"/>
      <c r="EW325" s="97"/>
      <c r="EX325" s="97"/>
      <c r="EY325" s="98"/>
      <c r="FT325" s="12"/>
      <c r="GW325" s="13"/>
    </row>
    <row r="326" spans="44:205" ht="10.75" customHeight="1">
      <c r="AR326" s="96"/>
      <c r="AS326" s="97"/>
      <c r="AT326" s="97"/>
      <c r="AU326" s="9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10"/>
      <c r="BK326" s="10"/>
      <c r="BL326" s="10"/>
      <c r="BM326" s="10"/>
      <c r="BN326" s="10"/>
      <c r="BO326" s="10"/>
      <c r="BP326" s="10"/>
      <c r="BQ326" s="10"/>
      <c r="BR326" s="10"/>
      <c r="BS326" s="10"/>
      <c r="BT326" s="10"/>
      <c r="BU326" s="10"/>
      <c r="BV326" s="10"/>
      <c r="BW326" s="10"/>
      <c r="BX326" s="10"/>
      <c r="BY326" s="10"/>
      <c r="BZ326" s="11"/>
      <c r="CA326" s="10"/>
      <c r="CB326" s="11"/>
      <c r="CC326" s="10"/>
      <c r="CD326" s="10"/>
      <c r="CE326" s="10"/>
      <c r="CF326" s="10"/>
      <c r="CG326" s="10"/>
      <c r="CH326" s="10"/>
      <c r="CI326" s="10"/>
      <c r="CJ326" s="10"/>
      <c r="CK326" s="10"/>
      <c r="CL326" s="10"/>
      <c r="CM326" s="10"/>
      <c r="CN326" s="10"/>
      <c r="CO326" s="10"/>
      <c r="CP326" s="10"/>
      <c r="CQ326" s="10"/>
      <c r="CR326" s="10"/>
      <c r="CS326" s="10"/>
      <c r="CT326" s="10"/>
      <c r="CU326" s="10"/>
      <c r="CV326" s="11"/>
      <c r="CW326" s="10"/>
      <c r="CX326" s="11"/>
      <c r="CY326" s="10"/>
      <c r="CZ326" s="10"/>
      <c r="DA326" s="10"/>
      <c r="DB326" s="10"/>
      <c r="DC326" s="10"/>
      <c r="DD326" s="10"/>
      <c r="DE326" s="10"/>
      <c r="DF326" s="10"/>
      <c r="DG326" s="10"/>
      <c r="DH326" s="10"/>
      <c r="DI326" s="10"/>
      <c r="DJ326" s="10"/>
      <c r="DK326" s="10"/>
      <c r="DL326" s="10"/>
      <c r="DM326" s="10"/>
      <c r="DN326" s="10"/>
      <c r="DO326" s="10"/>
      <c r="DP326" s="10"/>
      <c r="DQ326" s="10"/>
      <c r="DR326" s="10"/>
      <c r="DS326" s="10"/>
      <c r="DT326" s="10"/>
      <c r="DU326" s="10"/>
      <c r="DV326" s="10"/>
      <c r="DW326" s="10"/>
      <c r="DX326" s="10"/>
      <c r="DY326" s="10"/>
      <c r="DZ326" s="10"/>
      <c r="EA326" s="10"/>
      <c r="EB326" s="10"/>
      <c r="EC326" s="10"/>
      <c r="ED326" s="10"/>
      <c r="EE326" s="10"/>
      <c r="EF326" s="10"/>
      <c r="EG326" s="10"/>
      <c r="EH326" s="10"/>
      <c r="EI326" s="10"/>
      <c r="EJ326" s="10"/>
      <c r="EK326" s="10"/>
      <c r="EL326" s="10"/>
      <c r="EM326" s="10"/>
      <c r="EN326" s="10"/>
      <c r="EO326" s="10"/>
      <c r="EP326" s="10"/>
      <c r="EQ326" s="10"/>
      <c r="ER326" s="10"/>
      <c r="ES326" s="10"/>
      <c r="ET326" s="10"/>
      <c r="EU326" s="10"/>
      <c r="EV326" s="11"/>
      <c r="EW326" s="43"/>
      <c r="EX326" s="43"/>
      <c r="EY326" s="45"/>
      <c r="FT326" s="12"/>
      <c r="GW326" s="13"/>
    </row>
    <row r="327" spans="44:205" ht="10.75" customHeight="1">
      <c r="AR327" s="42"/>
      <c r="AS327" s="43"/>
      <c r="AT327" s="43"/>
      <c r="AU327" s="12"/>
      <c r="BZ327" s="13"/>
      <c r="CB327" s="13"/>
      <c r="CV327" s="13"/>
      <c r="CX327" s="122"/>
      <c r="EV327" s="13"/>
      <c r="EW327" s="43"/>
      <c r="EX327" s="43"/>
      <c r="EY327" s="45"/>
      <c r="FT327" s="14"/>
      <c r="FU327" s="15"/>
      <c r="FV327" s="15"/>
      <c r="FW327" s="15"/>
      <c r="FX327" s="15"/>
      <c r="FY327" s="15"/>
      <c r="FZ327" s="15"/>
      <c r="GA327" s="15"/>
      <c r="GB327" s="15"/>
      <c r="GC327" s="15"/>
      <c r="GD327" s="15"/>
      <c r="GE327" s="15"/>
      <c r="GF327" s="15"/>
      <c r="GG327" s="15"/>
      <c r="GH327" s="15"/>
      <c r="GI327" s="15"/>
      <c r="GJ327" s="15"/>
      <c r="GK327" s="15"/>
      <c r="GL327" s="15"/>
      <c r="GM327" s="15"/>
      <c r="GN327" s="15"/>
      <c r="GO327" s="15"/>
      <c r="GP327" s="15"/>
      <c r="GQ327" s="15"/>
      <c r="GR327" s="15"/>
      <c r="GS327" s="15"/>
      <c r="GT327" s="15"/>
      <c r="GU327" s="15"/>
      <c r="GV327" s="15"/>
      <c r="GW327" s="16"/>
    </row>
    <row r="328" spans="44:205" ht="10.75" customHeight="1">
      <c r="AR328" s="42"/>
      <c r="AS328" s="43"/>
      <c r="AT328" s="43"/>
      <c r="AU328" s="12"/>
      <c r="BZ328" s="13"/>
      <c r="CB328" s="13"/>
      <c r="CV328" s="13"/>
      <c r="CX328" s="122"/>
      <c r="EV328" s="13"/>
      <c r="EW328" s="43"/>
      <c r="EX328" s="43"/>
      <c r="EY328" s="45"/>
    </row>
    <row r="329" spans="44:205" ht="10.75" customHeight="1">
      <c r="AR329" s="42"/>
      <c r="AS329" s="43"/>
      <c r="AT329" s="43"/>
      <c r="AU329" s="12"/>
      <c r="BZ329" s="13"/>
      <c r="CB329" s="13"/>
      <c r="CV329" s="13"/>
      <c r="CX329" s="122"/>
      <c r="EV329" s="13"/>
      <c r="EW329" s="43"/>
      <c r="EX329" s="43"/>
      <c r="EY329" s="45"/>
    </row>
    <row r="330" spans="44:205" ht="10.75" customHeight="1">
      <c r="AR330" s="42"/>
      <c r="AS330" s="43"/>
      <c r="AT330" s="43"/>
      <c r="AU330" s="12"/>
      <c r="BZ330" s="13"/>
      <c r="CB330" s="13"/>
      <c r="CV330" s="13"/>
      <c r="CX330" s="122"/>
      <c r="EV330" s="13"/>
      <c r="EW330" s="43"/>
      <c r="EX330" s="43"/>
      <c r="EY330" s="45"/>
    </row>
    <row r="331" spans="44:205" ht="10.75" customHeight="1">
      <c r="AR331" s="42"/>
      <c r="AS331" s="43"/>
      <c r="AT331" s="43"/>
      <c r="AU331" s="12"/>
      <c r="BZ331" s="13"/>
      <c r="CB331" s="13"/>
      <c r="CV331" s="13"/>
      <c r="CX331" s="122"/>
      <c r="EV331" s="13"/>
      <c r="EW331" s="43"/>
      <c r="EX331" s="43"/>
      <c r="EY331" s="45"/>
    </row>
    <row r="332" spans="44:205" ht="10.75" customHeight="1">
      <c r="AR332" s="42"/>
      <c r="AS332" s="43"/>
      <c r="AT332" s="43"/>
      <c r="AU332" s="12"/>
      <c r="BZ332" s="13"/>
      <c r="CB332" s="13"/>
      <c r="CV332" s="13"/>
      <c r="CX332" s="122"/>
      <c r="EV332" s="13"/>
      <c r="EW332" s="43"/>
      <c r="EX332" s="43"/>
      <c r="EY332" s="45"/>
    </row>
    <row r="333" spans="44:205" ht="10.75" customHeight="1">
      <c r="AR333" s="42"/>
      <c r="AS333" s="43"/>
      <c r="AT333" s="43"/>
      <c r="AU333" s="12"/>
      <c r="BZ333" s="13"/>
      <c r="CB333" s="13"/>
      <c r="CV333" s="13"/>
      <c r="CX333" s="122"/>
      <c r="EV333" s="13"/>
      <c r="EW333" s="43"/>
      <c r="EX333" s="43"/>
      <c r="EY333" s="45"/>
    </row>
    <row r="334" spans="44:205" ht="10.75" customHeight="1">
      <c r="AR334" s="42"/>
      <c r="AS334" s="43"/>
      <c r="AT334" s="43"/>
      <c r="AU334" s="12"/>
      <c r="BZ334" s="13"/>
      <c r="CB334" s="13"/>
      <c r="CV334" s="13"/>
      <c r="CX334" s="122"/>
      <c r="EV334" s="13"/>
      <c r="EW334" s="43"/>
      <c r="EX334" s="43"/>
      <c r="EY334" s="45"/>
    </row>
    <row r="335" spans="44:205" ht="10.75" customHeight="1">
      <c r="AR335" s="42"/>
      <c r="AS335" s="43"/>
      <c r="AT335" s="43"/>
      <c r="AU335" s="12"/>
      <c r="BZ335" s="13"/>
      <c r="CB335" s="13"/>
      <c r="CV335" s="13"/>
      <c r="CX335" s="13"/>
      <c r="EV335" s="13"/>
      <c r="EW335" s="43"/>
      <c r="EX335" s="43"/>
      <c r="EY335" s="45"/>
      <c r="FT335" s="9"/>
      <c r="FU335" s="10"/>
      <c r="FV335" s="10"/>
      <c r="FW335" s="10"/>
      <c r="FX335" s="10"/>
      <c r="FY335" s="10"/>
      <c r="FZ335" s="10"/>
      <c r="GA335" s="10"/>
      <c r="GB335" s="10"/>
      <c r="GC335" s="10"/>
      <c r="GD335" s="10"/>
      <c r="GE335" s="10"/>
      <c r="GF335" s="10"/>
      <c r="GG335" s="10"/>
      <c r="GH335" s="10"/>
      <c r="GI335" s="10"/>
      <c r="GJ335" s="10"/>
      <c r="GK335" s="10"/>
      <c r="GL335" s="10"/>
      <c r="GM335" s="10"/>
      <c r="GN335" s="10"/>
      <c r="GO335" s="10"/>
      <c r="GP335" s="10"/>
      <c r="GQ335" s="10"/>
      <c r="GR335" s="10"/>
      <c r="GS335" s="10"/>
      <c r="GT335" s="10"/>
      <c r="GU335" s="10"/>
      <c r="GV335" s="10"/>
      <c r="GW335" s="11"/>
    </row>
    <row r="336" spans="44:205" ht="10.75" customHeight="1">
      <c r="AR336" s="42"/>
      <c r="AS336" s="43"/>
      <c r="AT336" s="43"/>
      <c r="AU336" s="12"/>
      <c r="BZ336" s="13"/>
      <c r="CB336" s="13"/>
      <c r="CV336" s="13"/>
      <c r="CX336" s="13"/>
      <c r="EV336" s="13"/>
      <c r="EW336" s="43"/>
      <c r="EX336" s="43"/>
      <c r="EY336" s="45"/>
      <c r="FT336" s="12"/>
      <c r="GW336" s="13"/>
    </row>
    <row r="337" spans="44:205" ht="10.75" customHeight="1">
      <c r="AR337" s="42"/>
      <c r="AS337" s="43"/>
      <c r="AT337" s="43"/>
      <c r="AU337" s="12"/>
      <c r="BZ337" s="13"/>
      <c r="CB337" s="13"/>
      <c r="CV337" s="13"/>
      <c r="CX337" s="13"/>
      <c r="EV337" s="13"/>
      <c r="EW337" s="43"/>
      <c r="EX337" s="43"/>
      <c r="EY337" s="45"/>
      <c r="FT337" s="12"/>
      <c r="GW337" s="13"/>
    </row>
    <row r="338" spans="44:205" ht="10.75" customHeight="1">
      <c r="AR338" s="42"/>
      <c r="AS338" s="43"/>
      <c r="AT338" s="43"/>
      <c r="AU338" s="12"/>
      <c r="BZ338" s="13"/>
      <c r="CB338" s="13"/>
      <c r="CV338" s="13"/>
      <c r="CX338" s="13"/>
      <c r="EV338" s="13"/>
      <c r="EW338" s="43"/>
      <c r="EX338" s="43"/>
      <c r="EY338" s="45"/>
      <c r="FT338" s="12"/>
      <c r="GW338" s="13"/>
    </row>
    <row r="339" spans="44:205" ht="10.75" customHeight="1">
      <c r="AR339" s="42"/>
      <c r="AS339" s="43"/>
      <c r="AT339" s="43"/>
      <c r="AU339" s="12"/>
      <c r="BZ339" s="13"/>
      <c r="CB339" s="13"/>
      <c r="CV339" s="13"/>
      <c r="CX339" s="13"/>
      <c r="EV339" s="13"/>
      <c r="EW339" s="43"/>
      <c r="EX339" s="43"/>
      <c r="EY339" s="45"/>
      <c r="FT339" s="12"/>
      <c r="GW339" s="13"/>
    </row>
    <row r="340" spans="44:205" ht="10.75" customHeight="1">
      <c r="AR340" s="42"/>
      <c r="AS340" s="43"/>
      <c r="AT340" s="43"/>
      <c r="AU340" s="12"/>
      <c r="BZ340" s="13"/>
      <c r="CB340" s="13"/>
      <c r="CV340" s="13"/>
      <c r="CX340" s="13"/>
      <c r="EV340" s="13"/>
      <c r="EW340" s="43"/>
      <c r="EX340" s="43"/>
      <c r="EY340" s="45"/>
      <c r="FT340" s="12"/>
      <c r="GW340" s="13"/>
    </row>
    <row r="341" spans="44:205" ht="10.75" customHeight="1">
      <c r="AR341" s="42"/>
      <c r="AS341" s="43"/>
      <c r="AT341" s="43"/>
      <c r="AU341" s="12"/>
      <c r="BZ341" s="13"/>
      <c r="CB341" s="13"/>
      <c r="CV341" s="13"/>
      <c r="CX341" s="13"/>
      <c r="EV341" s="13"/>
      <c r="EW341" s="43"/>
      <c r="EX341" s="43"/>
      <c r="EY341" s="45"/>
      <c r="FT341" s="12"/>
      <c r="GW341" s="13"/>
    </row>
    <row r="342" spans="44:205" ht="10.75" customHeight="1">
      <c r="AR342" s="42"/>
      <c r="AS342" s="43"/>
      <c r="AT342" s="43"/>
      <c r="AU342" s="12"/>
      <c r="BZ342" s="13"/>
      <c r="CB342" s="13"/>
      <c r="CV342" s="13"/>
      <c r="CX342" s="13"/>
      <c r="EV342" s="13"/>
      <c r="EW342" s="43"/>
      <c r="EX342" s="43"/>
      <c r="EY342" s="45"/>
      <c r="FT342" s="12"/>
      <c r="GW342" s="13"/>
    </row>
    <row r="343" spans="44:205" ht="10.75" customHeight="1">
      <c r="AR343" s="42"/>
      <c r="AS343" s="43"/>
      <c r="AT343" s="43"/>
      <c r="AU343" s="12"/>
      <c r="BZ343" s="13"/>
      <c r="CB343" s="13"/>
      <c r="CV343" s="13"/>
      <c r="CX343" s="13"/>
      <c r="EV343" s="13"/>
      <c r="EW343" s="43"/>
      <c r="EX343" s="43"/>
      <c r="EY343" s="45"/>
      <c r="FT343" s="12"/>
      <c r="GW343" s="13"/>
    </row>
    <row r="344" spans="44:205" ht="10.75" customHeight="1">
      <c r="AR344" s="42"/>
      <c r="AS344" s="43"/>
      <c r="AT344" s="43"/>
      <c r="AU344" s="12"/>
      <c r="BZ344" s="13"/>
      <c r="CB344" s="13"/>
      <c r="CV344" s="13"/>
      <c r="CX344" s="13"/>
      <c r="EV344" s="13"/>
      <c r="EW344" s="43"/>
      <c r="EX344" s="43"/>
      <c r="EY344" s="45"/>
      <c r="FT344" s="12"/>
      <c r="GW344" s="13"/>
    </row>
    <row r="345" spans="44:205" ht="10.75" customHeight="1">
      <c r="AR345" s="42"/>
      <c r="AS345" s="43"/>
      <c r="AT345" s="43"/>
      <c r="AU345" s="14"/>
      <c r="AV345" s="15"/>
      <c r="AW345" s="15"/>
      <c r="AX345" s="15"/>
      <c r="AY345" s="15"/>
      <c r="AZ345" s="15"/>
      <c r="BA345" s="15"/>
      <c r="BB345" s="15"/>
      <c r="BC345" s="15"/>
      <c r="BD345" s="15"/>
      <c r="BE345" s="15"/>
      <c r="BF345" s="15"/>
      <c r="BG345" s="15"/>
      <c r="BH345" s="15"/>
      <c r="BI345" s="15"/>
      <c r="BJ345" s="15"/>
      <c r="BK345" s="15"/>
      <c r="BL345" s="15"/>
      <c r="BM345" s="15"/>
      <c r="BN345" s="15"/>
      <c r="BO345" s="15"/>
      <c r="BP345" s="15"/>
      <c r="BQ345" s="15"/>
      <c r="BR345" s="15"/>
      <c r="BS345" s="15"/>
      <c r="BT345" s="15"/>
      <c r="BU345" s="15"/>
      <c r="BV345" s="15"/>
      <c r="BW345" s="15"/>
      <c r="BX345" s="15"/>
      <c r="BY345" s="15"/>
      <c r="BZ345" s="16"/>
      <c r="CA345" s="15"/>
      <c r="CB345" s="16"/>
      <c r="CC345" s="15"/>
      <c r="CD345" s="15"/>
      <c r="CE345" s="15"/>
      <c r="CF345" s="15"/>
      <c r="CG345" s="15"/>
      <c r="CH345" s="15"/>
      <c r="CI345" s="15"/>
      <c r="CJ345" s="15"/>
      <c r="CK345" s="15"/>
      <c r="CL345" s="15"/>
      <c r="CM345" s="15"/>
      <c r="CN345" s="15"/>
      <c r="CO345" s="15"/>
      <c r="CP345" s="15"/>
      <c r="CQ345" s="15"/>
      <c r="CR345" s="15"/>
      <c r="CS345" s="15"/>
      <c r="CT345" s="15"/>
      <c r="CU345" s="15"/>
      <c r="CV345" s="16"/>
      <c r="CX345" s="13"/>
      <c r="EV345" s="13"/>
      <c r="EW345" s="43"/>
      <c r="EX345" s="43"/>
      <c r="EY345" s="45"/>
      <c r="FT345" s="12"/>
      <c r="GW345" s="13"/>
    </row>
    <row r="346" spans="44:205" ht="10.75" customHeight="1">
      <c r="AR346" s="42"/>
      <c r="AS346" s="43"/>
      <c r="AT346" s="43"/>
      <c r="AU346" s="12"/>
      <c r="CV346" s="13"/>
      <c r="CX346" s="13"/>
      <c r="EV346" s="13"/>
      <c r="EW346" s="43"/>
      <c r="EX346" s="43"/>
      <c r="EY346" s="45"/>
      <c r="FT346" s="14"/>
      <c r="FU346" s="15"/>
      <c r="FV346" s="15"/>
      <c r="FW346" s="15"/>
      <c r="FX346" s="15"/>
      <c r="FY346" s="15"/>
      <c r="FZ346" s="15"/>
      <c r="GA346" s="15"/>
      <c r="GB346" s="15"/>
      <c r="GC346" s="15"/>
      <c r="GD346" s="15"/>
      <c r="GE346" s="15"/>
      <c r="GF346" s="15"/>
      <c r="GG346" s="15"/>
      <c r="GH346" s="15"/>
      <c r="GI346" s="15"/>
      <c r="GJ346" s="15"/>
      <c r="GK346" s="15"/>
      <c r="GL346" s="15"/>
      <c r="GM346" s="15"/>
      <c r="GN346" s="15"/>
      <c r="GO346" s="15"/>
      <c r="GP346" s="15"/>
      <c r="GQ346" s="15"/>
      <c r="GR346" s="15"/>
      <c r="GS346" s="15"/>
      <c r="GT346" s="15"/>
      <c r="GU346" s="15"/>
      <c r="GV346" s="15"/>
      <c r="GW346" s="16"/>
    </row>
    <row r="347" spans="44:205" ht="10.75" customHeight="1">
      <c r="AR347" s="42"/>
      <c r="AS347" s="43"/>
      <c r="AT347" s="43"/>
      <c r="AU347" s="14"/>
      <c r="AV347" s="120"/>
      <c r="AW347" s="120"/>
      <c r="AX347" s="120"/>
      <c r="AY347" s="120"/>
      <c r="AZ347" s="120"/>
      <c r="BA347" s="120"/>
      <c r="BB347" s="120"/>
      <c r="BC347" s="120"/>
      <c r="BD347" s="15"/>
      <c r="BE347" s="15"/>
      <c r="BF347" s="15"/>
      <c r="BG347" s="15"/>
      <c r="BH347" s="15"/>
      <c r="BI347" s="15"/>
      <c r="BJ347" s="15"/>
      <c r="BK347" s="15"/>
      <c r="BL347" s="15"/>
      <c r="BM347" s="15"/>
      <c r="BN347" s="15"/>
      <c r="BO347" s="15"/>
      <c r="BP347" s="15"/>
      <c r="BQ347" s="15"/>
      <c r="BR347" s="15"/>
      <c r="BS347" s="15"/>
      <c r="BT347" s="15"/>
      <c r="BU347" s="15"/>
      <c r="BV347" s="15"/>
      <c r="BW347" s="15"/>
      <c r="BX347" s="15"/>
      <c r="BY347" s="15"/>
      <c r="BZ347" s="15"/>
      <c r="CA347" s="15"/>
      <c r="CB347" s="15"/>
      <c r="CC347" s="15"/>
      <c r="CD347" s="15"/>
      <c r="CE347" s="15"/>
      <c r="CF347" s="15"/>
      <c r="CG347" s="15"/>
      <c r="CH347" s="15"/>
      <c r="CI347" s="15"/>
      <c r="CJ347" s="15"/>
      <c r="CK347" s="15"/>
      <c r="CL347" s="15"/>
      <c r="CM347" s="15"/>
      <c r="CN347" s="15"/>
      <c r="CO347" s="15"/>
      <c r="CP347" s="15"/>
      <c r="CQ347" s="15"/>
      <c r="CR347" s="15"/>
      <c r="CS347" s="15"/>
      <c r="CT347" s="15"/>
      <c r="CU347" s="15"/>
      <c r="CV347" s="16"/>
      <c r="CX347" s="13"/>
      <c r="EV347" s="13"/>
      <c r="EW347" s="43"/>
      <c r="EX347" s="43"/>
      <c r="EY347" s="45"/>
    </row>
    <row r="348" spans="44:205" ht="10.75" customHeight="1">
      <c r="AR348" s="42"/>
      <c r="AS348" s="43"/>
      <c r="AT348" s="43"/>
      <c r="AU348" s="9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10"/>
      <c r="BK348" s="10"/>
      <c r="BL348" s="10"/>
      <c r="BM348" s="10"/>
      <c r="BN348" s="10"/>
      <c r="BO348" s="10"/>
      <c r="BP348" s="10"/>
      <c r="BQ348" s="10"/>
      <c r="BR348" s="10"/>
      <c r="BS348" s="10"/>
      <c r="BT348" s="10"/>
      <c r="BU348" s="10"/>
      <c r="BV348" s="10"/>
      <c r="BW348" s="10"/>
      <c r="BX348" s="10"/>
      <c r="BY348" s="10"/>
      <c r="BZ348" s="10"/>
      <c r="CA348" s="10"/>
      <c r="CB348" s="10"/>
      <c r="CC348" s="10"/>
      <c r="CD348" s="10"/>
      <c r="CE348" s="10"/>
      <c r="CF348" s="10"/>
      <c r="CG348" s="10"/>
      <c r="CH348" s="10"/>
      <c r="CI348" s="10"/>
      <c r="CJ348" s="10"/>
      <c r="CK348" s="10"/>
      <c r="CL348" s="10"/>
      <c r="CM348" s="10"/>
      <c r="CN348" s="10"/>
      <c r="CO348" s="10"/>
      <c r="CP348" s="10"/>
      <c r="CQ348" s="10"/>
      <c r="CR348" s="10"/>
      <c r="CS348" s="10"/>
      <c r="CT348" s="10"/>
      <c r="CU348" s="10"/>
      <c r="CV348" s="11"/>
      <c r="CX348" s="13"/>
      <c r="EV348" s="13"/>
      <c r="EW348" s="43"/>
      <c r="EX348" s="43"/>
      <c r="EY348" s="45"/>
    </row>
    <row r="349" spans="44:205" ht="10.75" customHeight="1">
      <c r="AR349" s="42"/>
      <c r="AS349" s="43"/>
      <c r="AT349" s="43"/>
      <c r="AU349" s="12"/>
      <c r="CV349" s="13"/>
      <c r="CX349" s="13"/>
      <c r="EV349" s="13"/>
      <c r="EW349" s="43"/>
      <c r="EX349" s="43"/>
      <c r="EY349" s="45"/>
    </row>
    <row r="350" spans="44:205" ht="10.75" customHeight="1">
      <c r="AR350" s="42"/>
      <c r="AS350" s="43"/>
      <c r="AT350" s="43"/>
      <c r="AU350" s="12"/>
      <c r="CV350" s="13"/>
      <c r="CX350" s="13"/>
      <c r="EV350" s="13"/>
      <c r="EW350" s="43"/>
      <c r="EX350" s="43"/>
      <c r="EY350" s="45"/>
    </row>
    <row r="351" spans="44:205" ht="10.75" customHeight="1">
      <c r="AR351" s="42"/>
      <c r="AS351" s="43"/>
      <c r="AT351" s="43"/>
      <c r="AU351" s="12"/>
      <c r="CV351" s="13"/>
      <c r="CX351" s="13"/>
      <c r="EV351" s="13"/>
      <c r="EW351" s="43"/>
      <c r="EX351" s="43"/>
      <c r="EY351" s="45"/>
    </row>
    <row r="352" spans="44:205" ht="10.75" customHeight="1">
      <c r="AR352" s="42"/>
      <c r="AS352" s="43"/>
      <c r="AT352" s="43"/>
      <c r="AU352" s="12"/>
      <c r="CV352" s="13"/>
      <c r="CX352" s="13"/>
      <c r="EV352" s="13"/>
      <c r="EW352" s="43"/>
      <c r="EX352" s="43"/>
      <c r="EY352" s="45"/>
    </row>
    <row r="353" spans="44:363" ht="10.75" customHeight="1">
      <c r="AR353" s="42"/>
      <c r="AS353" s="43"/>
      <c r="AT353" s="43"/>
      <c r="AU353" s="12"/>
      <c r="CV353" s="13"/>
      <c r="CX353" s="13"/>
      <c r="EV353" s="13"/>
      <c r="EW353" s="43"/>
      <c r="EX353" s="43"/>
      <c r="EY353" s="45"/>
    </row>
    <row r="354" spans="44:363" ht="10.75" customHeight="1">
      <c r="AR354" s="42"/>
      <c r="AS354" s="43"/>
      <c r="AT354" s="43"/>
      <c r="AU354" s="12"/>
      <c r="CV354" s="13"/>
      <c r="CX354" s="13"/>
      <c r="DA354" s="279"/>
      <c r="DB354" s="280"/>
      <c r="DC354" s="280"/>
      <c r="DD354" s="280"/>
      <c r="DE354" s="280"/>
      <c r="DF354" s="280"/>
      <c r="DG354" s="280"/>
      <c r="DH354" s="280"/>
      <c r="DI354" s="280"/>
      <c r="DJ354" s="280"/>
      <c r="DK354" s="280"/>
      <c r="DL354" s="283"/>
      <c r="EV354" s="13"/>
      <c r="EW354" s="43"/>
      <c r="EX354" s="43"/>
      <c r="EY354" s="45"/>
    </row>
    <row r="355" spans="44:363" ht="10.75" customHeight="1">
      <c r="AR355" s="42"/>
      <c r="AS355" s="43"/>
      <c r="AT355" s="43"/>
      <c r="AU355" s="12"/>
      <c r="CV355" s="13"/>
      <c r="CX355" s="13"/>
      <c r="DA355" s="281"/>
      <c r="DB355" s="282"/>
      <c r="DC355" s="282"/>
      <c r="DD355" s="282"/>
      <c r="DE355" s="282"/>
      <c r="DF355" s="282"/>
      <c r="DG355" s="282"/>
      <c r="DH355" s="282"/>
      <c r="DI355" s="282"/>
      <c r="DJ355" s="282"/>
      <c r="DK355" s="282"/>
      <c r="DL355" s="284"/>
      <c r="EV355" s="13"/>
      <c r="EW355" s="43"/>
      <c r="EX355" s="43"/>
      <c r="EY355" s="45"/>
    </row>
    <row r="356" spans="44:363" ht="10.75" customHeight="1">
      <c r="AR356" s="42"/>
      <c r="AS356" s="43"/>
      <c r="AT356" s="43"/>
      <c r="AU356" s="12"/>
      <c r="CV356" s="13"/>
      <c r="CX356" s="13"/>
      <c r="DA356" s="281"/>
      <c r="DB356" s="282"/>
      <c r="DC356" s="9"/>
      <c r="DD356" s="11"/>
      <c r="DE356" s="9"/>
      <c r="DF356" s="10"/>
      <c r="DG356" s="10"/>
      <c r="DH356" s="10"/>
      <c r="DI356" s="10"/>
      <c r="DJ356" s="10"/>
      <c r="DK356" s="10"/>
      <c r="DL356" s="11"/>
      <c r="EV356" s="13"/>
      <c r="EW356" s="43"/>
      <c r="EX356" s="43"/>
      <c r="EY356" s="45"/>
    </row>
    <row r="357" spans="44:363" ht="10.75" customHeight="1">
      <c r="AR357" s="42"/>
      <c r="AS357" s="43"/>
      <c r="AT357" s="43"/>
      <c r="AU357" s="12"/>
      <c r="CV357" s="13"/>
      <c r="CX357" s="13"/>
      <c r="DA357" s="281"/>
      <c r="DB357" s="282"/>
      <c r="DC357" s="12"/>
      <c r="DD357" s="13"/>
      <c r="DE357" s="12"/>
      <c r="DL357" s="13"/>
      <c r="EV357" s="13"/>
      <c r="EW357" s="43"/>
      <c r="EX357" s="43"/>
      <c r="EY357" s="45"/>
      <c r="HK357" s="9"/>
      <c r="HL357" s="10"/>
      <c r="HM357" s="10"/>
      <c r="HN357" s="10"/>
      <c r="HO357" s="10"/>
      <c r="HP357" s="10"/>
      <c r="HQ357" s="10"/>
      <c r="HR357" s="10"/>
      <c r="HS357" s="10"/>
      <c r="HT357" s="10"/>
      <c r="HU357" s="10"/>
      <c r="HV357" s="10"/>
      <c r="HW357" s="10"/>
      <c r="HX357" s="10"/>
      <c r="HY357" s="10"/>
      <c r="HZ357" s="10"/>
      <c r="IA357" s="10"/>
      <c r="IB357" s="10"/>
      <c r="IC357" s="10"/>
      <c r="ID357" s="10"/>
      <c r="IE357" s="10"/>
      <c r="IF357" s="10"/>
      <c r="IG357" s="10"/>
      <c r="IH357" s="10"/>
      <c r="II357" s="10"/>
      <c r="IJ357" s="10"/>
      <c r="IK357" s="10"/>
      <c r="IL357" s="10"/>
      <c r="IM357" s="10"/>
      <c r="IN357" s="10"/>
      <c r="IO357" s="10"/>
      <c r="IP357" s="10"/>
      <c r="IQ357" s="10"/>
      <c r="IR357" s="10"/>
      <c r="IS357" s="10"/>
      <c r="IT357" s="10"/>
      <c r="IU357" s="10"/>
      <c r="IV357" s="10"/>
      <c r="IW357" s="10"/>
      <c r="IX357" s="10"/>
      <c r="IY357" s="10"/>
      <c r="IZ357" s="10"/>
      <c r="JA357" s="10"/>
      <c r="JB357" s="10"/>
      <c r="JC357" s="10"/>
      <c r="JD357" s="10"/>
      <c r="JE357" s="10"/>
      <c r="JF357" s="10"/>
      <c r="JG357" s="10"/>
      <c r="JH357" s="10"/>
      <c r="JI357" s="10"/>
      <c r="JJ357" s="10"/>
      <c r="JK357" s="10"/>
      <c r="JL357" s="10"/>
      <c r="JM357" s="10"/>
      <c r="JN357" s="10"/>
      <c r="JO357" s="10"/>
      <c r="JP357" s="10"/>
      <c r="JQ357" s="10"/>
      <c r="JR357" s="10"/>
      <c r="JS357" s="10"/>
      <c r="JT357" s="10"/>
      <c r="JU357" s="10"/>
      <c r="JV357" s="10"/>
      <c r="JW357" s="10"/>
      <c r="JX357" s="10"/>
      <c r="JY357" s="10"/>
      <c r="JZ357" s="10"/>
      <c r="KA357" s="10"/>
      <c r="KB357" s="10"/>
      <c r="KC357" s="10"/>
      <c r="KD357" s="10"/>
      <c r="KE357" s="10"/>
      <c r="KF357" s="10"/>
      <c r="KG357" s="10"/>
      <c r="KH357" s="10"/>
      <c r="KI357" s="10"/>
      <c r="KJ357" s="10"/>
      <c r="KK357" s="10"/>
      <c r="KL357" s="10"/>
      <c r="KM357" s="10"/>
      <c r="KN357" s="10"/>
      <c r="KO357" s="10"/>
      <c r="KP357" s="10"/>
      <c r="KQ357" s="10"/>
      <c r="KR357" s="10"/>
      <c r="KS357" s="10"/>
      <c r="KT357" s="10"/>
      <c r="KU357" s="10"/>
      <c r="KV357" s="10"/>
      <c r="KW357" s="10"/>
      <c r="KX357" s="10"/>
      <c r="KY357" s="10"/>
      <c r="KZ357" s="10"/>
      <c r="LA357" s="10"/>
      <c r="LB357" s="10"/>
      <c r="LC357" s="10"/>
      <c r="LD357" s="10"/>
      <c r="LE357" s="10"/>
      <c r="LF357" s="10"/>
      <c r="LG357" s="10"/>
      <c r="LH357" s="10"/>
      <c r="LI357" s="10"/>
      <c r="LJ357" s="10"/>
      <c r="LK357" s="10"/>
      <c r="LL357" s="10"/>
      <c r="LM357" s="10"/>
      <c r="LN357" s="10"/>
      <c r="LO357" s="10"/>
      <c r="LP357" s="10"/>
      <c r="LQ357" s="10"/>
      <c r="LR357" s="10"/>
      <c r="LS357" s="10"/>
      <c r="LT357" s="10"/>
      <c r="LU357" s="10"/>
      <c r="LV357" s="10"/>
      <c r="LW357" s="10"/>
      <c r="LX357" s="10"/>
      <c r="LY357" s="10"/>
      <c r="LZ357" s="10"/>
      <c r="MA357" s="10"/>
      <c r="MB357" s="10"/>
      <c r="MC357" s="10"/>
      <c r="MD357" s="10"/>
      <c r="ME357" s="10"/>
      <c r="MF357" s="10"/>
      <c r="MG357" s="10"/>
      <c r="MH357" s="10"/>
      <c r="MI357" s="10"/>
      <c r="MJ357" s="10"/>
      <c r="MK357" s="10"/>
      <c r="ML357" s="10"/>
      <c r="MM357" s="10"/>
      <c r="MN357" s="10"/>
      <c r="MO357" s="10"/>
      <c r="MP357" s="10"/>
      <c r="MQ357" s="10"/>
      <c r="MR357" s="10"/>
      <c r="MS357" s="10"/>
      <c r="MT357" s="10"/>
      <c r="MU357" s="10"/>
      <c r="MV357" s="10"/>
      <c r="MW357" s="10"/>
      <c r="MX357" s="10"/>
      <c r="MY357" s="11"/>
    </row>
    <row r="358" spans="44:363" ht="10.75" customHeight="1">
      <c r="AR358" s="42"/>
      <c r="AS358" s="43"/>
      <c r="AT358" s="43"/>
      <c r="AU358" s="12"/>
      <c r="CV358" s="13"/>
      <c r="CX358" s="13"/>
      <c r="DA358" s="281"/>
      <c r="DB358" s="282"/>
      <c r="DC358" s="12"/>
      <c r="DD358" s="13"/>
      <c r="DE358" s="12"/>
      <c r="DL358" s="13"/>
      <c r="EV358" s="13"/>
      <c r="EW358" s="43"/>
      <c r="EX358" s="43"/>
      <c r="EY358" s="45"/>
      <c r="HK358" s="12"/>
      <c r="MY358" s="13"/>
    </row>
    <row r="359" spans="44:363" ht="10.75" customHeight="1">
      <c r="AR359" s="42"/>
      <c r="AS359" s="43"/>
      <c r="AT359" s="43"/>
      <c r="AU359" s="12"/>
      <c r="CV359" s="13"/>
      <c r="CX359" s="13"/>
      <c r="DA359" s="281"/>
      <c r="DB359" s="282"/>
      <c r="DC359" s="12"/>
      <c r="DD359" s="13"/>
      <c r="DE359" s="12"/>
      <c r="DL359" s="13"/>
      <c r="EP359" s="9"/>
      <c r="EQ359" s="10"/>
      <c r="ER359" s="10"/>
      <c r="ES359" s="10"/>
      <c r="ET359" s="10"/>
      <c r="EU359" s="11"/>
      <c r="EV359" s="13"/>
      <c r="EW359" s="43"/>
      <c r="EX359" s="43"/>
      <c r="EY359" s="45"/>
      <c r="HK359" s="12"/>
      <c r="MY359" s="13"/>
    </row>
    <row r="360" spans="44:363" ht="10.75" customHeight="1">
      <c r="AR360" s="42"/>
      <c r="AS360" s="43"/>
      <c r="AT360" s="43"/>
      <c r="AU360" s="12"/>
      <c r="CV360" s="13"/>
      <c r="CX360" s="13"/>
      <c r="DA360" s="281"/>
      <c r="DB360" s="282"/>
      <c r="DC360" s="12"/>
      <c r="DD360" s="13"/>
      <c r="DE360" s="12"/>
      <c r="DL360" s="13"/>
      <c r="EP360" s="12"/>
      <c r="ES360" s="261"/>
      <c r="EU360" s="13"/>
      <c r="EV360" s="13"/>
      <c r="EW360" s="43"/>
      <c r="EX360" s="43"/>
      <c r="EY360" s="45"/>
      <c r="HK360" s="12"/>
      <c r="MY360" s="13"/>
    </row>
    <row r="361" spans="44:363" ht="10.75" customHeight="1">
      <c r="AR361" s="42"/>
      <c r="AS361" s="43"/>
      <c r="AT361" s="43"/>
      <c r="AU361" s="12"/>
      <c r="CV361" s="13"/>
      <c r="CX361" s="13"/>
      <c r="DA361" s="281"/>
      <c r="DB361" s="282"/>
      <c r="DC361" s="12"/>
      <c r="DD361" s="13"/>
      <c r="DE361" s="12"/>
      <c r="DL361" s="13"/>
      <c r="EP361" s="12"/>
      <c r="ES361" s="288"/>
      <c r="EU361" s="13"/>
      <c r="EV361" s="13"/>
      <c r="EW361" s="43"/>
      <c r="EX361" s="43"/>
      <c r="EY361" s="45"/>
      <c r="HK361" s="12"/>
      <c r="MY361" s="13"/>
    </row>
    <row r="362" spans="44:363" ht="10.75" customHeight="1">
      <c r="AR362" s="42"/>
      <c r="AS362" s="43"/>
      <c r="AT362" s="43"/>
      <c r="AU362" s="12"/>
      <c r="CV362" s="13"/>
      <c r="CX362" s="13"/>
      <c r="DA362" s="281"/>
      <c r="DB362" s="282"/>
      <c r="DC362" s="12"/>
      <c r="DD362" s="13"/>
      <c r="DE362" s="12"/>
      <c r="DL362" s="13"/>
      <c r="EP362" s="12"/>
      <c r="ES362" s="288"/>
      <c r="EU362" s="13"/>
      <c r="EV362" s="13"/>
      <c r="EW362" s="43"/>
      <c r="EX362" s="43"/>
      <c r="EY362" s="45"/>
      <c r="HK362" s="12"/>
      <c r="MY362" s="13"/>
    </row>
    <row r="363" spans="44:363" ht="10.75" customHeight="1">
      <c r="AR363" s="42"/>
      <c r="AS363" s="43"/>
      <c r="AT363" s="43"/>
      <c r="AU363" s="12"/>
      <c r="CV363" s="13"/>
      <c r="CX363" s="13"/>
      <c r="DA363" s="281"/>
      <c r="DB363" s="282"/>
      <c r="DC363" s="12"/>
      <c r="DD363" s="13"/>
      <c r="DE363" s="12"/>
      <c r="DL363" s="13"/>
      <c r="EP363" s="12"/>
      <c r="ES363" s="288"/>
      <c r="EU363" s="13"/>
      <c r="EV363" s="13"/>
      <c r="EW363" s="43"/>
      <c r="EX363" s="43"/>
      <c r="EY363" s="45"/>
      <c r="HK363" s="12"/>
      <c r="HP363" s="9"/>
      <c r="HQ363" s="10"/>
      <c r="HR363" s="10"/>
      <c r="HS363" s="10"/>
      <c r="HT363" s="10"/>
      <c r="HU363" s="10"/>
      <c r="HV363" s="10"/>
      <c r="HW363" s="10"/>
      <c r="HX363" s="10"/>
      <c r="HY363" s="10"/>
      <c r="HZ363" s="21"/>
      <c r="IA363" s="10"/>
      <c r="IB363" s="10"/>
      <c r="IC363" s="10"/>
      <c r="ID363" s="10"/>
      <c r="IE363" s="10"/>
      <c r="IF363" s="10"/>
      <c r="IG363" s="10"/>
      <c r="IH363" s="10"/>
      <c r="II363" s="10"/>
      <c r="IJ363" s="10"/>
      <c r="IK363" s="10"/>
      <c r="IL363" s="10"/>
      <c r="IM363" s="10"/>
      <c r="IN363" s="10"/>
      <c r="IO363" s="11"/>
      <c r="MY363" s="13"/>
    </row>
    <row r="364" spans="44:363" ht="10.75" customHeight="1">
      <c r="AR364" s="42"/>
      <c r="AS364" s="43"/>
      <c r="AT364" s="43"/>
      <c r="AU364" s="12"/>
      <c r="BI364" s="9"/>
      <c r="BJ364" s="10"/>
      <c r="BK364" s="10"/>
      <c r="BL364" s="10"/>
      <c r="BM364" s="10"/>
      <c r="BN364" s="10"/>
      <c r="BO364" s="10"/>
      <c r="BP364" s="10"/>
      <c r="BQ364" s="10"/>
      <c r="BR364" s="10"/>
      <c r="BS364" s="10"/>
      <c r="BT364" s="10"/>
      <c r="BU364" s="10"/>
      <c r="BV364" s="10"/>
      <c r="BW364" s="10"/>
      <c r="BX364" s="10"/>
      <c r="BY364" s="10"/>
      <c r="BZ364" s="10"/>
      <c r="CA364" s="10"/>
      <c r="CB364" s="10"/>
      <c r="CC364" s="10"/>
      <c r="CD364" s="10"/>
      <c r="CE364" s="10"/>
      <c r="CF364" s="11"/>
      <c r="CV364" s="13"/>
      <c r="CX364" s="13"/>
      <c r="DA364" s="281"/>
      <c r="DB364" s="282"/>
      <c r="DC364" s="12"/>
      <c r="DD364" s="13"/>
      <c r="DE364" s="12"/>
      <c r="DL364" s="13"/>
      <c r="EP364" s="12"/>
      <c r="ES364" s="288"/>
      <c r="EU364" s="13"/>
      <c r="EV364" s="13"/>
      <c r="EW364" s="43"/>
      <c r="EX364" s="43"/>
      <c r="EY364" s="45"/>
      <c r="HK364" s="12"/>
      <c r="HP364" s="12"/>
      <c r="HQ364" s="9"/>
      <c r="HR364" s="10"/>
      <c r="HS364" s="10"/>
      <c r="HT364" s="10"/>
      <c r="HU364" s="10"/>
      <c r="HV364" s="10"/>
      <c r="HW364" s="10"/>
      <c r="HX364" s="10"/>
      <c r="HY364" s="10"/>
      <c r="HZ364" s="10"/>
      <c r="IA364" s="10"/>
      <c r="IB364" s="10"/>
      <c r="IC364" s="10"/>
      <c r="ID364" s="10"/>
      <c r="IE364" s="10"/>
      <c r="IF364" s="10"/>
      <c r="IG364" s="10"/>
      <c r="IH364" s="10"/>
      <c r="II364" s="10"/>
      <c r="IJ364" s="10"/>
      <c r="IK364" s="10"/>
      <c r="IL364" s="10"/>
      <c r="IM364" s="10"/>
      <c r="IN364" s="11"/>
      <c r="IO364" s="13"/>
      <c r="MY364" s="13"/>
    </row>
    <row r="365" spans="44:363" ht="10.75" customHeight="1">
      <c r="AR365" s="42"/>
      <c r="AS365" s="43"/>
      <c r="AT365" s="43"/>
      <c r="AU365" s="12"/>
      <c r="BI365" s="12"/>
      <c r="CF365" s="13"/>
      <c r="CV365" s="13"/>
      <c r="CX365" s="13"/>
      <c r="DA365" s="281"/>
      <c r="DB365" s="282"/>
      <c r="DC365" s="12"/>
      <c r="DD365" s="13"/>
      <c r="DE365" s="12"/>
      <c r="DL365" s="13"/>
      <c r="EP365" s="12"/>
      <c r="ES365" s="288"/>
      <c r="EU365" s="13"/>
      <c r="EV365" s="13"/>
      <c r="EW365" s="43"/>
      <c r="EX365" s="43"/>
      <c r="EY365" s="45"/>
      <c r="HK365" s="12"/>
      <c r="HP365" s="12"/>
      <c r="HQ365" s="12"/>
      <c r="IN365" s="13"/>
      <c r="IO365" s="13"/>
      <c r="MY365" s="13"/>
    </row>
    <row r="366" spans="44:363" ht="10.75" customHeight="1">
      <c r="AR366" s="42"/>
      <c r="AS366" s="43"/>
      <c r="AT366" s="43"/>
      <c r="AU366" s="12"/>
      <c r="BI366" s="12"/>
      <c r="CF366" s="13"/>
      <c r="CV366" s="13"/>
      <c r="CX366" s="13"/>
      <c r="DA366" s="281"/>
      <c r="DB366" s="282"/>
      <c r="DC366" s="14"/>
      <c r="DD366" s="16"/>
      <c r="DE366" s="14"/>
      <c r="DF366" s="15"/>
      <c r="DG366" s="15"/>
      <c r="DH366" s="15"/>
      <c r="DI366" s="15"/>
      <c r="DJ366" s="15"/>
      <c r="DK366" s="15"/>
      <c r="DL366" s="16"/>
      <c r="EP366" s="12"/>
      <c r="ES366" s="288"/>
      <c r="EU366" s="13"/>
      <c r="EV366" s="13"/>
      <c r="EW366" s="43"/>
      <c r="EX366" s="43"/>
      <c r="EY366" s="45"/>
      <c r="HK366" s="12"/>
      <c r="HP366" s="12"/>
      <c r="HQ366" s="12"/>
      <c r="IN366" s="13"/>
      <c r="IO366" s="13"/>
      <c r="MY366" s="13"/>
    </row>
    <row r="367" spans="44:363" ht="10.75" customHeight="1">
      <c r="AR367" s="42"/>
      <c r="AS367" s="43"/>
      <c r="AT367" s="43"/>
      <c r="AU367" s="12"/>
      <c r="BI367" s="12"/>
      <c r="CF367" s="13"/>
      <c r="CV367" s="13"/>
      <c r="CX367" s="13"/>
      <c r="DA367" s="281"/>
      <c r="DB367" s="282"/>
      <c r="DC367" s="12"/>
      <c r="DD367" s="13"/>
      <c r="DE367" s="12"/>
      <c r="DL367" s="13"/>
      <c r="EP367" s="12"/>
      <c r="ES367" s="288"/>
      <c r="EU367" s="13"/>
      <c r="EV367" s="13"/>
      <c r="EW367" s="43"/>
      <c r="EX367" s="43"/>
      <c r="EY367" s="45"/>
      <c r="HK367" s="12"/>
      <c r="HP367" s="12"/>
      <c r="HQ367" s="12"/>
      <c r="IN367" s="13"/>
      <c r="IO367" s="14"/>
      <c r="IP367" s="10"/>
      <c r="IQ367" s="10"/>
      <c r="IR367" s="10"/>
      <c r="IS367" s="10"/>
      <c r="IT367" s="10"/>
      <c r="IU367" s="10"/>
      <c r="IV367" s="10"/>
      <c r="IW367" s="10"/>
      <c r="IX367" s="10"/>
      <c r="IY367" s="10"/>
      <c r="IZ367" s="10"/>
      <c r="JA367" s="10"/>
      <c r="JB367" s="10"/>
      <c r="JC367" s="10"/>
      <c r="JD367" s="10"/>
      <c r="JE367" s="10"/>
      <c r="JF367" s="10"/>
      <c r="JG367" s="10"/>
      <c r="JH367" s="10"/>
      <c r="JI367" s="10"/>
      <c r="JJ367" s="10"/>
      <c r="JK367" s="10"/>
      <c r="JL367" s="10"/>
      <c r="JM367" s="10"/>
      <c r="JN367" s="10"/>
      <c r="JO367" s="10"/>
      <c r="JP367" s="10"/>
      <c r="JQ367" s="10"/>
      <c r="JR367" s="10"/>
      <c r="JS367" s="10"/>
      <c r="JT367" s="10"/>
      <c r="JU367" s="10"/>
      <c r="JV367" s="10"/>
      <c r="JW367" s="10"/>
      <c r="JX367" s="10"/>
      <c r="JY367" s="10"/>
      <c r="JZ367" s="10"/>
      <c r="KA367" s="10"/>
      <c r="KB367" s="10"/>
      <c r="KC367" s="10"/>
      <c r="KD367" s="10"/>
      <c r="KE367" s="10"/>
      <c r="KF367" s="10"/>
      <c r="KG367" s="10"/>
      <c r="KH367" s="10"/>
      <c r="KI367" s="10"/>
      <c r="KJ367" s="10"/>
      <c r="KK367" s="10"/>
      <c r="KL367" s="10"/>
      <c r="KM367" s="10"/>
      <c r="KN367" s="10"/>
      <c r="KO367" s="10"/>
      <c r="KP367" s="10"/>
      <c r="KQ367" s="10"/>
      <c r="KR367" s="10"/>
      <c r="KS367" s="10"/>
      <c r="KT367" s="10"/>
      <c r="KU367" s="10"/>
      <c r="KV367" s="10"/>
      <c r="KW367" s="10"/>
      <c r="KX367" s="10"/>
      <c r="KY367" s="10"/>
      <c r="KZ367" s="10"/>
      <c r="LA367" s="10"/>
      <c r="LB367" s="10"/>
      <c r="LC367" s="10"/>
      <c r="LD367" s="10"/>
      <c r="LE367" s="10"/>
      <c r="LF367" s="10"/>
      <c r="LG367" s="10"/>
      <c r="LH367" s="10"/>
      <c r="LI367" s="10"/>
      <c r="LJ367" s="10"/>
      <c r="LK367" s="10"/>
      <c r="LL367" s="10"/>
      <c r="LM367" s="10"/>
      <c r="LN367" s="10"/>
      <c r="LO367" s="10"/>
      <c r="LP367" s="10"/>
      <c r="LQ367" s="10"/>
      <c r="LR367" s="10"/>
      <c r="LS367" s="10"/>
      <c r="LT367" s="10"/>
      <c r="LU367" s="10"/>
      <c r="LV367" s="10"/>
      <c r="LW367" s="10"/>
      <c r="LX367" s="10"/>
      <c r="LY367" s="10"/>
      <c r="LZ367" s="10"/>
      <c r="MA367" s="10"/>
      <c r="MB367" s="10"/>
      <c r="MC367" s="10"/>
      <c r="MD367" s="10"/>
      <c r="ME367" s="10"/>
      <c r="MF367" s="10"/>
      <c r="MG367" s="10"/>
      <c r="MH367" s="10"/>
      <c r="MI367" s="10"/>
      <c r="MJ367" s="10"/>
      <c r="MK367" s="10"/>
      <c r="ML367" s="10"/>
      <c r="MM367" s="10"/>
      <c r="MN367" s="10"/>
      <c r="MO367" s="11"/>
      <c r="MY367" s="13"/>
    </row>
    <row r="368" spans="44:363" ht="10.75" customHeight="1">
      <c r="AR368" s="42"/>
      <c r="AS368" s="43"/>
      <c r="AT368" s="43"/>
      <c r="AU368" s="12"/>
      <c r="BI368" s="12"/>
      <c r="CF368" s="13"/>
      <c r="CV368" s="13"/>
      <c r="CX368" s="13"/>
      <c r="DA368" s="281"/>
      <c r="DB368" s="282"/>
      <c r="DC368" s="12"/>
      <c r="DD368" s="13"/>
      <c r="DE368" s="12"/>
      <c r="DL368" s="13"/>
      <c r="EP368" s="12"/>
      <c r="ES368" s="288"/>
      <c r="EU368" s="13"/>
      <c r="EV368" s="13"/>
      <c r="EW368" s="43"/>
      <c r="EX368" s="43"/>
      <c r="EY368" s="45"/>
      <c r="HK368" s="12"/>
      <c r="HP368" s="12"/>
      <c r="HQ368" s="12"/>
      <c r="IO368" s="10"/>
      <c r="IP368" s="10"/>
      <c r="IQ368" s="10"/>
      <c r="IR368" s="10"/>
      <c r="IS368" s="10"/>
      <c r="IT368" s="10"/>
      <c r="IU368" s="10"/>
      <c r="IV368" s="10"/>
      <c r="IW368" s="10"/>
      <c r="IX368" s="10"/>
      <c r="IY368" s="10"/>
      <c r="IZ368" s="10"/>
      <c r="JA368" s="10"/>
      <c r="JB368" s="10"/>
      <c r="JC368" s="10"/>
      <c r="JD368" s="10"/>
      <c r="JE368" s="10"/>
      <c r="JF368" s="10"/>
      <c r="JG368" s="10"/>
      <c r="JH368" s="10"/>
      <c r="JI368" s="10"/>
      <c r="JJ368" s="10"/>
      <c r="JK368" s="10"/>
      <c r="JL368" s="10"/>
      <c r="JM368" s="10"/>
      <c r="JN368" s="10"/>
      <c r="JO368" s="10"/>
      <c r="JP368" s="10"/>
      <c r="JQ368" s="10"/>
      <c r="JR368" s="10"/>
      <c r="JS368" s="10"/>
      <c r="JT368" s="10"/>
      <c r="JU368" s="10"/>
      <c r="JV368" s="10"/>
      <c r="JW368" s="10"/>
      <c r="JX368" s="10"/>
      <c r="JY368" s="10"/>
      <c r="JZ368" s="10"/>
      <c r="KA368" s="10"/>
      <c r="KB368" s="10"/>
      <c r="KC368" s="10"/>
      <c r="KD368" s="10"/>
      <c r="KE368" s="10"/>
      <c r="KF368" s="10"/>
      <c r="KG368" s="10"/>
      <c r="KH368" s="10"/>
      <c r="KI368" s="10"/>
      <c r="KJ368" s="10"/>
      <c r="KK368" s="10"/>
      <c r="KL368" s="10"/>
      <c r="KM368" s="10"/>
      <c r="KN368" s="10"/>
      <c r="KO368" s="10"/>
      <c r="KP368" s="10"/>
      <c r="KQ368" s="10"/>
      <c r="KR368" s="10"/>
      <c r="KS368" s="10"/>
      <c r="KT368" s="10"/>
      <c r="KU368" s="10"/>
      <c r="KV368" s="10"/>
      <c r="KW368" s="10"/>
      <c r="KX368" s="10"/>
      <c r="KY368" s="10"/>
      <c r="KZ368" s="10"/>
      <c r="LA368" s="10"/>
      <c r="LB368" s="10"/>
      <c r="LC368" s="10"/>
      <c r="LD368" s="10"/>
      <c r="LE368" s="10"/>
      <c r="LF368" s="10"/>
      <c r="LG368" s="10"/>
      <c r="LH368" s="10"/>
      <c r="LI368" s="10"/>
      <c r="LJ368" s="10"/>
      <c r="LK368" s="10"/>
      <c r="LL368" s="10"/>
      <c r="LM368" s="10"/>
      <c r="LN368" s="10"/>
      <c r="LO368" s="10"/>
      <c r="LP368" s="10"/>
      <c r="LQ368" s="10"/>
      <c r="LR368" s="10"/>
      <c r="LS368" s="10"/>
      <c r="LT368" s="10"/>
      <c r="LU368" s="10"/>
      <c r="LV368" s="10"/>
      <c r="LW368" s="10"/>
      <c r="LX368" s="10"/>
      <c r="LY368" s="10"/>
      <c r="LZ368" s="10"/>
      <c r="MA368" s="10"/>
      <c r="MB368" s="10"/>
      <c r="MC368" s="10"/>
      <c r="MD368" s="10"/>
      <c r="ME368" s="10"/>
      <c r="MF368" s="10"/>
      <c r="MG368" s="10"/>
      <c r="MH368" s="10"/>
      <c r="MI368" s="10"/>
      <c r="MJ368" s="10"/>
      <c r="MK368" s="10"/>
      <c r="ML368" s="10"/>
      <c r="MM368" s="10"/>
      <c r="MN368" s="11"/>
      <c r="MO368" s="13"/>
      <c r="MY368" s="13"/>
    </row>
    <row r="369" spans="34:826" ht="10.75" customHeight="1">
      <c r="AR369" s="42"/>
      <c r="AS369" s="43"/>
      <c r="AT369" s="43"/>
      <c r="AU369" s="12"/>
      <c r="BI369" s="12"/>
      <c r="CF369" s="13"/>
      <c r="CV369" s="13"/>
      <c r="CX369" s="13"/>
      <c r="DA369" s="281"/>
      <c r="DB369" s="282"/>
      <c r="DC369" s="12"/>
      <c r="DD369" s="13"/>
      <c r="DE369" s="12"/>
      <c r="DL369" s="13"/>
      <c r="EP369" s="12"/>
      <c r="ES369" s="288"/>
      <c r="EU369" s="13"/>
      <c r="EV369" s="13"/>
      <c r="EW369" s="43"/>
      <c r="EX369" s="43"/>
      <c r="EY369" s="45"/>
      <c r="HK369" s="12"/>
      <c r="HP369" s="12"/>
      <c r="HQ369" s="12"/>
      <c r="MN369" s="13"/>
      <c r="MO369" s="13"/>
      <c r="MY369" s="13"/>
    </row>
    <row r="370" spans="34:826" ht="10.75" customHeight="1">
      <c r="AH370" s="9"/>
      <c r="AI370" s="10"/>
      <c r="AJ370" s="10"/>
      <c r="AK370" s="10"/>
      <c r="AL370" s="10"/>
      <c r="AM370" s="10"/>
      <c r="AN370" s="10"/>
      <c r="AO370" s="10"/>
      <c r="AP370" s="10"/>
      <c r="AQ370" s="11"/>
      <c r="AR370" s="42"/>
      <c r="AS370" s="43"/>
      <c r="AT370" s="43"/>
      <c r="AU370" s="12"/>
      <c r="BI370" s="12"/>
      <c r="CF370" s="13"/>
      <c r="CV370" s="13"/>
      <c r="CX370" s="13"/>
      <c r="DA370" s="281"/>
      <c r="DB370" s="282"/>
      <c r="DC370" s="12"/>
      <c r="DD370" s="13"/>
      <c r="DE370" s="12"/>
      <c r="DL370" s="13"/>
      <c r="EP370" s="12"/>
      <c r="ES370" s="288"/>
      <c r="EU370" s="13"/>
      <c r="EV370" s="13"/>
      <c r="EW370" s="43"/>
      <c r="EX370" s="43"/>
      <c r="EY370" s="45"/>
      <c r="HK370" s="12"/>
      <c r="HP370" s="12"/>
      <c r="HQ370" s="12"/>
      <c r="MN370" s="13"/>
      <c r="MO370" s="13"/>
      <c r="MY370" s="13"/>
    </row>
    <row r="371" spans="34:826" ht="10.75" customHeight="1">
      <c r="AH371" s="12"/>
      <c r="AI371" s="9"/>
      <c r="AJ371" s="10"/>
      <c r="AK371" s="10"/>
      <c r="AL371" s="10"/>
      <c r="AM371" s="10"/>
      <c r="AN371" s="10"/>
      <c r="AO371" s="10"/>
      <c r="AP371" s="10"/>
      <c r="AQ371" s="11"/>
      <c r="AR371" s="42"/>
      <c r="AS371" s="43"/>
      <c r="AT371" s="43"/>
      <c r="AU371" s="12"/>
      <c r="BI371" s="12"/>
      <c r="CF371" s="13"/>
      <c r="CV371" s="13"/>
      <c r="CX371" s="13"/>
      <c r="DA371" s="281"/>
      <c r="DB371" s="282"/>
      <c r="DC371" s="12"/>
      <c r="DD371" s="13"/>
      <c r="DE371" s="12"/>
      <c r="DL371" s="13"/>
      <c r="EP371" s="12"/>
      <c r="ES371" s="288"/>
      <c r="EU371" s="13"/>
      <c r="EV371" s="13"/>
      <c r="EW371" s="43"/>
      <c r="EX371" s="43"/>
      <c r="EY371" s="45"/>
      <c r="HK371" s="12"/>
      <c r="HP371" s="12"/>
      <c r="HQ371" s="12"/>
      <c r="MN371" s="13"/>
      <c r="MO371" s="13"/>
      <c r="MY371" s="13"/>
    </row>
    <row r="372" spans="34:826" ht="10.75" customHeight="1">
      <c r="AH372" s="12"/>
      <c r="AI372" s="12"/>
      <c r="AQ372" s="13"/>
      <c r="AR372" s="42"/>
      <c r="AS372" s="43"/>
      <c r="AT372" s="43"/>
      <c r="AU372" s="12"/>
      <c r="BI372" s="12"/>
      <c r="CF372" s="13"/>
      <c r="CV372" s="13"/>
      <c r="CX372" s="13"/>
      <c r="DA372" s="281"/>
      <c r="DB372" s="282"/>
      <c r="DC372" s="12"/>
      <c r="DD372" s="13"/>
      <c r="DE372" s="12"/>
      <c r="DL372" s="13"/>
      <c r="EP372" s="12"/>
      <c r="ES372" s="288"/>
      <c r="EU372" s="13"/>
      <c r="EV372" s="13"/>
      <c r="EW372" s="43"/>
      <c r="EX372" s="43"/>
      <c r="EY372" s="45"/>
      <c r="HK372" s="12"/>
      <c r="HP372" s="12"/>
      <c r="HQ372" s="12"/>
      <c r="IA372" s="15"/>
      <c r="IB372" s="15"/>
      <c r="IC372" s="15"/>
      <c r="ID372" s="15"/>
      <c r="IE372" s="15"/>
      <c r="IF372" s="15"/>
      <c r="IG372" s="15"/>
      <c r="IH372" s="15"/>
      <c r="II372" s="15"/>
      <c r="IJ372" s="15"/>
      <c r="IK372" s="15"/>
      <c r="IL372" s="15"/>
      <c r="IM372" s="15"/>
      <c r="IN372" s="15"/>
      <c r="MN372" s="13"/>
      <c r="MO372" s="13"/>
      <c r="MY372" s="13"/>
    </row>
    <row r="373" spans="34:826" ht="10.75" customHeight="1">
      <c r="AH373" s="12"/>
      <c r="AI373" s="12"/>
      <c r="AQ373" s="13"/>
      <c r="AR373" s="42"/>
      <c r="AS373" s="43"/>
      <c r="AT373" s="43"/>
      <c r="AU373" s="12"/>
      <c r="BI373" s="12"/>
      <c r="CF373" s="13"/>
      <c r="CV373" s="13"/>
      <c r="CX373" s="13"/>
      <c r="DA373" s="281"/>
      <c r="DB373" s="282"/>
      <c r="DC373" s="12"/>
      <c r="DD373" s="13"/>
      <c r="DE373" s="12"/>
      <c r="DL373" s="13"/>
      <c r="EP373" s="12"/>
      <c r="ES373" s="289"/>
      <c r="EU373" s="13"/>
      <c r="EV373" s="13"/>
      <c r="EW373" s="43"/>
      <c r="EX373" s="43"/>
      <c r="EY373" s="45"/>
      <c r="HK373" s="12"/>
      <c r="HP373" s="12"/>
      <c r="HQ373" s="12"/>
      <c r="HZ373" s="13"/>
      <c r="IA373" s="57"/>
      <c r="IB373" s="57"/>
      <c r="IC373" s="57"/>
      <c r="ID373" s="57"/>
      <c r="IE373" s="10"/>
      <c r="IF373" s="10"/>
      <c r="IG373" s="10"/>
      <c r="IH373" s="10"/>
      <c r="II373" s="10"/>
      <c r="IJ373" s="10"/>
      <c r="IK373" s="10"/>
      <c r="IL373" s="10"/>
      <c r="IM373" s="10"/>
      <c r="IN373" s="10"/>
      <c r="IO373" s="10"/>
      <c r="IP373" s="10"/>
      <c r="IQ373" s="10"/>
      <c r="IR373" s="10"/>
      <c r="IS373" s="10"/>
      <c r="IT373" s="10"/>
      <c r="IU373" s="10"/>
      <c r="IV373" s="10"/>
      <c r="IW373" s="10"/>
      <c r="IX373" s="10"/>
      <c r="IY373" s="10"/>
      <c r="IZ373" s="10"/>
      <c r="JA373" s="10"/>
      <c r="JB373" s="10"/>
      <c r="JC373" s="10"/>
      <c r="JD373" s="10"/>
      <c r="JE373" s="10"/>
      <c r="JF373" s="10"/>
      <c r="JG373" s="10"/>
      <c r="JH373" s="10"/>
      <c r="JI373" s="10"/>
      <c r="JJ373" s="10"/>
      <c r="JK373" s="10"/>
      <c r="JL373" s="10"/>
      <c r="JM373" s="10"/>
      <c r="JN373" s="10"/>
      <c r="JO373" s="10"/>
      <c r="JP373" s="10"/>
      <c r="JQ373" s="10"/>
      <c r="JR373" s="10"/>
      <c r="JS373" s="10"/>
      <c r="JT373" s="10"/>
      <c r="JU373" s="10"/>
      <c r="JV373" s="10"/>
      <c r="JW373" s="10"/>
      <c r="JX373" s="10"/>
      <c r="JY373" s="10"/>
      <c r="JZ373" s="10"/>
      <c r="KA373" s="10"/>
      <c r="KB373" s="10"/>
      <c r="KC373" s="10"/>
      <c r="KD373" s="57"/>
      <c r="KE373" s="57"/>
      <c r="KF373" s="57"/>
      <c r="KG373" s="57"/>
      <c r="KH373" s="10"/>
      <c r="KI373" s="10"/>
      <c r="KJ373" s="10"/>
      <c r="KK373" s="10"/>
      <c r="KL373" s="10"/>
      <c r="KM373" s="10"/>
      <c r="KN373" s="10"/>
      <c r="KO373" s="10"/>
      <c r="KP373" s="10"/>
      <c r="KQ373" s="10"/>
      <c r="KR373" s="10"/>
      <c r="KS373" s="10"/>
      <c r="KT373" s="10"/>
      <c r="KU373" s="10"/>
      <c r="KV373" s="10"/>
      <c r="KW373" s="10"/>
      <c r="KX373" s="10"/>
      <c r="KY373" s="10"/>
      <c r="KZ373" s="10"/>
      <c r="LA373" s="10"/>
      <c r="LB373" s="10"/>
      <c r="LC373" s="10"/>
      <c r="LD373" s="10"/>
      <c r="LE373" s="10"/>
      <c r="LF373" s="10"/>
      <c r="LG373" s="10"/>
      <c r="LH373" s="10"/>
      <c r="LI373" s="10"/>
      <c r="LJ373" s="10"/>
      <c r="LK373" s="10"/>
      <c r="LL373" s="10"/>
      <c r="LM373" s="10"/>
      <c r="LN373" s="10"/>
      <c r="LO373" s="10"/>
      <c r="LP373" s="10"/>
      <c r="LQ373" s="10"/>
      <c r="LR373" s="10"/>
      <c r="LS373" s="10"/>
      <c r="LT373" s="10"/>
      <c r="LU373" s="10"/>
      <c r="LV373" s="10"/>
      <c r="LW373" s="10"/>
      <c r="LX373" s="10"/>
      <c r="LY373" s="10"/>
      <c r="LZ373" s="10"/>
      <c r="MA373" s="10"/>
      <c r="MB373" s="10"/>
      <c r="MC373" s="10"/>
      <c r="MD373" s="10"/>
      <c r="ME373" s="10"/>
      <c r="MF373" s="10"/>
      <c r="MG373" s="57"/>
      <c r="MH373" s="57"/>
      <c r="MI373" s="58"/>
      <c r="MN373" s="13"/>
      <c r="MO373" s="13"/>
      <c r="MY373" s="13"/>
      <c r="NY373" s="56"/>
      <c r="NZ373" s="57"/>
      <c r="OA373" s="58"/>
      <c r="OB373" s="57"/>
      <c r="OC373" s="10"/>
      <c r="OD373" s="10"/>
      <c r="OE373" s="10"/>
      <c r="OF373" s="10"/>
      <c r="OG373" s="10"/>
      <c r="OH373" s="10"/>
      <c r="OI373" s="10"/>
      <c r="OJ373" s="10"/>
      <c r="OK373" s="10"/>
      <c r="OL373" s="10"/>
      <c r="OM373" s="10"/>
      <c r="ON373" s="10"/>
      <c r="OO373" s="10"/>
      <c r="OP373" s="10"/>
      <c r="OQ373" s="10"/>
      <c r="OR373" s="10"/>
      <c r="OS373" s="10"/>
      <c r="OT373" s="10"/>
      <c r="OU373" s="10"/>
      <c r="OV373" s="10"/>
      <c r="OW373" s="10"/>
      <c r="OX373" s="10"/>
      <c r="OY373" s="10"/>
      <c r="OZ373" s="10"/>
      <c r="PA373" s="10"/>
      <c r="PB373" s="10"/>
      <c r="PC373" s="10"/>
      <c r="PD373" s="10"/>
      <c r="PE373" s="10"/>
      <c r="PF373" s="10"/>
      <c r="PG373" s="10"/>
      <c r="PH373" s="10"/>
      <c r="PI373" s="10"/>
      <c r="PJ373" s="10"/>
      <c r="PK373" s="10"/>
      <c r="PL373" s="10"/>
      <c r="PM373" s="10"/>
      <c r="PN373" s="10"/>
      <c r="PO373" s="10"/>
      <c r="PP373" s="10"/>
      <c r="PQ373" s="10"/>
      <c r="PR373" s="10"/>
      <c r="PS373" s="10"/>
      <c r="PT373" s="10"/>
      <c r="PU373" s="10"/>
      <c r="PV373" s="10"/>
      <c r="PW373" s="57"/>
      <c r="PX373" s="57"/>
      <c r="PY373" s="57"/>
      <c r="PZ373" s="57"/>
      <c r="QA373" s="10"/>
      <c r="QB373" s="10"/>
      <c r="QC373" s="10"/>
      <c r="QD373" s="10"/>
      <c r="QE373" s="10"/>
      <c r="QF373" s="10"/>
      <c r="QG373" s="10"/>
      <c r="QH373" s="10"/>
      <c r="QI373" s="10"/>
      <c r="QJ373" s="10"/>
      <c r="QK373" s="10"/>
      <c r="QL373" s="10"/>
      <c r="QM373" s="10"/>
      <c r="QN373" s="10"/>
      <c r="QO373" s="10"/>
      <c r="QP373" s="10"/>
      <c r="QQ373" s="10"/>
      <c r="QR373" s="10"/>
      <c r="QS373" s="10"/>
      <c r="QT373" s="10"/>
      <c r="QU373" s="10"/>
      <c r="QV373" s="10"/>
      <c r="QW373" s="10"/>
      <c r="QX373" s="10"/>
      <c r="QY373" s="10"/>
      <c r="QZ373" s="10"/>
      <c r="RA373" s="10"/>
      <c r="RB373" s="10"/>
      <c r="RC373" s="10"/>
      <c r="RD373" s="10"/>
      <c r="RE373" s="10"/>
      <c r="RF373" s="10"/>
      <c r="RG373" s="10"/>
      <c r="RH373" s="10"/>
      <c r="RI373" s="10"/>
      <c r="RJ373" s="10"/>
      <c r="RK373" s="10"/>
      <c r="RL373" s="10"/>
      <c r="RM373" s="10"/>
      <c r="RN373" s="10"/>
      <c r="RO373" s="10"/>
      <c r="RP373" s="10"/>
      <c r="RQ373" s="10"/>
      <c r="RR373" s="10"/>
      <c r="RS373" s="10"/>
      <c r="RT373" s="10"/>
      <c r="RU373" s="10"/>
      <c r="RV373" s="10"/>
      <c r="RW373" s="10"/>
      <c r="RX373" s="10"/>
      <c r="RY373" s="10"/>
      <c r="RZ373" s="57"/>
      <c r="SA373" s="57"/>
      <c r="SB373" s="58"/>
      <c r="SX373" s="56"/>
      <c r="SY373" s="57"/>
      <c r="SZ373" s="57"/>
      <c r="TA373" s="57"/>
      <c r="TB373" s="10"/>
      <c r="TC373" s="10"/>
      <c r="TD373" s="10"/>
      <c r="TE373" s="10"/>
      <c r="TF373" s="10"/>
      <c r="TG373" s="10"/>
      <c r="TH373" s="10"/>
      <c r="TI373" s="10"/>
      <c r="TJ373" s="10"/>
      <c r="TK373" s="10"/>
      <c r="TL373" s="10"/>
      <c r="TM373" s="10"/>
      <c r="TN373" s="10"/>
      <c r="TO373" s="10"/>
      <c r="TP373" s="10"/>
      <c r="TQ373" s="10"/>
      <c r="TR373" s="10"/>
      <c r="TS373" s="10"/>
      <c r="TT373" s="10"/>
      <c r="TU373" s="10"/>
      <c r="TV373" s="10"/>
      <c r="TW373" s="10"/>
      <c r="TX373" s="10"/>
      <c r="TY373" s="10"/>
      <c r="TZ373" s="10"/>
      <c r="UA373" s="10"/>
      <c r="UB373" s="10"/>
      <c r="UC373" s="10"/>
      <c r="UD373" s="10"/>
      <c r="UE373" s="10"/>
      <c r="UF373" s="10"/>
      <c r="UG373" s="10"/>
      <c r="UH373" s="10"/>
      <c r="UI373" s="10"/>
      <c r="UJ373" s="10"/>
      <c r="UK373" s="10"/>
      <c r="UL373" s="10"/>
      <c r="UM373" s="10"/>
      <c r="UN373" s="10"/>
      <c r="UO373" s="10"/>
      <c r="UP373" s="10"/>
      <c r="UQ373" s="10"/>
      <c r="UR373" s="10"/>
      <c r="US373" s="57"/>
      <c r="UT373" s="57"/>
      <c r="UU373" s="57"/>
      <c r="UV373" s="57"/>
      <c r="UW373" s="10"/>
      <c r="UX373" s="10"/>
      <c r="UY373" s="10"/>
      <c r="UZ373" s="10"/>
      <c r="VA373" s="10"/>
      <c r="VB373" s="10"/>
      <c r="VC373" s="10"/>
      <c r="VD373" s="10"/>
      <c r="VE373" s="10"/>
      <c r="VF373" s="10"/>
      <c r="VG373" s="10"/>
      <c r="VH373" s="10"/>
      <c r="VI373" s="10"/>
      <c r="VJ373" s="10"/>
      <c r="VK373" s="10"/>
      <c r="VL373" s="10"/>
      <c r="VM373" s="10"/>
      <c r="VN373" s="10"/>
      <c r="VO373" s="10"/>
      <c r="VP373" s="10"/>
      <c r="VQ373" s="10"/>
      <c r="VR373" s="10"/>
      <c r="VS373" s="10"/>
      <c r="VT373" s="10"/>
      <c r="VU373" s="10"/>
      <c r="VV373" s="10"/>
      <c r="VW373" s="10"/>
      <c r="VX373" s="10"/>
      <c r="VY373" s="10"/>
      <c r="VZ373" s="10"/>
      <c r="WA373" s="10"/>
      <c r="WB373" s="10"/>
      <c r="WC373" s="10"/>
      <c r="WD373" s="10"/>
      <c r="WE373" s="10"/>
      <c r="WF373" s="10"/>
      <c r="WG373" s="10"/>
      <c r="WH373" s="10"/>
      <c r="WI373" s="10"/>
      <c r="WJ373" s="10"/>
      <c r="WK373" s="10"/>
      <c r="WL373" s="10"/>
      <c r="WM373" s="10"/>
      <c r="WN373" s="10"/>
      <c r="WO373" s="10"/>
      <c r="WP373" s="10"/>
      <c r="WQ373" s="10"/>
      <c r="WR373" s="57"/>
      <c r="WS373" s="57"/>
      <c r="WT373" s="58"/>
    </row>
    <row r="374" spans="34:826" ht="10.75" customHeight="1">
      <c r="AH374" s="12"/>
      <c r="AI374" s="12"/>
      <c r="AQ374" s="13"/>
      <c r="AR374" s="42"/>
      <c r="AS374" s="43"/>
      <c r="AT374" s="43"/>
      <c r="AU374" s="12"/>
      <c r="BI374" s="12"/>
      <c r="CF374" s="13"/>
      <c r="CV374" s="13"/>
      <c r="CX374" s="13"/>
      <c r="DA374" s="281"/>
      <c r="DB374" s="282"/>
      <c r="DC374" s="12"/>
      <c r="DD374" s="13"/>
      <c r="DE374" s="12"/>
      <c r="DL374" s="13"/>
      <c r="EP374" s="14"/>
      <c r="EQ374" s="15"/>
      <c r="ER374" s="15"/>
      <c r="ES374" s="15"/>
      <c r="ET374" s="15"/>
      <c r="EU374" s="16"/>
      <c r="EV374" s="13"/>
      <c r="EW374" s="43"/>
      <c r="EX374" s="43"/>
      <c r="EY374" s="45"/>
      <c r="HK374" s="12"/>
      <c r="HP374" s="12"/>
      <c r="HQ374" s="12"/>
      <c r="HZ374" s="13"/>
      <c r="IA374" s="97"/>
      <c r="IB374" s="97"/>
      <c r="IC374" s="97"/>
      <c r="ID374" s="97"/>
      <c r="KD374" s="97"/>
      <c r="KE374" s="97"/>
      <c r="KF374" s="97"/>
      <c r="KG374" s="97"/>
      <c r="MG374" s="97"/>
      <c r="MH374" s="97"/>
      <c r="MI374" s="98"/>
      <c r="MN374" s="13"/>
      <c r="MO374" s="13"/>
      <c r="MY374" s="13"/>
      <c r="NY374" s="96"/>
      <c r="NZ374" s="97"/>
      <c r="OA374" s="98"/>
      <c r="OB374" s="97"/>
      <c r="PW374" s="97"/>
      <c r="PX374" s="97"/>
      <c r="PY374" s="97"/>
      <c r="PZ374" s="97"/>
      <c r="RZ374" s="97"/>
      <c r="SA374" s="97"/>
      <c r="SB374" s="98"/>
      <c r="SX374" s="96"/>
      <c r="SY374" s="97"/>
      <c r="SZ374" s="97"/>
      <c r="TA374" s="97"/>
      <c r="US374" s="97"/>
      <c r="UT374" s="97"/>
      <c r="UU374" s="97"/>
      <c r="UV374" s="97"/>
      <c r="WR374" s="97"/>
      <c r="WS374" s="97"/>
      <c r="WT374" s="98"/>
    </row>
    <row r="375" spans="34:826" ht="10.75" customHeight="1">
      <c r="AH375" s="12"/>
      <c r="AI375" s="12"/>
      <c r="AQ375" s="13"/>
      <c r="AR375" s="43"/>
      <c r="AS375" s="43"/>
      <c r="AT375" s="43"/>
      <c r="AU375" s="12"/>
      <c r="BI375" s="12"/>
      <c r="CF375" s="13"/>
      <c r="CV375" s="13"/>
      <c r="CX375" s="13"/>
      <c r="DA375" s="281"/>
      <c r="DB375" s="282"/>
      <c r="DC375" s="12"/>
      <c r="DD375" s="13"/>
      <c r="DE375" s="12"/>
      <c r="DL375" s="13"/>
      <c r="EV375" s="13"/>
      <c r="EW375" s="43"/>
      <c r="EX375" s="43"/>
      <c r="EY375" s="45"/>
      <c r="HK375" s="12"/>
      <c r="HP375" s="12"/>
      <c r="HQ375" s="14"/>
      <c r="HR375" s="15"/>
      <c r="HS375" s="15"/>
      <c r="HT375" s="15"/>
      <c r="HU375" s="15"/>
      <c r="HV375" s="15"/>
      <c r="HW375" s="15"/>
      <c r="HX375" s="15"/>
      <c r="HY375" s="15"/>
      <c r="HZ375" s="16"/>
      <c r="IA375" s="60"/>
      <c r="IB375" s="60"/>
      <c r="IC375" s="60"/>
      <c r="ID375" s="60"/>
      <c r="IE375" s="15"/>
      <c r="IF375" s="15"/>
      <c r="IG375" s="15"/>
      <c r="IH375" s="15"/>
      <c r="II375" s="15"/>
      <c r="IJ375" s="15"/>
      <c r="IK375" s="15"/>
      <c r="IL375" s="15"/>
      <c r="IM375" s="15"/>
      <c r="IN375" s="15"/>
      <c r="IO375" s="15"/>
      <c r="IP375" s="15"/>
      <c r="IQ375" s="15"/>
      <c r="IR375" s="15"/>
      <c r="IS375" s="15"/>
      <c r="IT375" s="15"/>
      <c r="IU375" s="15"/>
      <c r="IV375" s="15"/>
      <c r="IW375" s="15"/>
      <c r="IX375" s="15"/>
      <c r="IY375" s="15"/>
      <c r="IZ375" s="15"/>
      <c r="JA375" s="15"/>
      <c r="JB375" s="15"/>
      <c r="JC375" s="15"/>
      <c r="JD375" s="15"/>
      <c r="JE375" s="15"/>
      <c r="JF375" s="15"/>
      <c r="JG375" s="15"/>
      <c r="JH375" s="15"/>
      <c r="JI375" s="15"/>
      <c r="JJ375" s="15"/>
      <c r="JK375" s="15"/>
      <c r="JL375" s="15"/>
      <c r="JM375" s="15"/>
      <c r="JN375" s="15"/>
      <c r="JO375" s="15"/>
      <c r="JP375" s="15"/>
      <c r="JQ375" s="15"/>
      <c r="JR375" s="15"/>
      <c r="JS375" s="15"/>
      <c r="JT375" s="15"/>
      <c r="JU375" s="15"/>
      <c r="JV375" s="15"/>
      <c r="JW375" s="15"/>
      <c r="JX375" s="15"/>
      <c r="JY375" s="15"/>
      <c r="JZ375" s="15"/>
      <c r="KA375" s="15"/>
      <c r="KB375" s="15"/>
      <c r="KC375" s="15"/>
      <c r="KD375" s="97"/>
      <c r="KE375" s="97"/>
      <c r="KF375" s="97"/>
      <c r="KG375" s="97"/>
      <c r="KH375" s="15"/>
      <c r="KI375" s="15"/>
      <c r="KJ375" s="15"/>
      <c r="KK375" s="15"/>
      <c r="KL375" s="15"/>
      <c r="KM375" s="15"/>
      <c r="KN375" s="15"/>
      <c r="KO375" s="15"/>
      <c r="KP375" s="15"/>
      <c r="KQ375" s="15"/>
      <c r="KR375" s="15"/>
      <c r="KS375" s="15"/>
      <c r="KT375" s="15"/>
      <c r="KU375" s="15"/>
      <c r="KV375" s="15"/>
      <c r="KW375" s="15"/>
      <c r="KX375" s="15"/>
      <c r="KY375" s="15"/>
      <c r="KZ375" s="15"/>
      <c r="LA375" s="15"/>
      <c r="LB375" s="15"/>
      <c r="LC375" s="15"/>
      <c r="LD375" s="15"/>
      <c r="LE375" s="15"/>
      <c r="LF375" s="15"/>
      <c r="LG375" s="15"/>
      <c r="LH375" s="15"/>
      <c r="LI375" s="15"/>
      <c r="LJ375" s="15"/>
      <c r="LK375" s="15"/>
      <c r="LL375" s="15"/>
      <c r="LM375" s="15"/>
      <c r="LN375" s="15"/>
      <c r="LO375" s="15"/>
      <c r="LP375" s="15"/>
      <c r="LQ375" s="15"/>
      <c r="LR375" s="15"/>
      <c r="LS375" s="15"/>
      <c r="LT375" s="15"/>
      <c r="LU375" s="15"/>
      <c r="LV375" s="15"/>
      <c r="LW375" s="15"/>
      <c r="LX375" s="15"/>
      <c r="LY375" s="15"/>
      <c r="LZ375" s="15"/>
      <c r="MA375" s="15"/>
      <c r="MB375" s="15"/>
      <c r="MC375" s="15"/>
      <c r="MD375" s="15"/>
      <c r="ME375" s="15"/>
      <c r="MF375" s="15"/>
      <c r="MG375" s="97"/>
      <c r="MH375" s="97"/>
      <c r="MI375" s="98"/>
      <c r="MN375" s="13"/>
      <c r="MO375" s="13"/>
      <c r="MY375" s="13"/>
      <c r="NY375" s="96"/>
      <c r="NZ375" s="97"/>
      <c r="OA375" s="98"/>
      <c r="OB375" s="60"/>
      <c r="OC375" s="15"/>
      <c r="OD375" s="15"/>
      <c r="OE375" s="15"/>
      <c r="OF375" s="15"/>
      <c r="OG375" s="15"/>
      <c r="OH375" s="15"/>
      <c r="OI375" s="15"/>
      <c r="OJ375" s="15"/>
      <c r="OK375" s="15"/>
      <c r="OL375" s="15"/>
      <c r="OM375" s="15"/>
      <c r="ON375" s="15"/>
      <c r="OO375" s="15"/>
      <c r="OP375" s="15"/>
      <c r="OQ375" s="15"/>
      <c r="OR375" s="15"/>
      <c r="OS375" s="15"/>
      <c r="OT375" s="15"/>
      <c r="OU375" s="15"/>
      <c r="OV375" s="15"/>
      <c r="OW375" s="15"/>
      <c r="OX375" s="15"/>
      <c r="OY375" s="15"/>
      <c r="OZ375" s="15"/>
      <c r="PA375" s="15"/>
      <c r="PB375" s="15"/>
      <c r="PC375" s="15"/>
      <c r="PD375" s="15"/>
      <c r="PE375" s="15"/>
      <c r="PF375" s="15"/>
      <c r="PG375" s="15"/>
      <c r="PH375" s="15"/>
      <c r="PI375" s="15"/>
      <c r="PJ375" s="15"/>
      <c r="PK375" s="15"/>
      <c r="PL375" s="15"/>
      <c r="PM375" s="15"/>
      <c r="PN375" s="15"/>
      <c r="PO375" s="15"/>
      <c r="PP375" s="15"/>
      <c r="PQ375" s="15"/>
      <c r="PR375" s="15"/>
      <c r="PS375" s="15"/>
      <c r="PT375" s="15"/>
      <c r="PU375" s="15"/>
      <c r="PV375" s="15"/>
      <c r="PW375" s="97"/>
      <c r="PX375" s="97"/>
      <c r="PY375" s="97"/>
      <c r="PZ375" s="97"/>
      <c r="RZ375" s="97"/>
      <c r="SA375" s="97"/>
      <c r="SB375" s="98"/>
      <c r="SX375" s="59"/>
      <c r="SY375" s="60"/>
      <c r="SZ375" s="60"/>
      <c r="TA375" s="60"/>
      <c r="TB375" s="15"/>
      <c r="TC375" s="15"/>
      <c r="TD375" s="15"/>
      <c r="TE375" s="15"/>
      <c r="TF375" s="15"/>
      <c r="TG375" s="15"/>
      <c r="TH375" s="15"/>
      <c r="TI375" s="15"/>
      <c r="TJ375" s="15"/>
      <c r="TK375" s="15"/>
      <c r="TL375" s="15"/>
      <c r="TM375" s="15"/>
      <c r="TN375" s="15"/>
      <c r="TO375" s="15"/>
      <c r="TP375" s="15"/>
      <c r="TQ375" s="15"/>
      <c r="TR375" s="15"/>
      <c r="TS375" s="15"/>
      <c r="TT375" s="15"/>
      <c r="TU375" s="15"/>
      <c r="TV375" s="15"/>
      <c r="TW375" s="15"/>
      <c r="TX375" s="15"/>
      <c r="TY375" s="15"/>
      <c r="TZ375" s="15"/>
      <c r="UA375" s="15"/>
      <c r="UB375" s="15"/>
      <c r="UC375" s="15"/>
      <c r="UD375" s="15"/>
      <c r="UE375" s="15"/>
      <c r="UF375" s="15"/>
      <c r="UG375" s="15"/>
      <c r="UH375" s="15"/>
      <c r="UI375" s="15"/>
      <c r="UJ375" s="15"/>
      <c r="UK375" s="15"/>
      <c r="UL375" s="15"/>
      <c r="UM375" s="15"/>
      <c r="UN375" s="15"/>
      <c r="UO375" s="15"/>
      <c r="UP375" s="15"/>
      <c r="UQ375" s="15"/>
      <c r="UR375" s="15"/>
      <c r="US375" s="97"/>
      <c r="UT375" s="97"/>
      <c r="UU375" s="97"/>
      <c r="UV375" s="97"/>
      <c r="UW375" s="15"/>
      <c r="UX375" s="15"/>
      <c r="UY375" s="15"/>
      <c r="UZ375" s="15"/>
      <c r="VA375" s="15"/>
      <c r="VB375" s="15"/>
      <c r="VC375" s="15"/>
      <c r="VD375" s="15"/>
      <c r="VE375" s="15"/>
      <c r="VF375" s="15"/>
      <c r="VG375" s="15"/>
      <c r="VH375" s="15"/>
      <c r="VI375" s="15"/>
      <c r="VJ375" s="15"/>
      <c r="VK375" s="15"/>
      <c r="VL375" s="15"/>
      <c r="VM375" s="15"/>
      <c r="VN375" s="15"/>
      <c r="VO375" s="15"/>
      <c r="VP375" s="15"/>
      <c r="VQ375" s="15"/>
      <c r="VR375" s="15"/>
      <c r="VS375" s="15"/>
      <c r="VT375" s="15"/>
      <c r="VU375" s="15"/>
      <c r="VV375" s="15"/>
      <c r="VW375" s="15"/>
      <c r="VX375" s="15"/>
      <c r="VY375" s="15"/>
      <c r="VZ375" s="15"/>
      <c r="WA375" s="15"/>
      <c r="WB375" s="15"/>
      <c r="WC375" s="15"/>
      <c r="WD375" s="15"/>
      <c r="WE375" s="15"/>
      <c r="WF375" s="15"/>
      <c r="WG375" s="15"/>
      <c r="WH375" s="15"/>
      <c r="WI375" s="15"/>
      <c r="WJ375" s="15"/>
      <c r="WK375" s="15"/>
      <c r="WL375" s="15"/>
      <c r="WM375" s="15"/>
      <c r="WN375" s="15"/>
      <c r="WO375" s="15"/>
      <c r="WP375" s="15"/>
      <c r="WQ375" s="15"/>
      <c r="WR375" s="97"/>
      <c r="WS375" s="97"/>
      <c r="WT375" s="98"/>
    </row>
    <row r="376" spans="34:826" ht="10.75" customHeight="1">
      <c r="AH376" s="12"/>
      <c r="AI376" s="12"/>
      <c r="AQ376" s="13"/>
      <c r="AR376" s="43"/>
      <c r="AS376" s="43"/>
      <c r="AT376" s="43"/>
      <c r="AU376" s="12"/>
      <c r="BI376" s="12"/>
      <c r="CF376" s="13"/>
      <c r="CV376" s="13"/>
      <c r="CX376" s="13"/>
      <c r="DA376" s="281"/>
      <c r="DB376" s="282"/>
      <c r="DC376" s="12"/>
      <c r="DD376" s="13"/>
      <c r="DE376" s="12"/>
      <c r="DL376" s="13"/>
      <c r="EV376" s="13"/>
      <c r="EW376" s="43"/>
      <c r="EX376" s="43"/>
      <c r="EY376" s="45"/>
      <c r="HK376" s="12"/>
      <c r="HP376" s="12"/>
      <c r="HQ376" s="9"/>
      <c r="HR376" s="10"/>
      <c r="HS376" s="10"/>
      <c r="HT376" s="10"/>
      <c r="HU376" s="10"/>
      <c r="HV376" s="10"/>
      <c r="HW376" s="10"/>
      <c r="HX376" s="10"/>
      <c r="HY376" s="10"/>
      <c r="HZ376" s="11"/>
      <c r="IA376" s="17"/>
      <c r="ID376" s="12"/>
      <c r="IE376" s="10"/>
      <c r="IF376" s="9"/>
      <c r="IG376" s="10"/>
      <c r="IH376" s="10"/>
      <c r="II376" s="10"/>
      <c r="IJ376" s="10"/>
      <c r="IK376" s="10"/>
      <c r="IL376" s="10"/>
      <c r="IM376" s="11"/>
      <c r="IN376" s="10"/>
      <c r="IO376" s="10"/>
      <c r="IP376" s="9"/>
      <c r="IQ376" s="10"/>
      <c r="IR376" s="10"/>
      <c r="IS376" s="10"/>
      <c r="IT376" s="10"/>
      <c r="IU376" s="10"/>
      <c r="IV376" s="10"/>
      <c r="IW376" s="11"/>
      <c r="IX376" s="10"/>
      <c r="IY376" s="10"/>
      <c r="IZ376" s="10"/>
      <c r="JA376" s="10"/>
      <c r="JB376" s="10"/>
      <c r="JC376" s="10"/>
      <c r="JD376" s="10"/>
      <c r="JE376" s="10"/>
      <c r="JF376" s="10"/>
      <c r="JG376" s="10"/>
      <c r="JH376" s="10"/>
      <c r="JI376" s="11"/>
      <c r="JJ376" s="10"/>
      <c r="JK376" s="11"/>
      <c r="JL376" s="9"/>
      <c r="JM376" s="10"/>
      <c r="JN376" s="10"/>
      <c r="JO376" s="10"/>
      <c r="JP376" s="10"/>
      <c r="JQ376" s="10"/>
      <c r="JR376" s="10"/>
      <c r="JS376" s="10"/>
      <c r="JT376" s="10"/>
      <c r="JU376" s="10"/>
      <c r="JV376" s="10"/>
      <c r="JW376" s="10"/>
      <c r="JX376" s="10"/>
      <c r="JY376" s="10"/>
      <c r="JZ376" s="10"/>
      <c r="KA376" s="10"/>
      <c r="KB376" s="10"/>
      <c r="KC376" s="10"/>
      <c r="KD376" s="10"/>
      <c r="KE376" s="9"/>
      <c r="KF376" s="11"/>
      <c r="KG376" s="10"/>
      <c r="KH376" s="10"/>
      <c r="KI376" s="10"/>
      <c r="KJ376" s="10"/>
      <c r="KK376" s="10"/>
      <c r="KL376" s="10"/>
      <c r="KM376" s="10"/>
      <c r="KN376" s="10"/>
      <c r="KO376" s="10"/>
      <c r="KP376" s="10"/>
      <c r="KQ376" s="10"/>
      <c r="KR376" s="10"/>
      <c r="KS376" s="10"/>
      <c r="KT376" s="10"/>
      <c r="KU376" s="10"/>
      <c r="KV376" s="10"/>
      <c r="KW376" s="10"/>
      <c r="KX376" s="10"/>
      <c r="KY376" s="10"/>
      <c r="KZ376" s="10"/>
      <c r="LA376" s="10"/>
      <c r="LB376" s="10"/>
      <c r="LC376" s="10"/>
      <c r="LD376" s="10"/>
      <c r="LE376" s="10"/>
      <c r="LF376" s="10"/>
      <c r="LG376" s="10"/>
      <c r="LH376" s="10"/>
      <c r="LI376" s="10"/>
      <c r="LJ376" s="10"/>
      <c r="LK376" s="10"/>
      <c r="LL376" s="10"/>
      <c r="LM376" s="10"/>
      <c r="LN376" s="10"/>
      <c r="LO376" s="10"/>
      <c r="LP376" s="10"/>
      <c r="LQ376" s="10"/>
      <c r="LR376" s="10"/>
      <c r="LS376" s="10"/>
      <c r="LT376" s="10"/>
      <c r="LU376" s="10"/>
      <c r="LV376" s="10"/>
      <c r="LW376" s="10"/>
      <c r="LX376" s="10"/>
      <c r="LY376" s="10"/>
      <c r="LZ376" s="10"/>
      <c r="MA376" s="10"/>
      <c r="MB376" s="10"/>
      <c r="MC376" s="10"/>
      <c r="MD376" s="10"/>
      <c r="ME376" s="10"/>
      <c r="MF376" s="11"/>
      <c r="MG376" s="97"/>
      <c r="MH376" s="97"/>
      <c r="MI376" s="98"/>
      <c r="MN376" s="13"/>
      <c r="MO376" s="13"/>
      <c r="MY376" s="13"/>
      <c r="NY376" s="12"/>
      <c r="OA376" s="13"/>
      <c r="PX376" s="9"/>
      <c r="PY376" s="11"/>
      <c r="PZ376" s="9"/>
      <c r="QA376" s="10"/>
      <c r="QB376" s="10"/>
      <c r="QC376" s="10"/>
      <c r="QD376" s="10"/>
      <c r="QE376" s="10"/>
      <c r="QF376" s="10"/>
      <c r="QG376" s="10"/>
      <c r="QH376" s="10"/>
      <c r="QI376" s="10"/>
      <c r="QJ376" s="10"/>
      <c r="QK376" s="10"/>
      <c r="QL376" s="10"/>
      <c r="QM376" s="10"/>
      <c r="QN376" s="10"/>
      <c r="QO376" s="10"/>
      <c r="QP376" s="10"/>
      <c r="QQ376" s="10"/>
      <c r="QR376" s="10"/>
      <c r="QS376" s="10"/>
      <c r="QT376" s="10"/>
      <c r="QU376" s="10"/>
      <c r="QV376" s="10"/>
      <c r="QW376" s="11"/>
      <c r="QX376" s="9"/>
      <c r="QY376" s="10"/>
      <c r="QZ376" s="9"/>
      <c r="RA376" s="10"/>
      <c r="RB376" s="10"/>
      <c r="RC376" s="9"/>
      <c r="RD376" s="10"/>
      <c r="RE376" s="10"/>
      <c r="RF376" s="10"/>
      <c r="RG376" s="11"/>
      <c r="RH376" s="10"/>
      <c r="RI376" s="10"/>
      <c r="RJ376" s="10"/>
      <c r="RK376" s="11"/>
      <c r="RL376" s="10"/>
      <c r="RM376" s="10"/>
      <c r="RN376" s="9"/>
      <c r="RO376" s="10"/>
      <c r="RP376" s="10"/>
      <c r="RQ376" s="10"/>
      <c r="RR376" s="10"/>
      <c r="RS376" s="10"/>
      <c r="RT376" s="10"/>
      <c r="RU376" s="10"/>
      <c r="RV376" s="10"/>
      <c r="RW376" s="10"/>
      <c r="RX376" s="10"/>
      <c r="RY376" s="11"/>
      <c r="SB376" s="13"/>
      <c r="SX376" s="12"/>
      <c r="TA376" s="12"/>
      <c r="TB376" s="10"/>
      <c r="TC376" s="10"/>
      <c r="TD376" s="10"/>
      <c r="TE376" s="10"/>
      <c r="TF376" s="10"/>
      <c r="TG376" s="10"/>
      <c r="TH376" s="10"/>
      <c r="TI376" s="10"/>
      <c r="TJ376" s="10"/>
      <c r="TK376" s="10"/>
      <c r="TL376" s="10"/>
      <c r="TM376" s="10"/>
      <c r="TN376" s="10"/>
      <c r="TO376" s="10"/>
      <c r="TP376" s="10"/>
      <c r="TQ376" s="10"/>
      <c r="TR376" s="10"/>
      <c r="TS376" s="10"/>
      <c r="TT376" s="10"/>
      <c r="TU376" s="10"/>
      <c r="TV376" s="10"/>
      <c r="TW376" s="10"/>
      <c r="TX376" s="10"/>
      <c r="TY376" s="10"/>
      <c r="TZ376" s="11"/>
      <c r="UA376" s="10"/>
      <c r="UB376" s="11"/>
      <c r="UC376" s="10"/>
      <c r="UD376" s="10"/>
      <c r="UE376" s="10"/>
      <c r="UF376" s="10"/>
      <c r="UG376" s="10"/>
      <c r="UH376" s="10"/>
      <c r="UI376" s="10"/>
      <c r="UJ376" s="10"/>
      <c r="UK376" s="10"/>
      <c r="UL376" s="10"/>
      <c r="UM376" s="10"/>
      <c r="UN376" s="10"/>
      <c r="UO376" s="10"/>
      <c r="UP376" s="10"/>
      <c r="UQ376" s="10"/>
      <c r="UR376" s="10"/>
      <c r="US376" s="10"/>
      <c r="UT376" s="9"/>
      <c r="UU376" s="11"/>
      <c r="UV376" s="10"/>
      <c r="UW376" s="10"/>
      <c r="UX376" s="10"/>
      <c r="UY376" s="10"/>
      <c r="UZ376" s="10"/>
      <c r="VA376" s="10"/>
      <c r="VB376" s="10"/>
      <c r="VC376" s="10"/>
      <c r="VD376" s="10"/>
      <c r="VE376" s="10"/>
      <c r="VF376" s="10"/>
      <c r="VG376" s="10"/>
      <c r="VH376" s="10"/>
      <c r="VI376" s="10"/>
      <c r="VJ376" s="10"/>
      <c r="VK376" s="10"/>
      <c r="VL376" s="10"/>
      <c r="VM376" s="10"/>
      <c r="VN376" s="10"/>
      <c r="VO376" s="10"/>
      <c r="VP376" s="10"/>
      <c r="VQ376" s="10"/>
      <c r="VR376" s="10"/>
      <c r="VS376" s="10"/>
      <c r="VT376" s="10"/>
      <c r="VU376" s="10"/>
      <c r="VV376" s="10"/>
      <c r="VW376" s="10"/>
      <c r="VX376" s="10"/>
      <c r="VY376" s="10"/>
      <c r="VZ376" s="10"/>
      <c r="WA376" s="10"/>
      <c r="WB376" s="10"/>
      <c r="WC376" s="10"/>
      <c r="WD376" s="10"/>
      <c r="WE376" s="10"/>
      <c r="WF376" s="10"/>
      <c r="WG376" s="10"/>
      <c r="WH376" s="10"/>
      <c r="WI376" s="10"/>
      <c r="WJ376" s="10"/>
      <c r="WK376" s="10"/>
      <c r="WL376" s="10"/>
      <c r="WM376" s="10"/>
      <c r="WN376" s="10"/>
      <c r="WO376" s="10"/>
      <c r="WP376" s="10"/>
      <c r="WQ376" s="11"/>
      <c r="WR376" s="97"/>
      <c r="WS376" s="97"/>
      <c r="WT376" s="98"/>
      <c r="AAL376" s="9"/>
      <c r="AAM376" s="10"/>
      <c r="AAN376" s="10"/>
      <c r="AAO376" s="10"/>
      <c r="AAP376" s="10"/>
      <c r="AAQ376" s="10"/>
      <c r="AAR376" s="10"/>
      <c r="AAS376" s="10"/>
      <c r="AAT376" s="10"/>
      <c r="AAU376" s="10"/>
      <c r="AAV376" s="10"/>
      <c r="AAW376" s="10"/>
      <c r="AAX376" s="10"/>
      <c r="AAY376" s="10"/>
      <c r="AAZ376" s="10"/>
      <c r="ABA376" s="10"/>
      <c r="ABB376" s="10"/>
      <c r="ABC376" s="10"/>
      <c r="ABD376" s="10"/>
      <c r="ABE376" s="10"/>
      <c r="ABF376" s="10"/>
      <c r="ABG376" s="10"/>
      <c r="ABH376" s="10"/>
      <c r="ABI376" s="10"/>
      <c r="ABJ376" s="10"/>
      <c r="ABK376" s="10"/>
      <c r="ABL376" s="10"/>
      <c r="ABM376" s="10"/>
      <c r="ABN376" s="10"/>
      <c r="ABO376" s="10"/>
      <c r="ABP376" s="10"/>
      <c r="ABQ376" s="10"/>
      <c r="ABR376" s="10"/>
      <c r="ABS376" s="10"/>
      <c r="ABT376" s="10"/>
      <c r="ABU376" s="10"/>
      <c r="ABV376" s="10"/>
      <c r="ABW376" s="10"/>
      <c r="ABX376" s="10"/>
      <c r="ABY376" s="10"/>
      <c r="ABZ376" s="10"/>
      <c r="ACA376" s="10"/>
      <c r="ACB376" s="10"/>
      <c r="ACC376" s="10"/>
      <c r="ACD376" s="10"/>
      <c r="ACE376" s="10"/>
      <c r="ACF376" s="10"/>
      <c r="ACG376" s="10"/>
      <c r="ACH376" s="10"/>
      <c r="ACI376" s="10"/>
      <c r="ACJ376" s="10"/>
      <c r="ACK376" s="10"/>
      <c r="ACL376" s="10"/>
      <c r="ACM376" s="10"/>
      <c r="ACN376" s="10"/>
      <c r="ACO376" s="10"/>
      <c r="ACP376" s="10"/>
      <c r="ACQ376" s="10"/>
      <c r="ACR376" s="10"/>
      <c r="ACS376" s="10"/>
      <c r="ACT376" s="10"/>
      <c r="ACU376" s="10"/>
      <c r="ACV376" s="10"/>
      <c r="ACW376" s="10"/>
      <c r="ACX376" s="10"/>
      <c r="ACY376" s="10"/>
      <c r="ACZ376" s="10"/>
      <c r="ADA376" s="10"/>
      <c r="ADB376" s="10"/>
      <c r="ADC376" s="10"/>
      <c r="ADD376" s="10"/>
      <c r="ADE376" s="10"/>
      <c r="ADF376" s="10"/>
      <c r="ADG376" s="10"/>
      <c r="ADH376" s="10"/>
      <c r="ADI376" s="10"/>
      <c r="ADJ376" s="10"/>
      <c r="ADK376" s="10"/>
      <c r="ADL376" s="10"/>
      <c r="ADM376" s="10"/>
      <c r="ADN376" s="10"/>
      <c r="ADO376" s="10"/>
      <c r="ADP376" s="10"/>
      <c r="ADQ376" s="10"/>
      <c r="ADR376" s="10"/>
      <c r="ADS376" s="10"/>
      <c r="ADT376" s="10"/>
      <c r="ADU376" s="10"/>
      <c r="ADV376" s="10"/>
      <c r="ADW376" s="10"/>
      <c r="ADX376" s="10"/>
      <c r="ADY376" s="10"/>
      <c r="ADZ376" s="10"/>
      <c r="AEA376" s="10"/>
      <c r="AEB376" s="10"/>
      <c r="AEC376" s="10"/>
      <c r="AED376" s="10"/>
      <c r="AEE376" s="10"/>
      <c r="AEF376" s="10"/>
      <c r="AEG376" s="10"/>
      <c r="AEH376" s="10"/>
      <c r="AEI376" s="10"/>
      <c r="AEJ376" s="10"/>
      <c r="AEK376" s="10"/>
      <c r="AEL376" s="10"/>
      <c r="AEM376" s="10"/>
      <c r="AEN376" s="10"/>
      <c r="AEO376" s="10"/>
      <c r="AEP376" s="10"/>
      <c r="AEQ376" s="10"/>
      <c r="AER376" s="10"/>
      <c r="AES376" s="10"/>
      <c r="AET376" s="11"/>
    </row>
    <row r="377" spans="34:826" ht="10.75" customHeight="1">
      <c r="AH377" s="12"/>
      <c r="AI377" s="12"/>
      <c r="AQ377" s="13"/>
      <c r="AR377" s="43"/>
      <c r="AS377" s="43"/>
      <c r="AT377" s="43"/>
      <c r="AU377" s="12"/>
      <c r="BI377" s="12"/>
      <c r="CF377" s="13"/>
      <c r="CV377" s="13"/>
      <c r="CX377" s="13"/>
      <c r="DA377" s="281"/>
      <c r="DB377" s="282"/>
      <c r="DC377" s="14"/>
      <c r="DD377" s="16"/>
      <c r="DE377" s="14"/>
      <c r="DF377" s="15"/>
      <c r="DG377" s="15"/>
      <c r="DH377" s="15"/>
      <c r="DI377" s="15"/>
      <c r="DJ377" s="15"/>
      <c r="DK377" s="15"/>
      <c r="DL377" s="16"/>
      <c r="EV377" s="13"/>
      <c r="EW377" s="43"/>
      <c r="EX377" s="43"/>
      <c r="EY377" s="45"/>
      <c r="HK377" s="12"/>
      <c r="HP377" s="12"/>
      <c r="HQ377" s="12"/>
      <c r="HZ377" s="13"/>
      <c r="IA377" s="18"/>
      <c r="ID377" s="12"/>
      <c r="IF377" s="14"/>
      <c r="IG377" s="15"/>
      <c r="IH377" s="15"/>
      <c r="II377" s="15"/>
      <c r="IJ377" s="15"/>
      <c r="IK377" s="15"/>
      <c r="IL377" s="15"/>
      <c r="IM377" s="16"/>
      <c r="IP377" s="12"/>
      <c r="IW377" s="13"/>
      <c r="JI377" s="13"/>
      <c r="JK377" s="13"/>
      <c r="JL377" s="12"/>
      <c r="KE377" s="12"/>
      <c r="KF377" s="13"/>
      <c r="MF377" s="13"/>
      <c r="MI377" s="13"/>
      <c r="MN377" s="13"/>
      <c r="MO377" s="13"/>
      <c r="MY377" s="13"/>
      <c r="NY377" s="12"/>
      <c r="OA377" s="13"/>
      <c r="PX377" s="12"/>
      <c r="PY377" s="13"/>
      <c r="PZ377" s="12"/>
      <c r="QW377" s="13"/>
      <c r="QX377" s="12"/>
      <c r="QZ377" s="12"/>
      <c r="RC377" s="14"/>
      <c r="RD377" s="15"/>
      <c r="RE377" s="15"/>
      <c r="RF377" s="15"/>
      <c r="RG377" s="16"/>
      <c r="RK377" s="13"/>
      <c r="RN377" s="12"/>
      <c r="RY377" s="13"/>
      <c r="SB377" s="13"/>
      <c r="SX377" s="12"/>
      <c r="TA377" s="12"/>
      <c r="TZ377" s="13"/>
      <c r="UB377" s="13"/>
      <c r="UT377" s="12"/>
      <c r="UU377" s="13"/>
      <c r="WQ377" s="13"/>
      <c r="WT377" s="13"/>
      <c r="AAL377" s="12"/>
      <c r="AET377" s="13"/>
    </row>
    <row r="378" spans="34:826" ht="10.75" customHeight="1">
      <c r="AH378" s="12"/>
      <c r="AI378" s="12"/>
      <c r="AQ378" s="13"/>
      <c r="AR378" s="97"/>
      <c r="AS378" s="97"/>
      <c r="AT378" s="97"/>
      <c r="AU378" s="12"/>
      <c r="BI378" s="12"/>
      <c r="CF378" s="13"/>
      <c r="CV378" s="98"/>
      <c r="CW378" s="97"/>
      <c r="CX378" s="98"/>
      <c r="DA378" s="281"/>
      <c r="DB378" s="282"/>
      <c r="DC378" s="282"/>
      <c r="DD378" s="282"/>
      <c r="DE378" s="282"/>
      <c r="DF378" s="282"/>
      <c r="DG378" s="282"/>
      <c r="DH378" s="282"/>
      <c r="DI378" s="282"/>
      <c r="DJ378" s="282"/>
      <c r="DK378" s="282"/>
      <c r="DL378" s="284"/>
      <c r="EV378" s="13"/>
      <c r="EW378" s="97"/>
      <c r="EX378" s="97"/>
      <c r="EY378" s="98"/>
      <c r="HK378" s="12"/>
      <c r="HP378" s="12"/>
      <c r="HQ378" s="12"/>
      <c r="HZ378" s="13"/>
      <c r="IA378" s="18"/>
      <c r="ID378" s="12"/>
      <c r="IF378" s="12"/>
      <c r="IM378" s="13"/>
      <c r="IP378" s="12"/>
      <c r="IW378" s="13"/>
      <c r="JI378" s="13"/>
      <c r="JK378" s="13"/>
      <c r="JL378" s="12"/>
      <c r="KE378" s="12"/>
      <c r="KF378" s="122"/>
      <c r="MF378" s="13"/>
      <c r="MI378" s="13"/>
      <c r="MN378" s="13"/>
      <c r="MO378" s="13"/>
      <c r="MY378" s="13"/>
      <c r="NY378" s="12"/>
      <c r="OA378" s="13"/>
      <c r="PX378" s="12"/>
      <c r="PY378" s="13"/>
      <c r="PZ378" s="12"/>
      <c r="QW378" s="13"/>
      <c r="QX378" s="12"/>
      <c r="QZ378" s="12"/>
      <c r="RC378" s="9"/>
      <c r="RD378" s="10"/>
      <c r="RE378" s="10"/>
      <c r="RF378" s="10"/>
      <c r="RG378" s="11"/>
      <c r="RK378" s="13"/>
      <c r="RN378" s="12"/>
      <c r="RY378" s="13"/>
      <c r="SB378" s="13"/>
      <c r="SX378" s="12"/>
      <c r="TA378" s="12"/>
      <c r="TZ378" s="13"/>
      <c r="UB378" s="13"/>
      <c r="UC378" s="12"/>
      <c r="UT378" s="12"/>
      <c r="UU378" s="13"/>
      <c r="WQ378" s="13"/>
      <c r="WT378" s="13"/>
      <c r="AAL378" s="12"/>
      <c r="AAO378" s="15"/>
      <c r="AAP378" s="15"/>
      <c r="AAQ378" s="15"/>
      <c r="AAR378" s="15"/>
      <c r="AAS378" s="15"/>
      <c r="AAT378" s="15"/>
      <c r="AAU378" s="15"/>
      <c r="AAV378" s="15"/>
      <c r="AAW378" s="15"/>
      <c r="AAX378" s="15"/>
      <c r="AET378" s="13"/>
    </row>
    <row r="379" spans="34:826" ht="10.75" customHeight="1">
      <c r="AH379" s="12"/>
      <c r="AI379" s="12"/>
      <c r="AQ379" s="13"/>
      <c r="AR379" s="97"/>
      <c r="AS379" s="97"/>
      <c r="AT379" s="97"/>
      <c r="AU379" s="12"/>
      <c r="BI379" s="12"/>
      <c r="CF379" s="13"/>
      <c r="CV379" s="98"/>
      <c r="CW379" s="97"/>
      <c r="CX379" s="98"/>
      <c r="DA379" s="285"/>
      <c r="DB379" s="286"/>
      <c r="DC379" s="286"/>
      <c r="DD379" s="286"/>
      <c r="DE379" s="286"/>
      <c r="DF379" s="286"/>
      <c r="DG379" s="286"/>
      <c r="DH379" s="286"/>
      <c r="DI379" s="286"/>
      <c r="DJ379" s="286"/>
      <c r="DK379" s="286"/>
      <c r="DL379" s="287"/>
      <c r="EV379" s="13"/>
      <c r="EW379" s="97"/>
      <c r="EX379" s="97"/>
      <c r="EY379" s="98"/>
      <c r="HK379" s="12"/>
      <c r="HP379" s="12"/>
      <c r="HQ379" s="12"/>
      <c r="HZ379" s="13"/>
      <c r="IA379" s="18"/>
      <c r="ID379" s="12"/>
      <c r="IF379" s="12"/>
      <c r="IM379" s="13"/>
      <c r="IP379" s="12"/>
      <c r="IW379" s="13"/>
      <c r="JI379" s="13"/>
      <c r="JK379" s="13"/>
      <c r="JL379" s="12"/>
      <c r="KE379" s="12"/>
      <c r="KF379" s="122"/>
      <c r="MF379" s="13"/>
      <c r="MI379" s="13"/>
      <c r="MN379" s="13"/>
      <c r="MO379" s="13"/>
      <c r="MY379" s="13"/>
      <c r="NY379" s="12"/>
      <c r="OA379" s="13"/>
      <c r="PX379" s="12"/>
      <c r="PY379" s="13"/>
      <c r="PZ379" s="12"/>
      <c r="QW379" s="13"/>
      <c r="QX379" s="12"/>
      <c r="QZ379" s="12"/>
      <c r="RC379" s="12"/>
      <c r="RG379" s="13"/>
      <c r="RK379" s="13"/>
      <c r="RN379" s="12"/>
      <c r="RY379" s="13"/>
      <c r="SB379" s="13"/>
      <c r="SX379" s="12"/>
      <c r="TA379" s="9"/>
      <c r="TB379" s="11"/>
      <c r="TC379" s="10"/>
      <c r="TD379" s="10"/>
      <c r="TE379" s="10"/>
      <c r="TF379" s="10"/>
      <c r="TG379" s="10"/>
      <c r="TH379" s="10"/>
      <c r="TI379" s="11"/>
      <c r="TZ379" s="13"/>
      <c r="UB379" s="13"/>
      <c r="UC379" s="9"/>
      <c r="UD379" s="11"/>
      <c r="UE379" s="10"/>
      <c r="UF379" s="10"/>
      <c r="UG379" s="10"/>
      <c r="UH379" s="10"/>
      <c r="UI379" s="10"/>
      <c r="UJ379" s="10"/>
      <c r="UK379" s="11"/>
      <c r="UT379" s="12"/>
      <c r="UU379" s="13"/>
      <c r="WQ379" s="13"/>
      <c r="WT379" s="13"/>
      <c r="AAL379" s="12"/>
      <c r="AAO379" s="9"/>
      <c r="AAP379" s="10"/>
      <c r="AAQ379" s="10"/>
      <c r="AAR379" s="10"/>
      <c r="AAS379" s="10"/>
      <c r="AAT379" s="10"/>
      <c r="AAU379" s="10"/>
      <c r="AAV379" s="10"/>
      <c r="AAW379" s="10"/>
      <c r="AAX379" s="10"/>
      <c r="AAY379" s="10"/>
      <c r="AAZ379" s="10"/>
      <c r="ABA379" s="10"/>
      <c r="ABB379" s="10"/>
      <c r="ABC379" s="10"/>
      <c r="ABD379" s="10"/>
      <c r="ABE379" s="10"/>
      <c r="ABF379" s="10"/>
      <c r="ABG379" s="10"/>
      <c r="ABH379" s="10"/>
      <c r="ABI379" s="10"/>
      <c r="ABJ379" s="10"/>
      <c r="ABK379" s="10"/>
      <c r="ABL379" s="10"/>
      <c r="ABM379" s="10"/>
      <c r="ABN379" s="10"/>
      <c r="ABO379" s="10"/>
      <c r="ABP379" s="10"/>
      <c r="ABQ379" s="10"/>
      <c r="ABR379" s="10"/>
      <c r="ABS379" s="10"/>
      <c r="ABT379" s="11"/>
      <c r="ABU379" s="10"/>
      <c r="ABV379" s="11"/>
      <c r="ABW379" s="9"/>
      <c r="ABX379" s="10"/>
      <c r="ABY379" s="10"/>
      <c r="ABZ379" s="10"/>
      <c r="ACA379" s="10"/>
      <c r="ACB379" s="10"/>
      <c r="ACC379" s="10"/>
      <c r="ACD379" s="10"/>
      <c r="ACE379" s="10"/>
      <c r="ACF379" s="10"/>
      <c r="ACG379" s="10"/>
      <c r="ACH379" s="10"/>
      <c r="ACI379" s="10"/>
      <c r="ACJ379" s="10"/>
      <c r="ACK379" s="10"/>
      <c r="ACL379" s="10"/>
      <c r="ACM379" s="10"/>
      <c r="ACN379" s="10"/>
      <c r="ACO379" s="11"/>
      <c r="ACP379" s="10"/>
      <c r="ACQ379" s="11"/>
      <c r="ACR379" s="9"/>
      <c r="ACS379" s="10"/>
      <c r="ACT379" s="10"/>
      <c r="ACU379" s="10"/>
      <c r="ACV379" s="10"/>
      <c r="ACW379" s="10"/>
      <c r="ACX379" s="10"/>
      <c r="ACY379" s="10"/>
      <c r="ACZ379" s="10"/>
      <c r="ADA379" s="10"/>
      <c r="ADB379" s="10"/>
      <c r="ADC379" s="10"/>
      <c r="ADD379" s="10"/>
      <c r="ADE379" s="10"/>
      <c r="ADF379" s="10"/>
      <c r="ADG379" s="10"/>
      <c r="ADH379" s="10"/>
      <c r="ADI379" s="10"/>
      <c r="ADJ379" s="10"/>
      <c r="ADK379" s="10"/>
      <c r="ADL379" s="10"/>
      <c r="ADM379" s="10"/>
      <c r="ADN379" s="10"/>
      <c r="ADO379" s="10"/>
      <c r="ADP379" s="10"/>
      <c r="ADQ379" s="10"/>
      <c r="ADR379" s="10"/>
      <c r="ADS379" s="10"/>
      <c r="ADT379" s="10"/>
      <c r="ADU379" s="10"/>
      <c r="ADV379" s="10"/>
      <c r="ADW379" s="10"/>
      <c r="ADX379" s="10"/>
      <c r="ADY379" s="10"/>
      <c r="ADZ379" s="10"/>
      <c r="AEA379" s="10"/>
      <c r="AEB379" s="10"/>
      <c r="AEC379" s="10"/>
      <c r="AED379" s="10"/>
      <c r="AEE379" s="10"/>
      <c r="AEF379" s="10"/>
      <c r="AEG379" s="10"/>
      <c r="AEH379" s="10"/>
      <c r="AEI379" s="10"/>
      <c r="AEJ379" s="10"/>
      <c r="AEK379" s="10"/>
      <c r="AEL379" s="10"/>
      <c r="AEM379" s="10"/>
      <c r="AEN379" s="10"/>
      <c r="AEO379" s="10"/>
      <c r="AEP379" s="10"/>
      <c r="AEQ379" s="11"/>
      <c r="AET379" s="13"/>
    </row>
    <row r="380" spans="34:826" ht="10.75" customHeight="1">
      <c r="AH380" s="12"/>
      <c r="AI380" s="12"/>
      <c r="AQ380" s="13"/>
      <c r="AR380" s="97"/>
      <c r="AS380" s="97"/>
      <c r="AT380" s="97"/>
      <c r="AU380" s="12"/>
      <c r="BI380" s="12"/>
      <c r="CF380" s="13"/>
      <c r="CV380" s="98"/>
      <c r="CW380" s="97"/>
      <c r="CX380" s="98"/>
      <c r="EV380" s="13"/>
      <c r="EW380" s="97"/>
      <c r="EX380" s="97"/>
      <c r="EY380" s="98"/>
      <c r="HK380" s="12"/>
      <c r="HP380" s="12"/>
      <c r="HQ380" s="9"/>
      <c r="HR380" s="10"/>
      <c r="HS380" s="10"/>
      <c r="HT380" s="10"/>
      <c r="HU380" s="10"/>
      <c r="HV380" s="10"/>
      <c r="HW380" s="10"/>
      <c r="HX380" s="10"/>
      <c r="HY380" s="10"/>
      <c r="HZ380" s="11"/>
      <c r="IA380" s="18"/>
      <c r="ID380" s="12"/>
      <c r="IF380" s="12"/>
      <c r="IM380" s="13"/>
      <c r="IP380" s="12"/>
      <c r="IW380" s="13"/>
      <c r="JI380" s="13"/>
      <c r="JK380" s="13"/>
      <c r="JL380" s="12"/>
      <c r="KE380" s="12"/>
      <c r="KF380" s="122"/>
      <c r="MF380" s="13"/>
      <c r="MI380" s="13"/>
      <c r="MN380" s="13"/>
      <c r="MO380" s="13"/>
      <c r="MY380" s="13"/>
      <c r="NY380" s="12"/>
      <c r="OA380" s="13"/>
      <c r="PX380" s="12"/>
      <c r="PY380" s="13"/>
      <c r="PZ380" s="9"/>
      <c r="QA380" s="11"/>
      <c r="QB380" s="10"/>
      <c r="QC380" s="10"/>
      <c r="QD380" s="10"/>
      <c r="QE380" s="10"/>
      <c r="QF380" s="10"/>
      <c r="QG380" s="10"/>
      <c r="QH380" s="11"/>
      <c r="QW380" s="13"/>
      <c r="QX380" s="12"/>
      <c r="QZ380" s="12"/>
      <c r="RC380" s="12"/>
      <c r="RG380" s="13"/>
      <c r="RK380" s="13"/>
      <c r="RN380" s="12"/>
      <c r="RY380" s="13"/>
      <c r="SB380" s="13"/>
      <c r="SX380" s="12"/>
      <c r="TA380" s="12"/>
      <c r="TB380" s="13"/>
      <c r="TI380" s="13"/>
      <c r="TZ380" s="13"/>
      <c r="UB380" s="13"/>
      <c r="UC380" s="12"/>
      <c r="UD380" s="13"/>
      <c r="UK380" s="13"/>
      <c r="UT380" s="12"/>
      <c r="UU380" s="13"/>
      <c r="WQ380" s="13"/>
      <c r="WT380" s="13"/>
      <c r="AAL380" s="12"/>
      <c r="AAO380" s="12"/>
      <c r="ABT380" s="13"/>
      <c r="ABV380" s="13"/>
      <c r="ABW380" s="12"/>
      <c r="ACO380" s="13"/>
      <c r="ACQ380" s="13"/>
      <c r="ACR380" s="12"/>
      <c r="AEQ380" s="13"/>
      <c r="AET380" s="13"/>
    </row>
    <row r="381" spans="34:826" ht="10.75" customHeight="1">
      <c r="AH381" s="12"/>
      <c r="AI381" s="12"/>
      <c r="AQ381" s="13"/>
      <c r="AR381" s="60"/>
      <c r="AS381" s="60"/>
      <c r="AT381" s="60"/>
      <c r="AU381" s="12"/>
      <c r="BI381" s="12"/>
      <c r="CF381" s="13"/>
      <c r="CV381" s="98"/>
      <c r="CW381" s="97"/>
      <c r="CX381" s="98"/>
      <c r="EV381" s="13"/>
      <c r="EW381" s="97"/>
      <c r="EX381" s="97"/>
      <c r="EY381" s="98"/>
      <c r="HK381" s="12"/>
      <c r="HP381" s="12"/>
      <c r="HQ381" s="12"/>
      <c r="HZ381" s="13"/>
      <c r="IA381" s="18"/>
      <c r="ID381" s="12"/>
      <c r="IF381" s="12"/>
      <c r="IM381" s="13"/>
      <c r="IP381" s="14"/>
      <c r="IQ381" s="15"/>
      <c r="IR381" s="15"/>
      <c r="IS381" s="15"/>
      <c r="IT381" s="15"/>
      <c r="IU381" s="15"/>
      <c r="IV381" s="15"/>
      <c r="IW381" s="16"/>
      <c r="JI381" s="13"/>
      <c r="JK381" s="13"/>
      <c r="JL381" s="12"/>
      <c r="KE381" s="12"/>
      <c r="KF381" s="122"/>
      <c r="MF381" s="13"/>
      <c r="MI381" s="13"/>
      <c r="MN381" s="13"/>
      <c r="MO381" s="13"/>
      <c r="MY381" s="13"/>
      <c r="NY381" s="12"/>
      <c r="OA381" s="13"/>
      <c r="PX381" s="12"/>
      <c r="PY381" s="13"/>
      <c r="PZ381" s="12"/>
      <c r="QA381" s="13"/>
      <c r="QH381" s="13"/>
      <c r="QW381" s="13"/>
      <c r="QX381" s="12"/>
      <c r="QZ381" s="12"/>
      <c r="RC381" s="12"/>
      <c r="RG381" s="13"/>
      <c r="RK381" s="13"/>
      <c r="RN381" s="12"/>
      <c r="RY381" s="13"/>
      <c r="SB381" s="13"/>
      <c r="SX381" s="12"/>
      <c r="TA381" s="12"/>
      <c r="TB381" s="13"/>
      <c r="TI381" s="13"/>
      <c r="TZ381" s="13"/>
      <c r="UB381" s="13"/>
      <c r="UC381" s="12"/>
      <c r="UD381" s="13"/>
      <c r="UK381" s="13"/>
      <c r="UT381" s="12"/>
      <c r="UU381" s="13"/>
      <c r="WQ381" s="13"/>
      <c r="WT381" s="13"/>
      <c r="AAL381" s="12"/>
      <c r="AAO381" s="12"/>
      <c r="ABT381" s="13"/>
      <c r="ABV381" s="13"/>
      <c r="ABW381" s="12"/>
      <c r="ACO381" s="13"/>
      <c r="ACQ381" s="13"/>
      <c r="ACR381" s="12"/>
      <c r="AEQ381" s="13"/>
      <c r="AET381" s="13"/>
    </row>
    <row r="382" spans="34:826" ht="10.75" customHeight="1">
      <c r="AH382" s="9"/>
      <c r="AI382" s="9"/>
      <c r="AJ382" s="10"/>
      <c r="AK382" s="10"/>
      <c r="AL382" s="10"/>
      <c r="AM382" s="10"/>
      <c r="AN382" s="10"/>
      <c r="AO382" s="10"/>
      <c r="AP382" s="10"/>
      <c r="AQ382" s="11"/>
      <c r="AR382" s="43"/>
      <c r="AS382" s="43"/>
      <c r="AT382" s="43"/>
      <c r="AU382" s="12"/>
      <c r="BI382" s="12"/>
      <c r="CF382" s="13"/>
      <c r="CV382" s="13"/>
      <c r="CX382" s="13"/>
      <c r="EV382" s="13"/>
      <c r="EW382" s="43"/>
      <c r="EX382" s="43"/>
      <c r="EY382" s="45"/>
      <c r="HK382" s="12"/>
      <c r="HP382" s="12"/>
      <c r="HQ382" s="12"/>
      <c r="HZ382" s="13"/>
      <c r="IA382" s="18"/>
      <c r="ID382" s="12"/>
      <c r="IF382" s="12"/>
      <c r="IM382" s="13"/>
      <c r="JI382" s="13"/>
      <c r="JK382" s="13"/>
      <c r="JL382" s="12"/>
      <c r="KE382" s="12"/>
      <c r="KF382" s="122"/>
      <c r="MF382" s="13"/>
      <c r="MI382" s="13"/>
      <c r="MN382" s="13"/>
      <c r="MO382" s="13"/>
      <c r="MY382" s="13"/>
      <c r="NY382" s="12"/>
      <c r="OA382" s="13"/>
      <c r="PX382" s="12"/>
      <c r="PY382" s="13"/>
      <c r="PZ382" s="12"/>
      <c r="QA382" s="13"/>
      <c r="QH382" s="13"/>
      <c r="QW382" s="13"/>
      <c r="QX382" s="12"/>
      <c r="QZ382" s="12"/>
      <c r="RC382" s="12"/>
      <c r="RG382" s="13"/>
      <c r="RK382" s="13"/>
      <c r="RN382" s="12"/>
      <c r="RY382" s="13"/>
      <c r="SB382" s="13"/>
      <c r="SX382" s="12"/>
      <c r="TA382" s="12"/>
      <c r="TB382" s="13"/>
      <c r="TI382" s="13"/>
      <c r="TZ382" s="13"/>
      <c r="UB382" s="13"/>
      <c r="UC382" s="12"/>
      <c r="UD382" s="13"/>
      <c r="UK382" s="13"/>
      <c r="UT382" s="12"/>
      <c r="UU382" s="13"/>
      <c r="WQ382" s="13"/>
      <c r="WT382" s="13"/>
      <c r="AAL382" s="12"/>
      <c r="AAO382" s="12"/>
      <c r="ABT382" s="13"/>
      <c r="ABV382" s="13"/>
      <c r="ABW382" s="12"/>
      <c r="ACO382" s="13"/>
      <c r="ACQ382" s="13"/>
      <c r="ACR382" s="12"/>
      <c r="AEQ382" s="13"/>
      <c r="AET382" s="13"/>
    </row>
    <row r="383" spans="34:826" ht="10.75" customHeight="1">
      <c r="AH383" s="12"/>
      <c r="AI383" s="12"/>
      <c r="AQ383" s="13"/>
      <c r="AR383" s="43"/>
      <c r="AS383" s="43"/>
      <c r="AT383" s="43"/>
      <c r="AU383" s="12"/>
      <c r="BI383" s="12"/>
      <c r="CF383" s="13"/>
      <c r="CV383" s="13"/>
      <c r="CX383" s="13"/>
      <c r="EV383" s="13"/>
      <c r="EW383" s="43"/>
      <c r="EX383" s="43"/>
      <c r="EY383" s="45"/>
      <c r="HK383" s="12"/>
      <c r="HP383" s="12"/>
      <c r="HQ383" s="14"/>
      <c r="HR383" s="15"/>
      <c r="HS383" s="15"/>
      <c r="HT383" s="15"/>
      <c r="HU383" s="15"/>
      <c r="HV383" s="15"/>
      <c r="HW383" s="15"/>
      <c r="HX383" s="15"/>
      <c r="HY383" s="15"/>
      <c r="HZ383" s="16"/>
      <c r="IA383" s="18"/>
      <c r="ID383" s="12"/>
      <c r="IF383" s="12"/>
      <c r="IM383" s="13"/>
      <c r="JI383" s="13"/>
      <c r="JK383" s="13"/>
      <c r="JL383" s="12"/>
      <c r="KE383" s="12"/>
      <c r="KF383" s="122"/>
      <c r="MF383" s="13"/>
      <c r="MI383" s="13"/>
      <c r="MN383" s="13"/>
      <c r="MO383" s="13"/>
      <c r="MY383" s="13"/>
      <c r="NY383" s="12"/>
      <c r="OA383" s="13"/>
      <c r="PX383" s="12"/>
      <c r="PY383" s="13"/>
      <c r="PZ383" s="12"/>
      <c r="QA383" s="13"/>
      <c r="QH383" s="13"/>
      <c r="QW383" s="13"/>
      <c r="QX383" s="12"/>
      <c r="QZ383" s="12"/>
      <c r="RC383" s="12"/>
      <c r="RG383" s="13"/>
      <c r="RK383" s="13"/>
      <c r="RN383" s="12"/>
      <c r="RY383" s="13"/>
      <c r="SB383" s="13"/>
      <c r="SX383" s="12"/>
      <c r="TA383" s="14"/>
      <c r="TB383" s="16"/>
      <c r="TC383" s="15"/>
      <c r="TD383" s="15"/>
      <c r="TE383" s="15"/>
      <c r="TF383" s="15"/>
      <c r="TG383" s="15"/>
      <c r="TH383" s="15"/>
      <c r="TI383" s="16"/>
      <c r="TZ383" s="13"/>
      <c r="UB383" s="13"/>
      <c r="UC383" s="14"/>
      <c r="UD383" s="16"/>
      <c r="UE383" s="15"/>
      <c r="UF383" s="15"/>
      <c r="UG383" s="15"/>
      <c r="UH383" s="15"/>
      <c r="UI383" s="15"/>
      <c r="UJ383" s="15"/>
      <c r="UK383" s="16"/>
      <c r="UT383" s="12"/>
      <c r="UU383" s="13"/>
      <c r="WQ383" s="13"/>
      <c r="WT383" s="13"/>
      <c r="AAL383" s="12"/>
      <c r="AAO383" s="12"/>
      <c r="ABT383" s="13"/>
      <c r="ABV383" s="13"/>
      <c r="ABW383" s="12"/>
      <c r="ACO383" s="13"/>
      <c r="ACQ383" s="13"/>
      <c r="ACR383" s="12"/>
      <c r="AEQ383" s="13"/>
      <c r="AET383" s="13"/>
    </row>
    <row r="384" spans="34:826" ht="10.75" customHeight="1">
      <c r="AH384" s="12"/>
      <c r="AI384" s="12"/>
      <c r="AQ384" s="13"/>
      <c r="AR384" s="43"/>
      <c r="AS384" s="43"/>
      <c r="AT384" s="43"/>
      <c r="AU384" s="12"/>
      <c r="BI384" s="12"/>
      <c r="CF384" s="13"/>
      <c r="CV384" s="13"/>
      <c r="CX384" s="13"/>
      <c r="EV384" s="13"/>
      <c r="EW384" s="43"/>
      <c r="EX384" s="43"/>
      <c r="EY384" s="45"/>
      <c r="HK384" s="12"/>
      <c r="HP384" s="12"/>
      <c r="HQ384" s="12"/>
      <c r="HZ384" s="13"/>
      <c r="IA384" s="18"/>
      <c r="ID384" s="12"/>
      <c r="IF384" s="12"/>
      <c r="IM384" s="13"/>
      <c r="JI384" s="13"/>
      <c r="JK384" s="13"/>
      <c r="JL384" s="12"/>
      <c r="KE384" s="12"/>
      <c r="KF384" s="122"/>
      <c r="MF384" s="13"/>
      <c r="MI384" s="13"/>
      <c r="MN384" s="13"/>
      <c r="MO384" s="13"/>
      <c r="MY384" s="13"/>
      <c r="NY384" s="12"/>
      <c r="OA384" s="13"/>
      <c r="PX384" s="17"/>
      <c r="PY384" s="13"/>
      <c r="PZ384" s="14"/>
      <c r="QA384" s="16"/>
      <c r="QB384" s="15"/>
      <c r="QC384" s="15"/>
      <c r="QD384" s="15"/>
      <c r="QE384" s="15"/>
      <c r="QF384" s="15"/>
      <c r="QG384" s="15"/>
      <c r="QH384" s="16"/>
      <c r="QW384" s="13"/>
      <c r="QX384" s="12"/>
      <c r="QZ384" s="12"/>
      <c r="RC384" s="14"/>
      <c r="RD384" s="15"/>
      <c r="RE384" s="15"/>
      <c r="RF384" s="15"/>
      <c r="RG384" s="16"/>
      <c r="RK384" s="13"/>
      <c r="RM384" s="17"/>
      <c r="RN384" s="12"/>
      <c r="RY384" s="13"/>
      <c r="SB384" s="13"/>
      <c r="SX384" s="12"/>
      <c r="TA384" s="12"/>
      <c r="TZ384" s="13"/>
      <c r="UB384" s="13"/>
      <c r="UC384" s="12"/>
      <c r="UT384" s="12"/>
      <c r="UU384" s="13"/>
      <c r="WQ384" s="13"/>
      <c r="WT384" s="13"/>
      <c r="AAL384" s="12"/>
      <c r="AAO384" s="12"/>
      <c r="ABT384" s="13"/>
      <c r="ABV384" s="13"/>
      <c r="ABW384" s="12"/>
      <c r="ACO384" s="13"/>
      <c r="ACQ384" s="13"/>
      <c r="ACR384" s="12"/>
      <c r="AEQ384" s="13"/>
      <c r="AET384" s="13"/>
    </row>
    <row r="385" spans="34:826" ht="10.75" customHeight="1">
      <c r="AH385" s="14"/>
      <c r="AI385" s="14"/>
      <c r="AJ385" s="15"/>
      <c r="AK385" s="15"/>
      <c r="AL385" s="15"/>
      <c r="AM385" s="15"/>
      <c r="AN385" s="15"/>
      <c r="AO385" s="15"/>
      <c r="AP385" s="15"/>
      <c r="AQ385" s="16"/>
      <c r="AR385" s="43"/>
      <c r="AS385" s="43"/>
      <c r="AT385" s="43"/>
      <c r="AU385" s="12"/>
      <c r="BI385" s="12"/>
      <c r="CF385" s="13"/>
      <c r="CV385" s="13"/>
      <c r="CX385" s="13"/>
      <c r="EV385" s="13"/>
      <c r="EW385" s="43"/>
      <c r="EX385" s="43"/>
      <c r="EY385" s="45"/>
      <c r="HK385" s="12"/>
      <c r="HO385" s="13"/>
      <c r="HP385" s="12"/>
      <c r="HQ385" s="12"/>
      <c r="HZ385" s="13"/>
      <c r="IA385" s="18"/>
      <c r="ID385" s="12"/>
      <c r="IF385" s="14"/>
      <c r="IG385" s="15"/>
      <c r="IH385" s="15"/>
      <c r="II385" s="15"/>
      <c r="IJ385" s="15"/>
      <c r="IK385" s="15"/>
      <c r="IL385" s="15"/>
      <c r="IM385" s="16"/>
      <c r="JI385" s="13"/>
      <c r="JK385" s="13"/>
      <c r="JL385" s="12"/>
      <c r="KE385" s="12"/>
      <c r="KF385" s="122"/>
      <c r="MF385" s="13"/>
      <c r="MI385" s="13"/>
      <c r="MN385" s="13"/>
      <c r="MO385" s="13"/>
      <c r="MY385" s="13"/>
      <c r="NY385" s="12"/>
      <c r="OA385" s="13"/>
      <c r="PX385" s="18"/>
      <c r="PY385" s="13"/>
      <c r="PZ385" s="12"/>
      <c r="QW385" s="13"/>
      <c r="QX385" s="12"/>
      <c r="QZ385" s="12"/>
      <c r="RK385" s="13"/>
      <c r="RM385" s="18"/>
      <c r="RN385" s="12"/>
      <c r="RY385" s="13"/>
      <c r="SB385" s="13"/>
      <c r="SX385" s="12"/>
      <c r="TA385" s="12"/>
      <c r="TZ385" s="13"/>
      <c r="UB385" s="13"/>
      <c r="UC385" s="12"/>
      <c r="UT385" s="12"/>
      <c r="UU385" s="13"/>
      <c r="WQ385" s="13"/>
      <c r="WT385" s="13"/>
      <c r="AAL385" s="12"/>
      <c r="AAO385" s="12"/>
      <c r="ABT385" s="13"/>
      <c r="ABV385" s="13"/>
      <c r="ABW385" s="12"/>
      <c r="ACO385" s="13"/>
      <c r="ACQ385" s="13"/>
      <c r="ACR385" s="12"/>
      <c r="AEQ385" s="13"/>
      <c r="AET385" s="13"/>
    </row>
    <row r="386" spans="34:826" ht="10.75" customHeight="1">
      <c r="AH386" s="9"/>
      <c r="AI386" s="9"/>
      <c r="AJ386" s="10"/>
      <c r="AK386" s="10"/>
      <c r="AL386" s="10"/>
      <c r="AM386" s="10"/>
      <c r="AN386" s="10"/>
      <c r="AO386" s="10"/>
      <c r="AP386" s="10"/>
      <c r="AQ386" s="11"/>
      <c r="AR386" s="43"/>
      <c r="AS386" s="43"/>
      <c r="AT386" s="43"/>
      <c r="AU386" s="12"/>
      <c r="BI386" s="12"/>
      <c r="CF386" s="13"/>
      <c r="CV386" s="13"/>
      <c r="CX386" s="13"/>
      <c r="EV386" s="13"/>
      <c r="EW386" s="43"/>
      <c r="EX386" s="43"/>
      <c r="EY386" s="45"/>
      <c r="HK386" s="12"/>
      <c r="HO386" s="13"/>
      <c r="HP386" s="12"/>
      <c r="HQ386" s="12"/>
      <c r="HZ386" s="13"/>
      <c r="IA386" s="18"/>
      <c r="ID386" s="12"/>
      <c r="JI386" s="13"/>
      <c r="JK386" s="13"/>
      <c r="JL386" s="12"/>
      <c r="KE386" s="12"/>
      <c r="KF386" s="122"/>
      <c r="MF386" s="13"/>
      <c r="MI386" s="13"/>
      <c r="MN386" s="13"/>
      <c r="MO386" s="13"/>
      <c r="MY386" s="13"/>
      <c r="NY386" s="12"/>
      <c r="OA386" s="13"/>
      <c r="PX386" s="18"/>
      <c r="PY386" s="13"/>
      <c r="PZ386" s="12"/>
      <c r="QW386" s="13"/>
      <c r="QX386" s="12"/>
      <c r="QZ386" s="12"/>
      <c r="RK386" s="13"/>
      <c r="RM386" s="18"/>
      <c r="RN386" s="12"/>
      <c r="RY386" s="13"/>
      <c r="SB386" s="13"/>
      <c r="SX386" s="12"/>
      <c r="TA386" s="9"/>
      <c r="TB386" s="11"/>
      <c r="TC386" s="10"/>
      <c r="TD386" s="10"/>
      <c r="TE386" s="10"/>
      <c r="TF386" s="11"/>
      <c r="TZ386" s="13"/>
      <c r="UB386" s="13"/>
      <c r="UC386" s="9"/>
      <c r="UD386" s="11"/>
      <c r="UE386" s="10"/>
      <c r="UF386" s="10"/>
      <c r="UG386" s="10"/>
      <c r="UH386" s="11"/>
      <c r="UT386" s="12"/>
      <c r="UU386" s="13"/>
      <c r="WQ386" s="13"/>
      <c r="WT386" s="13"/>
      <c r="AAL386" s="12"/>
      <c r="AAO386" s="12"/>
      <c r="ABT386" s="13"/>
      <c r="ABV386" s="13"/>
      <c r="ABW386" s="12"/>
      <c r="ACO386" s="13"/>
      <c r="ACQ386" s="13"/>
      <c r="ACR386" s="12"/>
      <c r="AEQ386" s="13"/>
      <c r="AET386" s="13"/>
    </row>
    <row r="387" spans="34:826" ht="10.75" customHeight="1">
      <c r="AH387" s="12"/>
      <c r="AI387" s="12"/>
      <c r="AQ387" s="13"/>
      <c r="AR387" s="43"/>
      <c r="AS387" s="43"/>
      <c r="AT387" s="43"/>
      <c r="AU387" s="14"/>
      <c r="AV387" s="15"/>
      <c r="AW387" s="15"/>
      <c r="AX387" s="15"/>
      <c r="AY387" s="15"/>
      <c r="AZ387" s="15"/>
      <c r="BA387" s="15"/>
      <c r="BB387" s="15"/>
      <c r="BC387" s="15"/>
      <c r="BD387" s="15"/>
      <c r="BE387" s="15"/>
      <c r="BF387" s="15"/>
      <c r="BG387" s="15"/>
      <c r="BH387" s="15"/>
      <c r="BI387" s="14"/>
      <c r="BJ387" s="15"/>
      <c r="BK387" s="15"/>
      <c r="BL387" s="15"/>
      <c r="BM387" s="15"/>
      <c r="BN387" s="15"/>
      <c r="BO387" s="15"/>
      <c r="BP387" s="15"/>
      <c r="BQ387" s="15"/>
      <c r="BR387" s="15"/>
      <c r="BS387" s="15"/>
      <c r="BT387" s="15"/>
      <c r="BU387" s="15"/>
      <c r="BV387" s="15"/>
      <c r="BW387" s="15"/>
      <c r="BX387" s="15"/>
      <c r="BY387" s="15"/>
      <c r="BZ387" s="15"/>
      <c r="CA387" s="15"/>
      <c r="CB387" s="15"/>
      <c r="CC387" s="15"/>
      <c r="CD387" s="15"/>
      <c r="CE387" s="15"/>
      <c r="CF387" s="16"/>
      <c r="CG387" s="15"/>
      <c r="CH387" s="15"/>
      <c r="CI387" s="15"/>
      <c r="CJ387" s="15"/>
      <c r="CK387" s="15"/>
      <c r="CL387" s="15"/>
      <c r="CM387" s="15"/>
      <c r="CN387" s="15"/>
      <c r="CO387" s="15"/>
      <c r="CP387" s="15"/>
      <c r="CQ387" s="15"/>
      <c r="CR387" s="15"/>
      <c r="CS387" s="15"/>
      <c r="CT387" s="15"/>
      <c r="CU387" s="15"/>
      <c r="CV387" s="16"/>
      <c r="CX387" s="13"/>
      <c r="EV387" s="13"/>
      <c r="EW387" s="43"/>
      <c r="EX387" s="43"/>
      <c r="EY387" s="45"/>
      <c r="HK387" s="12"/>
      <c r="HO387" s="13"/>
      <c r="HP387" s="12"/>
      <c r="HQ387" s="12"/>
      <c r="HZ387" s="13"/>
      <c r="IA387" s="18"/>
      <c r="ID387" s="12"/>
      <c r="JI387" s="13"/>
      <c r="JK387" s="13"/>
      <c r="JL387" s="12"/>
      <c r="KE387" s="12"/>
      <c r="KF387" s="122"/>
      <c r="MF387" s="13"/>
      <c r="MI387" s="13"/>
      <c r="MN387" s="13"/>
      <c r="MO387" s="13"/>
      <c r="MY387" s="13"/>
      <c r="NY387" s="12"/>
      <c r="OA387" s="13"/>
      <c r="PX387" s="18"/>
      <c r="PY387" s="13"/>
      <c r="PZ387" s="9"/>
      <c r="QA387" s="11"/>
      <c r="QB387" s="10"/>
      <c r="QC387" s="10"/>
      <c r="QD387" s="10"/>
      <c r="QE387" s="11"/>
      <c r="QW387" s="13"/>
      <c r="QX387" s="12"/>
      <c r="QZ387" s="12"/>
      <c r="RK387" s="13"/>
      <c r="RM387" s="18"/>
      <c r="RN387" s="12"/>
      <c r="RY387" s="13"/>
      <c r="SB387" s="13"/>
      <c r="SX387" s="12"/>
      <c r="TA387" s="12"/>
      <c r="TB387" s="13"/>
      <c r="TF387" s="13"/>
      <c r="TZ387" s="13"/>
      <c r="UB387" s="13"/>
      <c r="UC387" s="12"/>
      <c r="UD387" s="13"/>
      <c r="UH387" s="13"/>
      <c r="UT387" s="12"/>
      <c r="UU387" s="13"/>
      <c r="WQ387" s="13"/>
      <c r="WT387" s="13"/>
      <c r="AAL387" s="12"/>
      <c r="AAO387" s="12"/>
      <c r="ABT387" s="13"/>
      <c r="ABV387" s="13"/>
      <c r="ABW387" s="12"/>
      <c r="ACO387" s="13"/>
      <c r="ACQ387" s="13"/>
      <c r="ACR387" s="12"/>
      <c r="AEQ387" s="13"/>
      <c r="AET387" s="13"/>
    </row>
    <row r="388" spans="34:826" ht="10.75" customHeight="1">
      <c r="AH388" s="12"/>
      <c r="AI388" s="12"/>
      <c r="AQ388" s="13"/>
      <c r="AR388" s="43"/>
      <c r="AS388" s="43"/>
      <c r="AT388" s="43"/>
      <c r="AU388" s="9"/>
      <c r="AV388" s="10"/>
      <c r="AW388" s="10"/>
      <c r="AX388" s="10"/>
      <c r="AY388" s="10"/>
      <c r="AZ388" s="10"/>
      <c r="BA388" s="10"/>
      <c r="BB388" s="10"/>
      <c r="BC388" s="10"/>
      <c r="BD388" s="10"/>
      <c r="BE388" s="10"/>
      <c r="BF388" s="10"/>
      <c r="BG388" s="10"/>
      <c r="BH388" s="10"/>
      <c r="BI388" s="10"/>
      <c r="BJ388" s="10"/>
      <c r="BK388" s="10"/>
      <c r="BL388" s="10"/>
      <c r="BM388" s="10"/>
      <c r="BN388" s="10"/>
      <c r="BO388" s="10"/>
      <c r="BP388" s="10"/>
      <c r="BQ388" s="10"/>
      <c r="BR388" s="10"/>
      <c r="BS388" s="10"/>
      <c r="BT388" s="10"/>
      <c r="BU388" s="10"/>
      <c r="BV388" s="10"/>
      <c r="BW388" s="10"/>
      <c r="BX388" s="10"/>
      <c r="BY388" s="10"/>
      <c r="BZ388" s="10"/>
      <c r="CA388" s="10"/>
      <c r="CB388" s="10"/>
      <c r="CC388" s="10"/>
      <c r="CD388" s="10"/>
      <c r="CE388" s="10"/>
      <c r="CF388" s="10"/>
      <c r="CG388" s="10"/>
      <c r="CH388" s="10"/>
      <c r="CI388" s="10"/>
      <c r="CJ388" s="10"/>
      <c r="CK388" s="10"/>
      <c r="CL388" s="10"/>
      <c r="CM388" s="10"/>
      <c r="CN388" s="10"/>
      <c r="CO388" s="10"/>
      <c r="CP388" s="10"/>
      <c r="CQ388" s="10"/>
      <c r="CR388" s="10"/>
      <c r="CS388" s="10"/>
      <c r="CT388" s="10"/>
      <c r="CU388" s="10"/>
      <c r="CV388" s="10"/>
      <c r="CX388" s="13"/>
      <c r="EV388" s="13"/>
      <c r="EW388" s="43"/>
      <c r="EX388" s="43"/>
      <c r="EY388" s="45"/>
      <c r="HK388" s="12"/>
      <c r="HO388" s="13"/>
      <c r="HP388" s="12"/>
      <c r="HQ388" s="9"/>
      <c r="HR388" s="10"/>
      <c r="HS388" s="10"/>
      <c r="HT388" s="10"/>
      <c r="HU388" s="10"/>
      <c r="HV388" s="10"/>
      <c r="HW388" s="10"/>
      <c r="HX388" s="10"/>
      <c r="HY388" s="10"/>
      <c r="HZ388" s="11"/>
      <c r="IA388" s="18"/>
      <c r="ID388" s="12"/>
      <c r="JI388" s="13"/>
      <c r="JK388" s="13"/>
      <c r="JL388" s="12"/>
      <c r="KE388" s="12"/>
      <c r="KF388" s="13"/>
      <c r="MF388" s="13"/>
      <c r="MI388" s="13"/>
      <c r="MN388" s="13"/>
      <c r="MO388" s="13"/>
      <c r="MY388" s="13"/>
      <c r="NY388" s="12"/>
      <c r="OA388" s="13"/>
      <c r="PX388" s="18"/>
      <c r="PY388" s="13"/>
      <c r="PZ388" s="12"/>
      <c r="QA388" s="13"/>
      <c r="QE388" s="13"/>
      <c r="QW388" s="13"/>
      <c r="QX388" s="12"/>
      <c r="QZ388" s="12"/>
      <c r="RK388" s="13"/>
      <c r="RM388" s="18"/>
      <c r="RN388" s="12"/>
      <c r="RY388" s="13"/>
      <c r="SB388" s="13"/>
      <c r="SX388" s="12"/>
      <c r="TA388" s="12"/>
      <c r="TB388" s="13"/>
      <c r="TF388" s="13"/>
      <c r="TZ388" s="13"/>
      <c r="UB388" s="13"/>
      <c r="UC388" s="12"/>
      <c r="UD388" s="13"/>
      <c r="UH388" s="13"/>
      <c r="UT388" s="12"/>
      <c r="UU388" s="13"/>
      <c r="WQ388" s="13"/>
      <c r="WT388" s="13"/>
      <c r="AAL388" s="12"/>
      <c r="AAO388" s="12"/>
      <c r="ABT388" s="13"/>
      <c r="ABV388" s="13"/>
      <c r="ABW388" s="12"/>
      <c r="ACO388" s="13"/>
      <c r="ACQ388" s="13"/>
      <c r="ACR388" s="12"/>
      <c r="AEQ388" s="13"/>
      <c r="AET388" s="13"/>
    </row>
    <row r="389" spans="34:826" ht="10.75" customHeight="1">
      <c r="AH389" s="14"/>
      <c r="AI389" s="14"/>
      <c r="AJ389" s="15"/>
      <c r="AK389" s="15"/>
      <c r="AL389" s="15"/>
      <c r="AM389" s="15"/>
      <c r="AN389" s="15"/>
      <c r="AO389" s="15"/>
      <c r="AP389" s="15"/>
      <c r="AQ389" s="16"/>
      <c r="AR389" s="43"/>
      <c r="AS389" s="43"/>
      <c r="AT389" s="43"/>
      <c r="AU389" s="14"/>
      <c r="AV389" s="15"/>
      <c r="AW389" s="15"/>
      <c r="AX389" s="15"/>
      <c r="AY389" s="15"/>
      <c r="AZ389" s="15"/>
      <c r="BA389" s="15"/>
      <c r="BB389" s="15"/>
      <c r="BC389" s="15"/>
      <c r="BD389" s="15"/>
      <c r="BE389" s="15"/>
      <c r="BF389" s="15"/>
      <c r="BG389" s="15"/>
      <c r="BH389" s="15"/>
      <c r="BI389" s="15"/>
      <c r="BJ389" s="15"/>
      <c r="BK389" s="15"/>
      <c r="BL389" s="15"/>
      <c r="BM389" s="15"/>
      <c r="BN389" s="15"/>
      <c r="BO389" s="15"/>
      <c r="BP389" s="15"/>
      <c r="BQ389" s="15"/>
      <c r="BR389" s="15"/>
      <c r="BS389" s="15"/>
      <c r="BT389" s="15"/>
      <c r="BU389" s="15"/>
      <c r="BV389" s="15"/>
      <c r="BW389" s="15"/>
      <c r="BX389" s="15"/>
      <c r="BY389" s="15"/>
      <c r="BZ389" s="15"/>
      <c r="CA389" s="15"/>
      <c r="CB389" s="15"/>
      <c r="CC389" s="15"/>
      <c r="CD389" s="15"/>
      <c r="CE389" s="15"/>
      <c r="CF389" s="15"/>
      <c r="CG389" s="15"/>
      <c r="CH389" s="15"/>
      <c r="CI389" s="15"/>
      <c r="CJ389" s="15"/>
      <c r="CL389" s="119"/>
      <c r="CM389" s="119"/>
      <c r="CN389" s="119"/>
      <c r="CO389" s="119"/>
      <c r="CP389" s="119"/>
      <c r="CQ389" s="119"/>
      <c r="CR389" s="119"/>
      <c r="CS389" s="119"/>
      <c r="CT389" s="119"/>
      <c r="CU389" s="119"/>
      <c r="CX389" s="13"/>
      <c r="EV389" s="13"/>
      <c r="EW389" s="43"/>
      <c r="EX389" s="43"/>
      <c r="EY389" s="45"/>
      <c r="HK389" s="12"/>
      <c r="HO389" s="13"/>
      <c r="HP389" s="12"/>
      <c r="HQ389" s="12"/>
      <c r="HZ389" s="13"/>
      <c r="IA389" s="18"/>
      <c r="ID389" s="12"/>
      <c r="JI389" s="13"/>
      <c r="JK389" s="13"/>
      <c r="JL389" s="12"/>
      <c r="KE389" s="12"/>
      <c r="KF389" s="13"/>
      <c r="MF389" s="13"/>
      <c r="MI389" s="13"/>
      <c r="MN389" s="13"/>
      <c r="MO389" s="13"/>
      <c r="MY389" s="13"/>
      <c r="NY389" s="12"/>
      <c r="OA389" s="13"/>
      <c r="PX389" s="18"/>
      <c r="PY389" s="13"/>
      <c r="PZ389" s="12"/>
      <c r="QA389" s="13"/>
      <c r="QE389" s="13"/>
      <c r="QW389" s="13"/>
      <c r="QX389" s="12"/>
      <c r="QZ389" s="12"/>
      <c r="RK389" s="13"/>
      <c r="RM389" s="18"/>
      <c r="RN389" s="12"/>
      <c r="RY389" s="13"/>
      <c r="SB389" s="13"/>
      <c r="SX389" s="12"/>
      <c r="TA389" s="12"/>
      <c r="TB389" s="13"/>
      <c r="TF389" s="13"/>
      <c r="TZ389" s="13"/>
      <c r="UB389" s="13"/>
      <c r="UC389" s="12"/>
      <c r="UD389" s="13"/>
      <c r="UH389" s="13"/>
      <c r="UT389" s="12"/>
      <c r="UU389" s="13"/>
      <c r="WQ389" s="13"/>
      <c r="WT389" s="13"/>
      <c r="XM389" s="9"/>
      <c r="XN389" s="10"/>
      <c r="XO389" s="10"/>
      <c r="XP389" s="10"/>
      <c r="XQ389" s="10"/>
      <c r="XR389" s="10"/>
      <c r="XS389" s="10"/>
      <c r="XT389" s="10"/>
      <c r="XU389" s="10"/>
      <c r="XV389" s="10"/>
      <c r="XW389" s="10"/>
      <c r="XX389" s="10"/>
      <c r="XY389" s="10"/>
      <c r="XZ389" s="10"/>
      <c r="YA389" s="10"/>
      <c r="YB389" s="10"/>
      <c r="YC389" s="10"/>
      <c r="YD389" s="10"/>
      <c r="YE389" s="11"/>
      <c r="YF389" s="9"/>
      <c r="YG389" s="10"/>
      <c r="YH389" s="10"/>
      <c r="YI389" s="10"/>
      <c r="YJ389" s="10"/>
      <c r="YK389" s="10"/>
      <c r="YL389" s="10"/>
      <c r="YM389" s="10"/>
      <c r="YN389" s="10"/>
      <c r="YO389" s="10"/>
      <c r="YP389" s="11"/>
      <c r="AAL389" s="12"/>
      <c r="AAO389" s="12"/>
      <c r="ABT389" s="13"/>
      <c r="ABV389" s="13"/>
      <c r="ABW389" s="12"/>
      <c r="ACO389" s="13"/>
      <c r="ACQ389" s="13"/>
      <c r="ACR389" s="12"/>
      <c r="AEQ389" s="13"/>
      <c r="AET389" s="13"/>
    </row>
    <row r="390" spans="34:826" ht="10.75" customHeight="1">
      <c r="AH390" s="9"/>
      <c r="AI390" s="9"/>
      <c r="AJ390" s="10"/>
      <c r="AK390" s="10"/>
      <c r="AL390" s="10"/>
      <c r="AM390" s="10"/>
      <c r="AN390" s="10"/>
      <c r="AO390" s="10"/>
      <c r="AP390" s="10"/>
      <c r="AQ390" s="11"/>
      <c r="AR390" s="43"/>
      <c r="AS390" s="43"/>
      <c r="AT390" s="43"/>
      <c r="AU390" s="9"/>
      <c r="AV390" s="10"/>
      <c r="AW390" s="10"/>
      <c r="AX390" s="10"/>
      <c r="AY390" s="10"/>
      <c r="AZ390" s="10"/>
      <c r="BA390" s="10"/>
      <c r="BB390" s="10"/>
      <c r="BC390" s="10"/>
      <c r="BD390" s="10"/>
      <c r="BE390" s="10"/>
      <c r="BF390" s="10"/>
      <c r="BG390" s="10"/>
      <c r="BH390" s="10"/>
      <c r="BI390" s="10"/>
      <c r="BJ390" s="10"/>
      <c r="BK390" s="10"/>
      <c r="BL390" s="10"/>
      <c r="BM390" s="10"/>
      <c r="BN390" s="10"/>
      <c r="BO390" s="10"/>
      <c r="BP390" s="10"/>
      <c r="BQ390" s="10"/>
      <c r="BR390" s="10"/>
      <c r="BS390" s="10"/>
      <c r="BT390" s="10"/>
      <c r="BU390" s="10"/>
      <c r="BV390" s="10"/>
      <c r="BW390" s="10"/>
      <c r="BX390" s="10"/>
      <c r="BY390" s="10"/>
      <c r="BZ390" s="10"/>
      <c r="CA390" s="10"/>
      <c r="CB390" s="10"/>
      <c r="CC390" s="10"/>
      <c r="CD390" s="10"/>
      <c r="CE390" s="9"/>
      <c r="CF390" s="10"/>
      <c r="CG390" s="10"/>
      <c r="CH390" s="10"/>
      <c r="CI390" s="10"/>
      <c r="CJ390" s="10"/>
      <c r="CK390" s="10"/>
      <c r="CL390" s="10"/>
      <c r="CM390" s="10"/>
      <c r="CN390" s="10"/>
      <c r="CO390" s="10"/>
      <c r="CP390" s="10"/>
      <c r="CQ390" s="10"/>
      <c r="CR390" s="10"/>
      <c r="CS390" s="10"/>
      <c r="CT390" s="10"/>
      <c r="CU390" s="10"/>
      <c r="CV390" s="10"/>
      <c r="CW390" s="10"/>
      <c r="CX390" s="10"/>
      <c r="EV390" s="13"/>
      <c r="EW390" s="43"/>
      <c r="EX390" s="43"/>
      <c r="EY390" s="45"/>
      <c r="HK390" s="12"/>
      <c r="HO390" s="13"/>
      <c r="HP390" s="12"/>
      <c r="HQ390" s="12"/>
      <c r="HZ390" s="13"/>
      <c r="IA390" s="18"/>
      <c r="ID390" s="12"/>
      <c r="JI390" s="13"/>
      <c r="JK390" s="13"/>
      <c r="JL390" s="12"/>
      <c r="KE390" s="12"/>
      <c r="KF390" s="13"/>
      <c r="MF390" s="13"/>
      <c r="MI390" s="13"/>
      <c r="MN390" s="13"/>
      <c r="MO390" s="13"/>
      <c r="MY390" s="13"/>
      <c r="NY390" s="12"/>
      <c r="OA390" s="13"/>
      <c r="PX390" s="18"/>
      <c r="PY390" s="13"/>
      <c r="PZ390" s="12"/>
      <c r="QA390" s="13"/>
      <c r="QE390" s="13"/>
      <c r="QW390" s="13"/>
      <c r="QX390" s="12"/>
      <c r="QZ390" s="12"/>
      <c r="RK390" s="13"/>
      <c r="RM390" s="18"/>
      <c r="RN390" s="12"/>
      <c r="RY390" s="13"/>
      <c r="SB390" s="13"/>
      <c r="SX390" s="12"/>
      <c r="TA390" s="12"/>
      <c r="TB390" s="13"/>
      <c r="TF390" s="13"/>
      <c r="TZ390" s="13"/>
      <c r="UB390" s="13"/>
      <c r="UC390" s="12"/>
      <c r="UD390" s="13"/>
      <c r="UH390" s="13"/>
      <c r="UT390" s="12"/>
      <c r="UU390" s="13"/>
      <c r="WQ390" s="13"/>
      <c r="WT390" s="13"/>
      <c r="XM390" s="12"/>
      <c r="YE390" s="13"/>
      <c r="YF390" s="12"/>
      <c r="YP390" s="13"/>
      <c r="AAL390" s="12"/>
      <c r="AAO390" s="12"/>
      <c r="ABT390" s="13"/>
      <c r="ABV390" s="13"/>
      <c r="ABW390" s="12"/>
      <c r="ACO390" s="13"/>
      <c r="ACQ390" s="13"/>
      <c r="ACR390" s="12"/>
      <c r="AEQ390" s="13"/>
      <c r="AET390" s="13"/>
    </row>
    <row r="391" spans="34:826" ht="10.75" customHeight="1">
      <c r="AH391" s="12"/>
      <c r="AI391" s="12"/>
      <c r="AQ391" s="13"/>
      <c r="AR391" s="43"/>
      <c r="AS391" s="43"/>
      <c r="AT391" s="43"/>
      <c r="AU391" s="12"/>
      <c r="CE391" s="12"/>
      <c r="EV391" s="13"/>
      <c r="EW391" s="43"/>
      <c r="EX391" s="43"/>
      <c r="EY391" s="45"/>
      <c r="HK391" s="14"/>
      <c r="HL391" s="15"/>
      <c r="HM391" s="15"/>
      <c r="HN391" s="15"/>
      <c r="HO391" s="16"/>
      <c r="HP391" s="12"/>
      <c r="HQ391" s="14"/>
      <c r="HR391" s="15"/>
      <c r="HS391" s="15"/>
      <c r="HT391" s="15"/>
      <c r="HU391" s="15"/>
      <c r="HV391" s="15"/>
      <c r="HW391" s="15"/>
      <c r="HX391" s="15"/>
      <c r="HY391" s="15"/>
      <c r="HZ391" s="16"/>
      <c r="IA391" s="18"/>
      <c r="ID391" s="12"/>
      <c r="JI391" s="13"/>
      <c r="JK391" s="13"/>
      <c r="JL391" s="12"/>
      <c r="KE391" s="12"/>
      <c r="KF391" s="13"/>
      <c r="MF391" s="13"/>
      <c r="MI391" s="13"/>
      <c r="MN391" s="13"/>
      <c r="MO391" s="13"/>
      <c r="MY391" s="13"/>
      <c r="NY391" s="12"/>
      <c r="OA391" s="13"/>
      <c r="PX391" s="18"/>
      <c r="PY391" s="13"/>
      <c r="PZ391" s="12"/>
      <c r="QA391" s="13"/>
      <c r="QE391" s="13"/>
      <c r="QW391" s="13"/>
      <c r="QX391" s="12"/>
      <c r="QZ391" s="12"/>
      <c r="RK391" s="13"/>
      <c r="RM391" s="18"/>
      <c r="RN391" s="12"/>
      <c r="RY391" s="13"/>
      <c r="SB391" s="13"/>
      <c r="SX391" s="12"/>
      <c r="TA391" s="12"/>
      <c r="TB391" s="13"/>
      <c r="TF391" s="13"/>
      <c r="TZ391" s="13"/>
      <c r="UB391" s="13"/>
      <c r="UC391" s="12"/>
      <c r="UD391" s="13"/>
      <c r="UH391" s="13"/>
      <c r="UT391" s="12"/>
      <c r="UU391" s="13"/>
      <c r="WQ391" s="13"/>
      <c r="WT391" s="13"/>
      <c r="XM391" s="12"/>
      <c r="YE391" s="13"/>
      <c r="YF391" s="12"/>
      <c r="YP391" s="13"/>
      <c r="AAL391" s="12"/>
      <c r="AAO391" s="12"/>
      <c r="ABT391" s="13"/>
      <c r="ABV391" s="13"/>
      <c r="ABW391" s="12"/>
      <c r="ACO391" s="13"/>
      <c r="ACQ391" s="13"/>
      <c r="ACR391" s="12"/>
      <c r="AEQ391" s="13"/>
      <c r="AET391" s="13"/>
    </row>
    <row r="392" spans="34:826" ht="10.75" customHeight="1">
      <c r="AH392" s="12"/>
      <c r="AI392" s="12"/>
      <c r="AQ392" s="13"/>
      <c r="AR392" s="43"/>
      <c r="AS392" s="43"/>
      <c r="AT392" s="43"/>
      <c r="AU392" s="12"/>
      <c r="CE392" s="12"/>
      <c r="EV392" s="13"/>
      <c r="EW392" s="43"/>
      <c r="EX392" s="43"/>
      <c r="EY392" s="45"/>
      <c r="HP392" s="12"/>
      <c r="HQ392" s="12"/>
      <c r="HZ392" s="13"/>
      <c r="IA392" s="18"/>
      <c r="ID392" s="12"/>
      <c r="JI392" s="13"/>
      <c r="JK392" s="13"/>
      <c r="JL392" s="12"/>
      <c r="KE392" s="12"/>
      <c r="KF392" s="13"/>
      <c r="MF392" s="13"/>
      <c r="MI392" s="13"/>
      <c r="MN392" s="13"/>
      <c r="MO392" s="13"/>
      <c r="MY392" s="13"/>
      <c r="NY392" s="12"/>
      <c r="OA392" s="13"/>
      <c r="PX392" s="18"/>
      <c r="PY392" s="13"/>
      <c r="PZ392" s="12"/>
      <c r="QA392" s="13"/>
      <c r="QE392" s="13"/>
      <c r="QW392" s="13"/>
      <c r="QX392" s="12"/>
      <c r="QZ392" s="12"/>
      <c r="RK392" s="13"/>
      <c r="RM392" s="18"/>
      <c r="RN392" s="12"/>
      <c r="RY392" s="13"/>
      <c r="SB392" s="13"/>
      <c r="SX392" s="12"/>
      <c r="TA392" s="14"/>
      <c r="TB392" s="16"/>
      <c r="TC392" s="15"/>
      <c r="TD392" s="15"/>
      <c r="TE392" s="15"/>
      <c r="TF392" s="16"/>
      <c r="TZ392" s="13"/>
      <c r="UB392" s="13"/>
      <c r="UC392" s="14"/>
      <c r="UD392" s="16"/>
      <c r="UE392" s="15"/>
      <c r="UF392" s="15"/>
      <c r="UG392" s="15"/>
      <c r="UH392" s="16"/>
      <c r="UT392" s="12"/>
      <c r="UU392" s="13"/>
      <c r="WQ392" s="13"/>
      <c r="WT392" s="13"/>
      <c r="XM392" s="12"/>
      <c r="YE392" s="13"/>
      <c r="YF392" s="12"/>
      <c r="YP392" s="13"/>
      <c r="AAL392" s="12"/>
      <c r="AAO392" s="12"/>
      <c r="ABT392" s="13"/>
      <c r="ABV392" s="13"/>
      <c r="ABW392" s="12"/>
      <c r="ACO392" s="13"/>
      <c r="ACQ392" s="13"/>
      <c r="ACR392" s="12"/>
      <c r="AEQ392" s="13"/>
      <c r="AET392" s="13"/>
    </row>
    <row r="393" spans="34:826" ht="10.75" customHeight="1">
      <c r="AH393" s="14"/>
      <c r="AI393" s="14"/>
      <c r="AJ393" s="15"/>
      <c r="AK393" s="15"/>
      <c r="AL393" s="15"/>
      <c r="AM393" s="15"/>
      <c r="AN393" s="15"/>
      <c r="AO393" s="15"/>
      <c r="AP393" s="15"/>
      <c r="AQ393" s="16"/>
      <c r="AR393" s="43"/>
      <c r="AS393" s="43"/>
      <c r="AT393" s="43"/>
      <c r="AU393" s="12"/>
      <c r="CE393" s="12"/>
      <c r="EV393" s="13"/>
      <c r="EW393" s="43"/>
      <c r="EX393" s="43"/>
      <c r="EY393" s="45"/>
      <c r="HP393" s="12"/>
      <c r="HQ393" s="12"/>
      <c r="HZ393" s="13"/>
      <c r="IA393" s="18"/>
      <c r="ID393" s="14"/>
      <c r="IE393" s="15"/>
      <c r="IF393" s="15"/>
      <c r="IG393" s="15"/>
      <c r="IH393" s="15"/>
      <c r="II393" s="15"/>
      <c r="IJ393" s="15"/>
      <c r="IK393" s="15"/>
      <c r="IL393" s="15"/>
      <c r="IM393" s="15"/>
      <c r="IN393" s="15"/>
      <c r="IO393" s="15"/>
      <c r="IP393" s="15"/>
      <c r="IQ393" s="15"/>
      <c r="IR393" s="15"/>
      <c r="IS393" s="15"/>
      <c r="IT393" s="15"/>
      <c r="IU393" s="15"/>
      <c r="IV393" s="15"/>
      <c r="IW393" s="15"/>
      <c r="IX393" s="15"/>
      <c r="IY393" s="15"/>
      <c r="IZ393" s="15"/>
      <c r="JA393" s="15"/>
      <c r="JB393" s="15"/>
      <c r="JC393" s="15"/>
      <c r="JD393" s="15"/>
      <c r="JE393" s="15"/>
      <c r="JF393" s="15"/>
      <c r="JG393" s="15"/>
      <c r="JH393" s="15"/>
      <c r="JI393" s="16"/>
      <c r="JK393" s="13"/>
      <c r="JL393" s="14"/>
      <c r="JM393" s="15"/>
      <c r="JN393" s="15"/>
      <c r="JO393" s="15"/>
      <c r="JP393" s="15"/>
      <c r="JQ393" s="15"/>
      <c r="JR393" s="15"/>
      <c r="JS393" s="15"/>
      <c r="JT393" s="15"/>
      <c r="JU393" s="15"/>
      <c r="JV393" s="15"/>
      <c r="JW393" s="15"/>
      <c r="JX393" s="15"/>
      <c r="JY393" s="15"/>
      <c r="JZ393" s="15"/>
      <c r="KA393" s="15"/>
      <c r="KB393" s="15"/>
      <c r="KC393" s="15"/>
      <c r="KD393" s="15"/>
      <c r="KE393" s="12"/>
      <c r="KF393" s="13"/>
      <c r="MF393" s="13"/>
      <c r="MI393" s="13"/>
      <c r="MN393" s="13"/>
      <c r="MO393" s="13"/>
      <c r="MY393" s="13"/>
      <c r="NY393" s="12"/>
      <c r="OA393" s="13"/>
      <c r="PX393" s="19"/>
      <c r="PY393" s="13"/>
      <c r="PZ393" s="14"/>
      <c r="QA393" s="16"/>
      <c r="QB393" s="15"/>
      <c r="QC393" s="15"/>
      <c r="QD393" s="15"/>
      <c r="QE393" s="16"/>
      <c r="QW393" s="13"/>
      <c r="QX393" s="12"/>
      <c r="QZ393" s="12"/>
      <c r="RK393" s="13"/>
      <c r="RM393" s="19"/>
      <c r="RN393" s="12"/>
      <c r="RY393" s="13"/>
      <c r="SB393" s="13"/>
      <c r="SX393" s="12"/>
      <c r="TA393" s="12"/>
      <c r="TZ393" s="13"/>
      <c r="UB393" s="13"/>
      <c r="UT393" s="12"/>
      <c r="UU393" s="13"/>
      <c r="WQ393" s="13"/>
      <c r="WT393" s="13"/>
      <c r="XM393" s="12"/>
      <c r="YE393" s="13"/>
      <c r="YF393" s="12"/>
      <c r="YP393" s="13"/>
      <c r="AAL393" s="12"/>
      <c r="AAO393" s="12"/>
      <c r="ABT393" s="13"/>
      <c r="ABV393" s="13"/>
      <c r="ABW393" s="12"/>
      <c r="ACO393" s="13"/>
      <c r="ACQ393" s="13"/>
      <c r="ACR393" s="12"/>
      <c r="AEQ393" s="13"/>
      <c r="AET393" s="13"/>
    </row>
    <row r="394" spans="34:826" ht="10.75" customHeight="1">
      <c r="AH394" s="9"/>
      <c r="AI394" s="9"/>
      <c r="AJ394" s="10"/>
      <c r="AK394" s="10"/>
      <c r="AL394" s="10"/>
      <c r="AM394" s="10"/>
      <c r="AN394" s="10"/>
      <c r="AO394" s="10"/>
      <c r="AP394" s="10"/>
      <c r="AQ394" s="11"/>
      <c r="AR394" s="43"/>
      <c r="AS394" s="43"/>
      <c r="AT394" s="43"/>
      <c r="AU394" s="12"/>
      <c r="CE394" s="12"/>
      <c r="EV394" s="13"/>
      <c r="EW394" s="43"/>
      <c r="EX394" s="43"/>
      <c r="EY394" s="45"/>
      <c r="HP394" s="12"/>
      <c r="HQ394" s="12"/>
      <c r="HZ394" s="13"/>
      <c r="IA394" s="18"/>
      <c r="ID394" s="12"/>
      <c r="KD394" s="10"/>
      <c r="KE394" s="12"/>
      <c r="KF394" s="13"/>
      <c r="MF394" s="13"/>
      <c r="MI394" s="13"/>
      <c r="MN394" s="13"/>
      <c r="MO394" s="13"/>
      <c r="MY394" s="13"/>
      <c r="NY394" s="12"/>
      <c r="OA394" s="13"/>
      <c r="PX394" s="12"/>
      <c r="PY394" s="13"/>
      <c r="PZ394" s="12"/>
      <c r="QW394" s="13"/>
      <c r="QX394" s="12"/>
      <c r="QZ394" s="12"/>
      <c r="RK394" s="13"/>
      <c r="RN394" s="12"/>
      <c r="RY394" s="13"/>
      <c r="SB394" s="13"/>
      <c r="SX394" s="12"/>
      <c r="TA394" s="12"/>
      <c r="TZ394" s="13"/>
      <c r="UB394" s="13"/>
      <c r="UT394" s="12"/>
      <c r="UU394" s="13"/>
      <c r="WQ394" s="13"/>
      <c r="WT394" s="13"/>
      <c r="XM394" s="12"/>
      <c r="YE394" s="13"/>
      <c r="YF394" s="12"/>
      <c r="YP394" s="13"/>
      <c r="AAL394" s="12"/>
      <c r="AAO394" s="12"/>
      <c r="ABT394" s="13"/>
      <c r="ABV394" s="13"/>
      <c r="ABW394" s="12"/>
      <c r="ACO394" s="13"/>
      <c r="ACQ394" s="13"/>
      <c r="ACR394" s="12"/>
      <c r="AEQ394" s="13"/>
      <c r="AET394" s="13"/>
    </row>
    <row r="395" spans="34:826" ht="10.75" customHeight="1">
      <c r="AH395" s="12"/>
      <c r="AI395" s="12"/>
      <c r="AQ395" s="13"/>
      <c r="AR395" s="43"/>
      <c r="AS395" s="43"/>
      <c r="AT395" s="43"/>
      <c r="AU395" s="12"/>
      <c r="CE395" s="12"/>
      <c r="EV395" s="13"/>
      <c r="EW395" s="43"/>
      <c r="EX395" s="43"/>
      <c r="EY395" s="45"/>
      <c r="HP395" s="12"/>
      <c r="HQ395" s="12"/>
      <c r="HZ395" s="13"/>
      <c r="IA395" s="18"/>
      <c r="ID395" s="14"/>
      <c r="IE395" s="15"/>
      <c r="IF395" s="120"/>
      <c r="IG395" s="120"/>
      <c r="IH395" s="120"/>
      <c r="II395" s="120"/>
      <c r="IJ395" s="120"/>
      <c r="IK395" s="120"/>
      <c r="IL395" s="120"/>
      <c r="IM395" s="120"/>
      <c r="IN395" s="120"/>
      <c r="IO395" s="120"/>
      <c r="IP395" s="15"/>
      <c r="IQ395" s="15"/>
      <c r="IR395" s="15"/>
      <c r="IS395" s="15"/>
      <c r="IT395" s="15"/>
      <c r="IU395" s="15"/>
      <c r="IV395" s="15"/>
      <c r="IW395" s="15"/>
      <c r="IX395" s="15"/>
      <c r="IY395" s="15"/>
      <c r="IZ395" s="15"/>
      <c r="JA395" s="15"/>
      <c r="JB395" s="15"/>
      <c r="JC395" s="15"/>
      <c r="JD395" s="15"/>
      <c r="JE395" s="15"/>
      <c r="JF395" s="15"/>
      <c r="JG395" s="15"/>
      <c r="JH395" s="15"/>
      <c r="JI395" s="15"/>
      <c r="JJ395" s="15"/>
      <c r="JK395" s="15"/>
      <c r="JL395" s="15"/>
      <c r="JM395" s="15"/>
      <c r="JN395" s="15"/>
      <c r="JO395" s="15"/>
      <c r="JP395" s="15"/>
      <c r="JQ395" s="15"/>
      <c r="JR395" s="15"/>
      <c r="JS395" s="15"/>
      <c r="JT395" s="15"/>
      <c r="JU395" s="15"/>
      <c r="JV395" s="15"/>
      <c r="JW395" s="15"/>
      <c r="JX395" s="15"/>
      <c r="JY395" s="15"/>
      <c r="JZ395" s="15"/>
      <c r="KA395" s="15"/>
      <c r="KB395" s="15"/>
      <c r="KC395" s="15"/>
      <c r="KD395" s="15"/>
      <c r="KE395" s="12"/>
      <c r="KF395" s="13"/>
      <c r="MF395" s="13"/>
      <c r="MI395" s="13"/>
      <c r="MN395" s="13"/>
      <c r="MO395" s="13"/>
      <c r="MY395" s="13"/>
      <c r="NY395" s="12"/>
      <c r="OA395" s="13"/>
      <c r="PX395" s="12"/>
      <c r="PY395" s="13"/>
      <c r="PZ395" s="12"/>
      <c r="QW395" s="13"/>
      <c r="QX395" s="12"/>
      <c r="QZ395" s="12"/>
      <c r="RK395" s="13"/>
      <c r="RN395" s="12"/>
      <c r="RY395" s="13"/>
      <c r="SB395" s="13"/>
      <c r="SX395" s="12"/>
      <c r="TA395" s="14"/>
      <c r="TB395" s="15"/>
      <c r="TC395" s="15"/>
      <c r="TD395" s="15"/>
      <c r="TE395" s="15"/>
      <c r="TF395" s="15"/>
      <c r="TG395" s="15"/>
      <c r="TH395" s="15"/>
      <c r="TI395" s="15"/>
      <c r="TJ395" s="15"/>
      <c r="TK395" s="15"/>
      <c r="TL395" s="15"/>
      <c r="TM395" s="15"/>
      <c r="TN395" s="15"/>
      <c r="TO395" s="15"/>
      <c r="TP395" s="15"/>
      <c r="TQ395" s="15"/>
      <c r="TR395" s="15"/>
      <c r="TS395" s="15"/>
      <c r="TT395" s="15"/>
      <c r="TU395" s="15"/>
      <c r="TV395" s="15"/>
      <c r="TW395" s="15"/>
      <c r="TX395" s="15"/>
      <c r="TY395" s="15"/>
      <c r="TZ395" s="16"/>
      <c r="UB395" s="13"/>
      <c r="UC395" s="15"/>
      <c r="UD395" s="15"/>
      <c r="UE395" s="15"/>
      <c r="UF395" s="15"/>
      <c r="UG395" s="15"/>
      <c r="UH395" s="15"/>
      <c r="UI395" s="15"/>
      <c r="UJ395" s="15"/>
      <c r="UK395" s="15"/>
      <c r="UL395" s="15"/>
      <c r="UM395" s="15"/>
      <c r="UN395" s="15"/>
      <c r="UO395" s="15"/>
      <c r="UP395" s="15"/>
      <c r="UQ395" s="15"/>
      <c r="UR395" s="15"/>
      <c r="US395" s="15"/>
      <c r="UT395" s="12"/>
      <c r="UU395" s="13"/>
      <c r="WQ395" s="13"/>
      <c r="WT395" s="13"/>
      <c r="XM395" s="12"/>
      <c r="YE395" s="13"/>
      <c r="YF395" s="12"/>
      <c r="YP395" s="13"/>
      <c r="AAL395" s="12"/>
      <c r="AAO395" s="12"/>
      <c r="ABT395" s="13"/>
      <c r="ABV395" s="13"/>
      <c r="ABW395" s="12"/>
      <c r="ACO395" s="13"/>
      <c r="ACQ395" s="13"/>
      <c r="ACR395" s="12"/>
      <c r="AEQ395" s="13"/>
      <c r="AET395" s="13"/>
    </row>
    <row r="396" spans="34:826" ht="10.75" customHeight="1">
      <c r="AH396" s="12"/>
      <c r="AI396" s="12"/>
      <c r="AQ396" s="13"/>
      <c r="AR396" s="43"/>
      <c r="AS396" s="43"/>
      <c r="AT396" s="43"/>
      <c r="AU396" s="12"/>
      <c r="CE396" s="12"/>
      <c r="EV396" s="13"/>
      <c r="EW396" s="43"/>
      <c r="EX396" s="43"/>
      <c r="EY396" s="45"/>
      <c r="HP396" s="12"/>
      <c r="HQ396" s="9"/>
      <c r="HR396" s="10"/>
      <c r="HS396" s="10"/>
      <c r="HT396" s="10"/>
      <c r="HU396" s="10"/>
      <c r="HV396" s="10"/>
      <c r="HW396" s="10"/>
      <c r="HX396" s="10"/>
      <c r="HY396" s="10"/>
      <c r="HZ396" s="11"/>
      <c r="IA396" s="18"/>
      <c r="ID396" s="9"/>
      <c r="IE396" s="10"/>
      <c r="IF396" s="10"/>
      <c r="IG396" s="10"/>
      <c r="IH396" s="10"/>
      <c r="II396" s="10"/>
      <c r="IJ396" s="10"/>
      <c r="IK396" s="10"/>
      <c r="IL396" s="10"/>
      <c r="IM396" s="10"/>
      <c r="IN396" s="10"/>
      <c r="IO396" s="10"/>
      <c r="IP396" s="10"/>
      <c r="IQ396" s="10"/>
      <c r="IR396" s="10"/>
      <c r="IS396" s="10"/>
      <c r="IT396" s="10"/>
      <c r="IU396" s="10"/>
      <c r="IV396" s="10"/>
      <c r="IW396" s="10"/>
      <c r="IX396" s="10"/>
      <c r="IY396" s="10"/>
      <c r="IZ396" s="10"/>
      <c r="JA396" s="10"/>
      <c r="JB396" s="10"/>
      <c r="JC396" s="10"/>
      <c r="JD396" s="10"/>
      <c r="JE396" s="10"/>
      <c r="JF396" s="10"/>
      <c r="JG396" s="10"/>
      <c r="JH396" s="10"/>
      <c r="JI396" s="10"/>
      <c r="JJ396" s="10"/>
      <c r="JK396" s="10"/>
      <c r="JL396" s="10"/>
      <c r="JM396" s="10"/>
      <c r="JN396" s="10"/>
      <c r="JO396" s="10"/>
      <c r="JP396" s="10"/>
      <c r="JQ396" s="10"/>
      <c r="JR396" s="10"/>
      <c r="JS396" s="10"/>
      <c r="JT396" s="10"/>
      <c r="JU396" s="10"/>
      <c r="JV396" s="10"/>
      <c r="JW396" s="10"/>
      <c r="JX396" s="10"/>
      <c r="JY396" s="10"/>
      <c r="JZ396" s="10"/>
      <c r="KA396" s="10"/>
      <c r="KB396" s="10"/>
      <c r="KC396" s="10"/>
      <c r="KD396" s="10"/>
      <c r="KF396" s="13"/>
      <c r="MF396" s="13"/>
      <c r="MI396" s="13"/>
      <c r="MN396" s="13"/>
      <c r="MO396" s="13"/>
      <c r="MY396" s="13"/>
      <c r="NY396" s="12"/>
      <c r="OA396" s="13"/>
      <c r="PX396" s="12"/>
      <c r="PY396" s="13"/>
      <c r="PZ396" s="12"/>
      <c r="QW396" s="13"/>
      <c r="QX396" s="12"/>
      <c r="QZ396" s="12"/>
      <c r="RK396" s="13"/>
      <c r="RN396" s="12"/>
      <c r="RY396" s="13"/>
      <c r="SB396" s="13"/>
      <c r="SX396" s="12"/>
      <c r="TA396" s="12"/>
      <c r="US396" s="10"/>
      <c r="UT396" s="12"/>
      <c r="UU396" s="13"/>
      <c r="WQ396" s="13"/>
      <c r="WT396" s="13"/>
      <c r="XM396" s="12"/>
      <c r="YE396" s="13"/>
      <c r="YF396" s="12"/>
      <c r="YP396" s="13"/>
      <c r="AAL396" s="12"/>
      <c r="AAO396" s="12"/>
      <c r="ABT396" s="13"/>
      <c r="ABV396" s="13"/>
      <c r="ABW396" s="12"/>
      <c r="ACO396" s="13"/>
      <c r="ACQ396" s="13"/>
      <c r="ACR396" s="12"/>
      <c r="AEQ396" s="13"/>
      <c r="AET396" s="13"/>
    </row>
    <row r="397" spans="34:826" ht="10.75" customHeight="1">
      <c r="AH397" s="14"/>
      <c r="AI397" s="14"/>
      <c r="AJ397" s="15"/>
      <c r="AK397" s="15"/>
      <c r="AL397" s="15"/>
      <c r="AM397" s="15"/>
      <c r="AN397" s="15"/>
      <c r="AO397" s="15"/>
      <c r="AP397" s="15"/>
      <c r="AQ397" s="16"/>
      <c r="AR397" s="43"/>
      <c r="AS397" s="43"/>
      <c r="AT397" s="43"/>
      <c r="AU397" s="12"/>
      <c r="CE397" s="12"/>
      <c r="EV397" s="13"/>
      <c r="EW397" s="43"/>
      <c r="EX397" s="43"/>
      <c r="EY397" s="45"/>
      <c r="HP397" s="12"/>
      <c r="HQ397" s="12"/>
      <c r="HZ397" s="13"/>
      <c r="IA397" s="18"/>
      <c r="ID397" s="12"/>
      <c r="KF397" s="13"/>
      <c r="MF397" s="13"/>
      <c r="MI397" s="13"/>
      <c r="MN397" s="13"/>
      <c r="MO397" s="13"/>
      <c r="MY397" s="13"/>
      <c r="NY397" s="12"/>
      <c r="OA397" s="13"/>
      <c r="PX397" s="12"/>
      <c r="PY397" s="13"/>
      <c r="PZ397" s="12"/>
      <c r="QW397" s="13"/>
      <c r="QX397" s="12"/>
      <c r="QZ397" s="12"/>
      <c r="RK397" s="13"/>
      <c r="RN397" s="12"/>
      <c r="RY397" s="13"/>
      <c r="SB397" s="13"/>
      <c r="SX397" s="12"/>
      <c r="TA397" s="14"/>
      <c r="TB397" s="15"/>
      <c r="TC397" s="15"/>
      <c r="TD397" s="15"/>
      <c r="TE397" s="15"/>
      <c r="TF397" s="15"/>
      <c r="TG397" s="15"/>
      <c r="TH397" s="15"/>
      <c r="TI397" s="15"/>
      <c r="TJ397" s="15"/>
      <c r="TK397" s="15"/>
      <c r="TL397" s="15"/>
      <c r="TM397" s="15"/>
      <c r="TN397" s="15"/>
      <c r="TO397" s="15"/>
      <c r="TP397" s="15"/>
      <c r="TQ397" s="15"/>
      <c r="TR397" s="15"/>
      <c r="TS397" s="15"/>
      <c r="TT397" s="15"/>
      <c r="TU397" s="15"/>
      <c r="TV397" s="15"/>
      <c r="TW397" s="15"/>
      <c r="TX397" s="15"/>
      <c r="TY397" s="15"/>
      <c r="TZ397" s="15"/>
      <c r="UA397" s="15"/>
      <c r="UB397" s="15"/>
      <c r="UC397" s="15"/>
      <c r="UD397" s="15"/>
      <c r="UE397" s="15"/>
      <c r="UF397" s="15"/>
      <c r="UG397" s="15"/>
      <c r="UH397" s="15"/>
      <c r="UI397" s="15"/>
      <c r="UJ397" s="15"/>
      <c r="UK397" s="15"/>
      <c r="UL397" s="15"/>
      <c r="UM397" s="15"/>
      <c r="UN397" s="15"/>
      <c r="UO397" s="15"/>
      <c r="UP397" s="15"/>
      <c r="UQ397" s="15"/>
      <c r="UR397" s="15"/>
      <c r="US397" s="15"/>
      <c r="UT397" s="12"/>
      <c r="UU397" s="13"/>
      <c r="WQ397" s="13"/>
      <c r="WT397" s="13"/>
      <c r="XM397" s="12"/>
      <c r="XP397" s="9"/>
      <c r="XQ397" s="10"/>
      <c r="XR397" s="10"/>
      <c r="XS397" s="10"/>
      <c r="XT397" s="11"/>
      <c r="YE397" s="13"/>
      <c r="YF397" s="12"/>
      <c r="YP397" s="13"/>
      <c r="AAL397" s="12"/>
      <c r="AAO397" s="12"/>
      <c r="ABT397" s="13"/>
      <c r="ABV397" s="13"/>
      <c r="ABW397" s="12"/>
      <c r="ACO397" s="13"/>
      <c r="ACQ397" s="13"/>
      <c r="ACR397" s="12"/>
      <c r="AEQ397" s="13"/>
      <c r="AET397" s="13"/>
    </row>
    <row r="398" spans="34:826" ht="10.75" customHeight="1">
      <c r="AH398" s="9"/>
      <c r="AI398" s="9"/>
      <c r="AJ398" s="10"/>
      <c r="AK398" s="10"/>
      <c r="AL398" s="10"/>
      <c r="AM398" s="10"/>
      <c r="AN398" s="10"/>
      <c r="AO398" s="10"/>
      <c r="AP398" s="10"/>
      <c r="AQ398" s="11"/>
      <c r="AR398" s="43"/>
      <c r="AS398" s="43"/>
      <c r="AT398" s="43"/>
      <c r="AU398" s="12"/>
      <c r="BB398" s="13"/>
      <c r="BC398" s="9"/>
      <c r="BD398" s="10"/>
      <c r="BE398" s="10"/>
      <c r="BF398" s="10"/>
      <c r="BG398" s="10"/>
      <c r="BH398" s="10"/>
      <c r="BI398" s="10"/>
      <c r="BJ398" s="10"/>
      <c r="BK398" s="10"/>
      <c r="BL398" s="10"/>
      <c r="BM398" s="10"/>
      <c r="BN398" s="10"/>
      <c r="BO398" s="10"/>
      <c r="BP398" s="10"/>
      <c r="BQ398" s="10"/>
      <c r="BR398" s="10"/>
      <c r="BS398" s="10"/>
      <c r="BT398" s="10"/>
      <c r="BU398" s="10"/>
      <c r="BV398" s="10"/>
      <c r="BW398" s="10"/>
      <c r="BX398" s="10"/>
      <c r="BY398" s="10"/>
      <c r="BZ398" s="10"/>
      <c r="CA398" s="10"/>
      <c r="CB398" s="10"/>
      <c r="CC398" s="10"/>
      <c r="CD398" s="10"/>
      <c r="EV398" s="13"/>
      <c r="EW398" s="43"/>
      <c r="EX398" s="43"/>
      <c r="EY398" s="45"/>
      <c r="HP398" s="12"/>
      <c r="HQ398" s="12"/>
      <c r="HZ398" s="13"/>
      <c r="IA398" s="18"/>
      <c r="ID398" s="12"/>
      <c r="KE398" s="12"/>
      <c r="KF398" s="13"/>
      <c r="MF398" s="13"/>
      <c r="MI398" s="13"/>
      <c r="MN398" s="13"/>
      <c r="MO398" s="13"/>
      <c r="MY398" s="13"/>
      <c r="NY398" s="12"/>
      <c r="OA398" s="13"/>
      <c r="PX398" s="12"/>
      <c r="PY398" s="13"/>
      <c r="PZ398" s="12"/>
      <c r="QW398" s="13"/>
      <c r="QX398" s="12"/>
      <c r="QZ398" s="12"/>
      <c r="RK398" s="13"/>
      <c r="RN398" s="12"/>
      <c r="RY398" s="13"/>
      <c r="SB398" s="13"/>
      <c r="SX398" s="12"/>
      <c r="TA398" s="9"/>
      <c r="TB398" s="10"/>
      <c r="TC398" s="10"/>
      <c r="TD398" s="10"/>
      <c r="TE398" s="10"/>
      <c r="TF398" s="9"/>
      <c r="TG398" s="10"/>
      <c r="TH398" s="10"/>
      <c r="TI398" s="10"/>
      <c r="TJ398" s="10"/>
      <c r="TK398" s="10"/>
      <c r="TL398" s="10"/>
      <c r="TM398" s="10"/>
      <c r="TN398" s="10"/>
      <c r="TO398" s="11"/>
      <c r="TP398" s="9"/>
      <c r="TQ398" s="10"/>
      <c r="TR398" s="10"/>
      <c r="TS398" s="10"/>
      <c r="TT398" s="10"/>
      <c r="TU398" s="10"/>
      <c r="TV398" s="10"/>
      <c r="TW398" s="10"/>
      <c r="TX398" s="10"/>
      <c r="TY398" s="10"/>
      <c r="TZ398" s="10"/>
      <c r="UA398" s="10"/>
      <c r="UB398" s="10"/>
      <c r="UC398" s="10"/>
      <c r="UD398" s="10"/>
      <c r="UE398" s="10"/>
      <c r="UF398" s="10"/>
      <c r="UG398" s="11"/>
      <c r="UH398" s="9"/>
      <c r="UI398" s="10"/>
      <c r="UJ398" s="10"/>
      <c r="UK398" s="10"/>
      <c r="UL398" s="10"/>
      <c r="UM398" s="10"/>
      <c r="UN398" s="10"/>
      <c r="UO398" s="10"/>
      <c r="UP398" s="10"/>
      <c r="UQ398" s="10"/>
      <c r="UR398" s="10"/>
      <c r="US398" s="11"/>
      <c r="UU398" s="13"/>
      <c r="WQ398" s="13"/>
      <c r="WT398" s="13"/>
      <c r="XM398" s="12"/>
      <c r="XP398" s="12"/>
      <c r="XT398" s="13"/>
      <c r="XW398" s="9"/>
      <c r="XX398" s="10"/>
      <c r="XY398" s="10"/>
      <c r="XZ398" s="10"/>
      <c r="YA398" s="10"/>
      <c r="YB398" s="10"/>
      <c r="YC398" s="11"/>
      <c r="YE398" s="13"/>
      <c r="YF398" s="12"/>
      <c r="YP398" s="13"/>
      <c r="AAL398" s="12"/>
      <c r="AAO398" s="14"/>
      <c r="AAP398" s="15"/>
      <c r="AAQ398" s="15"/>
      <c r="AAR398" s="15"/>
      <c r="AAS398" s="15"/>
      <c r="AAT398" s="15"/>
      <c r="AAU398" s="15"/>
      <c r="AAV398" s="15"/>
      <c r="AAW398" s="15"/>
      <c r="AAX398" s="15"/>
      <c r="AAY398" s="15"/>
      <c r="AAZ398" s="15"/>
      <c r="ABA398" s="15"/>
      <c r="ABB398" s="15"/>
      <c r="ABC398" s="15"/>
      <c r="ABD398" s="15"/>
      <c r="ABE398" s="15"/>
      <c r="ABF398" s="15"/>
      <c r="ABG398" s="15"/>
      <c r="ABH398" s="15"/>
      <c r="ABI398" s="15"/>
      <c r="ABJ398" s="15"/>
      <c r="ABK398" s="15"/>
      <c r="ABL398" s="15"/>
      <c r="ABM398" s="15"/>
      <c r="ABN398" s="15"/>
      <c r="ABO398" s="15"/>
      <c r="ABP398" s="15"/>
      <c r="ABQ398" s="15"/>
      <c r="ABR398" s="15"/>
      <c r="ABS398" s="15"/>
      <c r="ABT398" s="16"/>
      <c r="ABV398" s="13"/>
      <c r="ABW398" s="14"/>
      <c r="ABX398" s="15"/>
      <c r="ABY398" s="15"/>
      <c r="ABZ398" s="15"/>
      <c r="ACA398" s="15"/>
      <c r="ACB398" s="15"/>
      <c r="ACC398" s="15"/>
      <c r="ACD398" s="15"/>
      <c r="ACE398" s="15"/>
      <c r="ACF398" s="15"/>
      <c r="ACG398" s="15"/>
      <c r="ACH398" s="15"/>
      <c r="ACI398" s="15"/>
      <c r="ACJ398" s="15"/>
      <c r="ACK398" s="15"/>
      <c r="ACL398" s="15"/>
      <c r="ACM398" s="15"/>
      <c r="ACN398" s="15"/>
      <c r="ACO398" s="16"/>
      <c r="ACQ398" s="13"/>
      <c r="ACR398" s="12"/>
      <c r="AEQ398" s="13"/>
      <c r="AET398" s="13"/>
    </row>
    <row r="399" spans="34:826" ht="10.75" customHeight="1">
      <c r="AH399" s="12"/>
      <c r="AI399" s="12"/>
      <c r="AQ399" s="13"/>
      <c r="AR399" s="43"/>
      <c r="AS399" s="43"/>
      <c r="AT399" s="43"/>
      <c r="AU399" s="12"/>
      <c r="BB399" s="13"/>
      <c r="BC399" s="12"/>
      <c r="EV399" s="13"/>
      <c r="EW399" s="43"/>
      <c r="EX399" s="43"/>
      <c r="EY399" s="45"/>
      <c r="HP399" s="12"/>
      <c r="HQ399" s="14"/>
      <c r="HR399" s="15"/>
      <c r="HS399" s="15"/>
      <c r="HT399" s="15"/>
      <c r="HU399" s="15"/>
      <c r="HV399" s="15"/>
      <c r="HW399" s="15"/>
      <c r="HX399" s="15"/>
      <c r="HY399" s="15"/>
      <c r="HZ399" s="16"/>
      <c r="IA399" s="18"/>
      <c r="ID399" s="12"/>
      <c r="KE399" s="12"/>
      <c r="KF399" s="13"/>
      <c r="MF399" s="13"/>
      <c r="MI399" s="13"/>
      <c r="MN399" s="13"/>
      <c r="MO399" s="13"/>
      <c r="MY399" s="13"/>
      <c r="NY399" s="12"/>
      <c r="OA399" s="13"/>
      <c r="PX399" s="12"/>
      <c r="PY399" s="13"/>
      <c r="PZ399" s="14"/>
      <c r="QA399" s="15"/>
      <c r="QB399" s="15"/>
      <c r="QC399" s="15"/>
      <c r="QD399" s="15"/>
      <c r="QE399" s="15"/>
      <c r="QF399" s="15"/>
      <c r="QG399" s="15"/>
      <c r="QH399" s="15"/>
      <c r="QI399" s="15"/>
      <c r="QJ399" s="15"/>
      <c r="QK399" s="15"/>
      <c r="QL399" s="15"/>
      <c r="QM399" s="15"/>
      <c r="QN399" s="15"/>
      <c r="QO399" s="15"/>
      <c r="QP399" s="15"/>
      <c r="QQ399" s="15"/>
      <c r="QR399" s="15"/>
      <c r="QS399" s="15"/>
      <c r="QT399" s="15"/>
      <c r="QU399" s="15"/>
      <c r="QV399" s="15"/>
      <c r="QW399" s="16"/>
      <c r="QX399" s="14"/>
      <c r="QY399" s="15"/>
      <c r="QZ399" s="14"/>
      <c r="RA399" s="15"/>
      <c r="RB399" s="15"/>
      <c r="RC399" s="15"/>
      <c r="RD399" s="15"/>
      <c r="RE399" s="15"/>
      <c r="RF399" s="15"/>
      <c r="RG399" s="15"/>
      <c r="RH399" s="15"/>
      <c r="RI399" s="15"/>
      <c r="RJ399" s="15"/>
      <c r="RK399" s="16"/>
      <c r="RL399" s="15"/>
      <c r="RM399" s="15"/>
      <c r="RN399" s="12"/>
      <c r="RY399" s="13"/>
      <c r="SB399" s="13"/>
      <c r="SX399" s="12"/>
      <c r="TA399" s="12"/>
      <c r="TF399" s="12"/>
      <c r="TO399" s="13"/>
      <c r="TP399" s="12"/>
      <c r="UG399" s="13"/>
      <c r="UH399" s="12"/>
      <c r="US399" s="13"/>
      <c r="UU399" s="13"/>
      <c r="WQ399" s="13"/>
      <c r="WT399" s="13"/>
      <c r="XM399" s="12"/>
      <c r="XP399" s="12"/>
      <c r="XT399" s="13"/>
      <c r="XW399" s="12"/>
      <c r="YC399" s="13"/>
      <c r="YE399" s="13"/>
      <c r="YF399" s="12"/>
      <c r="YP399" s="13"/>
      <c r="AAL399" s="12"/>
      <c r="AAO399" s="12"/>
      <c r="ABV399" s="13"/>
      <c r="ABW399" s="12"/>
      <c r="ACQ399" s="13"/>
      <c r="ACR399" s="12"/>
      <c r="AEQ399" s="13"/>
      <c r="AET399" s="13"/>
    </row>
    <row r="400" spans="34:826" ht="10.75" customHeight="1">
      <c r="AH400" s="12"/>
      <c r="AI400" s="12"/>
      <c r="AQ400" s="13"/>
      <c r="AR400" s="43"/>
      <c r="AS400" s="43"/>
      <c r="AT400" s="43"/>
      <c r="AU400" s="12"/>
      <c r="BB400" s="13"/>
      <c r="BC400" s="12"/>
      <c r="EV400" s="13"/>
      <c r="EW400" s="43"/>
      <c r="EX400" s="43"/>
      <c r="EY400" s="45"/>
      <c r="HP400" s="12"/>
      <c r="HQ400" s="12"/>
      <c r="HZ400" s="13"/>
      <c r="IA400" s="18"/>
      <c r="ID400" s="12"/>
      <c r="KE400" s="12"/>
      <c r="KF400" s="13"/>
      <c r="MF400" s="13"/>
      <c r="MI400" s="13"/>
      <c r="MN400" s="13"/>
      <c r="MO400" s="13"/>
      <c r="MY400" s="13"/>
      <c r="NY400" s="12"/>
      <c r="OA400" s="13"/>
      <c r="PX400" s="12"/>
      <c r="PY400" s="13"/>
      <c r="PZ400" s="9"/>
      <c r="QA400" s="10"/>
      <c r="QB400" s="10"/>
      <c r="QC400" s="10"/>
      <c r="QD400" s="10"/>
      <c r="QE400" s="10"/>
      <c r="QF400" s="10"/>
      <c r="QG400" s="10"/>
      <c r="QH400" s="10"/>
      <c r="QI400" s="10"/>
      <c r="QJ400" s="10"/>
      <c r="QK400" s="10"/>
      <c r="QL400" s="10"/>
      <c r="QM400" s="10"/>
      <c r="QN400" s="10"/>
      <c r="QO400" s="10"/>
      <c r="QP400" s="10"/>
      <c r="QQ400" s="10"/>
      <c r="QR400" s="10"/>
      <c r="QS400" s="10"/>
      <c r="QT400" s="10"/>
      <c r="QU400" s="10"/>
      <c r="QV400" s="10"/>
      <c r="QW400" s="10"/>
      <c r="QX400" s="10"/>
      <c r="QY400" s="10"/>
      <c r="RL400" s="10"/>
      <c r="RM400" s="11"/>
      <c r="RN400" s="12"/>
      <c r="RY400" s="13"/>
      <c r="SB400" s="13"/>
      <c r="SX400" s="12"/>
      <c r="TA400" s="12"/>
      <c r="TF400" s="12"/>
      <c r="TO400" s="13"/>
      <c r="TP400" s="12"/>
      <c r="UG400" s="13"/>
      <c r="UH400" s="12"/>
      <c r="US400" s="13"/>
      <c r="UU400" s="13"/>
      <c r="WQ400" s="13"/>
      <c r="WT400" s="13"/>
      <c r="XM400" s="12"/>
      <c r="XP400" s="12"/>
      <c r="XT400" s="13"/>
      <c r="XW400" s="12"/>
      <c r="YC400" s="13"/>
      <c r="YE400" s="13"/>
      <c r="YF400" s="12"/>
      <c r="YP400" s="13"/>
      <c r="AAL400" s="12"/>
      <c r="AAO400" s="14"/>
      <c r="AAP400" s="15"/>
      <c r="AAQ400" s="15"/>
      <c r="AAR400" s="15"/>
      <c r="AAS400" s="15"/>
      <c r="AAT400" s="15"/>
      <c r="AAU400" s="15"/>
      <c r="AAV400" s="15"/>
      <c r="AAW400" s="15"/>
      <c r="AAX400" s="15"/>
      <c r="AAY400" s="15"/>
      <c r="AAZ400" s="15"/>
      <c r="ABA400" s="15"/>
      <c r="ABB400" s="15"/>
      <c r="ABC400" s="15"/>
      <c r="ABD400" s="15"/>
      <c r="ABE400" s="15"/>
      <c r="ABF400" s="15"/>
      <c r="ABG400" s="15"/>
      <c r="ABH400" s="15"/>
      <c r="ABI400" s="15"/>
      <c r="ABJ400" s="15"/>
      <c r="ABK400" s="15"/>
      <c r="ABL400" s="15"/>
      <c r="ABM400" s="15"/>
      <c r="ABN400" s="15"/>
      <c r="ABO400" s="15"/>
      <c r="ABP400" s="15"/>
      <c r="ABQ400" s="15"/>
      <c r="ABR400" s="15"/>
      <c r="ABS400" s="15"/>
      <c r="ABT400" s="15"/>
      <c r="ABU400" s="15"/>
      <c r="ABV400" s="16"/>
      <c r="ABW400" s="14"/>
      <c r="ABX400" s="15"/>
      <c r="ABY400" s="15"/>
      <c r="ABZ400" s="15"/>
      <c r="ACA400" s="15"/>
      <c r="ACB400" s="15"/>
      <c r="ACC400" s="15"/>
      <c r="ACD400" s="15"/>
      <c r="ACE400" s="15"/>
      <c r="ACF400" s="15"/>
      <c r="ACG400" s="15"/>
      <c r="ACH400" s="15"/>
      <c r="ACI400" s="15"/>
      <c r="ACJ400" s="15"/>
      <c r="ACK400" s="15"/>
      <c r="ACL400" s="15"/>
      <c r="ACM400" s="15"/>
      <c r="ACN400" s="15"/>
      <c r="ACO400" s="15"/>
      <c r="ACP400" s="15"/>
      <c r="ACQ400" s="16"/>
      <c r="ACR400" s="12"/>
      <c r="AEQ400" s="13"/>
      <c r="AET400" s="13"/>
    </row>
    <row r="401" spans="34:826" ht="10.75" customHeight="1">
      <c r="AH401" s="14"/>
      <c r="AI401" s="14"/>
      <c r="AJ401" s="15"/>
      <c r="AK401" s="15"/>
      <c r="AL401" s="15"/>
      <c r="AM401" s="15"/>
      <c r="AN401" s="15"/>
      <c r="AO401" s="15"/>
      <c r="AP401" s="15"/>
      <c r="AQ401" s="16"/>
      <c r="AR401" s="43"/>
      <c r="AS401" s="43"/>
      <c r="AT401" s="43"/>
      <c r="AU401" s="12"/>
      <c r="BB401" s="13"/>
      <c r="BC401" s="12"/>
      <c r="EV401" s="13"/>
      <c r="EW401" s="43"/>
      <c r="EX401" s="43"/>
      <c r="EY401" s="45"/>
      <c r="HP401" s="12"/>
      <c r="HQ401" s="12"/>
      <c r="HZ401" s="13"/>
      <c r="IA401" s="18"/>
      <c r="ID401" s="12"/>
      <c r="KE401" s="12"/>
      <c r="KF401" s="13"/>
      <c r="MF401" s="13"/>
      <c r="MI401" s="13"/>
      <c r="MN401" s="13"/>
      <c r="MO401" s="13"/>
      <c r="MY401" s="13"/>
      <c r="NY401" s="12"/>
      <c r="OA401" s="13"/>
      <c r="PX401" s="12"/>
      <c r="PY401" s="13"/>
      <c r="PZ401" s="14"/>
      <c r="QA401" s="15"/>
      <c r="QB401" s="15"/>
      <c r="QC401" s="15"/>
      <c r="QD401" s="15"/>
      <c r="QE401" s="15"/>
      <c r="QF401" s="15"/>
      <c r="QG401" s="15"/>
      <c r="QH401" s="15"/>
      <c r="QI401" s="15"/>
      <c r="QJ401" s="15"/>
      <c r="QK401" s="15"/>
      <c r="QL401" s="15"/>
      <c r="QM401" s="15"/>
      <c r="QN401" s="15"/>
      <c r="QO401" s="15"/>
      <c r="QP401" s="15"/>
      <c r="QQ401" s="15"/>
      <c r="QR401" s="15"/>
      <c r="QS401" s="15"/>
      <c r="QT401" s="15"/>
      <c r="QU401" s="15"/>
      <c r="QV401" s="15"/>
      <c r="QW401" s="15"/>
      <c r="QX401" s="15"/>
      <c r="QY401" s="15"/>
      <c r="QZ401" s="15"/>
      <c r="RA401" s="15"/>
      <c r="RB401" s="15"/>
      <c r="RC401" s="15"/>
      <c r="RD401" s="15"/>
      <c r="RE401" s="15"/>
      <c r="RF401" s="15"/>
      <c r="RG401" s="15"/>
      <c r="RH401" s="15"/>
      <c r="RI401" s="15"/>
      <c r="RJ401" s="15"/>
      <c r="RK401" s="15"/>
      <c r="RL401" s="15"/>
      <c r="RM401" s="16"/>
      <c r="RN401" s="12"/>
      <c r="RY401" s="13"/>
      <c r="SB401" s="13"/>
      <c r="SX401" s="12"/>
      <c r="TA401" s="12"/>
      <c r="TF401" s="12"/>
      <c r="TO401" s="13"/>
      <c r="TP401" s="12"/>
      <c r="UG401" s="13"/>
      <c r="UH401" s="12"/>
      <c r="US401" s="13"/>
      <c r="UU401" s="13"/>
      <c r="WQ401" s="13"/>
      <c r="WT401" s="13"/>
      <c r="XM401" s="12"/>
      <c r="XP401" s="12"/>
      <c r="XT401" s="13"/>
      <c r="XW401" s="12"/>
      <c r="YC401" s="13"/>
      <c r="YE401" s="13"/>
      <c r="YF401" s="14"/>
      <c r="YG401" s="15"/>
      <c r="YH401" s="15"/>
      <c r="YI401" s="15"/>
      <c r="YJ401" s="15"/>
      <c r="YK401" s="15"/>
      <c r="YL401" s="15"/>
      <c r="YM401" s="15"/>
      <c r="YN401" s="15"/>
      <c r="YO401" s="15"/>
      <c r="YP401" s="16"/>
      <c r="AAL401" s="12"/>
      <c r="AAO401" s="9"/>
      <c r="AAP401" s="10"/>
      <c r="AAQ401" s="10"/>
      <c r="AAR401" s="10"/>
      <c r="AAS401" s="10"/>
      <c r="AAT401" s="10"/>
      <c r="AAU401" s="10"/>
      <c r="AAV401" s="10"/>
      <c r="AAW401" s="10"/>
      <c r="AAX401" s="10"/>
      <c r="AAY401" s="10"/>
      <c r="AAZ401" s="10"/>
      <c r="ABA401" s="10"/>
      <c r="ABB401" s="10"/>
      <c r="ABC401" s="10"/>
      <c r="ABD401" s="10"/>
      <c r="ABE401" s="10"/>
      <c r="ABF401" s="10"/>
      <c r="ABG401" s="10"/>
      <c r="ABH401" s="10"/>
      <c r="ABI401" s="10"/>
      <c r="ABJ401" s="10"/>
      <c r="ABK401" s="10"/>
      <c r="ABL401" s="10"/>
      <c r="ABM401" s="10"/>
      <c r="ABN401" s="10"/>
      <c r="ABO401" s="10"/>
      <c r="ABP401" s="10"/>
      <c r="ABQ401" s="10"/>
      <c r="ABR401" s="10"/>
      <c r="ABS401" s="10"/>
      <c r="ABT401" s="10"/>
      <c r="ABU401" s="10"/>
      <c r="ABV401" s="10"/>
      <c r="ABW401" s="10"/>
      <c r="ABX401" s="10"/>
      <c r="ABY401" s="10"/>
      <c r="ABZ401" s="10"/>
      <c r="ACA401" s="10"/>
      <c r="ACB401" s="10"/>
      <c r="ACC401" s="10"/>
      <c r="ACD401" s="10"/>
      <c r="ACE401" s="10"/>
      <c r="ACF401" s="10"/>
      <c r="ACG401" s="10"/>
      <c r="ACH401" s="10"/>
      <c r="ACI401" s="10"/>
      <c r="ACJ401" s="10"/>
      <c r="ACK401" s="10"/>
      <c r="ACL401" s="10"/>
      <c r="ACM401" s="10"/>
      <c r="ACN401" s="10"/>
      <c r="ACO401" s="11"/>
      <c r="ACP401" s="10"/>
      <c r="ACQ401" s="11"/>
      <c r="ACR401" s="12"/>
      <c r="AEQ401" s="13"/>
      <c r="AET401" s="13"/>
    </row>
    <row r="402" spans="34:826" ht="10.75" customHeight="1">
      <c r="AH402" s="9"/>
      <c r="AI402" s="9"/>
      <c r="AJ402" s="10"/>
      <c r="AK402" s="10"/>
      <c r="AL402" s="10"/>
      <c r="AM402" s="10"/>
      <c r="AN402" s="10"/>
      <c r="AO402" s="10"/>
      <c r="AP402" s="10"/>
      <c r="AQ402" s="11"/>
      <c r="AR402" s="43"/>
      <c r="AS402" s="43"/>
      <c r="AT402" s="43"/>
      <c r="AU402" s="12"/>
      <c r="BB402" s="13"/>
      <c r="BC402" s="12"/>
      <c r="EV402" s="13"/>
      <c r="EW402" s="43"/>
      <c r="EX402" s="43"/>
      <c r="EY402" s="45"/>
      <c r="HP402" s="12"/>
      <c r="HQ402" s="12"/>
      <c r="HZ402" s="13"/>
      <c r="IA402" s="18"/>
      <c r="ID402" s="12"/>
      <c r="KE402" s="12"/>
      <c r="KF402" s="13"/>
      <c r="MF402" s="13"/>
      <c r="MI402" s="13"/>
      <c r="MN402" s="13"/>
      <c r="MO402" s="13"/>
      <c r="MY402" s="13"/>
      <c r="NY402" s="12"/>
      <c r="OA402" s="13"/>
      <c r="PX402" s="12"/>
      <c r="PY402" s="13"/>
      <c r="PZ402" s="9"/>
      <c r="QA402" s="10"/>
      <c r="QB402" s="10"/>
      <c r="QC402" s="10"/>
      <c r="QD402" s="10"/>
      <c r="QE402" s="10"/>
      <c r="QF402" s="10"/>
      <c r="QG402" s="10"/>
      <c r="QH402" s="10"/>
      <c r="QI402" s="10"/>
      <c r="QJ402" s="10"/>
      <c r="QK402" s="10"/>
      <c r="QL402" s="10"/>
      <c r="QM402" s="10"/>
      <c r="QN402" s="10"/>
      <c r="QO402" s="10"/>
      <c r="QP402" s="10"/>
      <c r="QQ402" s="10"/>
      <c r="QR402" s="10"/>
      <c r="QS402" s="10"/>
      <c r="QT402" s="10"/>
      <c r="QU402" s="10"/>
      <c r="QV402" s="10"/>
      <c r="QW402" s="10"/>
      <c r="QX402" s="10"/>
      <c r="QY402" s="10"/>
      <c r="QZ402" s="10"/>
      <c r="RA402" s="10"/>
      <c r="RB402" s="10"/>
      <c r="RC402" s="10"/>
      <c r="RD402" s="10"/>
      <c r="RE402" s="10"/>
      <c r="RF402" s="10"/>
      <c r="RG402" s="10"/>
      <c r="RH402" s="10"/>
      <c r="RI402" s="10"/>
      <c r="RJ402" s="10"/>
      <c r="RK402" s="10"/>
      <c r="RL402" s="10"/>
      <c r="RM402" s="10"/>
      <c r="RY402" s="13"/>
      <c r="SB402" s="13"/>
      <c r="SX402" s="12"/>
      <c r="TA402" s="12"/>
      <c r="TF402" s="12"/>
      <c r="TO402" s="13"/>
      <c r="TP402" s="12"/>
      <c r="UG402" s="13"/>
      <c r="UH402" s="12"/>
      <c r="US402" s="13"/>
      <c r="UU402" s="13"/>
      <c r="WQ402" s="13"/>
      <c r="WT402" s="13"/>
      <c r="XM402" s="12"/>
      <c r="XP402" s="12"/>
      <c r="XT402" s="13"/>
      <c r="XW402" s="9"/>
      <c r="XX402" s="10"/>
      <c r="XY402" s="10"/>
      <c r="XZ402" s="10"/>
      <c r="YA402" s="10"/>
      <c r="YB402" s="10"/>
      <c r="YC402" s="11"/>
      <c r="YE402" s="13"/>
      <c r="YF402" s="12"/>
      <c r="YP402" s="13"/>
      <c r="AAL402" s="12"/>
      <c r="AAO402" s="12"/>
      <c r="ACO402" s="13"/>
      <c r="ACQ402" s="13"/>
      <c r="ACR402" s="12"/>
      <c r="AEQ402" s="13"/>
      <c r="AET402" s="13"/>
    </row>
    <row r="403" spans="34:826" ht="10.75" customHeight="1">
      <c r="AH403" s="12"/>
      <c r="AI403" s="12"/>
      <c r="AQ403" s="13"/>
      <c r="AR403" s="43"/>
      <c r="AS403" s="43"/>
      <c r="AT403" s="43"/>
      <c r="AU403" s="12"/>
      <c r="BB403" s="13"/>
      <c r="BC403" s="12"/>
      <c r="EV403" s="13"/>
      <c r="EW403" s="43"/>
      <c r="EX403" s="43"/>
      <c r="EY403" s="45"/>
      <c r="HP403" s="12"/>
      <c r="HQ403" s="12"/>
      <c r="HZ403" s="13"/>
      <c r="IA403" s="18"/>
      <c r="ID403" s="12"/>
      <c r="KE403" s="12"/>
      <c r="KF403" s="13"/>
      <c r="MF403" s="13"/>
      <c r="MI403" s="13"/>
      <c r="MN403" s="13"/>
      <c r="MO403" s="13"/>
      <c r="MY403" s="13"/>
      <c r="NY403" s="12"/>
      <c r="OA403" s="13"/>
      <c r="PX403" s="12"/>
      <c r="PY403" s="13"/>
      <c r="PZ403" s="12"/>
      <c r="RY403" s="13"/>
      <c r="SB403" s="13"/>
      <c r="SX403" s="12"/>
      <c r="TA403" s="12"/>
      <c r="TF403" s="12"/>
      <c r="TO403" s="13"/>
      <c r="TP403" s="14"/>
      <c r="TQ403" s="15"/>
      <c r="TR403" s="15"/>
      <c r="TS403" s="15"/>
      <c r="TT403" s="15"/>
      <c r="TU403" s="15"/>
      <c r="TV403" s="15"/>
      <c r="TW403" s="15"/>
      <c r="TX403" s="15"/>
      <c r="TY403" s="15"/>
      <c r="TZ403" s="15"/>
      <c r="UA403" s="15"/>
      <c r="UB403" s="15"/>
      <c r="UC403" s="15"/>
      <c r="UD403" s="15"/>
      <c r="UE403" s="15"/>
      <c r="UF403" s="15"/>
      <c r="UG403" s="16"/>
      <c r="UH403" s="12"/>
      <c r="US403" s="13"/>
      <c r="UU403" s="13"/>
      <c r="WQ403" s="13"/>
      <c r="WT403" s="13"/>
      <c r="XM403" s="12"/>
      <c r="XP403" s="12"/>
      <c r="XT403" s="13"/>
      <c r="XW403" s="12"/>
      <c r="YC403" s="13"/>
      <c r="YE403" s="13"/>
      <c r="YF403" s="12"/>
      <c r="YP403" s="13"/>
      <c r="AAL403" s="12"/>
      <c r="AAO403" s="12"/>
      <c r="ACO403" s="13"/>
      <c r="ACQ403" s="13"/>
      <c r="ACR403" s="12"/>
      <c r="AEQ403" s="13"/>
      <c r="AET403" s="13"/>
    </row>
    <row r="404" spans="34:826" ht="10.75" customHeight="1">
      <c r="AH404" s="12"/>
      <c r="AI404" s="12"/>
      <c r="AQ404" s="13"/>
      <c r="AR404" s="43"/>
      <c r="AS404" s="43"/>
      <c r="AT404" s="43"/>
      <c r="AU404" s="12"/>
      <c r="BB404" s="13"/>
      <c r="BC404" s="12"/>
      <c r="EV404" s="13"/>
      <c r="EW404" s="43"/>
      <c r="EX404" s="43"/>
      <c r="EY404" s="45"/>
      <c r="HP404" s="12"/>
      <c r="HQ404" s="9"/>
      <c r="HR404" s="10"/>
      <c r="HS404" s="10"/>
      <c r="HT404" s="10"/>
      <c r="HU404" s="10"/>
      <c r="HV404" s="10"/>
      <c r="HW404" s="10"/>
      <c r="HX404" s="10"/>
      <c r="HY404" s="10"/>
      <c r="HZ404" s="11"/>
      <c r="IA404" s="18"/>
      <c r="ID404" s="12"/>
      <c r="KE404" s="12"/>
      <c r="KF404" s="13"/>
      <c r="MF404" s="13"/>
      <c r="MI404" s="13"/>
      <c r="MN404" s="13"/>
      <c r="MO404" s="13"/>
      <c r="MY404" s="13"/>
      <c r="NY404" s="12"/>
      <c r="OA404" s="13"/>
      <c r="PX404" s="12"/>
      <c r="PY404" s="13"/>
      <c r="PZ404" s="12"/>
      <c r="RY404" s="13"/>
      <c r="SB404" s="13"/>
      <c r="SX404" s="12"/>
      <c r="TA404" s="12"/>
      <c r="TF404" s="12"/>
      <c r="TO404" s="13"/>
      <c r="UH404" s="12"/>
      <c r="US404" s="13"/>
      <c r="UU404" s="13"/>
      <c r="WQ404" s="13"/>
      <c r="WT404" s="13"/>
      <c r="XM404" s="9"/>
      <c r="XN404" s="10"/>
      <c r="XO404" s="10"/>
      <c r="XP404" s="10"/>
      <c r="XQ404" s="10"/>
      <c r="XR404" s="10"/>
      <c r="XS404" s="10"/>
      <c r="XT404" s="10"/>
      <c r="XU404" s="10"/>
      <c r="XV404" s="10"/>
      <c r="XW404" s="10"/>
      <c r="XX404" s="10"/>
      <c r="XY404" s="10"/>
      <c r="XZ404" s="10"/>
      <c r="YA404" s="10"/>
      <c r="YB404" s="10"/>
      <c r="YC404" s="10"/>
      <c r="YD404" s="10"/>
      <c r="YE404" s="11"/>
      <c r="YF404" s="12"/>
      <c r="YP404" s="13"/>
      <c r="AAL404" s="12"/>
      <c r="AAO404" s="12"/>
      <c r="ACO404" s="13"/>
      <c r="ACQ404" s="13"/>
      <c r="ACR404" s="12"/>
      <c r="AEQ404" s="13"/>
      <c r="AET404" s="13"/>
    </row>
    <row r="405" spans="34:826" ht="10.75" customHeight="1">
      <c r="AH405" s="14"/>
      <c r="AI405" s="14"/>
      <c r="AJ405" s="15"/>
      <c r="AK405" s="15"/>
      <c r="AL405" s="15"/>
      <c r="AM405" s="15"/>
      <c r="AN405" s="15"/>
      <c r="AO405" s="15"/>
      <c r="AP405" s="15"/>
      <c r="AQ405" s="16"/>
      <c r="AR405" s="43"/>
      <c r="AS405" s="43"/>
      <c r="AT405" s="43"/>
      <c r="AU405" s="12"/>
      <c r="BB405" s="13"/>
      <c r="BC405" s="12"/>
      <c r="EV405" s="13"/>
      <c r="EW405" s="43"/>
      <c r="EX405" s="43"/>
      <c r="EY405" s="45"/>
      <c r="HP405" s="12"/>
      <c r="HQ405" s="12"/>
      <c r="HZ405" s="13"/>
      <c r="IA405" s="18"/>
      <c r="ID405" s="12"/>
      <c r="KE405" s="12"/>
      <c r="KF405" s="13"/>
      <c r="MF405" s="13"/>
      <c r="MI405" s="13"/>
      <c r="MN405" s="13"/>
      <c r="MO405" s="13"/>
      <c r="MY405" s="13"/>
      <c r="NY405" s="12"/>
      <c r="OA405" s="13"/>
      <c r="PX405" s="12"/>
      <c r="PY405" s="13"/>
      <c r="PZ405" s="12"/>
      <c r="RY405" s="13"/>
      <c r="SB405" s="13"/>
      <c r="SX405" s="12"/>
      <c r="TA405" s="12"/>
      <c r="TF405" s="12"/>
      <c r="TO405" s="13"/>
      <c r="UH405" s="12"/>
      <c r="US405" s="13"/>
      <c r="UU405" s="13"/>
      <c r="WQ405" s="13"/>
      <c r="WT405" s="13"/>
      <c r="XM405" s="12"/>
      <c r="YE405" s="13"/>
      <c r="YF405" s="12"/>
      <c r="YP405" s="13"/>
      <c r="AAL405" s="12"/>
      <c r="AAO405" s="12"/>
      <c r="ACO405" s="13"/>
      <c r="ACQ405" s="13"/>
      <c r="ACR405" s="12"/>
      <c r="AEQ405" s="13"/>
      <c r="AET405" s="13"/>
    </row>
    <row r="406" spans="34:826" ht="10.75" customHeight="1">
      <c r="AH406" s="9"/>
      <c r="AI406" s="9"/>
      <c r="AJ406" s="10"/>
      <c r="AK406" s="10"/>
      <c r="AL406" s="10"/>
      <c r="AM406" s="10"/>
      <c r="AN406" s="10"/>
      <c r="AO406" s="10"/>
      <c r="AP406" s="10"/>
      <c r="AQ406" s="11"/>
      <c r="AR406" s="43"/>
      <c r="AS406" s="43"/>
      <c r="AT406" s="43"/>
      <c r="AU406" s="12"/>
      <c r="BB406" s="13"/>
      <c r="BC406" s="12"/>
      <c r="EV406" s="13"/>
      <c r="EW406" s="43"/>
      <c r="EX406" s="43"/>
      <c r="EY406" s="45"/>
      <c r="HP406" s="12"/>
      <c r="HQ406" s="12"/>
      <c r="HZ406" s="13"/>
      <c r="IA406" s="18"/>
      <c r="ID406" s="12"/>
      <c r="KE406" s="12"/>
      <c r="KF406" s="13"/>
      <c r="MF406" s="13"/>
      <c r="MI406" s="13"/>
      <c r="MN406" s="13"/>
      <c r="MO406" s="13"/>
      <c r="MY406" s="13"/>
      <c r="NY406" s="12"/>
      <c r="OA406" s="13"/>
      <c r="PX406" s="12"/>
      <c r="PY406" s="13"/>
      <c r="PZ406" s="12"/>
      <c r="RY406" s="13"/>
      <c r="SB406" s="13"/>
      <c r="SX406" s="12"/>
      <c r="TA406" s="12"/>
      <c r="TF406" s="12"/>
      <c r="TO406" s="13"/>
      <c r="UH406" s="12"/>
      <c r="US406" s="13"/>
      <c r="UU406" s="13"/>
      <c r="WQ406" s="13"/>
      <c r="WT406" s="13"/>
      <c r="XM406" s="14"/>
      <c r="XN406" s="15"/>
      <c r="XO406" s="15"/>
      <c r="XP406" s="15"/>
      <c r="XQ406" s="15"/>
      <c r="XR406" s="15"/>
      <c r="XS406" s="15"/>
      <c r="XT406" s="15"/>
      <c r="XU406" s="15"/>
      <c r="XV406" s="15"/>
      <c r="XW406" s="15"/>
      <c r="XX406" s="15"/>
      <c r="XY406" s="15"/>
      <c r="XZ406" s="15"/>
      <c r="YA406" s="15"/>
      <c r="YB406" s="15"/>
      <c r="YC406" s="15"/>
      <c r="YD406" s="15"/>
      <c r="YE406" s="16"/>
      <c r="YF406" s="14"/>
      <c r="YG406" s="15"/>
      <c r="YH406" s="15"/>
      <c r="YI406" s="15"/>
      <c r="YJ406" s="15"/>
      <c r="YK406" s="15"/>
      <c r="YL406" s="15"/>
      <c r="YM406" s="15"/>
      <c r="YN406" s="15"/>
      <c r="YO406" s="15"/>
      <c r="YP406" s="16"/>
      <c r="AAL406" s="12"/>
      <c r="AAO406" s="12"/>
      <c r="ACO406" s="13"/>
      <c r="ACQ406" s="13"/>
      <c r="ACR406" s="12"/>
      <c r="AEQ406" s="13"/>
      <c r="AET406" s="13"/>
    </row>
    <row r="407" spans="34:826" ht="10.75" customHeight="1">
      <c r="AH407" s="12"/>
      <c r="AI407" s="12"/>
      <c r="AQ407" s="13"/>
      <c r="AR407" s="43"/>
      <c r="AS407" s="43"/>
      <c r="AT407" s="43"/>
      <c r="AU407" s="12"/>
      <c r="BB407" s="13"/>
      <c r="BC407" s="12"/>
      <c r="EV407" s="13"/>
      <c r="EW407" s="43"/>
      <c r="EX407" s="43"/>
      <c r="EY407" s="45"/>
      <c r="HP407" s="12"/>
      <c r="HQ407" s="14"/>
      <c r="HR407" s="15"/>
      <c r="HS407" s="15"/>
      <c r="HT407" s="15"/>
      <c r="HU407" s="15"/>
      <c r="HV407" s="15"/>
      <c r="HW407" s="15"/>
      <c r="HX407" s="15"/>
      <c r="HY407" s="15"/>
      <c r="HZ407" s="16"/>
      <c r="IA407" s="18"/>
      <c r="ID407" s="12"/>
      <c r="KE407" s="12"/>
      <c r="KF407" s="13"/>
      <c r="MF407" s="13"/>
      <c r="MI407" s="13"/>
      <c r="MN407" s="13"/>
      <c r="MO407" s="13"/>
      <c r="MY407" s="13"/>
      <c r="NY407" s="12"/>
      <c r="OA407" s="13"/>
      <c r="PX407" s="12"/>
      <c r="PY407" s="17"/>
      <c r="PZ407" s="12"/>
      <c r="RY407" s="13"/>
      <c r="SB407" s="13"/>
      <c r="SX407" s="12"/>
      <c r="TA407" s="12"/>
      <c r="TF407" s="14"/>
      <c r="TG407" s="15"/>
      <c r="TH407" s="15"/>
      <c r="TI407" s="15"/>
      <c r="TJ407" s="15"/>
      <c r="TK407" s="15"/>
      <c r="TL407" s="15"/>
      <c r="TM407" s="15"/>
      <c r="TN407" s="15"/>
      <c r="TO407" s="16"/>
      <c r="UH407" s="12"/>
      <c r="US407" s="13"/>
      <c r="UU407" s="13"/>
      <c r="WQ407" s="13"/>
      <c r="WT407" s="13"/>
      <c r="AAL407" s="12"/>
      <c r="AAO407" s="12"/>
      <c r="ACO407" s="13"/>
      <c r="ACQ407" s="13"/>
      <c r="ACR407" s="12"/>
      <c r="AEQ407" s="13"/>
      <c r="AET407" s="13"/>
    </row>
    <row r="408" spans="34:826" ht="10.75" customHeight="1">
      <c r="AH408" s="12"/>
      <c r="AI408" s="12"/>
      <c r="AQ408" s="13"/>
      <c r="AR408" s="43"/>
      <c r="AS408" s="43"/>
      <c r="AT408" s="43"/>
      <c r="AU408" s="12"/>
      <c r="BB408" s="13"/>
      <c r="BC408" s="12"/>
      <c r="EV408" s="13"/>
      <c r="EW408" s="43"/>
      <c r="EX408" s="43"/>
      <c r="EY408" s="45"/>
      <c r="HP408" s="12"/>
      <c r="HQ408" s="12"/>
      <c r="HZ408" s="13"/>
      <c r="IA408" s="18"/>
      <c r="ID408" s="12"/>
      <c r="KE408" s="12"/>
      <c r="KF408" s="13"/>
      <c r="MF408" s="13"/>
      <c r="MI408" s="13"/>
      <c r="MN408" s="13"/>
      <c r="MO408" s="13"/>
      <c r="MY408" s="13"/>
      <c r="NY408" s="12"/>
      <c r="OA408" s="13"/>
      <c r="PX408" s="12"/>
      <c r="PY408" s="18"/>
      <c r="PZ408" s="12"/>
      <c r="RY408" s="13"/>
      <c r="SB408" s="13"/>
      <c r="SX408" s="12"/>
      <c r="TA408" s="12"/>
      <c r="UH408" s="12"/>
      <c r="US408" s="13"/>
      <c r="UU408" s="13"/>
      <c r="WQ408" s="13"/>
      <c r="WT408" s="13"/>
      <c r="AAL408" s="12"/>
      <c r="AAO408" s="12"/>
      <c r="ACO408" s="13"/>
      <c r="ACQ408" s="13"/>
      <c r="ACR408" s="12"/>
      <c r="AEQ408" s="13"/>
      <c r="AET408" s="13"/>
    </row>
    <row r="409" spans="34:826" ht="10.75" customHeight="1">
      <c r="AH409" s="14"/>
      <c r="AI409" s="14"/>
      <c r="AJ409" s="15"/>
      <c r="AK409" s="15"/>
      <c r="AL409" s="15"/>
      <c r="AM409" s="15"/>
      <c r="AN409" s="15"/>
      <c r="AO409" s="15"/>
      <c r="AP409" s="15"/>
      <c r="AQ409" s="16"/>
      <c r="AR409" s="43"/>
      <c r="AS409" s="43"/>
      <c r="AT409" s="43"/>
      <c r="AU409" s="12"/>
      <c r="BB409" s="13"/>
      <c r="BC409" s="12"/>
      <c r="EV409" s="13"/>
      <c r="EW409" s="43"/>
      <c r="EX409" s="43"/>
      <c r="EY409" s="45"/>
      <c r="HP409" s="12"/>
      <c r="HQ409" s="12"/>
      <c r="HZ409" s="13"/>
      <c r="IA409" s="18"/>
      <c r="ID409" s="12"/>
      <c r="KE409" s="12"/>
      <c r="KF409" s="13"/>
      <c r="MF409" s="13"/>
      <c r="MI409" s="13"/>
      <c r="MN409" s="13"/>
      <c r="MO409" s="13"/>
      <c r="MY409" s="13"/>
      <c r="NY409" s="12"/>
      <c r="OA409" s="13"/>
      <c r="PX409" s="12"/>
      <c r="PY409" s="18"/>
      <c r="PZ409" s="12"/>
      <c r="RY409" s="13"/>
      <c r="SB409" s="13"/>
      <c r="SX409" s="12"/>
      <c r="TA409" s="12"/>
      <c r="UH409" s="14"/>
      <c r="UI409" s="15"/>
      <c r="UJ409" s="15"/>
      <c r="UK409" s="15"/>
      <c r="UL409" s="15"/>
      <c r="UM409" s="15"/>
      <c r="UN409" s="15"/>
      <c r="UO409" s="15"/>
      <c r="UP409" s="15"/>
      <c r="UQ409" s="15"/>
      <c r="UR409" s="15"/>
      <c r="US409" s="16"/>
      <c r="UU409" s="13"/>
      <c r="WQ409" s="13"/>
      <c r="WT409" s="13"/>
      <c r="AAL409" s="12"/>
      <c r="AAO409" s="12"/>
      <c r="ACO409" s="13"/>
      <c r="ACQ409" s="13"/>
      <c r="ACR409" s="12"/>
      <c r="AEQ409" s="13"/>
      <c r="AET409" s="13"/>
    </row>
    <row r="410" spans="34:826" ht="10.75" customHeight="1">
      <c r="AH410" s="9"/>
      <c r="AI410" s="9"/>
      <c r="AJ410" s="10"/>
      <c r="AK410" s="10"/>
      <c r="AL410" s="10"/>
      <c r="AM410" s="10"/>
      <c r="AN410" s="10"/>
      <c r="AO410" s="10"/>
      <c r="AP410" s="10"/>
      <c r="AQ410" s="11"/>
      <c r="AR410" s="43"/>
      <c r="AS410" s="43"/>
      <c r="AT410" s="43"/>
      <c r="AU410" s="12"/>
      <c r="BB410" s="13"/>
      <c r="BC410" s="12"/>
      <c r="EV410" s="13"/>
      <c r="EW410" s="43"/>
      <c r="EX410" s="43"/>
      <c r="EY410" s="45"/>
      <c r="HP410" s="12"/>
      <c r="HQ410" s="12"/>
      <c r="HZ410" s="13"/>
      <c r="IA410" s="18"/>
      <c r="ID410" s="12"/>
      <c r="KE410" s="12"/>
      <c r="KF410" s="13"/>
      <c r="MF410" s="13"/>
      <c r="MI410" s="13"/>
      <c r="MN410" s="13"/>
      <c r="MO410" s="13"/>
      <c r="MY410" s="13"/>
      <c r="NY410" s="12"/>
      <c r="OA410" s="13"/>
      <c r="PX410" s="12"/>
      <c r="PY410" s="18"/>
      <c r="PZ410" s="12"/>
      <c r="RY410" s="13"/>
      <c r="SB410" s="13"/>
      <c r="SX410" s="12"/>
      <c r="TA410" s="12"/>
      <c r="US410" s="13"/>
      <c r="UU410" s="13"/>
      <c r="WQ410" s="13"/>
      <c r="WT410" s="13"/>
      <c r="AAL410" s="12"/>
      <c r="AAO410" s="12"/>
      <c r="ACO410" s="13"/>
      <c r="ACQ410" s="13"/>
      <c r="ACR410" s="12"/>
      <c r="AEQ410" s="13"/>
      <c r="AET410" s="13"/>
    </row>
    <row r="411" spans="34:826" ht="10.75" customHeight="1">
      <c r="AH411" s="12"/>
      <c r="AI411" s="12"/>
      <c r="AQ411" s="13"/>
      <c r="AR411" s="43"/>
      <c r="AS411" s="43"/>
      <c r="AT411" s="43"/>
      <c r="AU411" s="12"/>
      <c r="BB411" s="13"/>
      <c r="BC411" s="12"/>
      <c r="EV411" s="13"/>
      <c r="EW411" s="43"/>
      <c r="EX411" s="43"/>
      <c r="EY411" s="45"/>
      <c r="HP411" s="12"/>
      <c r="HQ411" s="12"/>
      <c r="HZ411" s="13"/>
      <c r="IA411" s="18"/>
      <c r="ID411" s="12"/>
      <c r="KE411" s="12"/>
      <c r="KF411" s="13"/>
      <c r="MF411" s="13"/>
      <c r="MI411" s="13"/>
      <c r="MN411" s="13"/>
      <c r="MO411" s="13"/>
      <c r="MY411" s="13"/>
      <c r="NY411" s="12"/>
      <c r="OA411" s="13"/>
      <c r="PX411" s="12"/>
      <c r="PY411" s="18"/>
      <c r="PZ411" s="12"/>
      <c r="RY411" s="13"/>
      <c r="SB411" s="13"/>
      <c r="SX411" s="12"/>
      <c r="TA411" s="12"/>
      <c r="US411" s="13"/>
      <c r="UU411" s="13"/>
      <c r="WQ411" s="13"/>
      <c r="WT411" s="13"/>
      <c r="AAL411" s="12"/>
      <c r="AAO411" s="12"/>
      <c r="ACO411" s="13"/>
      <c r="ACQ411" s="13"/>
      <c r="ACR411" s="12"/>
      <c r="AEQ411" s="13"/>
      <c r="AET411" s="13"/>
    </row>
    <row r="412" spans="34:826" ht="10.75" customHeight="1">
      <c r="AH412" s="12"/>
      <c r="AI412" s="12"/>
      <c r="AQ412" s="13"/>
      <c r="AR412" s="43"/>
      <c r="AS412" s="43"/>
      <c r="AT412" s="43"/>
      <c r="AU412" s="12"/>
      <c r="BB412" s="13"/>
      <c r="BC412" s="12"/>
      <c r="EV412" s="13"/>
      <c r="EW412" s="43"/>
      <c r="EX412" s="43"/>
      <c r="EY412" s="45"/>
      <c r="HP412" s="12"/>
      <c r="HQ412" s="9"/>
      <c r="HR412" s="10"/>
      <c r="HS412" s="10"/>
      <c r="HT412" s="10"/>
      <c r="HU412" s="10"/>
      <c r="HV412" s="10"/>
      <c r="HW412" s="10"/>
      <c r="HX412" s="10"/>
      <c r="HY412" s="10"/>
      <c r="HZ412" s="11"/>
      <c r="IA412" s="18"/>
      <c r="ID412" s="12"/>
      <c r="KE412" s="12"/>
      <c r="KF412" s="13"/>
      <c r="MF412" s="13"/>
      <c r="MI412" s="13"/>
      <c r="MN412" s="13"/>
      <c r="MO412" s="13"/>
      <c r="MY412" s="13"/>
      <c r="NY412" s="12"/>
      <c r="OA412" s="13"/>
      <c r="PX412" s="12"/>
      <c r="PY412" s="18"/>
      <c r="PZ412" s="12"/>
      <c r="RY412" s="13"/>
      <c r="SB412" s="13"/>
      <c r="SX412" s="12"/>
      <c r="TA412" s="12"/>
      <c r="US412" s="13"/>
      <c r="UU412" s="13"/>
      <c r="WQ412" s="13"/>
      <c r="WT412" s="13"/>
      <c r="AAL412" s="12"/>
      <c r="AAO412" s="12"/>
      <c r="ACO412" s="13"/>
      <c r="ACQ412" s="13"/>
      <c r="ACR412" s="12"/>
      <c r="AEQ412" s="13"/>
      <c r="AET412" s="13"/>
    </row>
    <row r="413" spans="34:826" ht="10.75" customHeight="1">
      <c r="AH413" s="14"/>
      <c r="AI413" s="14"/>
      <c r="AJ413" s="15"/>
      <c r="AK413" s="15"/>
      <c r="AL413" s="15"/>
      <c r="AM413" s="15"/>
      <c r="AN413" s="15"/>
      <c r="AO413" s="15"/>
      <c r="AP413" s="15"/>
      <c r="AQ413" s="16"/>
      <c r="AR413" s="43"/>
      <c r="AS413" s="43"/>
      <c r="AT413" s="43"/>
      <c r="AU413" s="12"/>
      <c r="BB413" s="13"/>
      <c r="BC413" s="12"/>
      <c r="EV413" s="13"/>
      <c r="EW413" s="43"/>
      <c r="EX413" s="43"/>
      <c r="EY413" s="45"/>
      <c r="HP413" s="12"/>
      <c r="HQ413" s="12"/>
      <c r="HZ413" s="13"/>
      <c r="IA413" s="18"/>
      <c r="ID413" s="12"/>
      <c r="KE413" s="12"/>
      <c r="KF413" s="13"/>
      <c r="MF413" s="13"/>
      <c r="MI413" s="13"/>
      <c r="MN413" s="13"/>
      <c r="MO413" s="13"/>
      <c r="MY413" s="13"/>
      <c r="NY413" s="12"/>
      <c r="OA413" s="13"/>
      <c r="PX413" s="12"/>
      <c r="PY413" s="18"/>
      <c r="PZ413" s="12"/>
      <c r="RY413" s="13"/>
      <c r="SB413" s="13"/>
      <c r="SX413" s="12"/>
      <c r="TA413" s="12"/>
      <c r="US413" s="13"/>
      <c r="UU413" s="13"/>
      <c r="WQ413" s="13"/>
      <c r="WT413" s="13"/>
      <c r="AAL413" s="12"/>
      <c r="AAO413" s="12"/>
      <c r="ACO413" s="13"/>
      <c r="ACQ413" s="13"/>
      <c r="ACR413" s="12"/>
      <c r="AEQ413" s="13"/>
      <c r="AET413" s="13"/>
    </row>
    <row r="414" spans="34:826" ht="10.75" customHeight="1">
      <c r="AH414" s="12"/>
      <c r="AI414" s="12"/>
      <c r="AQ414" s="13"/>
      <c r="AR414" s="43"/>
      <c r="AS414" s="43"/>
      <c r="AT414" s="43"/>
      <c r="AU414" s="12"/>
      <c r="BB414" s="13"/>
      <c r="BC414" s="12"/>
      <c r="EV414" s="13"/>
      <c r="EW414" s="43"/>
      <c r="EX414" s="43"/>
      <c r="EY414" s="45"/>
      <c r="HP414" s="12"/>
      <c r="HQ414" s="12"/>
      <c r="HZ414" s="13"/>
      <c r="IA414" s="18"/>
      <c r="ID414" s="12"/>
      <c r="KE414" s="12"/>
      <c r="KF414" s="13"/>
      <c r="MF414" s="13"/>
      <c r="MI414" s="13"/>
      <c r="MN414" s="13"/>
      <c r="MO414" s="13"/>
      <c r="MY414" s="13"/>
      <c r="NY414" s="12"/>
      <c r="OA414" s="13"/>
      <c r="PX414" s="12"/>
      <c r="PY414" s="18"/>
      <c r="PZ414" s="12"/>
      <c r="RY414" s="13"/>
      <c r="SB414" s="13"/>
      <c r="SX414" s="12"/>
      <c r="TA414" s="12"/>
      <c r="US414" s="13"/>
      <c r="UU414" s="13"/>
      <c r="WQ414" s="13"/>
      <c r="WT414" s="13"/>
      <c r="AAL414" s="12"/>
      <c r="AAO414" s="12"/>
      <c r="ACO414" s="13"/>
      <c r="ACQ414" s="13"/>
      <c r="ACR414" s="12"/>
      <c r="AEQ414" s="13"/>
      <c r="AET414" s="13"/>
    </row>
    <row r="415" spans="34:826" ht="10.75" customHeight="1">
      <c r="AH415" s="12"/>
      <c r="AI415" s="12"/>
      <c r="AQ415" s="13"/>
      <c r="AR415" s="43"/>
      <c r="AS415" s="43"/>
      <c r="AT415" s="43"/>
      <c r="AU415" s="12"/>
      <c r="BB415" s="13"/>
      <c r="BC415" s="12"/>
      <c r="EV415" s="13"/>
      <c r="EW415" s="43"/>
      <c r="EX415" s="43"/>
      <c r="EY415" s="45"/>
      <c r="HP415" s="12"/>
      <c r="HQ415" s="14"/>
      <c r="HR415" s="15"/>
      <c r="HS415" s="15"/>
      <c r="HT415" s="15"/>
      <c r="HU415" s="15"/>
      <c r="HV415" s="15"/>
      <c r="HW415" s="15"/>
      <c r="HX415" s="15"/>
      <c r="HY415" s="15"/>
      <c r="HZ415" s="16"/>
      <c r="IA415" s="18"/>
      <c r="ID415" s="12"/>
      <c r="KE415" s="12"/>
      <c r="KF415" s="13"/>
      <c r="MF415" s="13"/>
      <c r="MI415" s="13"/>
      <c r="MN415" s="13"/>
      <c r="MO415" s="13"/>
      <c r="MY415" s="13"/>
      <c r="NY415" s="12"/>
      <c r="OA415" s="13"/>
      <c r="PX415" s="12"/>
      <c r="PY415" s="18"/>
      <c r="PZ415" s="12"/>
      <c r="RY415" s="13"/>
      <c r="SB415" s="13"/>
      <c r="SX415" s="12"/>
      <c r="TA415" s="12"/>
      <c r="US415" s="13"/>
      <c r="UU415" s="13"/>
      <c r="WQ415" s="13"/>
      <c r="WT415" s="13"/>
      <c r="AAL415" s="12"/>
      <c r="AAO415" s="12"/>
      <c r="ACO415" s="13"/>
      <c r="ACQ415" s="13"/>
      <c r="ACR415" s="12"/>
      <c r="AEQ415" s="13"/>
      <c r="AET415" s="13"/>
    </row>
    <row r="416" spans="34:826" ht="10.75" customHeight="1">
      <c r="AH416" s="12"/>
      <c r="AI416" s="12"/>
      <c r="AQ416" s="13"/>
      <c r="AR416" s="43"/>
      <c r="AS416" s="43"/>
      <c r="AT416" s="43"/>
      <c r="AU416" s="12"/>
      <c r="BB416" s="13"/>
      <c r="BC416" s="12"/>
      <c r="EV416" s="13"/>
      <c r="EW416" s="43"/>
      <c r="EX416" s="43"/>
      <c r="EY416" s="45"/>
      <c r="HP416" s="12"/>
      <c r="HQ416" s="12"/>
      <c r="HZ416" s="13"/>
      <c r="IA416" s="18"/>
      <c r="ID416" s="12"/>
      <c r="KE416" s="12"/>
      <c r="KF416" s="13"/>
      <c r="MF416" s="13"/>
      <c r="MI416" s="13"/>
      <c r="MN416" s="13"/>
      <c r="MO416" s="13"/>
      <c r="MY416" s="13"/>
      <c r="NY416" s="12"/>
      <c r="OA416" s="13"/>
      <c r="PX416" s="12"/>
      <c r="PY416" s="19"/>
      <c r="PZ416" s="12"/>
      <c r="RY416" s="13"/>
      <c r="SB416" s="13"/>
      <c r="SX416" s="12"/>
      <c r="TA416" s="12"/>
      <c r="US416" s="13"/>
      <c r="UU416" s="13"/>
      <c r="WQ416" s="13"/>
      <c r="WT416" s="13"/>
      <c r="AAL416" s="12"/>
      <c r="AAO416" s="12"/>
      <c r="ACO416" s="13"/>
      <c r="ACQ416" s="13"/>
      <c r="ACR416" s="12"/>
      <c r="AEQ416" s="13"/>
      <c r="AET416" s="13"/>
    </row>
    <row r="417" spans="27:826" ht="10.75" customHeight="1">
      <c r="AH417" s="14"/>
      <c r="AI417" s="14"/>
      <c r="AJ417" s="15"/>
      <c r="AK417" s="15"/>
      <c r="AL417" s="15"/>
      <c r="AM417" s="15"/>
      <c r="AN417" s="15"/>
      <c r="AO417" s="15"/>
      <c r="AP417" s="15"/>
      <c r="AQ417" s="16"/>
      <c r="AR417" s="43"/>
      <c r="AS417" s="43"/>
      <c r="AT417" s="43"/>
      <c r="AU417" s="12"/>
      <c r="BB417" s="13"/>
      <c r="BC417" s="12"/>
      <c r="EV417" s="13"/>
      <c r="EW417" s="43"/>
      <c r="EX417" s="43"/>
      <c r="EY417" s="45"/>
      <c r="HP417" s="12"/>
      <c r="HQ417" s="12"/>
      <c r="HZ417" s="13"/>
      <c r="IA417" s="18"/>
      <c r="ID417" s="12"/>
      <c r="KE417" s="12"/>
      <c r="KF417" s="13"/>
      <c r="MF417" s="13"/>
      <c r="MI417" s="13"/>
      <c r="MN417" s="13"/>
      <c r="MO417" s="13"/>
      <c r="MY417" s="13"/>
      <c r="NY417" s="12"/>
      <c r="OA417" s="13"/>
      <c r="PX417" s="12"/>
      <c r="PY417" s="13"/>
      <c r="PZ417" s="12"/>
      <c r="RY417" s="13"/>
      <c r="SB417" s="13"/>
      <c r="SX417" s="12"/>
      <c r="TA417" s="12"/>
      <c r="TH417" s="9"/>
      <c r="TI417" s="10"/>
      <c r="TJ417" s="10"/>
      <c r="TK417" s="10"/>
      <c r="TL417" s="10"/>
      <c r="TM417" s="10"/>
      <c r="TN417" s="10"/>
      <c r="TO417" s="10"/>
      <c r="TP417" s="10"/>
      <c r="TQ417" s="10"/>
      <c r="TR417" s="10"/>
      <c r="TS417" s="10"/>
      <c r="TT417" s="10"/>
      <c r="TU417" s="10"/>
      <c r="TV417" s="10"/>
      <c r="TW417" s="10"/>
      <c r="TX417" s="10"/>
      <c r="TY417" s="10"/>
      <c r="TZ417" s="10"/>
      <c r="UA417" s="11"/>
      <c r="US417" s="13"/>
      <c r="UU417" s="13"/>
      <c r="WQ417" s="13"/>
      <c r="WT417" s="13"/>
      <c r="AAL417" s="12"/>
      <c r="AAO417" s="12"/>
      <c r="ACO417" s="13"/>
      <c r="ACQ417" s="13"/>
      <c r="ACR417" s="12"/>
      <c r="AEQ417" s="13"/>
      <c r="AET417" s="13"/>
    </row>
    <row r="418" spans="27:826" ht="10.75" customHeight="1">
      <c r="AH418" s="12"/>
      <c r="AI418" s="12"/>
      <c r="AQ418" s="13"/>
      <c r="AR418" s="43"/>
      <c r="AS418" s="43"/>
      <c r="AT418" s="43"/>
      <c r="AU418" s="12"/>
      <c r="BB418" s="13"/>
      <c r="BC418" s="12"/>
      <c r="EV418" s="13"/>
      <c r="EW418" s="43"/>
      <c r="EX418" s="43"/>
      <c r="EY418" s="45"/>
      <c r="HP418" s="12"/>
      <c r="HQ418" s="12"/>
      <c r="HZ418" s="13"/>
      <c r="IA418" s="97"/>
      <c r="IB418" s="96"/>
      <c r="IC418" s="97"/>
      <c r="ID418" s="12"/>
      <c r="KD418" s="97"/>
      <c r="KE418" s="96"/>
      <c r="KF418" s="98"/>
      <c r="MF418" s="13"/>
      <c r="MG418" s="97"/>
      <c r="MH418" s="97"/>
      <c r="MI418" s="98"/>
      <c r="MN418" s="13"/>
      <c r="MO418" s="13"/>
      <c r="MY418" s="13"/>
      <c r="NY418" s="12"/>
      <c r="OA418" s="13"/>
      <c r="PW418" s="97"/>
      <c r="PX418" s="96"/>
      <c r="PY418" s="98"/>
      <c r="PZ418" s="12"/>
      <c r="RY418" s="13"/>
      <c r="SB418" s="13"/>
      <c r="SX418" s="12"/>
      <c r="TA418" s="12"/>
      <c r="TH418" s="12"/>
      <c r="UA418" s="13"/>
      <c r="US418" s="13"/>
      <c r="UU418" s="13"/>
      <c r="WQ418" s="13"/>
      <c r="WT418" s="13"/>
      <c r="AAL418" s="12"/>
      <c r="AAO418" s="12"/>
      <c r="ACO418" s="13"/>
      <c r="ACQ418" s="13"/>
      <c r="ACR418" s="12"/>
      <c r="AEQ418" s="13"/>
      <c r="AET418" s="13"/>
    </row>
    <row r="419" spans="27:826" ht="10.75" customHeight="1">
      <c r="AH419" s="12"/>
      <c r="AI419" s="12"/>
      <c r="AQ419" s="13"/>
      <c r="AR419" s="43"/>
      <c r="AS419" s="43"/>
      <c r="AT419" s="43"/>
      <c r="AU419" s="12"/>
      <c r="BB419" s="13"/>
      <c r="BC419" s="12"/>
      <c r="EV419" s="13"/>
      <c r="EW419" s="43"/>
      <c r="EX419" s="43"/>
      <c r="EY419" s="45"/>
      <c r="HP419" s="12"/>
      <c r="HQ419" s="12"/>
      <c r="HZ419" s="13"/>
      <c r="IA419" s="261"/>
      <c r="IB419" s="97"/>
      <c r="IC419" s="97"/>
      <c r="ID419" s="12"/>
      <c r="KD419" s="97"/>
      <c r="KE419" s="96"/>
      <c r="KF419" s="98"/>
      <c r="MF419" s="13"/>
      <c r="MG419" s="97"/>
      <c r="MH419" s="97"/>
      <c r="MI419" s="98"/>
      <c r="MN419" s="13"/>
      <c r="MO419" s="13"/>
      <c r="MY419" s="13"/>
      <c r="NY419" s="12"/>
      <c r="OA419" s="13"/>
      <c r="PW419" s="97"/>
      <c r="PX419" s="96"/>
      <c r="PY419" s="98"/>
      <c r="PZ419" s="12"/>
      <c r="RY419" s="13"/>
      <c r="SB419" s="13"/>
      <c r="SX419" s="12"/>
      <c r="TA419" s="12"/>
      <c r="TH419" s="12"/>
      <c r="UA419" s="13"/>
      <c r="US419" s="13"/>
      <c r="UU419" s="13"/>
      <c r="WQ419" s="13"/>
      <c r="WT419" s="13"/>
      <c r="AAL419" s="12"/>
      <c r="AAO419" s="12"/>
      <c r="ACO419" s="13"/>
      <c r="ACQ419" s="13"/>
      <c r="ACR419" s="12"/>
      <c r="AEQ419" s="13"/>
      <c r="AET419" s="13"/>
    </row>
    <row r="420" spans="27:826" ht="10.75" customHeight="1">
      <c r="AH420" s="12"/>
      <c r="AI420" s="12"/>
      <c r="AQ420" s="13"/>
      <c r="AR420" s="43"/>
      <c r="AS420" s="43"/>
      <c r="AT420" s="43"/>
      <c r="AU420" s="12"/>
      <c r="BB420" s="13"/>
      <c r="BC420" s="12"/>
      <c r="EV420" s="13"/>
      <c r="EW420" s="43"/>
      <c r="EX420" s="43"/>
      <c r="EY420" s="45"/>
      <c r="HP420" s="12"/>
      <c r="HQ420" s="9"/>
      <c r="HR420" s="10"/>
      <c r="HS420" s="10"/>
      <c r="HT420" s="10"/>
      <c r="HU420" s="10"/>
      <c r="HV420" s="10"/>
      <c r="HW420" s="10"/>
      <c r="HX420" s="10"/>
      <c r="HY420" s="10"/>
      <c r="HZ420" s="11"/>
      <c r="IA420" s="288"/>
      <c r="IB420" s="97"/>
      <c r="IC420" s="97"/>
      <c r="ID420" s="12"/>
      <c r="KD420" s="97"/>
      <c r="KE420" s="96"/>
      <c r="KF420" s="98"/>
      <c r="MF420" s="13"/>
      <c r="MG420" s="97"/>
      <c r="MH420" s="97"/>
      <c r="MI420" s="98"/>
      <c r="MN420" s="13"/>
      <c r="MO420" s="13"/>
      <c r="MY420" s="13"/>
      <c r="NY420" s="12"/>
      <c r="OA420" s="13"/>
      <c r="PW420" s="97"/>
      <c r="PX420" s="96"/>
      <c r="PY420" s="98"/>
      <c r="PZ420" s="12"/>
      <c r="RY420" s="13"/>
      <c r="SB420" s="13"/>
      <c r="SX420" s="12"/>
      <c r="TA420" s="12"/>
      <c r="TH420" s="12"/>
      <c r="UA420" s="13"/>
      <c r="US420" s="13"/>
      <c r="UU420" s="13"/>
      <c r="WQ420" s="13"/>
      <c r="WT420" s="13"/>
      <c r="AAL420" s="12"/>
      <c r="AAO420" s="12"/>
      <c r="ACO420" s="13"/>
      <c r="ACQ420" s="13"/>
      <c r="ACR420" s="12"/>
      <c r="AEQ420" s="13"/>
      <c r="AET420" s="13"/>
    </row>
    <row r="421" spans="27:826" ht="10.75" customHeight="1">
      <c r="AH421" s="14"/>
      <c r="AI421" s="14"/>
      <c r="AJ421" s="15"/>
      <c r="AK421" s="15"/>
      <c r="AL421" s="15"/>
      <c r="AM421" s="15"/>
      <c r="AN421" s="15"/>
      <c r="AO421" s="15"/>
      <c r="AP421" s="15"/>
      <c r="AQ421" s="16"/>
      <c r="AR421" s="43"/>
      <c r="AS421" s="43"/>
      <c r="AT421" s="43"/>
      <c r="AU421" s="12"/>
      <c r="BB421" s="13"/>
      <c r="BC421" s="12"/>
      <c r="EV421" s="13"/>
      <c r="EW421" s="43"/>
      <c r="EX421" s="43"/>
      <c r="EY421" s="45"/>
      <c r="HP421" s="12"/>
      <c r="HQ421" s="12"/>
      <c r="HZ421" s="13"/>
      <c r="IA421" s="288"/>
      <c r="IB421" s="97"/>
      <c r="IC421" s="97"/>
      <c r="ID421" s="12"/>
      <c r="KD421" s="97"/>
      <c r="KE421" s="96"/>
      <c r="KF421" s="98"/>
      <c r="MF421" s="13"/>
      <c r="MG421" s="97"/>
      <c r="MH421" s="97"/>
      <c r="MI421" s="98"/>
      <c r="MN421" s="13"/>
      <c r="MO421" s="13"/>
      <c r="MY421" s="13"/>
      <c r="NY421" s="12"/>
      <c r="OA421" s="13"/>
      <c r="PW421" s="97"/>
      <c r="PX421" s="96"/>
      <c r="PY421" s="98"/>
      <c r="PZ421" s="12"/>
      <c r="RY421" s="13"/>
      <c r="SB421" s="13"/>
      <c r="SX421" s="12"/>
      <c r="TA421" s="12"/>
      <c r="TH421" s="12"/>
      <c r="UA421" s="13"/>
      <c r="US421" s="13"/>
      <c r="UU421" s="13"/>
      <c r="WQ421" s="13"/>
      <c r="WT421" s="13"/>
      <c r="AAL421" s="12"/>
      <c r="AAO421" s="12"/>
      <c r="ACO421" s="13"/>
      <c r="ACQ421" s="13"/>
      <c r="ACR421" s="12"/>
      <c r="AEQ421" s="13"/>
      <c r="AET421" s="13"/>
    </row>
    <row r="422" spans="27:826" ht="10.75" customHeight="1">
      <c r="AA422" s="9"/>
      <c r="AB422" s="20"/>
      <c r="AC422" s="21"/>
      <c r="AD422" s="21"/>
      <c r="AE422" s="21"/>
      <c r="AF422" s="21"/>
      <c r="AG422" s="21"/>
      <c r="AH422" s="22"/>
      <c r="AI422" s="10"/>
      <c r="AJ422" s="10"/>
      <c r="AK422" s="10"/>
      <c r="AL422" s="10"/>
      <c r="AM422" s="10"/>
      <c r="AN422" s="10"/>
      <c r="AO422" s="10"/>
      <c r="AP422" s="10"/>
      <c r="AQ422" s="11"/>
      <c r="AR422" s="43"/>
      <c r="AS422" s="43"/>
      <c r="AT422" s="43"/>
      <c r="AU422" s="12"/>
      <c r="BB422" s="13"/>
      <c r="BC422" s="12"/>
      <c r="EV422" s="13"/>
      <c r="EW422" s="43"/>
      <c r="EX422" s="43"/>
      <c r="EY422" s="45"/>
      <c r="HP422" s="12"/>
      <c r="HQ422" s="12"/>
      <c r="HZ422" s="13"/>
      <c r="IA422" s="18"/>
      <c r="ID422" s="12"/>
      <c r="KE422" s="12"/>
      <c r="KF422" s="13"/>
      <c r="MF422" s="13"/>
      <c r="MI422" s="13"/>
      <c r="MN422" s="13"/>
      <c r="MO422" s="13"/>
      <c r="MY422" s="13"/>
      <c r="NY422" s="12"/>
      <c r="OA422" s="13"/>
      <c r="PX422" s="12"/>
      <c r="PY422" s="13"/>
      <c r="PZ422" s="12"/>
      <c r="RY422" s="13"/>
      <c r="SB422" s="13"/>
      <c r="SX422" s="97"/>
      <c r="SY422" s="97"/>
      <c r="SZ422" s="98"/>
      <c r="TA422" s="12"/>
      <c r="TH422" s="12"/>
      <c r="UA422" s="13"/>
      <c r="US422" s="98"/>
      <c r="UT422" s="97"/>
      <c r="UU422" s="98"/>
      <c r="WQ422" s="13"/>
      <c r="WR422" s="97"/>
      <c r="WS422" s="97"/>
      <c r="WT422" s="98"/>
      <c r="AAL422" s="12"/>
      <c r="AAO422" s="12"/>
      <c r="ACO422" s="13"/>
      <c r="ACQ422" s="13"/>
      <c r="ACR422" s="12"/>
      <c r="AEQ422" s="13"/>
      <c r="AET422" s="13"/>
    </row>
    <row r="423" spans="27:826" ht="10.75" customHeight="1">
      <c r="AA423" s="12"/>
      <c r="AB423" s="12"/>
      <c r="AQ423" s="13"/>
      <c r="AR423" s="42"/>
      <c r="AS423" s="43"/>
      <c r="AT423" s="43"/>
      <c r="AU423" s="12"/>
      <c r="BB423" s="13"/>
      <c r="BC423" s="12"/>
      <c r="EV423" s="13"/>
      <c r="EW423" s="43"/>
      <c r="EX423" s="43"/>
      <c r="EY423" s="45"/>
      <c r="HP423" s="12"/>
      <c r="HQ423" s="14"/>
      <c r="HR423" s="15"/>
      <c r="HS423" s="15"/>
      <c r="HT423" s="15"/>
      <c r="HU423" s="15"/>
      <c r="HV423" s="15"/>
      <c r="HW423" s="15"/>
      <c r="HX423" s="15"/>
      <c r="HY423" s="15"/>
      <c r="HZ423" s="16"/>
      <c r="IA423" s="18"/>
      <c r="ID423" s="12"/>
      <c r="KE423" s="12"/>
      <c r="KF423" s="13"/>
      <c r="MF423" s="13"/>
      <c r="MI423" s="13"/>
      <c r="MN423" s="13"/>
      <c r="MO423" s="13"/>
      <c r="MY423" s="13"/>
      <c r="NY423" s="12"/>
      <c r="OA423" s="13"/>
      <c r="PX423" s="12"/>
      <c r="PY423" s="13"/>
      <c r="PZ423" s="12"/>
      <c r="RY423" s="13"/>
      <c r="SB423" s="13"/>
      <c r="SX423" s="97"/>
      <c r="SY423" s="97"/>
      <c r="SZ423" s="98"/>
      <c r="TA423" s="12"/>
      <c r="TH423" s="12"/>
      <c r="UA423" s="13"/>
      <c r="US423" s="98"/>
      <c r="UT423" s="97"/>
      <c r="UU423" s="98"/>
      <c r="WQ423" s="13"/>
      <c r="WR423" s="97"/>
      <c r="WS423" s="97"/>
      <c r="WT423" s="98"/>
      <c r="AAL423" s="12"/>
      <c r="AAO423" s="12"/>
      <c r="ACO423" s="13"/>
      <c r="ACQ423" s="13"/>
      <c r="ACR423" s="12"/>
      <c r="AEQ423" s="13"/>
      <c r="AET423" s="13"/>
    </row>
    <row r="424" spans="27:826" ht="10.75" customHeight="1">
      <c r="AA424" s="12"/>
      <c r="AB424" s="12"/>
      <c r="AQ424" s="13"/>
      <c r="AR424" s="42"/>
      <c r="AS424" s="43"/>
      <c r="AT424" s="43"/>
      <c r="AU424" s="9"/>
      <c r="AV424" s="10"/>
      <c r="AW424" s="10"/>
      <c r="AX424" s="10"/>
      <c r="AY424" s="10"/>
      <c r="AZ424" s="10"/>
      <c r="BA424" s="10"/>
      <c r="BB424" s="10"/>
      <c r="BC424" s="10"/>
      <c r="BD424" s="10"/>
      <c r="BE424" s="10"/>
      <c r="BF424" s="11"/>
      <c r="BG424" s="10"/>
      <c r="BH424" s="10"/>
      <c r="BI424" s="10"/>
      <c r="BJ424" s="10"/>
      <c r="BK424" s="9"/>
      <c r="BL424" s="10"/>
      <c r="BM424" s="10"/>
      <c r="BN424" s="11"/>
      <c r="BO424" s="10"/>
      <c r="BP424" s="10"/>
      <c r="BQ424" s="10"/>
      <c r="BR424" s="10"/>
      <c r="BS424" s="9"/>
      <c r="BT424" s="10"/>
      <c r="BU424" s="10"/>
      <c r="BV424" s="11"/>
      <c r="BW424" s="10"/>
      <c r="BX424" s="10"/>
      <c r="BY424" s="10"/>
      <c r="BZ424" s="10"/>
      <c r="CA424" s="9"/>
      <c r="CB424" s="10"/>
      <c r="CC424" s="10"/>
      <c r="CD424" s="11"/>
      <c r="EV424" s="13"/>
      <c r="EW424" s="43"/>
      <c r="EX424" s="43"/>
      <c r="EY424" s="45"/>
      <c r="HP424" s="12"/>
      <c r="HQ424" s="12"/>
      <c r="HU424" s="9"/>
      <c r="HV424" s="10"/>
      <c r="HW424" s="10"/>
      <c r="HX424" s="10"/>
      <c r="HY424" s="10"/>
      <c r="HZ424" s="11"/>
      <c r="IA424" s="19"/>
      <c r="ID424" s="12"/>
      <c r="KE424" s="12"/>
      <c r="KF424" s="13"/>
      <c r="MF424" s="13"/>
      <c r="MI424" s="13"/>
      <c r="MN424" s="13"/>
      <c r="MO424" s="13"/>
      <c r="MY424" s="13"/>
      <c r="NY424" s="12"/>
      <c r="OA424" s="13"/>
      <c r="PX424" s="12"/>
      <c r="PY424" s="13"/>
      <c r="PZ424" s="12"/>
      <c r="RY424" s="13"/>
      <c r="SB424" s="13"/>
      <c r="SX424" s="97"/>
      <c r="SY424" s="97"/>
      <c r="SZ424" s="98"/>
      <c r="TA424" s="12"/>
      <c r="TH424" s="12"/>
      <c r="UA424" s="13"/>
      <c r="US424" s="98"/>
      <c r="UT424" s="97"/>
      <c r="UU424" s="98"/>
      <c r="WQ424" s="13"/>
      <c r="WR424" s="97"/>
      <c r="WS424" s="97"/>
      <c r="WT424" s="98"/>
      <c r="AAL424" s="12"/>
      <c r="AAO424" s="12"/>
      <c r="ACO424" s="13"/>
      <c r="ACQ424" s="13"/>
      <c r="ACR424" s="12"/>
      <c r="AEQ424" s="13"/>
      <c r="AET424" s="13"/>
    </row>
    <row r="425" spans="27:826" ht="10.75" customHeight="1">
      <c r="AA425" s="12"/>
      <c r="AB425" s="12"/>
      <c r="AQ425" s="13"/>
      <c r="AR425" s="40"/>
      <c r="AS425" s="276"/>
      <c r="AT425" s="41"/>
      <c r="AU425" s="9"/>
      <c r="AV425" s="10"/>
      <c r="AW425" s="10"/>
      <c r="AX425" s="10"/>
      <c r="AY425" s="10"/>
      <c r="AZ425" s="10"/>
      <c r="BA425" s="10"/>
      <c r="BB425" s="10"/>
      <c r="BC425" s="10"/>
      <c r="BD425" s="10"/>
      <c r="BE425" s="10"/>
      <c r="BF425" s="11"/>
      <c r="BG425" s="10"/>
      <c r="BH425" s="10"/>
      <c r="BI425" s="10"/>
      <c r="BJ425" s="10"/>
      <c r="BK425" s="9"/>
      <c r="BL425" s="10"/>
      <c r="BM425" s="10"/>
      <c r="BN425" s="11"/>
      <c r="BO425" s="10"/>
      <c r="BP425" s="10"/>
      <c r="BQ425" s="10"/>
      <c r="BR425" s="10"/>
      <c r="BS425" s="9"/>
      <c r="BT425" s="10"/>
      <c r="BU425" s="10"/>
      <c r="BV425" s="11"/>
      <c r="BW425" s="10"/>
      <c r="BX425" s="10"/>
      <c r="BY425" s="10"/>
      <c r="BZ425" s="10"/>
      <c r="CA425" s="9"/>
      <c r="CB425" s="10"/>
      <c r="CC425" s="10"/>
      <c r="CD425" s="11"/>
      <c r="EV425" s="13"/>
      <c r="EW425" s="43"/>
      <c r="EX425" s="43"/>
      <c r="EY425" s="45"/>
      <c r="HP425" s="12"/>
      <c r="HQ425" s="12"/>
      <c r="HU425" s="12"/>
      <c r="HV425" s="9"/>
      <c r="HW425" s="10"/>
      <c r="HX425" s="10"/>
      <c r="HY425" s="10"/>
      <c r="HZ425" s="11"/>
      <c r="ID425" s="12"/>
      <c r="KE425" s="12"/>
      <c r="KF425" s="13"/>
      <c r="MF425" s="13"/>
      <c r="MI425" s="13"/>
      <c r="MN425" s="13"/>
      <c r="MO425" s="13"/>
      <c r="MY425" s="13"/>
      <c r="NY425" s="12"/>
      <c r="OA425" s="13"/>
      <c r="PX425" s="12"/>
      <c r="PY425" s="13"/>
      <c r="PZ425" s="12"/>
      <c r="QB425" s="279"/>
      <c r="QC425" s="280"/>
      <c r="QD425" s="280"/>
      <c r="QE425" s="280"/>
      <c r="QF425" s="280"/>
      <c r="QG425" s="280"/>
      <c r="QH425" s="280"/>
      <c r="QI425" s="280"/>
      <c r="QJ425" s="280"/>
      <c r="QK425" s="280"/>
      <c r="QL425" s="280"/>
      <c r="QM425" s="283"/>
      <c r="RY425" s="13"/>
      <c r="SB425" s="13"/>
      <c r="SX425" s="97"/>
      <c r="SY425" s="97"/>
      <c r="SZ425" s="98"/>
      <c r="TA425" s="12"/>
      <c r="TH425" s="12"/>
      <c r="UA425" s="13"/>
      <c r="US425" s="98"/>
      <c r="UT425" s="97"/>
      <c r="UU425" s="98"/>
      <c r="WQ425" s="13"/>
      <c r="WR425" s="97"/>
      <c r="WS425" s="97"/>
      <c r="WT425" s="98"/>
      <c r="AAL425" s="12"/>
      <c r="AAO425" s="12"/>
      <c r="ACO425" s="13"/>
      <c r="ACQ425" s="13"/>
      <c r="ACR425" s="12"/>
      <c r="AEQ425" s="13"/>
      <c r="AET425" s="13"/>
    </row>
    <row r="426" spans="27:826" ht="10.75" customHeight="1">
      <c r="AA426" s="12"/>
      <c r="AB426" s="12"/>
      <c r="AQ426" s="13"/>
      <c r="AR426" s="42"/>
      <c r="AS426" s="277"/>
      <c r="AT426" s="43"/>
      <c r="AU426" s="12"/>
      <c r="BF426" s="13"/>
      <c r="BK426" s="12"/>
      <c r="BN426" s="13"/>
      <c r="BS426" s="12"/>
      <c r="BV426" s="13"/>
      <c r="CA426" s="12"/>
      <c r="CD426" s="13"/>
      <c r="EV426" s="13"/>
      <c r="EW426" s="43"/>
      <c r="EX426" s="43"/>
      <c r="EY426" s="45"/>
      <c r="HP426" s="12"/>
      <c r="HQ426" s="12"/>
      <c r="HU426" s="12"/>
      <c r="HV426" s="12"/>
      <c r="HZ426" s="13"/>
      <c r="ID426" s="12"/>
      <c r="KE426" s="12"/>
      <c r="KF426" s="13"/>
      <c r="MF426" s="13"/>
      <c r="MI426" s="13"/>
      <c r="MN426" s="13"/>
      <c r="MO426" s="13"/>
      <c r="MY426" s="13"/>
      <c r="NY426" s="12"/>
      <c r="OA426" s="13"/>
      <c r="PX426" s="12"/>
      <c r="PY426" s="13"/>
      <c r="PZ426" s="12"/>
      <c r="QB426" s="281"/>
      <c r="QC426" s="282"/>
      <c r="QD426" s="282"/>
      <c r="QE426" s="282"/>
      <c r="QF426" s="282"/>
      <c r="QG426" s="282"/>
      <c r="QH426" s="282"/>
      <c r="QI426" s="282"/>
      <c r="QJ426" s="282"/>
      <c r="QK426" s="282"/>
      <c r="QL426" s="282"/>
      <c r="QM426" s="284"/>
      <c r="RY426" s="13"/>
      <c r="SB426" s="13"/>
      <c r="SX426" s="12"/>
      <c r="TA426" s="12"/>
      <c r="TH426" s="12"/>
      <c r="UA426" s="13"/>
      <c r="US426" s="13"/>
      <c r="UU426" s="13"/>
      <c r="WQ426" s="13"/>
      <c r="WT426" s="13"/>
      <c r="AAL426" s="12"/>
      <c r="AAO426" s="12"/>
      <c r="ACO426" s="13"/>
      <c r="ACQ426" s="13"/>
      <c r="ACR426" s="12"/>
      <c r="AEQ426" s="13"/>
      <c r="AET426" s="13"/>
    </row>
    <row r="427" spans="27:826" ht="10.75" customHeight="1">
      <c r="AA427" s="12"/>
      <c r="AB427" s="12"/>
      <c r="AQ427" s="13"/>
      <c r="AR427" s="42"/>
      <c r="AS427" s="277"/>
      <c r="AT427" s="43"/>
      <c r="AU427" s="12"/>
      <c r="BF427" s="13"/>
      <c r="BK427" s="12"/>
      <c r="BN427" s="13"/>
      <c r="BS427" s="12"/>
      <c r="BV427" s="13"/>
      <c r="CA427" s="12"/>
      <c r="CD427" s="13"/>
      <c r="EV427" s="13"/>
      <c r="EW427" s="43"/>
      <c r="EX427" s="43"/>
      <c r="EY427" s="45"/>
      <c r="HP427" s="12"/>
      <c r="HQ427" s="12"/>
      <c r="HU427" s="12"/>
      <c r="HV427" s="12"/>
      <c r="HZ427" s="13"/>
      <c r="ID427" s="12"/>
      <c r="KE427" s="12"/>
      <c r="KF427" s="13"/>
      <c r="MF427" s="13"/>
      <c r="MI427" s="13"/>
      <c r="MN427" s="13"/>
      <c r="MO427" s="13"/>
      <c r="MY427" s="13"/>
      <c r="NY427" s="12"/>
      <c r="OA427" s="13"/>
      <c r="PX427" s="12"/>
      <c r="PY427" s="13"/>
      <c r="PZ427" s="12"/>
      <c r="QB427" s="281"/>
      <c r="QC427" s="282"/>
      <c r="QD427" s="9"/>
      <c r="QE427" s="11"/>
      <c r="QF427" s="9"/>
      <c r="QG427" s="10"/>
      <c r="QH427" s="10"/>
      <c r="QI427" s="10"/>
      <c r="QJ427" s="10"/>
      <c r="QK427" s="10"/>
      <c r="QL427" s="10"/>
      <c r="QM427" s="11"/>
      <c r="RY427" s="13"/>
      <c r="SB427" s="13"/>
      <c r="SX427" s="12"/>
      <c r="TA427" s="12"/>
      <c r="TH427" s="12"/>
      <c r="UA427" s="13"/>
      <c r="US427" s="13"/>
      <c r="UU427" s="13"/>
      <c r="WQ427" s="13"/>
      <c r="WT427" s="13"/>
      <c r="AAL427" s="12"/>
      <c r="AAO427" s="12"/>
      <c r="ACO427" s="13"/>
      <c r="ACQ427" s="13"/>
      <c r="ACR427" s="12"/>
      <c r="AEQ427" s="13"/>
      <c r="AET427" s="13"/>
    </row>
    <row r="428" spans="27:826" ht="10.75" customHeight="1">
      <c r="AA428" s="12"/>
      <c r="AB428" s="12"/>
      <c r="AQ428" s="13"/>
      <c r="AR428" s="42"/>
      <c r="AS428" s="277"/>
      <c r="AT428" s="43"/>
      <c r="AU428" s="12"/>
      <c r="BF428" s="13"/>
      <c r="BK428" s="12"/>
      <c r="BN428" s="13"/>
      <c r="BS428" s="12"/>
      <c r="BV428" s="13"/>
      <c r="CA428" s="12"/>
      <c r="CD428" s="13"/>
      <c r="EV428" s="13"/>
      <c r="EW428" s="43"/>
      <c r="EX428" s="43"/>
      <c r="EY428" s="45"/>
      <c r="HP428" s="12"/>
      <c r="HQ428" s="9"/>
      <c r="HR428" s="10"/>
      <c r="HS428" s="10"/>
      <c r="HT428" s="10"/>
      <c r="HU428" s="9"/>
      <c r="HV428" s="9"/>
      <c r="HW428" s="10"/>
      <c r="HX428" s="10"/>
      <c r="HY428" s="10"/>
      <c r="HZ428" s="11"/>
      <c r="ID428" s="12"/>
      <c r="KE428" s="12"/>
      <c r="KF428" s="13"/>
      <c r="MF428" s="13"/>
      <c r="MI428" s="13"/>
      <c r="MN428" s="13"/>
      <c r="MO428" s="13"/>
      <c r="MY428" s="13"/>
      <c r="NY428" s="12"/>
      <c r="OA428" s="13"/>
      <c r="PX428" s="12"/>
      <c r="PY428" s="13"/>
      <c r="PZ428" s="12"/>
      <c r="QB428" s="281"/>
      <c r="QC428" s="282"/>
      <c r="QD428" s="12"/>
      <c r="QE428" s="13"/>
      <c r="QF428" s="12"/>
      <c r="QM428" s="13"/>
      <c r="RY428" s="13"/>
      <c r="SB428" s="13"/>
      <c r="SX428" s="12"/>
      <c r="TA428" s="12"/>
      <c r="TH428" s="12"/>
      <c r="UA428" s="13"/>
      <c r="US428" s="13"/>
      <c r="UU428" s="13"/>
      <c r="WQ428" s="13"/>
      <c r="WT428" s="13"/>
      <c r="AAL428" s="12"/>
      <c r="AAO428" s="12"/>
      <c r="ACO428" s="13"/>
      <c r="ACQ428" s="13"/>
      <c r="ACR428" s="12"/>
      <c r="AEQ428" s="13"/>
      <c r="AET428" s="13"/>
    </row>
    <row r="429" spans="27:826" ht="10.75" customHeight="1">
      <c r="AA429" s="12"/>
      <c r="AB429" s="12"/>
      <c r="AQ429" s="13"/>
      <c r="AR429" s="42"/>
      <c r="AS429" s="277"/>
      <c r="AT429" s="43"/>
      <c r="AU429" s="12"/>
      <c r="BF429" s="13"/>
      <c r="BK429" s="12"/>
      <c r="BN429" s="13"/>
      <c r="BS429" s="12"/>
      <c r="BV429" s="13"/>
      <c r="CA429" s="12"/>
      <c r="CD429" s="13"/>
      <c r="EV429" s="13"/>
      <c r="EW429" s="43"/>
      <c r="EX429" s="43"/>
      <c r="EY429" s="45"/>
      <c r="HP429" s="12"/>
      <c r="HQ429" s="12"/>
      <c r="HU429" s="12"/>
      <c r="HV429" s="12"/>
      <c r="HZ429" s="13"/>
      <c r="ID429" s="12"/>
      <c r="KE429" s="12"/>
      <c r="KF429" s="13"/>
      <c r="MF429" s="13"/>
      <c r="MI429" s="13"/>
      <c r="MN429" s="13"/>
      <c r="MO429" s="13"/>
      <c r="MY429" s="13"/>
      <c r="NY429" s="12"/>
      <c r="OA429" s="13"/>
      <c r="PX429" s="12"/>
      <c r="PY429" s="13"/>
      <c r="PZ429" s="12"/>
      <c r="QB429" s="281"/>
      <c r="QC429" s="282"/>
      <c r="QD429" s="12"/>
      <c r="QE429" s="13"/>
      <c r="QF429" s="12"/>
      <c r="QM429" s="13"/>
      <c r="RQ429" s="9"/>
      <c r="RR429" s="10"/>
      <c r="RS429" s="10"/>
      <c r="RT429" s="10"/>
      <c r="RU429" s="10"/>
      <c r="RV429" s="11"/>
      <c r="RY429" s="13"/>
      <c r="SB429" s="13"/>
      <c r="SX429" s="12"/>
      <c r="TA429" s="12"/>
      <c r="TH429" s="12"/>
      <c r="UA429" s="13"/>
      <c r="US429" s="13"/>
      <c r="UU429" s="13"/>
      <c r="WQ429" s="13"/>
      <c r="WT429" s="13"/>
      <c r="AAL429" s="12"/>
      <c r="AAO429" s="12"/>
      <c r="ACO429" s="13"/>
      <c r="ACQ429" s="13"/>
      <c r="ACR429" s="12"/>
      <c r="AEQ429" s="13"/>
      <c r="AET429" s="13"/>
    </row>
    <row r="430" spans="27:826" ht="10.75" customHeight="1">
      <c r="AA430" s="12"/>
      <c r="AB430" s="12"/>
      <c r="AQ430" s="13"/>
      <c r="AR430" s="42"/>
      <c r="AS430" s="277"/>
      <c r="AT430" s="43"/>
      <c r="AU430" s="12"/>
      <c r="BF430" s="13"/>
      <c r="BK430" s="12"/>
      <c r="BN430" s="13"/>
      <c r="BS430" s="12"/>
      <c r="BV430" s="13"/>
      <c r="CA430" s="12"/>
      <c r="CD430" s="13"/>
      <c r="EV430" s="13"/>
      <c r="EW430" s="43"/>
      <c r="EX430" s="43"/>
      <c r="EY430" s="45"/>
      <c r="HP430" s="12"/>
      <c r="HQ430" s="12"/>
      <c r="HU430" s="12"/>
      <c r="HV430" s="12"/>
      <c r="HZ430" s="13"/>
      <c r="ID430" s="12"/>
      <c r="KE430" s="12"/>
      <c r="KF430" s="13"/>
      <c r="MF430" s="13"/>
      <c r="MI430" s="13"/>
      <c r="MN430" s="13"/>
      <c r="MO430" s="13"/>
      <c r="MY430" s="13"/>
      <c r="NY430" s="12"/>
      <c r="OA430" s="13"/>
      <c r="PX430" s="12"/>
      <c r="PY430" s="13"/>
      <c r="PZ430" s="12"/>
      <c r="QB430" s="281"/>
      <c r="QC430" s="282"/>
      <c r="QD430" s="12"/>
      <c r="QE430" s="13"/>
      <c r="QF430" s="12"/>
      <c r="QM430" s="13"/>
      <c r="RQ430" s="12"/>
      <c r="RV430" s="13"/>
      <c r="RY430" s="13"/>
      <c r="SB430" s="13"/>
      <c r="SX430" s="12"/>
      <c r="TA430" s="12"/>
      <c r="TH430" s="12"/>
      <c r="UA430" s="13"/>
      <c r="US430" s="13"/>
      <c r="UU430" s="13"/>
      <c r="UX430" s="279"/>
      <c r="UY430" s="280"/>
      <c r="UZ430" s="280"/>
      <c r="VA430" s="280"/>
      <c r="VB430" s="280"/>
      <c r="VC430" s="280"/>
      <c r="VD430" s="280"/>
      <c r="VE430" s="280"/>
      <c r="VF430" s="280"/>
      <c r="VG430" s="280"/>
      <c r="VH430" s="280"/>
      <c r="VI430" s="283"/>
      <c r="WQ430" s="13"/>
      <c r="WT430" s="13"/>
      <c r="AAL430" s="12"/>
      <c r="AAO430" s="12"/>
      <c r="ACO430" s="13"/>
      <c r="ACQ430" s="13"/>
      <c r="ACR430" s="12"/>
      <c r="AEQ430" s="13"/>
      <c r="AET430" s="13"/>
    </row>
    <row r="431" spans="27:826" ht="10.75" customHeight="1">
      <c r="AA431" s="12"/>
      <c r="AB431" s="12"/>
      <c r="AQ431" s="13"/>
      <c r="AR431" s="42"/>
      <c r="AS431" s="277"/>
      <c r="AT431" s="43"/>
      <c r="AU431" s="12"/>
      <c r="BF431" s="13"/>
      <c r="BK431" s="12"/>
      <c r="BN431" s="13"/>
      <c r="BS431" s="12"/>
      <c r="BV431" s="13"/>
      <c r="CA431" s="12"/>
      <c r="CD431" s="13"/>
      <c r="EV431" s="13"/>
      <c r="EW431" s="43"/>
      <c r="EX431" s="43"/>
      <c r="EY431" s="45"/>
      <c r="HP431" s="12"/>
      <c r="HQ431" s="14"/>
      <c r="HR431" s="15"/>
      <c r="HS431" s="15"/>
      <c r="HT431" s="15"/>
      <c r="HU431" s="14"/>
      <c r="HV431" s="14"/>
      <c r="HW431" s="15"/>
      <c r="HX431" s="15"/>
      <c r="HY431" s="15"/>
      <c r="HZ431" s="16"/>
      <c r="ID431" s="12"/>
      <c r="KE431" s="12"/>
      <c r="KF431" s="13"/>
      <c r="MF431" s="13"/>
      <c r="MI431" s="13"/>
      <c r="MN431" s="13"/>
      <c r="MO431" s="13"/>
      <c r="MY431" s="13"/>
      <c r="NY431" s="12"/>
      <c r="OA431" s="13"/>
      <c r="PX431" s="12"/>
      <c r="PY431" s="13"/>
      <c r="PZ431" s="12"/>
      <c r="QB431" s="281"/>
      <c r="QC431" s="282"/>
      <c r="QD431" s="12"/>
      <c r="QE431" s="13"/>
      <c r="QF431" s="12"/>
      <c r="QM431" s="13"/>
      <c r="RQ431" s="12"/>
      <c r="RV431" s="13"/>
      <c r="RY431" s="13"/>
      <c r="SB431" s="13"/>
      <c r="SX431" s="12"/>
      <c r="TA431" s="12"/>
      <c r="TH431" s="12"/>
      <c r="UA431" s="13"/>
      <c r="US431" s="13"/>
      <c r="UU431" s="13"/>
      <c r="UX431" s="281"/>
      <c r="UY431" s="282"/>
      <c r="UZ431" s="282"/>
      <c r="VA431" s="282"/>
      <c r="VB431" s="282"/>
      <c r="VC431" s="282"/>
      <c r="VD431" s="282"/>
      <c r="VE431" s="282"/>
      <c r="VF431" s="282"/>
      <c r="VG431" s="282"/>
      <c r="VH431" s="282"/>
      <c r="VI431" s="284"/>
      <c r="WQ431" s="13"/>
      <c r="WT431" s="13"/>
      <c r="AAL431" s="12"/>
      <c r="AAO431" s="12"/>
      <c r="ACO431" s="13"/>
      <c r="ACQ431" s="13"/>
      <c r="ACR431" s="12"/>
      <c r="AEQ431" s="13"/>
      <c r="AET431" s="13"/>
    </row>
    <row r="432" spans="27:826" ht="10.75" customHeight="1">
      <c r="AA432" s="12"/>
      <c r="AB432" s="12"/>
      <c r="AQ432" s="13"/>
      <c r="AR432" s="46"/>
      <c r="AS432" s="278"/>
      <c r="AT432" s="47"/>
      <c r="AU432" s="12"/>
      <c r="BF432" s="13"/>
      <c r="BK432" s="12"/>
      <c r="BN432" s="13"/>
      <c r="BS432" s="12"/>
      <c r="BV432" s="13"/>
      <c r="CA432" s="12"/>
      <c r="CD432" s="13"/>
      <c r="EV432" s="13"/>
      <c r="EW432" s="43"/>
      <c r="EX432" s="43"/>
      <c r="EY432" s="45"/>
      <c r="HP432" s="12"/>
      <c r="HQ432" s="12"/>
      <c r="HU432" s="12"/>
      <c r="HV432" s="12"/>
      <c r="HZ432" s="13"/>
      <c r="ID432" s="12"/>
      <c r="KE432" s="12"/>
      <c r="KF432" s="13"/>
      <c r="MF432" s="13"/>
      <c r="MI432" s="13"/>
      <c r="MN432" s="13"/>
      <c r="MO432" s="13"/>
      <c r="MY432" s="13"/>
      <c r="NY432" s="12"/>
      <c r="OA432" s="13"/>
      <c r="OB432" s="9"/>
      <c r="OC432" s="10"/>
      <c r="OD432" s="10"/>
      <c r="OE432" s="10"/>
      <c r="OF432" s="10"/>
      <c r="OG432" s="10"/>
      <c r="OH432" s="10"/>
      <c r="OI432" s="10"/>
      <c r="OJ432" s="10"/>
      <c r="OK432" s="10"/>
      <c r="OL432" s="10"/>
      <c r="OM432" s="10"/>
      <c r="ON432" s="10"/>
      <c r="OO432" s="10"/>
      <c r="OP432" s="10"/>
      <c r="OQ432" s="10"/>
      <c r="OR432" s="10"/>
      <c r="OS432" s="10"/>
      <c r="OT432" s="10"/>
      <c r="OU432" s="10"/>
      <c r="OV432" s="10"/>
      <c r="OW432" s="10"/>
      <c r="OX432" s="10"/>
      <c r="OY432" s="10"/>
      <c r="OZ432" s="10"/>
      <c r="PA432" s="10"/>
      <c r="PB432" s="10"/>
      <c r="PC432" s="10"/>
      <c r="PD432" s="10"/>
      <c r="PE432" s="10"/>
      <c r="PF432" s="10"/>
      <c r="PG432" s="10"/>
      <c r="PH432" s="10"/>
      <c r="PI432" s="10"/>
      <c r="PJ432" s="10"/>
      <c r="PK432" s="10"/>
      <c r="PL432" s="10"/>
      <c r="PM432" s="10"/>
      <c r="PN432" s="10"/>
      <c r="PO432" s="10"/>
      <c r="PP432" s="10"/>
      <c r="PQ432" s="10"/>
      <c r="PR432" s="10"/>
      <c r="PS432" s="10"/>
      <c r="PT432" s="10"/>
      <c r="PU432" s="10"/>
      <c r="PV432" s="10"/>
      <c r="PW432" s="10"/>
      <c r="PX432" s="9"/>
      <c r="PY432" s="11"/>
      <c r="PZ432" s="12"/>
      <c r="QB432" s="281"/>
      <c r="QC432" s="282"/>
      <c r="QD432" s="12"/>
      <c r="QE432" s="13"/>
      <c r="QF432" s="12"/>
      <c r="QM432" s="13"/>
      <c r="RQ432" s="12"/>
      <c r="RV432" s="13"/>
      <c r="RY432" s="13"/>
      <c r="SB432" s="13"/>
      <c r="SX432" s="12"/>
      <c r="TA432" s="12"/>
      <c r="TH432" s="12"/>
      <c r="UA432" s="13"/>
      <c r="US432" s="13"/>
      <c r="UU432" s="13"/>
      <c r="UX432" s="281"/>
      <c r="UY432" s="282"/>
      <c r="UZ432" s="9"/>
      <c r="VA432" s="11"/>
      <c r="VB432" s="9"/>
      <c r="VC432" s="10"/>
      <c r="VD432" s="10"/>
      <c r="VE432" s="10"/>
      <c r="VF432" s="10"/>
      <c r="VG432" s="10"/>
      <c r="VH432" s="10"/>
      <c r="VI432" s="11"/>
      <c r="WQ432" s="13"/>
      <c r="WT432" s="13"/>
      <c r="AAL432" s="12"/>
      <c r="AAO432" s="12"/>
      <c r="ACO432" s="13"/>
      <c r="ACQ432" s="13"/>
      <c r="ACR432" s="12"/>
      <c r="AEQ432" s="13"/>
      <c r="AET432" s="13"/>
    </row>
    <row r="433" spans="27:826" ht="10.75" customHeight="1">
      <c r="AA433" s="12"/>
      <c r="AB433" s="12"/>
      <c r="AQ433" s="13"/>
      <c r="AR433" s="42"/>
      <c r="AS433" s="43"/>
      <c r="AT433" s="43"/>
      <c r="AU433" s="14"/>
      <c r="AV433" s="15"/>
      <c r="AW433" s="15"/>
      <c r="AX433" s="15"/>
      <c r="AY433" s="15"/>
      <c r="AZ433" s="15"/>
      <c r="BA433" s="15"/>
      <c r="BB433" s="15"/>
      <c r="BC433" s="15"/>
      <c r="BD433" s="15"/>
      <c r="BE433" s="15"/>
      <c r="BF433" s="16"/>
      <c r="BG433" s="15"/>
      <c r="BH433" s="15"/>
      <c r="BI433" s="15"/>
      <c r="BJ433" s="15"/>
      <c r="BK433" s="14"/>
      <c r="BL433" s="15"/>
      <c r="BM433" s="15"/>
      <c r="BN433" s="16"/>
      <c r="BO433" s="15"/>
      <c r="BP433" s="15"/>
      <c r="BQ433" s="15"/>
      <c r="BR433" s="15"/>
      <c r="BS433" s="14"/>
      <c r="BT433" s="15"/>
      <c r="BU433" s="15"/>
      <c r="BV433" s="16"/>
      <c r="BW433" s="15"/>
      <c r="BX433" s="15"/>
      <c r="BY433" s="15"/>
      <c r="BZ433" s="15"/>
      <c r="CA433" s="14"/>
      <c r="CB433" s="15"/>
      <c r="CC433" s="15"/>
      <c r="CD433" s="16"/>
      <c r="CE433" s="15"/>
      <c r="CF433" s="15"/>
      <c r="CG433" s="15"/>
      <c r="CH433" s="15"/>
      <c r="CI433" s="15"/>
      <c r="CJ433" s="15"/>
      <c r="CK433" s="15"/>
      <c r="CL433" s="15"/>
      <c r="CM433" s="15"/>
      <c r="CN433" s="15"/>
      <c r="CO433" s="15"/>
      <c r="CP433" s="15"/>
      <c r="CQ433" s="15"/>
      <c r="CR433" s="15"/>
      <c r="CS433" s="15"/>
      <c r="CT433" s="15"/>
      <c r="CU433" s="15"/>
      <c r="CV433" s="15"/>
      <c r="CW433" s="15"/>
      <c r="CX433" s="15"/>
      <c r="CY433" s="15"/>
      <c r="CZ433" s="15"/>
      <c r="DA433" s="15"/>
      <c r="DB433" s="15"/>
      <c r="DC433" s="15"/>
      <c r="DD433" s="15"/>
      <c r="DE433" s="15"/>
      <c r="DF433" s="15"/>
      <c r="DG433" s="15"/>
      <c r="DH433" s="15"/>
      <c r="DI433" s="15"/>
      <c r="DJ433" s="15"/>
      <c r="DK433" s="15"/>
      <c r="DL433" s="15"/>
      <c r="DM433" s="15"/>
      <c r="DN433" s="15"/>
      <c r="DO433" s="15"/>
      <c r="DP433" s="15"/>
      <c r="DQ433" s="15"/>
      <c r="DR433" s="15"/>
      <c r="DS433" s="15"/>
      <c r="DT433" s="15"/>
      <c r="DU433" s="15"/>
      <c r="DV433" s="15"/>
      <c r="DW433" s="15"/>
      <c r="DX433" s="15"/>
      <c r="DY433" s="15"/>
      <c r="DZ433" s="15"/>
      <c r="EA433" s="15"/>
      <c r="EB433" s="15"/>
      <c r="EC433" s="15"/>
      <c r="ED433" s="15"/>
      <c r="EE433" s="15"/>
      <c r="EF433" s="15"/>
      <c r="EG433" s="15"/>
      <c r="EH433" s="15"/>
      <c r="EI433" s="15"/>
      <c r="EJ433" s="15"/>
      <c r="EK433" s="15"/>
      <c r="EL433" s="15"/>
      <c r="EM433" s="15"/>
      <c r="EN433" s="15"/>
      <c r="EO433" s="15"/>
      <c r="EP433" s="15"/>
      <c r="EQ433" s="15"/>
      <c r="ER433" s="15"/>
      <c r="ES433" s="15"/>
      <c r="ET433" s="15"/>
      <c r="EU433" s="15"/>
      <c r="EV433" s="16"/>
      <c r="EW433" s="97"/>
      <c r="EX433" s="97"/>
      <c r="EY433" s="98"/>
      <c r="HP433" s="12"/>
      <c r="HQ433" s="12"/>
      <c r="HU433" s="12"/>
      <c r="HV433" s="12"/>
      <c r="HZ433" s="13"/>
      <c r="ID433" s="12"/>
      <c r="KE433" s="12"/>
      <c r="KF433" s="13"/>
      <c r="MF433" s="13"/>
      <c r="MI433" s="13"/>
      <c r="MN433" s="13"/>
      <c r="MO433" s="13"/>
      <c r="MY433" s="13"/>
      <c r="NY433" s="12"/>
      <c r="OA433" s="13"/>
      <c r="OB433" s="14"/>
      <c r="OC433" s="15"/>
      <c r="OD433" s="15"/>
      <c r="OE433" s="15"/>
      <c r="OF433" s="15"/>
      <c r="OG433" s="15"/>
      <c r="OH433" s="15"/>
      <c r="OI433" s="15"/>
      <c r="OJ433" s="15"/>
      <c r="OK433" s="15"/>
      <c r="OL433" s="15"/>
      <c r="OM433" s="15"/>
      <c r="ON433" s="15"/>
      <c r="OO433" s="15"/>
      <c r="OP433" s="15"/>
      <c r="OQ433" s="15"/>
      <c r="OR433" s="15"/>
      <c r="OS433" s="15"/>
      <c r="OT433" s="15"/>
      <c r="OU433" s="15"/>
      <c r="OV433" s="15"/>
      <c r="OW433" s="15"/>
      <c r="OX433" s="15"/>
      <c r="OY433" s="15"/>
      <c r="OZ433" s="15"/>
      <c r="PA433" s="15"/>
      <c r="PB433" s="15"/>
      <c r="PC433" s="15"/>
      <c r="PD433" s="15"/>
      <c r="PE433" s="15"/>
      <c r="PF433" s="15"/>
      <c r="PG433" s="15"/>
      <c r="PH433" s="15"/>
      <c r="PI433" s="15"/>
      <c r="PJ433" s="15"/>
      <c r="PK433" s="15"/>
      <c r="PL433" s="15"/>
      <c r="PM433" s="15"/>
      <c r="PN433" s="15"/>
      <c r="PO433" s="15"/>
      <c r="PP433" s="15"/>
      <c r="PQ433" s="15"/>
      <c r="PR433" s="15"/>
      <c r="PS433" s="15"/>
      <c r="PT433" s="15"/>
      <c r="PU433" s="15"/>
      <c r="PV433" s="15"/>
      <c r="PW433" s="15"/>
      <c r="PX433" s="14"/>
      <c r="PY433" s="16"/>
      <c r="PZ433" s="12"/>
      <c r="QB433" s="281"/>
      <c r="QC433" s="282"/>
      <c r="QD433" s="12"/>
      <c r="QE433" s="13"/>
      <c r="QF433" s="12"/>
      <c r="QM433" s="13"/>
      <c r="RQ433" s="12"/>
      <c r="RV433" s="13"/>
      <c r="RY433" s="13"/>
      <c r="SB433" s="13"/>
      <c r="SX433" s="12"/>
      <c r="TA433" s="12"/>
      <c r="TH433" s="12"/>
      <c r="UA433" s="13"/>
      <c r="US433" s="13"/>
      <c r="UU433" s="13"/>
      <c r="UX433" s="281"/>
      <c r="UY433" s="282"/>
      <c r="UZ433" s="12"/>
      <c r="VA433" s="13"/>
      <c r="VB433" s="12"/>
      <c r="VI433" s="13"/>
      <c r="WQ433" s="13"/>
      <c r="WT433" s="13"/>
      <c r="AAL433" s="12"/>
      <c r="AAO433" s="12"/>
      <c r="ACO433" s="13"/>
      <c r="ACQ433" s="13"/>
      <c r="ACR433" s="12"/>
      <c r="AEQ433" s="13"/>
      <c r="AET433" s="13"/>
    </row>
    <row r="434" spans="27:826" ht="10.75" customHeight="1">
      <c r="AA434" s="12"/>
      <c r="AB434" s="12"/>
      <c r="AQ434" s="13"/>
      <c r="AR434" s="96"/>
      <c r="AS434" s="97"/>
      <c r="AT434" s="97"/>
      <c r="AU434" s="97"/>
      <c r="AV434" s="43"/>
      <c r="AW434" s="43"/>
      <c r="AX434" s="43"/>
      <c r="AY434" s="43"/>
      <c r="AZ434" s="43"/>
      <c r="BA434" s="43"/>
      <c r="BB434" s="45"/>
      <c r="BC434" s="43"/>
      <c r="BD434" s="43"/>
      <c r="BE434" s="43"/>
      <c r="BF434" s="43"/>
      <c r="BG434" s="43"/>
      <c r="BH434" s="43"/>
      <c r="BI434" s="43"/>
      <c r="BJ434" s="43"/>
      <c r="BK434" s="43"/>
      <c r="BL434" s="43"/>
      <c r="BM434" s="43"/>
      <c r="BN434" s="43"/>
      <c r="BO434" s="43"/>
      <c r="BP434" s="43"/>
      <c r="BQ434" s="43"/>
      <c r="BR434" s="43"/>
      <c r="BS434" s="43"/>
      <c r="BT434" s="43"/>
      <c r="BU434" s="43"/>
      <c r="BV434" s="43"/>
      <c r="BW434" s="43"/>
      <c r="BX434" s="43"/>
      <c r="BY434" s="43"/>
      <c r="BZ434" s="43"/>
      <c r="CA434" s="43"/>
      <c r="CB434" s="43"/>
      <c r="CC434" s="43"/>
      <c r="CD434" s="43"/>
      <c r="CE434" s="43"/>
      <c r="CF434" s="43"/>
      <c r="CG434" s="43"/>
      <c r="CH434" s="43"/>
      <c r="CI434" s="43"/>
      <c r="CJ434" s="43"/>
      <c r="CK434" s="43"/>
      <c r="CL434" s="43"/>
      <c r="CM434" s="43"/>
      <c r="CN434" s="43"/>
      <c r="CO434" s="43"/>
      <c r="CP434" s="43"/>
      <c r="CQ434" s="43"/>
      <c r="CR434" s="43"/>
      <c r="CS434" s="43"/>
      <c r="CT434" s="43"/>
      <c r="CU434" s="97"/>
      <c r="CV434" s="97"/>
      <c r="CW434" s="97"/>
      <c r="CX434" s="97"/>
      <c r="CY434" s="43"/>
      <c r="CZ434" s="43"/>
      <c r="DA434" s="43"/>
      <c r="DB434" s="43"/>
      <c r="DC434" s="43"/>
      <c r="DD434" s="43"/>
      <c r="DE434" s="43"/>
      <c r="DF434" s="43"/>
      <c r="DG434" s="43"/>
      <c r="DH434" s="43"/>
      <c r="DI434" s="43"/>
      <c r="DJ434" s="43"/>
      <c r="DK434" s="43"/>
      <c r="DL434" s="43"/>
      <c r="DM434" s="43"/>
      <c r="DN434" s="43"/>
      <c r="DO434" s="43"/>
      <c r="DP434" s="43"/>
      <c r="DQ434" s="43"/>
      <c r="DR434" s="43"/>
      <c r="DS434" s="43"/>
      <c r="DT434" s="43"/>
      <c r="DU434" s="43"/>
      <c r="DV434" s="43"/>
      <c r="DW434" s="43"/>
      <c r="DX434" s="43"/>
      <c r="DY434" s="43"/>
      <c r="DZ434" s="43"/>
      <c r="EA434" s="43"/>
      <c r="EB434" s="43"/>
      <c r="EC434" s="43"/>
      <c r="ED434" s="43"/>
      <c r="EE434" s="43"/>
      <c r="EF434" s="43"/>
      <c r="EG434" s="43"/>
      <c r="EH434" s="43"/>
      <c r="EI434" s="43"/>
      <c r="EJ434" s="43"/>
      <c r="EK434" s="123"/>
      <c r="EL434" s="109"/>
      <c r="EM434" s="109"/>
      <c r="EN434" s="109"/>
      <c r="EO434" s="109"/>
      <c r="EP434" s="109"/>
      <c r="EQ434" s="109"/>
      <c r="ER434" s="109"/>
      <c r="ES434" s="109"/>
      <c r="ET434" s="124"/>
      <c r="EU434" s="43"/>
      <c r="EV434" s="43"/>
      <c r="EW434" s="97"/>
      <c r="EX434" s="97"/>
      <c r="EY434" s="98"/>
      <c r="HP434" s="12"/>
      <c r="HQ434" s="12"/>
      <c r="HU434" s="12"/>
      <c r="HV434" s="12"/>
      <c r="HZ434" s="13"/>
      <c r="ID434" s="12"/>
      <c r="KE434" s="12"/>
      <c r="KF434" s="13"/>
      <c r="MF434" s="13"/>
      <c r="MI434" s="13"/>
      <c r="MN434" s="13"/>
      <c r="MO434" s="13"/>
      <c r="MY434" s="13"/>
      <c r="NY434" s="12"/>
      <c r="OA434" s="13"/>
      <c r="OB434" s="12"/>
      <c r="OI434" s="13"/>
      <c r="PP434" s="12"/>
      <c r="PW434" s="13"/>
      <c r="PX434" s="12"/>
      <c r="PY434" s="13"/>
      <c r="PZ434" s="12"/>
      <c r="QB434" s="281"/>
      <c r="QC434" s="282"/>
      <c r="QD434" s="12"/>
      <c r="QE434" s="13"/>
      <c r="QF434" s="12"/>
      <c r="QM434" s="13"/>
      <c r="RQ434" s="12"/>
      <c r="RV434" s="13"/>
      <c r="RY434" s="13"/>
      <c r="SB434" s="13"/>
      <c r="SX434" s="12"/>
      <c r="TA434" s="12"/>
      <c r="TH434" s="12"/>
      <c r="UA434" s="13"/>
      <c r="US434" s="13"/>
      <c r="UU434" s="13"/>
      <c r="UX434" s="281"/>
      <c r="UY434" s="282"/>
      <c r="UZ434" s="12"/>
      <c r="VA434" s="13"/>
      <c r="VB434" s="12"/>
      <c r="VI434" s="13"/>
      <c r="WI434" s="9"/>
      <c r="WJ434" s="10"/>
      <c r="WK434" s="10"/>
      <c r="WL434" s="10"/>
      <c r="WM434" s="10"/>
      <c r="WN434" s="11"/>
      <c r="WQ434" s="13"/>
      <c r="WT434" s="13"/>
      <c r="AAL434" s="12"/>
      <c r="AAO434" s="12"/>
      <c r="ACO434" s="13"/>
      <c r="ACQ434" s="13"/>
      <c r="ACR434" s="12"/>
      <c r="AEQ434" s="13"/>
      <c r="AET434" s="13"/>
    </row>
    <row r="435" spans="27:826" ht="10.75" customHeight="1">
      <c r="AA435" s="12"/>
      <c r="AB435" s="12"/>
      <c r="AQ435" s="13"/>
      <c r="AR435" s="96"/>
      <c r="AS435" s="97"/>
      <c r="AT435" s="97"/>
      <c r="AU435" s="97"/>
      <c r="AV435" s="43"/>
      <c r="AW435" s="43"/>
      <c r="AX435" s="43"/>
      <c r="AY435" s="43"/>
      <c r="AZ435" s="43"/>
      <c r="BA435" s="43"/>
      <c r="BB435" s="45"/>
      <c r="BC435" s="43"/>
      <c r="BD435" s="43"/>
      <c r="BE435" s="43"/>
      <c r="BF435" s="43"/>
      <c r="BG435" s="43"/>
      <c r="BH435" s="43"/>
      <c r="BI435" s="43"/>
      <c r="BJ435" s="43"/>
      <c r="BK435" s="43"/>
      <c r="BL435" s="43"/>
      <c r="BM435" s="43"/>
      <c r="BN435" s="43"/>
      <c r="BO435" s="43"/>
      <c r="BP435" s="43"/>
      <c r="BQ435" s="43"/>
      <c r="BR435" s="43"/>
      <c r="BS435" s="43"/>
      <c r="BT435" s="43"/>
      <c r="BU435" s="43"/>
      <c r="BV435" s="43"/>
      <c r="BW435" s="43"/>
      <c r="BX435" s="43"/>
      <c r="BY435" s="43"/>
      <c r="BZ435" s="43"/>
      <c r="CA435" s="43"/>
      <c r="CB435" s="43"/>
      <c r="CC435" s="43"/>
      <c r="CD435" s="43"/>
      <c r="CE435" s="43"/>
      <c r="CF435" s="43"/>
      <c r="CG435" s="43"/>
      <c r="CH435" s="43"/>
      <c r="CI435" s="43"/>
      <c r="CJ435" s="43"/>
      <c r="CK435" s="43"/>
      <c r="CL435" s="43"/>
      <c r="CM435" s="43"/>
      <c r="CN435" s="43"/>
      <c r="CO435" s="43"/>
      <c r="CP435" s="43"/>
      <c r="CQ435" s="43"/>
      <c r="CR435" s="43"/>
      <c r="CS435" s="43"/>
      <c r="CT435" s="43"/>
      <c r="CU435" s="97"/>
      <c r="CV435" s="97"/>
      <c r="CW435" s="97"/>
      <c r="CX435" s="97"/>
      <c r="CY435" s="43"/>
      <c r="CZ435" s="43"/>
      <c r="DA435" s="43"/>
      <c r="DB435" s="43"/>
      <c r="DC435" s="43"/>
      <c r="DD435" s="43"/>
      <c r="DE435" s="43"/>
      <c r="DF435" s="43"/>
      <c r="DG435" s="43"/>
      <c r="DH435" s="43"/>
      <c r="DI435" s="43"/>
      <c r="DJ435" s="43"/>
      <c r="DK435" s="43"/>
      <c r="DL435" s="43"/>
      <c r="DM435" s="43"/>
      <c r="DN435" s="43"/>
      <c r="DO435" s="43"/>
      <c r="DP435" s="43"/>
      <c r="DQ435" s="43"/>
      <c r="DR435" s="43"/>
      <c r="DS435" s="43"/>
      <c r="DT435" s="43"/>
      <c r="DU435" s="43"/>
      <c r="DV435" s="43"/>
      <c r="DW435" s="43"/>
      <c r="DX435" s="43"/>
      <c r="DY435" s="43"/>
      <c r="DZ435" s="43"/>
      <c r="EA435" s="43"/>
      <c r="EB435" s="43"/>
      <c r="EC435" s="43"/>
      <c r="ED435" s="43"/>
      <c r="EE435" s="43"/>
      <c r="EF435" s="43"/>
      <c r="EG435" s="43"/>
      <c r="EH435" s="43"/>
      <c r="EI435" s="43"/>
      <c r="EJ435" s="43"/>
      <c r="EK435" s="121"/>
      <c r="EL435" s="119"/>
      <c r="EM435" s="119"/>
      <c r="EN435" s="119"/>
      <c r="EO435" s="119"/>
      <c r="EP435" s="119"/>
      <c r="EQ435" s="119"/>
      <c r="ER435" s="119"/>
      <c r="ES435" s="119"/>
      <c r="ET435" s="122"/>
      <c r="EU435" s="43"/>
      <c r="EV435" s="43"/>
      <c r="EW435" s="97"/>
      <c r="EX435" s="97"/>
      <c r="EY435" s="98"/>
      <c r="HP435" s="12"/>
      <c r="HQ435" s="12"/>
      <c r="HU435" s="12"/>
      <c r="HV435" s="12"/>
      <c r="HZ435" s="13"/>
      <c r="ID435" s="12"/>
      <c r="KE435" s="12"/>
      <c r="KF435" s="13"/>
      <c r="MF435" s="13"/>
      <c r="MI435" s="13"/>
      <c r="MN435" s="13"/>
      <c r="MO435" s="13"/>
      <c r="MY435" s="13"/>
      <c r="NY435" s="12"/>
      <c r="OA435" s="13"/>
      <c r="OB435" s="12"/>
      <c r="OI435" s="13"/>
      <c r="PP435" s="12"/>
      <c r="PW435" s="13"/>
      <c r="PX435" s="12"/>
      <c r="PY435" s="13"/>
      <c r="PZ435" s="12"/>
      <c r="QB435" s="281"/>
      <c r="QC435" s="282"/>
      <c r="QD435" s="12"/>
      <c r="QE435" s="13"/>
      <c r="QF435" s="12"/>
      <c r="QM435" s="13"/>
      <c r="RQ435" s="12"/>
      <c r="RV435" s="13"/>
      <c r="RY435" s="13"/>
      <c r="SB435" s="13"/>
      <c r="SX435" s="12"/>
      <c r="TA435" s="12"/>
      <c r="TH435" s="12"/>
      <c r="UA435" s="13"/>
      <c r="US435" s="13"/>
      <c r="UU435" s="13"/>
      <c r="UX435" s="281"/>
      <c r="UY435" s="282"/>
      <c r="UZ435" s="12"/>
      <c r="VA435" s="13"/>
      <c r="VB435" s="12"/>
      <c r="VI435" s="13"/>
      <c r="WI435" s="12"/>
      <c r="WN435" s="13"/>
      <c r="WQ435" s="13"/>
      <c r="WT435" s="13"/>
      <c r="AAL435" s="12"/>
      <c r="AAO435" s="12"/>
      <c r="ACO435" s="13"/>
      <c r="ACQ435" s="13"/>
      <c r="ACR435" s="12"/>
      <c r="AEQ435" s="13"/>
      <c r="AET435" s="13"/>
    </row>
    <row r="436" spans="27:826" ht="10.75" customHeight="1">
      <c r="AA436" s="12"/>
      <c r="AB436" s="12"/>
      <c r="AQ436" s="13"/>
      <c r="AR436" s="59"/>
      <c r="AS436" s="60"/>
      <c r="AT436" s="60"/>
      <c r="AU436" s="60"/>
      <c r="AV436" s="47"/>
      <c r="AW436" s="47"/>
      <c r="AX436" s="47"/>
      <c r="AY436" s="47"/>
      <c r="AZ436" s="47"/>
      <c r="BA436" s="47"/>
      <c r="BB436" s="48"/>
      <c r="BC436" s="47"/>
      <c r="BD436" s="47"/>
      <c r="BE436" s="47"/>
      <c r="BF436" s="47"/>
      <c r="BG436" s="47"/>
      <c r="BH436" s="47"/>
      <c r="BI436" s="47"/>
      <c r="BJ436" s="47"/>
      <c r="BK436" s="47"/>
      <c r="BL436" s="47"/>
      <c r="BM436" s="47"/>
      <c r="BN436" s="47"/>
      <c r="BO436" s="47"/>
      <c r="BP436" s="47"/>
      <c r="BQ436" s="47"/>
      <c r="BR436" s="47"/>
      <c r="BS436" s="47"/>
      <c r="BT436" s="47"/>
      <c r="BU436" s="47"/>
      <c r="BV436" s="47"/>
      <c r="BW436" s="47"/>
      <c r="BX436" s="47"/>
      <c r="BY436" s="47"/>
      <c r="BZ436" s="47"/>
      <c r="CA436" s="47"/>
      <c r="CB436" s="47"/>
      <c r="CC436" s="47"/>
      <c r="CD436" s="47"/>
      <c r="CE436" s="47"/>
      <c r="CF436" s="47"/>
      <c r="CG436" s="47"/>
      <c r="CH436" s="47"/>
      <c r="CI436" s="47"/>
      <c r="CJ436" s="47"/>
      <c r="CK436" s="47"/>
      <c r="CL436" s="47"/>
      <c r="CM436" s="47"/>
      <c r="CN436" s="47"/>
      <c r="CO436" s="47"/>
      <c r="CP436" s="47"/>
      <c r="CQ436" s="47"/>
      <c r="CR436" s="47"/>
      <c r="CS436" s="47"/>
      <c r="CT436" s="47"/>
      <c r="CU436" s="60"/>
      <c r="CV436" s="60"/>
      <c r="CW436" s="60"/>
      <c r="CX436" s="60"/>
      <c r="CY436" s="47"/>
      <c r="CZ436" s="47"/>
      <c r="DA436" s="47"/>
      <c r="DB436" s="47"/>
      <c r="DC436" s="47"/>
      <c r="DD436" s="47"/>
      <c r="DE436" s="47"/>
      <c r="DF436" s="47"/>
      <c r="DG436" s="47"/>
      <c r="DH436" s="47"/>
      <c r="DI436" s="47"/>
      <c r="DJ436" s="47"/>
      <c r="DK436" s="47"/>
      <c r="DL436" s="47"/>
      <c r="DM436" s="47"/>
      <c r="DN436" s="47"/>
      <c r="DO436" s="47"/>
      <c r="DP436" s="47"/>
      <c r="DQ436" s="47"/>
      <c r="DR436" s="47"/>
      <c r="DS436" s="47"/>
      <c r="DT436" s="47"/>
      <c r="DU436" s="47"/>
      <c r="DV436" s="47"/>
      <c r="DW436" s="47"/>
      <c r="DX436" s="47"/>
      <c r="DY436" s="47"/>
      <c r="DZ436" s="47"/>
      <c r="EA436" s="47"/>
      <c r="EB436" s="47"/>
      <c r="EC436" s="47"/>
      <c r="ED436" s="47"/>
      <c r="EE436" s="47"/>
      <c r="EF436" s="47"/>
      <c r="EG436" s="47"/>
      <c r="EH436" s="47"/>
      <c r="EI436" s="47"/>
      <c r="EJ436" s="47"/>
      <c r="EK436" s="123"/>
      <c r="EL436" s="109"/>
      <c r="EM436" s="109"/>
      <c r="EN436" s="109"/>
      <c r="EO436" s="109"/>
      <c r="EP436" s="109"/>
      <c r="EQ436" s="109"/>
      <c r="ER436" s="109"/>
      <c r="ES436" s="109"/>
      <c r="ET436" s="124"/>
      <c r="EU436" s="47"/>
      <c r="EV436" s="47"/>
      <c r="EW436" s="60"/>
      <c r="EX436" s="60"/>
      <c r="EY436" s="61"/>
      <c r="HP436" s="12"/>
      <c r="HQ436" s="9"/>
      <c r="HR436" s="10"/>
      <c r="HS436" s="10"/>
      <c r="HT436" s="10"/>
      <c r="HU436" s="9"/>
      <c r="HV436" s="9"/>
      <c r="HW436" s="10"/>
      <c r="HX436" s="10"/>
      <c r="HY436" s="10"/>
      <c r="HZ436" s="11"/>
      <c r="ID436" s="12"/>
      <c r="KE436" s="12"/>
      <c r="KF436" s="13"/>
      <c r="MF436" s="13"/>
      <c r="MI436" s="13"/>
      <c r="MN436" s="13"/>
      <c r="MO436" s="13"/>
      <c r="MY436" s="13"/>
      <c r="NY436" s="12"/>
      <c r="OA436" s="13"/>
      <c r="OB436" s="12"/>
      <c r="OI436" s="13"/>
      <c r="PP436" s="12"/>
      <c r="PW436" s="13"/>
      <c r="PX436" s="12"/>
      <c r="PY436" s="13"/>
      <c r="PZ436" s="12"/>
      <c r="QB436" s="281"/>
      <c r="QC436" s="282"/>
      <c r="QD436" s="12"/>
      <c r="QE436" s="13"/>
      <c r="QF436" s="12"/>
      <c r="QM436" s="13"/>
      <c r="RQ436" s="12"/>
      <c r="RV436" s="13"/>
      <c r="RY436" s="13"/>
      <c r="SB436" s="13"/>
      <c r="SX436" s="12"/>
      <c r="TA436" s="12"/>
      <c r="TH436" s="12"/>
      <c r="UA436" s="13"/>
      <c r="US436" s="13"/>
      <c r="UU436" s="13"/>
      <c r="UX436" s="281"/>
      <c r="UY436" s="282"/>
      <c r="UZ436" s="12"/>
      <c r="VA436" s="13"/>
      <c r="VB436" s="12"/>
      <c r="VI436" s="13"/>
      <c r="WI436" s="12"/>
      <c r="WN436" s="13"/>
      <c r="WQ436" s="13"/>
      <c r="WT436" s="13"/>
      <c r="AAL436" s="12"/>
      <c r="AAO436" s="12"/>
      <c r="ACO436" s="13"/>
      <c r="ACQ436" s="13"/>
      <c r="ACR436" s="12"/>
      <c r="AEQ436" s="13"/>
      <c r="AET436" s="13"/>
    </row>
    <row r="437" spans="27:826" ht="10.75" customHeight="1">
      <c r="AA437" s="12"/>
      <c r="AB437" s="12"/>
      <c r="AY437" s="13"/>
      <c r="AZ437" s="17"/>
      <c r="HP437" s="12"/>
      <c r="HQ437" s="12"/>
      <c r="HU437" s="12"/>
      <c r="HV437" s="12"/>
      <c r="HZ437" s="13"/>
      <c r="ID437" s="12"/>
      <c r="KE437" s="12"/>
      <c r="KF437" s="13"/>
      <c r="MF437" s="13"/>
      <c r="MI437" s="13"/>
      <c r="MN437" s="13"/>
      <c r="MO437" s="13"/>
      <c r="MY437" s="13"/>
      <c r="NY437" s="12"/>
      <c r="OA437" s="13"/>
      <c r="OB437" s="12"/>
      <c r="OI437" s="13"/>
      <c r="PP437" s="12"/>
      <c r="PW437" s="13"/>
      <c r="PX437" s="12"/>
      <c r="PY437" s="13"/>
      <c r="PZ437" s="12"/>
      <c r="QB437" s="281"/>
      <c r="QC437" s="282"/>
      <c r="QD437" s="14"/>
      <c r="QE437" s="16"/>
      <c r="QF437" s="14"/>
      <c r="QG437" s="15"/>
      <c r="QH437" s="15"/>
      <c r="QI437" s="15"/>
      <c r="QJ437" s="15"/>
      <c r="QK437" s="15"/>
      <c r="QL437" s="15"/>
      <c r="QM437" s="16"/>
      <c r="RQ437" s="12"/>
      <c r="RV437" s="13"/>
      <c r="RY437" s="13"/>
      <c r="SB437" s="13"/>
      <c r="SX437" s="12"/>
      <c r="TA437" s="12"/>
      <c r="TH437" s="12"/>
      <c r="UA437" s="13"/>
      <c r="US437" s="13"/>
      <c r="UU437" s="13"/>
      <c r="UX437" s="281"/>
      <c r="UY437" s="282"/>
      <c r="UZ437" s="12"/>
      <c r="VA437" s="13"/>
      <c r="VB437" s="12"/>
      <c r="VI437" s="13"/>
      <c r="WI437" s="12"/>
      <c r="WN437" s="13"/>
      <c r="WQ437" s="13"/>
      <c r="WT437" s="13"/>
      <c r="AAL437" s="12"/>
      <c r="AAO437" s="12"/>
      <c r="ACO437" s="13"/>
      <c r="ACQ437" s="13"/>
      <c r="ACR437" s="12"/>
      <c r="AEQ437" s="13"/>
      <c r="AET437" s="13"/>
    </row>
    <row r="438" spans="27:826" ht="10.75" customHeight="1">
      <c r="AA438" s="12"/>
      <c r="AB438" s="12"/>
      <c r="AY438" s="13"/>
      <c r="AZ438" s="18"/>
      <c r="GH438" t="s">
        <v>6</v>
      </c>
      <c r="HP438" s="12"/>
      <c r="HQ438" s="12"/>
      <c r="HU438" s="12"/>
      <c r="HV438" s="12"/>
      <c r="HZ438" s="13"/>
      <c r="ID438" s="12"/>
      <c r="KE438" s="12"/>
      <c r="KF438" s="13"/>
      <c r="MF438" s="13"/>
      <c r="MI438" s="13"/>
      <c r="MN438" s="13"/>
      <c r="MO438" s="13"/>
      <c r="MY438" s="13"/>
      <c r="NY438" s="12"/>
      <c r="OA438" s="13"/>
      <c r="OB438" s="12"/>
      <c r="OI438" s="13"/>
      <c r="PP438" s="12"/>
      <c r="PW438" s="13"/>
      <c r="PX438" s="12"/>
      <c r="PY438" s="13"/>
      <c r="PZ438" s="12"/>
      <c r="QB438" s="281"/>
      <c r="QC438" s="282"/>
      <c r="QD438" s="12"/>
      <c r="QE438" s="13"/>
      <c r="QF438" s="12"/>
      <c r="QM438" s="13"/>
      <c r="RQ438" s="12"/>
      <c r="RV438" s="13"/>
      <c r="RY438" s="13"/>
      <c r="SB438" s="13"/>
      <c r="SX438" s="12"/>
      <c r="TA438" s="12"/>
      <c r="TH438" s="12"/>
      <c r="UA438" s="13"/>
      <c r="US438" s="13"/>
      <c r="UU438" s="13"/>
      <c r="UX438" s="281"/>
      <c r="UY438" s="282"/>
      <c r="UZ438" s="12"/>
      <c r="VA438" s="13"/>
      <c r="VB438" s="12"/>
      <c r="VI438" s="13"/>
      <c r="WI438" s="12"/>
      <c r="WN438" s="13"/>
      <c r="WQ438" s="13"/>
      <c r="WT438" s="13"/>
      <c r="AAL438" s="12"/>
      <c r="AAO438" s="12"/>
      <c r="ACO438" s="13"/>
      <c r="ACQ438" s="13"/>
      <c r="ACR438" s="12"/>
      <c r="AEQ438" s="13"/>
      <c r="AET438" s="13"/>
    </row>
    <row r="439" spans="27:826" ht="10.75" customHeight="1">
      <c r="AA439" s="12"/>
      <c r="AB439" s="12"/>
      <c r="AY439" s="13"/>
      <c r="AZ439" s="18"/>
      <c r="HP439" s="12"/>
      <c r="HQ439" s="14"/>
      <c r="HR439" s="15"/>
      <c r="HS439" s="15"/>
      <c r="HT439" s="15"/>
      <c r="HU439" s="14"/>
      <c r="HV439" s="14"/>
      <c r="HW439" s="15"/>
      <c r="HX439" s="15"/>
      <c r="HY439" s="15"/>
      <c r="HZ439" s="16"/>
      <c r="ID439" s="12"/>
      <c r="KE439" s="12"/>
      <c r="KF439" s="13"/>
      <c r="MF439" s="13"/>
      <c r="MI439" s="13"/>
      <c r="MN439" s="13"/>
      <c r="MO439" s="13"/>
      <c r="MY439" s="13"/>
      <c r="NY439" s="12"/>
      <c r="OA439" s="13"/>
      <c r="OB439" s="12"/>
      <c r="OI439" s="13"/>
      <c r="PP439" s="12"/>
      <c r="PW439" s="13"/>
      <c r="PX439" s="12"/>
      <c r="PY439" s="13"/>
      <c r="PZ439" s="12"/>
      <c r="QB439" s="281"/>
      <c r="QC439" s="282"/>
      <c r="QD439" s="12"/>
      <c r="QE439" s="13"/>
      <c r="QF439" s="12"/>
      <c r="QM439" s="13"/>
      <c r="RQ439" s="12"/>
      <c r="RV439" s="13"/>
      <c r="RY439" s="13"/>
      <c r="SB439" s="13"/>
      <c r="SX439" s="12"/>
      <c r="TA439" s="12"/>
      <c r="TH439" s="12"/>
      <c r="UA439" s="13"/>
      <c r="US439" s="13"/>
      <c r="UU439" s="13"/>
      <c r="UX439" s="281"/>
      <c r="UY439" s="282"/>
      <c r="UZ439" s="12"/>
      <c r="VA439" s="13"/>
      <c r="VB439" s="12"/>
      <c r="VI439" s="13"/>
      <c r="WI439" s="12"/>
      <c r="WN439" s="13"/>
      <c r="WQ439" s="13"/>
      <c r="WT439" s="13"/>
      <c r="AAL439" s="12"/>
      <c r="AAO439" s="12"/>
      <c r="ACO439" s="13"/>
      <c r="ACQ439" s="13"/>
      <c r="ACR439" s="12"/>
      <c r="AEQ439" s="13"/>
      <c r="AET439" s="13"/>
    </row>
    <row r="440" spans="27:826" ht="10.75" customHeight="1">
      <c r="AA440" s="12"/>
      <c r="AB440" s="12"/>
      <c r="AY440" s="13"/>
      <c r="AZ440" s="18"/>
      <c r="HP440" s="12"/>
      <c r="HQ440" s="12"/>
      <c r="HU440" s="12"/>
      <c r="HV440" s="12"/>
      <c r="HZ440" s="13"/>
      <c r="ID440" s="12"/>
      <c r="KE440" s="12"/>
      <c r="KF440" s="13"/>
      <c r="MF440" s="13"/>
      <c r="MI440" s="13"/>
      <c r="MN440" s="13"/>
      <c r="MO440" s="13"/>
      <c r="MY440" s="13"/>
      <c r="NY440" s="12"/>
      <c r="OA440" s="13"/>
      <c r="OB440" s="12"/>
      <c r="OI440" s="13"/>
      <c r="PP440" s="12"/>
      <c r="PW440" s="13"/>
      <c r="PX440" s="12"/>
      <c r="PY440" s="13"/>
      <c r="PZ440" s="12"/>
      <c r="QB440" s="281"/>
      <c r="QC440" s="282"/>
      <c r="QD440" s="12"/>
      <c r="QE440" s="13"/>
      <c r="QF440" s="12"/>
      <c r="QM440" s="13"/>
      <c r="RQ440" s="12"/>
      <c r="RV440" s="13"/>
      <c r="RY440" s="13"/>
      <c r="SB440" s="13"/>
      <c r="SX440" s="12"/>
      <c r="TA440" s="12"/>
      <c r="TH440" s="14"/>
      <c r="TI440" s="15"/>
      <c r="TJ440" s="15"/>
      <c r="TK440" s="15"/>
      <c r="TL440" s="15"/>
      <c r="TM440" s="15"/>
      <c r="TN440" s="15"/>
      <c r="TO440" s="15"/>
      <c r="TP440" s="15"/>
      <c r="TQ440" s="15"/>
      <c r="TR440" s="15"/>
      <c r="TS440" s="15"/>
      <c r="TT440" s="15"/>
      <c r="TU440" s="15"/>
      <c r="TV440" s="15"/>
      <c r="TW440" s="15"/>
      <c r="TX440" s="15"/>
      <c r="TY440" s="15"/>
      <c r="TZ440" s="15"/>
      <c r="UA440" s="16"/>
      <c r="US440" s="13"/>
      <c r="UU440" s="13"/>
      <c r="UX440" s="281"/>
      <c r="UY440" s="282"/>
      <c r="UZ440" s="12"/>
      <c r="VA440" s="13"/>
      <c r="VB440" s="12"/>
      <c r="VI440" s="13"/>
      <c r="WI440" s="12"/>
      <c r="WN440" s="13"/>
      <c r="WQ440" s="13"/>
      <c r="WT440" s="13"/>
      <c r="AAL440" s="12"/>
      <c r="AAO440" s="12"/>
      <c r="ACO440" s="13"/>
      <c r="ACQ440" s="13"/>
      <c r="ACR440" s="12"/>
      <c r="AEQ440" s="13"/>
      <c r="AET440" s="13"/>
    </row>
    <row r="441" spans="27:826" ht="10.75" customHeight="1">
      <c r="AA441" s="12"/>
      <c r="AB441" s="12"/>
      <c r="AY441" s="13"/>
      <c r="AZ441" s="18"/>
      <c r="HP441" s="12"/>
      <c r="HQ441" s="12"/>
      <c r="HU441" s="12"/>
      <c r="HV441" s="12"/>
      <c r="HZ441" s="13"/>
      <c r="ID441" s="14"/>
      <c r="IE441" s="15"/>
      <c r="IF441" s="15"/>
      <c r="IG441" s="15"/>
      <c r="IH441" s="15"/>
      <c r="II441" s="15"/>
      <c r="IJ441" s="15"/>
      <c r="IK441" s="15"/>
      <c r="IL441" s="15"/>
      <c r="IM441" s="15"/>
      <c r="IN441" s="15"/>
      <c r="IO441" s="15"/>
      <c r="IP441" s="15"/>
      <c r="IQ441" s="15"/>
      <c r="IR441" s="15"/>
      <c r="IS441" s="15"/>
      <c r="IT441" s="15"/>
      <c r="IU441" s="15"/>
      <c r="IV441" s="15"/>
      <c r="IW441" s="15"/>
      <c r="IX441" s="15"/>
      <c r="IY441" s="15"/>
      <c r="IZ441" s="15"/>
      <c r="JA441" s="15"/>
      <c r="JB441" s="15"/>
      <c r="JC441" s="15"/>
      <c r="JD441" s="15"/>
      <c r="JE441" s="15"/>
      <c r="JF441" s="15"/>
      <c r="JG441" s="15"/>
      <c r="JH441" s="15"/>
      <c r="JI441" s="15"/>
      <c r="JJ441" s="15"/>
      <c r="JK441" s="15"/>
      <c r="JL441" s="15"/>
      <c r="JM441" s="15"/>
      <c r="JN441" s="15"/>
      <c r="JO441" s="15"/>
      <c r="JP441" s="15"/>
      <c r="JQ441" s="15"/>
      <c r="JR441" s="15"/>
      <c r="JS441" s="15"/>
      <c r="JT441" s="15"/>
      <c r="JU441" s="15"/>
      <c r="JV441" s="15"/>
      <c r="JW441" s="15"/>
      <c r="JX441" s="15"/>
      <c r="JY441" s="15"/>
      <c r="JZ441" s="15"/>
      <c r="KA441" s="15"/>
      <c r="KB441" s="15"/>
      <c r="KC441" s="15"/>
      <c r="KD441" s="15"/>
      <c r="KE441" s="12"/>
      <c r="KF441" s="13"/>
      <c r="MF441" s="13"/>
      <c r="MI441" s="13"/>
      <c r="MN441" s="13"/>
      <c r="MO441" s="13"/>
      <c r="MY441" s="13"/>
      <c r="NY441" s="12"/>
      <c r="OA441" s="13"/>
      <c r="OB441" s="14"/>
      <c r="OC441" s="15"/>
      <c r="OD441" s="15"/>
      <c r="OE441" s="15"/>
      <c r="OF441" s="15"/>
      <c r="OG441" s="15"/>
      <c r="OH441" s="15"/>
      <c r="OI441" s="16"/>
      <c r="OJ441" s="15"/>
      <c r="OK441" s="15"/>
      <c r="OL441" s="15"/>
      <c r="OM441" s="15"/>
      <c r="ON441" s="15"/>
      <c r="OO441" s="15"/>
      <c r="OP441" s="15"/>
      <c r="OQ441" s="15"/>
      <c r="OR441" s="15"/>
      <c r="OS441" s="15"/>
      <c r="OT441" s="15"/>
      <c r="OU441" s="15"/>
      <c r="OV441" s="15"/>
      <c r="OW441" s="15"/>
      <c r="OX441" s="15"/>
      <c r="OY441" s="15"/>
      <c r="OZ441" s="15"/>
      <c r="PA441" s="15"/>
      <c r="PB441" s="15"/>
      <c r="PC441" s="15"/>
      <c r="PD441" s="15"/>
      <c r="PE441" s="15"/>
      <c r="PF441" s="15"/>
      <c r="PG441" s="15"/>
      <c r="PH441" s="15"/>
      <c r="PI441" s="15"/>
      <c r="PJ441" s="15"/>
      <c r="PK441" s="15"/>
      <c r="PL441" s="15"/>
      <c r="PM441" s="15"/>
      <c r="PN441" s="15"/>
      <c r="PO441" s="15"/>
      <c r="PP441" s="14"/>
      <c r="PQ441" s="15"/>
      <c r="PR441" s="15"/>
      <c r="PS441" s="15"/>
      <c r="PT441" s="15"/>
      <c r="PU441" s="15"/>
      <c r="PV441" s="15"/>
      <c r="PW441" s="16"/>
      <c r="PX441" s="12"/>
      <c r="PY441" s="13"/>
      <c r="PZ441" s="12"/>
      <c r="QB441" s="281"/>
      <c r="QC441" s="282"/>
      <c r="QD441" s="12"/>
      <c r="QE441" s="13"/>
      <c r="QF441" s="12"/>
      <c r="QM441" s="13"/>
      <c r="RQ441" s="12"/>
      <c r="RV441" s="13"/>
      <c r="RY441" s="13"/>
      <c r="SB441" s="13"/>
      <c r="SX441" s="12"/>
      <c r="TA441" s="14"/>
      <c r="TB441" s="15"/>
      <c r="TC441" s="15"/>
      <c r="TD441" s="15"/>
      <c r="TE441" s="15"/>
      <c r="TF441" s="15"/>
      <c r="TG441" s="15"/>
      <c r="TH441" s="15"/>
      <c r="TI441" s="15"/>
      <c r="TJ441" s="15"/>
      <c r="TK441" s="15"/>
      <c r="TL441" s="15"/>
      <c r="TM441" s="15"/>
      <c r="TN441" s="15"/>
      <c r="TO441" s="15"/>
      <c r="TP441" s="15"/>
      <c r="TQ441" s="15"/>
      <c r="TR441" s="15"/>
      <c r="TS441" s="15"/>
      <c r="TT441" s="15"/>
      <c r="TU441" s="15"/>
      <c r="TV441" s="15"/>
      <c r="TW441" s="15"/>
      <c r="TX441" s="15"/>
      <c r="TY441" s="15"/>
      <c r="TZ441" s="15"/>
      <c r="UA441" s="15"/>
      <c r="UB441" s="15"/>
      <c r="UC441" s="15"/>
      <c r="UD441" s="15"/>
      <c r="UE441" s="15"/>
      <c r="UF441" s="15"/>
      <c r="UG441" s="15"/>
      <c r="UH441" s="15"/>
      <c r="UI441" s="15"/>
      <c r="UJ441" s="15"/>
      <c r="UK441" s="15"/>
      <c r="UL441" s="15"/>
      <c r="UM441" s="15"/>
      <c r="UN441" s="15"/>
      <c r="UO441" s="15"/>
      <c r="UP441" s="15"/>
      <c r="UQ441" s="15"/>
      <c r="UR441" s="15"/>
      <c r="US441" s="16"/>
      <c r="UU441" s="13"/>
      <c r="UX441" s="281"/>
      <c r="UY441" s="282"/>
      <c r="UZ441" s="12"/>
      <c r="VA441" s="13"/>
      <c r="VB441" s="12"/>
      <c r="VI441" s="13"/>
      <c r="WI441" s="12"/>
      <c r="WN441" s="13"/>
      <c r="WQ441" s="13"/>
      <c r="WT441" s="13"/>
      <c r="AAL441" s="12"/>
      <c r="AAO441" s="12"/>
      <c r="ACO441" s="13"/>
      <c r="ACQ441" s="13"/>
      <c r="ACR441" s="12"/>
      <c r="AEQ441" s="13"/>
      <c r="AET441" s="13"/>
    </row>
    <row r="442" spans="27:826" ht="10.75" customHeight="1">
      <c r="AA442" s="12"/>
      <c r="AB442" s="12"/>
      <c r="AY442" s="13"/>
      <c r="AZ442" s="18"/>
      <c r="HP442" s="12"/>
      <c r="HQ442" s="12"/>
      <c r="HU442" s="12"/>
      <c r="HV442" s="12"/>
      <c r="HZ442" s="13"/>
      <c r="ID442" s="12"/>
      <c r="KD442" s="10"/>
      <c r="KF442" s="13"/>
      <c r="MF442" s="13"/>
      <c r="MI442" s="13"/>
      <c r="MN442" s="13"/>
      <c r="MO442" s="13"/>
      <c r="MY442" s="13"/>
      <c r="NY442" s="12"/>
      <c r="OA442" s="13"/>
      <c r="OB442" s="12"/>
      <c r="OI442" s="13"/>
      <c r="PP442" s="12"/>
      <c r="PW442" s="13"/>
      <c r="PX442" s="12"/>
      <c r="PY442" s="13"/>
      <c r="PZ442" s="12"/>
      <c r="QB442" s="281"/>
      <c r="QC442" s="282"/>
      <c r="QD442" s="12"/>
      <c r="QE442" s="13"/>
      <c r="QF442" s="12"/>
      <c r="QM442" s="13"/>
      <c r="RQ442" s="12"/>
      <c r="RV442" s="13"/>
      <c r="RY442" s="13"/>
      <c r="SB442" s="13"/>
      <c r="SX442" s="12"/>
      <c r="TA442" s="12"/>
      <c r="US442" s="10"/>
      <c r="UU442" s="13"/>
      <c r="UX442" s="281"/>
      <c r="UY442" s="282"/>
      <c r="UZ442" s="14"/>
      <c r="VA442" s="16"/>
      <c r="VB442" s="14"/>
      <c r="VC442" s="15"/>
      <c r="VD442" s="15"/>
      <c r="VE442" s="15"/>
      <c r="VF442" s="15"/>
      <c r="VG442" s="15"/>
      <c r="VH442" s="15"/>
      <c r="VI442" s="16"/>
      <c r="WI442" s="12"/>
      <c r="WN442" s="13"/>
      <c r="WQ442" s="13"/>
      <c r="WT442" s="13"/>
      <c r="AAL442" s="12"/>
      <c r="AAO442" s="12"/>
      <c r="ACO442" s="13"/>
      <c r="ACQ442" s="13"/>
      <c r="ACR442" s="12"/>
      <c r="AEQ442" s="13"/>
      <c r="AET442" s="13"/>
    </row>
    <row r="443" spans="27:826" ht="10.75" customHeight="1">
      <c r="AA443" s="12"/>
      <c r="AB443" s="12"/>
      <c r="AY443" s="13"/>
      <c r="AZ443" s="18"/>
      <c r="HP443" s="12"/>
      <c r="HQ443" s="14"/>
      <c r="HR443" s="15"/>
      <c r="HS443" s="15"/>
      <c r="HT443" s="15"/>
      <c r="HU443" s="14"/>
      <c r="HV443" s="14"/>
      <c r="HW443" s="15"/>
      <c r="HX443" s="15"/>
      <c r="HY443" s="15"/>
      <c r="HZ443" s="16"/>
      <c r="ID443" s="14"/>
      <c r="IE443" s="15"/>
      <c r="IF443" s="15"/>
      <c r="IG443" s="15"/>
      <c r="IH443" s="15"/>
      <c r="II443" s="15"/>
      <c r="IJ443" s="15"/>
      <c r="IK443" s="15"/>
      <c r="IL443" s="15"/>
      <c r="IM443" s="15"/>
      <c r="IN443" s="15"/>
      <c r="IO443" s="15"/>
      <c r="IP443" s="15"/>
      <c r="IQ443" s="15"/>
      <c r="IR443" s="15"/>
      <c r="IS443" s="15"/>
      <c r="IT443" s="15"/>
      <c r="IU443" s="15"/>
      <c r="IV443" s="15"/>
      <c r="IW443" s="15"/>
      <c r="IX443" s="15"/>
      <c r="IY443" s="15"/>
      <c r="IZ443" s="15"/>
      <c r="JA443" s="15"/>
      <c r="JB443" s="15"/>
      <c r="JC443" s="15"/>
      <c r="JD443" s="15"/>
      <c r="JE443" s="15"/>
      <c r="JF443" s="15"/>
      <c r="JG443" s="15"/>
      <c r="JH443" s="15"/>
      <c r="JI443" s="15"/>
      <c r="JJ443" s="15"/>
      <c r="JK443" s="15"/>
      <c r="JL443" s="15"/>
      <c r="JM443" s="15"/>
      <c r="JN443" s="15"/>
      <c r="JO443" s="15"/>
      <c r="JP443" s="15"/>
      <c r="JQ443" s="15"/>
      <c r="JR443" s="120"/>
      <c r="JS443" s="120"/>
      <c r="JT443" s="120"/>
      <c r="JU443" s="120"/>
      <c r="JV443" s="120"/>
      <c r="JW443" s="120"/>
      <c r="JX443" s="120"/>
      <c r="JY443" s="120"/>
      <c r="JZ443" s="120"/>
      <c r="KA443" s="120"/>
      <c r="KB443" s="120"/>
      <c r="KC443" s="120"/>
      <c r="KD443" s="15"/>
      <c r="KF443" s="13"/>
      <c r="MF443" s="13"/>
      <c r="MI443" s="13"/>
      <c r="MN443" s="13"/>
      <c r="MO443" s="13"/>
      <c r="MY443" s="13"/>
      <c r="NY443" s="12"/>
      <c r="OA443" s="13"/>
      <c r="OB443" s="12"/>
      <c r="OI443" s="13"/>
      <c r="PP443" s="12"/>
      <c r="PW443" s="13"/>
      <c r="PX443" s="12"/>
      <c r="PY443" s="13"/>
      <c r="PZ443" s="12"/>
      <c r="QB443" s="281"/>
      <c r="QC443" s="282"/>
      <c r="QD443" s="12"/>
      <c r="QE443" s="13"/>
      <c r="QF443" s="12"/>
      <c r="QM443" s="13"/>
      <c r="RQ443" s="12"/>
      <c r="RV443" s="13"/>
      <c r="RY443" s="13"/>
      <c r="SB443" s="13"/>
      <c r="SX443" s="12"/>
      <c r="TA443" s="14"/>
      <c r="TB443" s="15"/>
      <c r="TC443" s="15"/>
      <c r="TD443" s="15"/>
      <c r="TE443" s="15"/>
      <c r="TF443" s="15"/>
      <c r="TG443" s="15"/>
      <c r="TH443" s="15"/>
      <c r="TI443" s="15"/>
      <c r="TJ443" s="15"/>
      <c r="TK443" s="15"/>
      <c r="TL443" s="15"/>
      <c r="TM443" s="15"/>
      <c r="TN443" s="15"/>
      <c r="TO443" s="15"/>
      <c r="TP443" s="15"/>
      <c r="TQ443" s="15"/>
      <c r="TR443" s="15"/>
      <c r="TS443" s="15"/>
      <c r="TT443" s="15"/>
      <c r="TU443" s="15"/>
      <c r="TV443" s="15"/>
      <c r="TW443" s="15"/>
      <c r="TX443" s="15"/>
      <c r="TY443" s="15"/>
      <c r="TZ443" s="15"/>
      <c r="UA443" s="15"/>
      <c r="UB443" s="15"/>
      <c r="UC443" s="15"/>
      <c r="UD443" s="15"/>
      <c r="UE443" s="15"/>
      <c r="UF443" s="15"/>
      <c r="UG443" s="15"/>
      <c r="UH443" s="15"/>
      <c r="UI443" s="15"/>
      <c r="UJ443" s="15"/>
      <c r="UK443" s="15"/>
      <c r="UL443" s="15"/>
      <c r="UM443" s="15"/>
      <c r="UN443" s="15"/>
      <c r="UO443" s="15"/>
      <c r="UP443" s="15"/>
      <c r="UQ443" s="15"/>
      <c r="UR443" s="15"/>
      <c r="US443" s="15"/>
      <c r="UU443" s="13"/>
      <c r="UX443" s="281"/>
      <c r="UY443" s="282"/>
      <c r="UZ443" s="12"/>
      <c r="VA443" s="13"/>
      <c r="VB443" s="12"/>
      <c r="VI443" s="13"/>
      <c r="WI443" s="12"/>
      <c r="WN443" s="13"/>
      <c r="WQ443" s="13"/>
      <c r="WT443" s="13"/>
      <c r="AAL443" s="12"/>
      <c r="AAO443" s="12"/>
      <c r="ACO443" s="13"/>
      <c r="ACQ443" s="13"/>
      <c r="ACR443" s="12"/>
      <c r="AEQ443" s="13"/>
      <c r="AET443" s="13"/>
    </row>
    <row r="444" spans="27:826" ht="10.75" customHeight="1">
      <c r="AA444" s="12"/>
      <c r="AB444" s="12"/>
      <c r="AY444" s="13"/>
      <c r="AZ444" s="18"/>
      <c r="HK444" s="9"/>
      <c r="HL444" s="10"/>
      <c r="HM444" s="10"/>
      <c r="HN444" s="10"/>
      <c r="HO444" s="11"/>
      <c r="HP444" s="12"/>
      <c r="HQ444" s="9"/>
      <c r="HR444" s="10"/>
      <c r="HS444" s="10"/>
      <c r="HT444" s="10"/>
      <c r="HU444" s="9"/>
      <c r="HV444" s="9"/>
      <c r="HW444" s="10"/>
      <c r="HX444" s="10"/>
      <c r="HY444" s="10"/>
      <c r="HZ444" s="11"/>
      <c r="ID444" s="9"/>
      <c r="IE444" s="10"/>
      <c r="IF444" s="10"/>
      <c r="IG444" s="10"/>
      <c r="IH444" s="10"/>
      <c r="II444" s="10"/>
      <c r="IJ444" s="10"/>
      <c r="IK444" s="10"/>
      <c r="IL444" s="10"/>
      <c r="IM444" s="10"/>
      <c r="IN444" s="10"/>
      <c r="IO444" s="10"/>
      <c r="IP444" s="10"/>
      <c r="IQ444" s="10"/>
      <c r="IR444" s="10"/>
      <c r="IS444" s="10"/>
      <c r="IT444" s="10"/>
      <c r="IU444" s="10"/>
      <c r="IV444" s="10"/>
      <c r="IW444" s="10"/>
      <c r="IX444" s="10"/>
      <c r="IY444" s="10"/>
      <c r="IZ444" s="10"/>
      <c r="JA444" s="10"/>
      <c r="JB444" s="10"/>
      <c r="JC444" s="10"/>
      <c r="JD444" s="10"/>
      <c r="JE444" s="10"/>
      <c r="JF444" s="10"/>
      <c r="JG444" s="10"/>
      <c r="JH444" s="10"/>
      <c r="JI444" s="10"/>
      <c r="JJ444" s="10"/>
      <c r="JK444" s="10"/>
      <c r="JL444" s="10"/>
      <c r="JM444" s="10"/>
      <c r="JN444" s="10"/>
      <c r="JO444" s="10"/>
      <c r="JP444" s="10"/>
      <c r="JQ444" s="10"/>
      <c r="JR444" s="10"/>
      <c r="JS444" s="10"/>
      <c r="JT444" s="10"/>
      <c r="JU444" s="10"/>
      <c r="JV444" s="10"/>
      <c r="JW444" s="10"/>
      <c r="JX444" s="10"/>
      <c r="JY444" s="10"/>
      <c r="JZ444" s="10"/>
      <c r="KA444" s="10"/>
      <c r="KB444" s="10"/>
      <c r="KC444" s="10"/>
      <c r="KD444" s="10"/>
      <c r="KE444" s="9"/>
      <c r="KF444" s="11"/>
      <c r="MF444" s="13"/>
      <c r="MI444" s="13"/>
      <c r="MN444" s="13"/>
      <c r="MO444" s="13"/>
      <c r="MY444" s="13"/>
      <c r="NY444" s="12"/>
      <c r="OA444" s="13"/>
      <c r="OB444" s="12"/>
      <c r="OI444" s="13"/>
      <c r="PP444" s="12"/>
      <c r="PW444" s="13"/>
      <c r="PX444" s="12"/>
      <c r="PY444" s="13"/>
      <c r="PZ444" s="12"/>
      <c r="QB444" s="281"/>
      <c r="QC444" s="282"/>
      <c r="QD444" s="12"/>
      <c r="QE444" s="13"/>
      <c r="QF444" s="12"/>
      <c r="QM444" s="13"/>
      <c r="RQ444" s="14"/>
      <c r="RR444" s="15"/>
      <c r="RS444" s="15"/>
      <c r="RT444" s="15"/>
      <c r="RU444" s="15"/>
      <c r="RV444" s="16"/>
      <c r="RY444" s="13"/>
      <c r="SB444" s="13"/>
      <c r="SX444" s="12"/>
      <c r="TA444" s="9"/>
      <c r="TB444" s="10"/>
      <c r="TC444" s="10"/>
      <c r="TD444" s="10"/>
      <c r="TE444" s="10"/>
      <c r="TF444" s="10"/>
      <c r="TG444" s="10"/>
      <c r="TH444" s="10"/>
      <c r="TI444" s="10"/>
      <c r="TJ444" s="10"/>
      <c r="TK444" s="10"/>
      <c r="TL444" s="10"/>
      <c r="TM444" s="10"/>
      <c r="TN444" s="10"/>
      <c r="TO444" s="10"/>
      <c r="TP444" s="10"/>
      <c r="TQ444" s="10"/>
      <c r="TR444" s="10"/>
      <c r="TS444" s="10"/>
      <c r="TT444" s="10"/>
      <c r="TU444" s="10"/>
      <c r="TV444" s="10"/>
      <c r="TW444" s="10"/>
      <c r="TX444" s="10"/>
      <c r="TY444" s="10"/>
      <c r="TZ444" s="10"/>
      <c r="UA444" s="10"/>
      <c r="UB444" s="10"/>
      <c r="UC444" s="10"/>
      <c r="UD444" s="10"/>
      <c r="UE444" s="10"/>
      <c r="UF444" s="10"/>
      <c r="UG444" s="10"/>
      <c r="UH444" s="10"/>
      <c r="UI444" s="10"/>
      <c r="UJ444" s="10"/>
      <c r="UK444" s="10"/>
      <c r="UL444" s="10"/>
      <c r="UM444" s="10"/>
      <c r="UN444" s="10"/>
      <c r="UO444" s="10"/>
      <c r="UP444" s="10"/>
      <c r="UQ444" s="10"/>
      <c r="UR444" s="10"/>
      <c r="US444" s="11"/>
      <c r="UU444" s="13"/>
      <c r="UX444" s="281"/>
      <c r="UY444" s="282"/>
      <c r="UZ444" s="12"/>
      <c r="VA444" s="13"/>
      <c r="VB444" s="12"/>
      <c r="VI444" s="13"/>
      <c r="WI444" s="12"/>
      <c r="WN444" s="13"/>
      <c r="WQ444" s="13"/>
      <c r="WT444" s="13"/>
      <c r="AAL444" s="12"/>
      <c r="AAO444" s="14"/>
      <c r="AAP444" s="15"/>
      <c r="AAQ444" s="15"/>
      <c r="AAR444" s="15"/>
      <c r="AAS444" s="15"/>
      <c r="AAT444" s="15"/>
      <c r="AAU444" s="15"/>
      <c r="AAV444" s="15"/>
      <c r="AAW444" s="15"/>
      <c r="AAX444" s="15"/>
      <c r="AAY444" s="15"/>
      <c r="AAZ444" s="15"/>
      <c r="ABA444" s="15"/>
      <c r="ABB444" s="15"/>
      <c r="ABC444" s="15"/>
      <c r="ABD444" s="15"/>
      <c r="ABE444" s="15"/>
      <c r="ABF444" s="15"/>
      <c r="ABG444" s="15"/>
      <c r="ABH444" s="15"/>
      <c r="ABI444" s="15"/>
      <c r="ABJ444" s="15"/>
      <c r="ABK444" s="15"/>
      <c r="ABL444" s="15"/>
      <c r="ABM444" s="15"/>
      <c r="ABN444" s="15"/>
      <c r="ABO444" s="15"/>
      <c r="ABP444" s="15"/>
      <c r="ABQ444" s="15"/>
      <c r="ABR444" s="15"/>
      <c r="ABS444" s="15"/>
      <c r="ABT444" s="15"/>
      <c r="ABU444" s="15"/>
      <c r="ABV444" s="15"/>
      <c r="ABW444" s="15"/>
      <c r="ABX444" s="15"/>
      <c r="ABY444" s="15"/>
      <c r="ABZ444" s="15"/>
      <c r="ACA444" s="15"/>
      <c r="ACB444" s="15"/>
      <c r="ACC444" s="15"/>
      <c r="ACD444" s="15"/>
      <c r="ACE444" s="15"/>
      <c r="ACF444" s="15"/>
      <c r="ACG444" s="15"/>
      <c r="ACH444" s="15"/>
      <c r="ACI444" s="15"/>
      <c r="ACJ444" s="15"/>
      <c r="ACK444" s="15"/>
      <c r="ACL444" s="15"/>
      <c r="ACM444" s="15"/>
      <c r="ACN444" s="15"/>
      <c r="ACO444" s="16"/>
      <c r="ACQ444" s="13"/>
      <c r="ACR444" s="12"/>
      <c r="AEQ444" s="13"/>
      <c r="AET444" s="13"/>
    </row>
    <row r="445" spans="27:826" ht="10.75" customHeight="1">
      <c r="AA445" s="12"/>
      <c r="AB445" s="12"/>
      <c r="AY445" s="13"/>
      <c r="AZ445" s="18"/>
      <c r="HK445" s="12"/>
      <c r="HO445" s="13"/>
      <c r="HP445" s="12"/>
      <c r="HQ445" s="12"/>
      <c r="HU445" s="12"/>
      <c r="HV445" s="12"/>
      <c r="HZ445" s="13"/>
      <c r="IB445" s="119"/>
      <c r="ID445" s="12"/>
      <c r="JC445" s="9"/>
      <c r="JD445" s="10"/>
      <c r="JE445" s="10"/>
      <c r="JF445" s="10"/>
      <c r="JG445" s="10"/>
      <c r="JH445" s="10"/>
      <c r="JI445" s="10"/>
      <c r="JJ445" s="11"/>
      <c r="KE445" s="12"/>
      <c r="KF445" s="13"/>
      <c r="MF445" s="13"/>
      <c r="MI445" s="13"/>
      <c r="MN445" s="13"/>
      <c r="MO445" s="13"/>
      <c r="MY445" s="13"/>
      <c r="NY445" s="12"/>
      <c r="OA445" s="13"/>
      <c r="OB445" s="12"/>
      <c r="OI445" s="13"/>
      <c r="PP445" s="12"/>
      <c r="PW445" s="13"/>
      <c r="PX445" s="12"/>
      <c r="PY445" s="13"/>
      <c r="PZ445" s="12"/>
      <c r="QB445" s="281"/>
      <c r="QC445" s="282"/>
      <c r="QD445" s="12"/>
      <c r="QE445" s="13"/>
      <c r="QF445" s="12"/>
      <c r="QM445" s="13"/>
      <c r="RY445" s="13"/>
      <c r="SB445" s="13"/>
      <c r="SX445" s="12"/>
      <c r="TA445" s="12"/>
      <c r="US445" s="13"/>
      <c r="UU445" s="13"/>
      <c r="UX445" s="281"/>
      <c r="UY445" s="282"/>
      <c r="UZ445" s="12"/>
      <c r="VA445" s="13"/>
      <c r="VB445" s="12"/>
      <c r="VI445" s="13"/>
      <c r="WI445" s="12"/>
      <c r="WN445" s="13"/>
      <c r="WQ445" s="13"/>
      <c r="WT445" s="13"/>
      <c r="AAL445" s="12"/>
      <c r="AAO445" s="12"/>
      <c r="ACO445" s="13"/>
      <c r="ACQ445" s="13"/>
      <c r="ACR445" s="12"/>
      <c r="AEQ445" s="13"/>
      <c r="AET445" s="13"/>
    </row>
    <row r="446" spans="27:826" ht="10.75" customHeight="1">
      <c r="AA446" s="12"/>
      <c r="AB446" s="14"/>
      <c r="AC446" s="15"/>
      <c r="AD446" s="15"/>
      <c r="AE446" s="15"/>
      <c r="AF446" s="15"/>
      <c r="AG446" s="15"/>
      <c r="AH446" s="15"/>
      <c r="AI446" s="15"/>
      <c r="AJ446" s="15"/>
      <c r="AK446" s="15"/>
      <c r="AL446" s="15"/>
      <c r="AM446" s="15"/>
      <c r="AN446" s="15"/>
      <c r="AO446" s="15"/>
      <c r="AP446" s="15"/>
      <c r="AQ446" s="15"/>
      <c r="AR446" s="15"/>
      <c r="AS446" s="15"/>
      <c r="AT446" s="15"/>
      <c r="AU446" s="15"/>
      <c r="AV446" s="15"/>
      <c r="AW446" s="15"/>
      <c r="AX446" s="15"/>
      <c r="AY446" s="16"/>
      <c r="AZ446" s="18"/>
      <c r="HK446" s="12"/>
      <c r="HO446" s="13"/>
      <c r="HP446" s="12"/>
      <c r="HQ446" s="12"/>
      <c r="HU446" s="12"/>
      <c r="HV446" s="12"/>
      <c r="HZ446" s="13"/>
      <c r="IB446" s="119"/>
      <c r="ID446" s="12"/>
      <c r="JC446" s="12"/>
      <c r="JJ446" s="13"/>
      <c r="KE446" s="12"/>
      <c r="KF446" s="13"/>
      <c r="MF446" s="13"/>
      <c r="MI446" s="13"/>
      <c r="MN446" s="13"/>
      <c r="MO446" s="13"/>
      <c r="MY446" s="13"/>
      <c r="NY446" s="12"/>
      <c r="OA446" s="13"/>
      <c r="OB446" s="12"/>
      <c r="OI446" s="13"/>
      <c r="PP446" s="12"/>
      <c r="PW446" s="13"/>
      <c r="PX446" s="12"/>
      <c r="PY446" s="13"/>
      <c r="PZ446" s="12"/>
      <c r="QB446" s="281"/>
      <c r="QC446" s="282"/>
      <c r="QD446" s="12"/>
      <c r="QE446" s="13"/>
      <c r="QF446" s="12"/>
      <c r="QM446" s="13"/>
      <c r="RY446" s="13"/>
      <c r="SB446" s="13"/>
      <c r="SX446" s="12"/>
      <c r="TA446" s="12"/>
      <c r="US446" s="13"/>
      <c r="UU446" s="13"/>
      <c r="UX446" s="281"/>
      <c r="UY446" s="282"/>
      <c r="UZ446" s="12"/>
      <c r="VA446" s="13"/>
      <c r="VB446" s="12"/>
      <c r="VI446" s="13"/>
      <c r="WI446" s="12"/>
      <c r="WN446" s="13"/>
      <c r="WQ446" s="13"/>
      <c r="WT446" s="13"/>
      <c r="AAL446" s="12"/>
      <c r="AAO446" s="14"/>
      <c r="AAP446" s="15"/>
      <c r="AAQ446" s="15"/>
      <c r="AAR446" s="15"/>
      <c r="AAS446" s="15"/>
      <c r="AAT446" s="15"/>
      <c r="AAU446" s="15"/>
      <c r="AAV446" s="15"/>
      <c r="AAW446" s="15"/>
      <c r="AAX446" s="15"/>
      <c r="AAY446" s="15"/>
      <c r="AAZ446" s="15"/>
      <c r="ABA446" s="15"/>
      <c r="ABB446" s="15"/>
      <c r="ABC446" s="15"/>
      <c r="ABD446" s="15"/>
      <c r="ABE446" s="15"/>
      <c r="ABF446" s="15"/>
      <c r="ABG446" s="15"/>
      <c r="ABH446" s="15"/>
      <c r="ABI446" s="15"/>
      <c r="ABJ446" s="15"/>
      <c r="ABK446" s="15"/>
      <c r="ABL446" s="15"/>
      <c r="ABM446" s="15"/>
      <c r="ABN446" s="15"/>
      <c r="ABO446" s="15"/>
      <c r="ABP446" s="15"/>
      <c r="ABQ446" s="15"/>
      <c r="ABR446" s="15"/>
      <c r="ABS446" s="15"/>
      <c r="ABT446" s="15"/>
      <c r="ABU446" s="15"/>
      <c r="ABV446" s="15"/>
      <c r="ABW446" s="15"/>
      <c r="ABX446" s="15"/>
      <c r="ABY446" s="15"/>
      <c r="ABZ446" s="15"/>
      <c r="ACA446" s="15"/>
      <c r="ACB446" s="15"/>
      <c r="ACC446" s="15"/>
      <c r="ACD446" s="15"/>
      <c r="ACE446" s="15"/>
      <c r="ACF446" s="15"/>
      <c r="ACG446" s="15"/>
      <c r="ACH446" s="15"/>
      <c r="ACI446" s="15"/>
      <c r="ACJ446" s="15"/>
      <c r="ACK446" s="15"/>
      <c r="ACL446" s="15"/>
      <c r="ACM446" s="15"/>
      <c r="ACN446" s="15"/>
      <c r="ACO446" s="16"/>
      <c r="ACQ446" s="13"/>
      <c r="ACR446" s="12"/>
      <c r="AEQ446" s="13"/>
      <c r="AET446" s="13"/>
    </row>
    <row r="447" spans="27:826" ht="10.75" customHeight="1">
      <c r="AA447" s="14"/>
      <c r="AB447" s="15"/>
      <c r="AC447" s="15"/>
      <c r="AD447" s="15"/>
      <c r="AE447" s="15"/>
      <c r="AF447" s="15"/>
      <c r="AG447" s="15"/>
      <c r="AH447" s="15"/>
      <c r="AI447" s="15"/>
      <c r="AJ447" s="15"/>
      <c r="AK447" s="15"/>
      <c r="AL447" s="15"/>
      <c r="AM447" s="15"/>
      <c r="AN447" s="15"/>
      <c r="AO447" s="15"/>
      <c r="AP447" s="15"/>
      <c r="AQ447" s="15"/>
      <c r="AR447" s="15"/>
      <c r="AS447" s="15"/>
      <c r="AT447" s="15"/>
      <c r="AU447" s="15"/>
      <c r="AV447" s="15"/>
      <c r="AW447" s="15"/>
      <c r="AX447" s="15"/>
      <c r="AY447" s="16"/>
      <c r="AZ447" s="19"/>
      <c r="HK447" s="12"/>
      <c r="HO447" s="13"/>
      <c r="HP447" s="12"/>
      <c r="HQ447" s="12"/>
      <c r="HU447" s="12"/>
      <c r="HV447" s="12"/>
      <c r="HZ447" s="13"/>
      <c r="IB447" s="119"/>
      <c r="ID447" s="12"/>
      <c r="JC447" s="12"/>
      <c r="JJ447" s="13"/>
      <c r="KE447" s="12"/>
      <c r="KF447" s="13"/>
      <c r="MF447" s="13"/>
      <c r="MI447" s="13"/>
      <c r="MN447" s="13"/>
      <c r="MO447" s="13"/>
      <c r="MY447" s="13"/>
      <c r="NY447" s="12"/>
      <c r="OA447" s="13"/>
      <c r="OB447" s="12"/>
      <c r="OI447" s="13"/>
      <c r="PP447" s="12"/>
      <c r="PW447" s="13"/>
      <c r="PX447" s="12"/>
      <c r="PY447" s="13"/>
      <c r="PZ447" s="12"/>
      <c r="QB447" s="281"/>
      <c r="QC447" s="282"/>
      <c r="QD447" s="12"/>
      <c r="QE447" s="13"/>
      <c r="QF447" s="12"/>
      <c r="QM447" s="13"/>
      <c r="RY447" s="13"/>
      <c r="SB447" s="13"/>
      <c r="SX447" s="12"/>
      <c r="TA447" s="12"/>
      <c r="US447" s="13"/>
      <c r="UU447" s="13"/>
      <c r="UX447" s="281"/>
      <c r="UY447" s="282"/>
      <c r="UZ447" s="12"/>
      <c r="VA447" s="13"/>
      <c r="VB447" s="12"/>
      <c r="VI447" s="13"/>
      <c r="WI447" s="12"/>
      <c r="WN447" s="13"/>
      <c r="WQ447" s="13"/>
      <c r="WT447" s="13"/>
      <c r="AAL447" s="12"/>
      <c r="AAO447" s="9"/>
      <c r="AAP447" s="10"/>
      <c r="AAQ447" s="10"/>
      <c r="AAR447" s="10"/>
      <c r="AAS447" s="10"/>
      <c r="AAT447" s="10"/>
      <c r="AAU447" s="10"/>
      <c r="AAV447" s="10"/>
      <c r="AAW447" s="10"/>
      <c r="AAX447" s="10"/>
      <c r="AAY447" s="10"/>
      <c r="AAZ447" s="10"/>
      <c r="ABA447" s="10"/>
      <c r="ABB447" s="10"/>
      <c r="ABC447" s="10"/>
      <c r="ABD447" s="10"/>
      <c r="ABE447" s="10"/>
      <c r="ABF447" s="10"/>
      <c r="ABG447" s="10"/>
      <c r="ABH447" s="10"/>
      <c r="ABI447" s="10"/>
      <c r="ABJ447" s="10"/>
      <c r="ABK447" s="10"/>
      <c r="ABL447" s="10"/>
      <c r="ABM447" s="10"/>
      <c r="ABN447" s="10"/>
      <c r="ABO447" s="10"/>
      <c r="ABP447" s="10"/>
      <c r="ABQ447" s="10"/>
      <c r="ABR447" s="10"/>
      <c r="ABS447" s="10"/>
      <c r="ABT447" s="10"/>
      <c r="ABU447" s="10"/>
      <c r="ABV447" s="10"/>
      <c r="ABW447" s="10"/>
      <c r="ABX447" s="10"/>
      <c r="ABY447" s="10"/>
      <c r="ABZ447" s="10"/>
      <c r="ACA447" s="10"/>
      <c r="ACB447" s="10"/>
      <c r="ACC447" s="10"/>
      <c r="ACD447" s="10"/>
      <c r="ACE447" s="10"/>
      <c r="ACF447" s="10"/>
      <c r="ACG447" s="10"/>
      <c r="ACH447" s="10"/>
      <c r="ACI447" s="10"/>
      <c r="ACJ447" s="10"/>
      <c r="ACK447" s="10"/>
      <c r="ACL447" s="10"/>
      <c r="ACM447" s="10"/>
      <c r="ACN447" s="10"/>
      <c r="ACO447" s="10"/>
      <c r="ACP447" s="10"/>
      <c r="ACQ447" s="10"/>
      <c r="AEQ447" s="13"/>
      <c r="AET447" s="13"/>
    </row>
    <row r="448" spans="27:826" ht="10.75" customHeight="1">
      <c r="HK448" s="12"/>
      <c r="HO448" s="13"/>
      <c r="HP448" s="12"/>
      <c r="HQ448" s="12"/>
      <c r="HU448" s="12"/>
      <c r="HV448" s="12"/>
      <c r="HZ448" s="13"/>
      <c r="IB448" s="119"/>
      <c r="ID448" s="12"/>
      <c r="JC448" s="12"/>
      <c r="JJ448" s="13"/>
      <c r="KE448" s="12"/>
      <c r="KF448" s="13"/>
      <c r="MF448" s="13"/>
      <c r="MI448" s="13"/>
      <c r="MN448" s="13"/>
      <c r="MO448" s="13"/>
      <c r="MY448" s="13"/>
      <c r="NY448" s="12"/>
      <c r="OA448" s="13"/>
      <c r="OB448" s="12"/>
      <c r="OI448" s="13"/>
      <c r="PP448" s="12"/>
      <c r="PW448" s="13"/>
      <c r="PX448" s="12"/>
      <c r="PY448" s="13"/>
      <c r="PZ448" s="12"/>
      <c r="QB448" s="281"/>
      <c r="QC448" s="282"/>
      <c r="QD448" s="14"/>
      <c r="QE448" s="16"/>
      <c r="QF448" s="14"/>
      <c r="QG448" s="15"/>
      <c r="QH448" s="15"/>
      <c r="QI448" s="15"/>
      <c r="QJ448" s="15"/>
      <c r="QK448" s="15"/>
      <c r="QL448" s="15"/>
      <c r="QM448" s="16"/>
      <c r="RY448" s="13"/>
      <c r="SB448" s="13"/>
      <c r="SX448" s="12"/>
      <c r="TA448" s="12"/>
      <c r="US448" s="13"/>
      <c r="UU448" s="13"/>
      <c r="UX448" s="281"/>
      <c r="UY448" s="282"/>
      <c r="UZ448" s="12"/>
      <c r="VA448" s="13"/>
      <c r="VB448" s="12"/>
      <c r="VI448" s="13"/>
      <c r="WI448" s="12"/>
      <c r="WN448" s="13"/>
      <c r="WQ448" s="13"/>
      <c r="WT448" s="13"/>
      <c r="AAL448" s="12"/>
      <c r="AAO448" s="12"/>
      <c r="AEQ448" s="13"/>
      <c r="AET448" s="13"/>
    </row>
    <row r="449" spans="219:826" ht="10.75" customHeight="1">
      <c r="HK449" s="12"/>
      <c r="HP449" s="12"/>
      <c r="HQ449" s="12"/>
      <c r="HU449" s="12"/>
      <c r="HV449" s="12"/>
      <c r="HZ449" s="13"/>
      <c r="IB449" s="119"/>
      <c r="ID449" s="12"/>
      <c r="JC449" s="12"/>
      <c r="JJ449" s="13"/>
      <c r="KE449" s="12"/>
      <c r="KF449" s="13"/>
      <c r="MF449" s="13"/>
      <c r="MI449" s="13"/>
      <c r="MN449" s="13"/>
      <c r="MO449" s="13"/>
      <c r="MY449" s="13"/>
      <c r="NY449" s="12"/>
      <c r="OA449" s="13"/>
      <c r="OB449" s="12"/>
      <c r="OI449" s="13"/>
      <c r="PP449" s="12"/>
      <c r="PW449" s="13"/>
      <c r="PX449" s="12"/>
      <c r="PY449" s="13"/>
      <c r="PZ449" s="12"/>
      <c r="QB449" s="281"/>
      <c r="QC449" s="282"/>
      <c r="QD449" s="282"/>
      <c r="QE449" s="282"/>
      <c r="QF449" s="282"/>
      <c r="QG449" s="282"/>
      <c r="QH449" s="282"/>
      <c r="QI449" s="282"/>
      <c r="QJ449" s="282"/>
      <c r="QK449" s="282"/>
      <c r="QL449" s="282"/>
      <c r="QM449" s="284"/>
      <c r="RY449" s="13"/>
      <c r="SB449" s="13"/>
      <c r="SX449" s="12"/>
      <c r="TA449" s="12"/>
      <c r="US449" s="13"/>
      <c r="UU449" s="13"/>
      <c r="UX449" s="281"/>
      <c r="UY449" s="282"/>
      <c r="UZ449" s="12"/>
      <c r="VA449" s="13"/>
      <c r="VB449" s="12"/>
      <c r="VI449" s="13"/>
      <c r="WI449" s="14"/>
      <c r="WJ449" s="15"/>
      <c r="WK449" s="15"/>
      <c r="WL449" s="15"/>
      <c r="WM449" s="15"/>
      <c r="WN449" s="16"/>
      <c r="WQ449" s="13"/>
      <c r="WT449" s="13"/>
      <c r="AAL449" s="12"/>
      <c r="AAO449" s="12"/>
      <c r="AEQ449" s="13"/>
      <c r="AET449" s="13"/>
    </row>
    <row r="450" spans="219:826" ht="10.75" customHeight="1">
      <c r="HK450" s="12"/>
      <c r="HP450" s="12"/>
      <c r="HQ450" s="12"/>
      <c r="HU450" s="12"/>
      <c r="HV450" s="12"/>
      <c r="HZ450" s="13"/>
      <c r="IB450" s="119"/>
      <c r="ID450" s="12"/>
      <c r="JC450" s="12"/>
      <c r="JJ450" s="13"/>
      <c r="KE450" s="12"/>
      <c r="KF450" s="13"/>
      <c r="MF450" s="13"/>
      <c r="MI450" s="13"/>
      <c r="MN450" s="13"/>
      <c r="MO450" s="13"/>
      <c r="MY450" s="13"/>
      <c r="NY450" s="12"/>
      <c r="OA450" s="13"/>
      <c r="OB450" s="12"/>
      <c r="OI450" s="13"/>
      <c r="PP450" s="12"/>
      <c r="PW450" s="13"/>
      <c r="PX450" s="12"/>
      <c r="PY450" s="13"/>
      <c r="PZ450" s="12"/>
      <c r="QB450" s="285"/>
      <c r="QC450" s="286"/>
      <c r="QD450" s="286"/>
      <c r="QE450" s="286"/>
      <c r="QF450" s="286"/>
      <c r="QG450" s="286"/>
      <c r="QH450" s="286"/>
      <c r="QI450" s="286"/>
      <c r="QJ450" s="286"/>
      <c r="QK450" s="286"/>
      <c r="QL450" s="286"/>
      <c r="QM450" s="287"/>
      <c r="RY450" s="13"/>
      <c r="SB450" s="13"/>
      <c r="SX450" s="12"/>
      <c r="TA450" s="12"/>
      <c r="US450" s="13"/>
      <c r="UU450" s="13"/>
      <c r="UX450" s="281"/>
      <c r="UY450" s="282"/>
      <c r="UZ450" s="12"/>
      <c r="VA450" s="13"/>
      <c r="VB450" s="12"/>
      <c r="VI450" s="13"/>
      <c r="WQ450" s="13"/>
      <c r="WT450" s="13"/>
      <c r="AAL450" s="12"/>
      <c r="AAO450" s="12"/>
      <c r="AEQ450" s="13"/>
      <c r="AET450" s="13"/>
    </row>
    <row r="451" spans="219:826" ht="10.75" customHeight="1">
      <c r="HK451" s="12"/>
      <c r="HP451" s="12"/>
      <c r="HQ451" s="12"/>
      <c r="HU451" s="12"/>
      <c r="HV451" s="12"/>
      <c r="HZ451" s="13"/>
      <c r="IB451" s="119"/>
      <c r="ID451" s="12"/>
      <c r="JC451" s="12"/>
      <c r="JJ451" s="13"/>
      <c r="KE451" s="12"/>
      <c r="KF451" s="13"/>
      <c r="MF451" s="13"/>
      <c r="MI451" s="13"/>
      <c r="MN451" s="13"/>
      <c r="MO451" s="13"/>
      <c r="MY451" s="13"/>
      <c r="NY451" s="12"/>
      <c r="OA451" s="13"/>
      <c r="OB451" s="12"/>
      <c r="OI451" s="13"/>
      <c r="PP451" s="12"/>
      <c r="PW451" s="13"/>
      <c r="PX451" s="12"/>
      <c r="PY451" s="13"/>
      <c r="PZ451" s="12"/>
      <c r="RY451" s="13"/>
      <c r="SB451" s="13"/>
      <c r="SX451" s="12"/>
      <c r="TA451" s="12"/>
      <c r="US451" s="13"/>
      <c r="UU451" s="13"/>
      <c r="UX451" s="281"/>
      <c r="UY451" s="282"/>
      <c r="UZ451" s="12"/>
      <c r="VA451" s="13"/>
      <c r="VB451" s="12"/>
      <c r="VI451" s="13"/>
      <c r="WQ451" s="13"/>
      <c r="WT451" s="13"/>
      <c r="AAL451" s="12"/>
      <c r="AAO451" s="12"/>
      <c r="AEQ451" s="13"/>
      <c r="AET451" s="13"/>
    </row>
    <row r="452" spans="219:826" ht="10.75" customHeight="1">
      <c r="HK452" s="12"/>
      <c r="HP452" s="12"/>
      <c r="HQ452" s="12"/>
      <c r="HU452" s="12"/>
      <c r="HV452" s="12"/>
      <c r="HZ452" s="13"/>
      <c r="IB452" s="119"/>
      <c r="ID452" s="12"/>
      <c r="JC452" s="20"/>
      <c r="JD452" s="21"/>
      <c r="JE452" s="21"/>
      <c r="JF452" s="21"/>
      <c r="JG452" s="21"/>
      <c r="JH452" s="21"/>
      <c r="JI452" s="21"/>
      <c r="JJ452" s="22"/>
      <c r="KE452" s="12"/>
      <c r="KF452" s="13"/>
      <c r="MF452" s="13"/>
      <c r="MI452" s="13"/>
      <c r="MN452" s="13"/>
      <c r="MO452" s="13"/>
      <c r="MY452" s="13"/>
      <c r="NY452" s="12"/>
      <c r="OA452" s="13"/>
      <c r="OB452" s="12"/>
      <c r="OI452" s="13"/>
      <c r="PP452" s="12"/>
      <c r="PW452" s="13"/>
      <c r="PX452" s="12"/>
      <c r="PY452" s="13"/>
      <c r="PZ452" s="12"/>
      <c r="RY452" s="13"/>
      <c r="SB452" s="13"/>
      <c r="SX452" s="12"/>
      <c r="TA452" s="12"/>
      <c r="TI452" s="9"/>
      <c r="TJ452" s="10"/>
      <c r="TK452" s="10"/>
      <c r="TL452" s="10"/>
      <c r="TM452" s="10"/>
      <c r="TN452" s="10"/>
      <c r="TO452" s="10"/>
      <c r="TP452" s="10"/>
      <c r="TQ452" s="10"/>
      <c r="TR452" s="10"/>
      <c r="TS452" s="10"/>
      <c r="TT452" s="10"/>
      <c r="TU452" s="10"/>
      <c r="TV452" s="10"/>
      <c r="TW452" s="10"/>
      <c r="TX452" s="10"/>
      <c r="TY452" s="10"/>
      <c r="TZ452" s="10"/>
      <c r="UA452" s="10"/>
      <c r="UB452" s="10"/>
      <c r="UC452" s="10"/>
      <c r="UD452" s="10"/>
      <c r="UE452" s="10"/>
      <c r="UF452" s="10"/>
      <c r="UG452" s="10"/>
      <c r="UH452" s="10"/>
      <c r="UI452" s="10"/>
      <c r="UJ452" s="10"/>
      <c r="UK452" s="11"/>
      <c r="US452" s="13"/>
      <c r="UU452" s="13"/>
      <c r="UX452" s="281"/>
      <c r="UY452" s="282"/>
      <c r="UZ452" s="12"/>
      <c r="VA452" s="13"/>
      <c r="VB452" s="12"/>
      <c r="VI452" s="13"/>
      <c r="WQ452" s="13"/>
      <c r="WT452" s="13"/>
      <c r="AAL452" s="12"/>
      <c r="AAO452" s="12"/>
      <c r="AEQ452" s="13"/>
      <c r="AET452" s="13"/>
    </row>
    <row r="453" spans="219:826" ht="10.75" customHeight="1">
      <c r="HK453" s="12"/>
      <c r="HP453" s="12"/>
      <c r="HQ453" s="12"/>
      <c r="HU453" s="12"/>
      <c r="HV453" s="12"/>
      <c r="HZ453" s="13"/>
      <c r="IB453" s="119"/>
      <c r="ID453" s="12"/>
      <c r="JJ453" s="131"/>
      <c r="KE453" s="12"/>
      <c r="KF453" s="13"/>
      <c r="MF453" s="13"/>
      <c r="MI453" s="13"/>
      <c r="MN453" s="13"/>
      <c r="MO453" s="13"/>
      <c r="MY453" s="13"/>
      <c r="NY453" s="12"/>
      <c r="OA453" s="13"/>
      <c r="OB453" s="12"/>
      <c r="OI453" s="13"/>
      <c r="PP453" s="12"/>
      <c r="PW453" s="13"/>
      <c r="PX453" s="12"/>
      <c r="PY453" s="13"/>
      <c r="PZ453" s="12"/>
      <c r="RY453" s="13"/>
      <c r="SB453" s="13"/>
      <c r="SX453" s="12"/>
      <c r="TA453" s="12"/>
      <c r="TI453" s="12"/>
      <c r="UK453" s="13"/>
      <c r="US453" s="13"/>
      <c r="UU453" s="13"/>
      <c r="UX453" s="281"/>
      <c r="UY453" s="282"/>
      <c r="UZ453" s="14"/>
      <c r="VA453" s="16"/>
      <c r="VB453" s="14"/>
      <c r="VC453" s="15"/>
      <c r="VD453" s="15"/>
      <c r="VE453" s="15"/>
      <c r="VF453" s="15"/>
      <c r="VG453" s="15"/>
      <c r="VH453" s="15"/>
      <c r="VI453" s="16"/>
      <c r="WQ453" s="13"/>
      <c r="WT453" s="13"/>
      <c r="AAL453" s="12"/>
      <c r="AAO453" s="12"/>
      <c r="AEQ453" s="13"/>
      <c r="AET453" s="13"/>
    </row>
    <row r="454" spans="219:826" ht="10.75" customHeight="1">
      <c r="HK454" s="12"/>
      <c r="HP454" s="12"/>
      <c r="HQ454" s="12"/>
      <c r="HU454" s="12"/>
      <c r="HV454" s="12"/>
      <c r="HZ454" s="13"/>
      <c r="IB454" s="119"/>
      <c r="ID454" s="12"/>
      <c r="KE454" s="14"/>
      <c r="KF454" s="16"/>
      <c r="MF454" s="13"/>
      <c r="MI454" s="13"/>
      <c r="MN454" s="13"/>
      <c r="MO454" s="13"/>
      <c r="MY454" s="13"/>
      <c r="NY454" s="12"/>
      <c r="OA454" s="13"/>
      <c r="OB454" s="12"/>
      <c r="OI454" s="13"/>
      <c r="PP454" s="12"/>
      <c r="PW454" s="13"/>
      <c r="PX454" s="12"/>
      <c r="PY454" s="13"/>
      <c r="PZ454" s="12"/>
      <c r="RY454" s="13"/>
      <c r="SB454" s="13"/>
      <c r="SX454" s="12"/>
      <c r="TA454" s="12"/>
      <c r="TI454" s="12"/>
      <c r="UK454" s="13"/>
      <c r="US454" s="13"/>
      <c r="UU454" s="13"/>
      <c r="UX454" s="281"/>
      <c r="UY454" s="282"/>
      <c r="UZ454" s="282"/>
      <c r="VA454" s="282"/>
      <c r="VB454" s="282"/>
      <c r="VC454" s="282"/>
      <c r="VD454" s="282"/>
      <c r="VE454" s="282"/>
      <c r="VF454" s="282"/>
      <c r="VG454" s="282"/>
      <c r="VH454" s="282"/>
      <c r="VI454" s="284"/>
      <c r="WQ454" s="13"/>
      <c r="WT454" s="13"/>
      <c r="AAL454" s="12"/>
      <c r="AAO454" s="12"/>
      <c r="AEQ454" s="13"/>
      <c r="AET454" s="13"/>
    </row>
    <row r="455" spans="219:826" ht="10.75" customHeight="1">
      <c r="HK455" s="12"/>
      <c r="HP455" s="12"/>
      <c r="HQ455" s="14"/>
      <c r="HR455" s="15"/>
      <c r="HS455" s="15"/>
      <c r="HT455" s="15"/>
      <c r="HU455" s="14"/>
      <c r="HV455" s="14"/>
      <c r="HW455" s="15"/>
      <c r="HX455" s="15"/>
      <c r="HY455" s="15"/>
      <c r="HZ455" s="16"/>
      <c r="ID455" s="12"/>
      <c r="MF455" s="13"/>
      <c r="MI455" s="13"/>
      <c r="MN455" s="13"/>
      <c r="MO455" s="13"/>
      <c r="MY455" s="13"/>
      <c r="NY455" s="12"/>
      <c r="OA455" s="13"/>
      <c r="OB455" s="12"/>
      <c r="OI455" s="13"/>
      <c r="PP455" s="12"/>
      <c r="PW455" s="13"/>
      <c r="PX455" s="12"/>
      <c r="PY455" s="13"/>
      <c r="PZ455" s="12"/>
      <c r="RY455" s="13"/>
      <c r="SB455" s="13"/>
      <c r="SX455" s="12"/>
      <c r="TA455" s="12"/>
      <c r="TI455" s="12"/>
      <c r="UK455" s="13"/>
      <c r="US455" s="13"/>
      <c r="UU455" s="13"/>
      <c r="UX455" s="285"/>
      <c r="UY455" s="286"/>
      <c r="UZ455" s="286"/>
      <c r="VA455" s="286"/>
      <c r="VB455" s="286"/>
      <c r="VC455" s="286"/>
      <c r="VD455" s="286"/>
      <c r="VE455" s="286"/>
      <c r="VF455" s="286"/>
      <c r="VG455" s="286"/>
      <c r="VH455" s="286"/>
      <c r="VI455" s="287"/>
      <c r="WQ455" s="13"/>
      <c r="WT455" s="13"/>
      <c r="AAL455" s="12"/>
      <c r="AAO455" s="12"/>
      <c r="AEQ455" s="13"/>
      <c r="AET455" s="13"/>
    </row>
    <row r="456" spans="219:826" ht="10.75" customHeight="1">
      <c r="HK456" s="12"/>
      <c r="HP456" s="14"/>
      <c r="HQ456" s="15"/>
      <c r="HR456" s="15"/>
      <c r="HS456" s="15"/>
      <c r="HT456" s="15"/>
      <c r="HU456" s="14"/>
      <c r="HV456" s="14"/>
      <c r="HW456" s="15"/>
      <c r="HX456" s="15"/>
      <c r="HY456" s="15"/>
      <c r="HZ456" s="16"/>
      <c r="ID456" s="9"/>
      <c r="IE456" s="10"/>
      <c r="IF456" s="10"/>
      <c r="IG456" s="10"/>
      <c r="IH456" s="10"/>
      <c r="II456" s="10"/>
      <c r="IJ456" s="10"/>
      <c r="IK456" s="11"/>
      <c r="IL456" s="12"/>
      <c r="MF456" s="13"/>
      <c r="MI456" s="13"/>
      <c r="MN456" s="13"/>
      <c r="MO456" s="13"/>
      <c r="MY456" s="13"/>
      <c r="NY456" s="12"/>
      <c r="OA456" s="13"/>
      <c r="OB456" s="12"/>
      <c r="OI456" s="13"/>
      <c r="PP456" s="12"/>
      <c r="PW456" s="13"/>
      <c r="PX456" s="12"/>
      <c r="PY456" s="13"/>
      <c r="PZ456" s="12"/>
      <c r="RY456" s="13"/>
      <c r="SB456" s="13"/>
      <c r="SX456" s="12"/>
      <c r="TA456" s="12"/>
      <c r="TI456" s="12"/>
      <c r="UK456" s="13"/>
      <c r="US456" s="13"/>
      <c r="UU456" s="13"/>
      <c r="WQ456" s="13"/>
      <c r="WT456" s="13"/>
      <c r="AAL456" s="12"/>
      <c r="AAO456" s="12"/>
      <c r="AEQ456" s="13"/>
      <c r="AET456" s="13"/>
    </row>
    <row r="457" spans="219:826" ht="10.75" customHeight="1">
      <c r="HK457" s="12"/>
      <c r="HU457" s="12"/>
      <c r="HV457" s="12"/>
      <c r="HZ457" s="13"/>
      <c r="IA457" s="12"/>
      <c r="ID457" s="12"/>
      <c r="IK457" s="13"/>
      <c r="IL457" s="12"/>
      <c r="MF457" s="13"/>
      <c r="MI457" s="13"/>
      <c r="MN457" s="13"/>
      <c r="MO457" s="13"/>
      <c r="MY457" s="13"/>
      <c r="NY457" s="12"/>
      <c r="OA457" s="13"/>
      <c r="OB457" s="14"/>
      <c r="OC457" s="15"/>
      <c r="OD457" s="15"/>
      <c r="OE457" s="15"/>
      <c r="OF457" s="15"/>
      <c r="OG457" s="15"/>
      <c r="OH457" s="15"/>
      <c r="OI457" s="16"/>
      <c r="PP457" s="12"/>
      <c r="PW457" s="13"/>
      <c r="PX457" s="12"/>
      <c r="PY457" s="13"/>
      <c r="PZ457" s="12"/>
      <c r="RY457" s="13"/>
      <c r="SB457" s="13"/>
      <c r="SX457" s="12"/>
      <c r="TA457" s="12"/>
      <c r="TI457" s="12"/>
      <c r="UK457" s="13"/>
      <c r="US457" s="13"/>
      <c r="UU457" s="13"/>
      <c r="WQ457" s="13"/>
      <c r="WT457" s="13"/>
      <c r="AAL457" s="12"/>
      <c r="AAO457" s="12"/>
      <c r="AEQ457" s="13"/>
      <c r="AET457" s="13"/>
    </row>
    <row r="458" spans="219:826" ht="10.75" customHeight="1">
      <c r="HK458" s="12"/>
      <c r="HU458" s="12"/>
      <c r="HV458" s="12"/>
      <c r="HZ458" s="13"/>
      <c r="IA458" s="12"/>
      <c r="ID458" s="12"/>
      <c r="IL458" s="12"/>
      <c r="MF458" s="13"/>
      <c r="MI458" s="13"/>
      <c r="MN458" s="13"/>
      <c r="MO458" s="13"/>
      <c r="MY458" s="13"/>
      <c r="NY458" s="12"/>
      <c r="OA458" s="13"/>
      <c r="PP458" s="10"/>
      <c r="PQ458" s="10"/>
      <c r="PR458" s="10"/>
      <c r="PS458" s="10"/>
      <c r="PT458" s="10"/>
      <c r="PU458" s="10"/>
      <c r="PV458" s="10"/>
      <c r="PW458" s="11"/>
      <c r="PX458" s="12"/>
      <c r="PY458" s="13"/>
      <c r="PZ458" s="12"/>
      <c r="RY458" s="13"/>
      <c r="SB458" s="13"/>
      <c r="SX458" s="12"/>
      <c r="TA458" s="12"/>
      <c r="TI458" s="12"/>
      <c r="UK458" s="13"/>
      <c r="US458" s="13"/>
      <c r="UU458" s="13"/>
      <c r="WQ458" s="13"/>
      <c r="WT458" s="13"/>
      <c r="AAL458" s="12"/>
      <c r="AAO458" s="12"/>
      <c r="AEQ458" s="13"/>
      <c r="AET458" s="13"/>
    </row>
    <row r="459" spans="219:826" ht="10.75" customHeight="1">
      <c r="HK459" s="12"/>
      <c r="HU459" s="12"/>
      <c r="HV459" s="12"/>
      <c r="HZ459" s="13"/>
      <c r="IA459" s="12"/>
      <c r="ID459" s="12"/>
      <c r="IK459" s="13"/>
      <c r="IL459" s="12"/>
      <c r="MF459" s="13"/>
      <c r="MI459" s="13"/>
      <c r="MN459" s="13"/>
      <c r="MO459" s="13"/>
      <c r="MY459" s="13"/>
      <c r="NY459" s="12"/>
      <c r="OA459" s="13"/>
      <c r="PW459" s="13"/>
      <c r="PX459" s="12"/>
      <c r="PY459" s="13"/>
      <c r="PZ459" s="12"/>
      <c r="RY459" s="13"/>
      <c r="SB459" s="13"/>
      <c r="SX459" s="12"/>
      <c r="TA459" s="12"/>
      <c r="TI459" s="12"/>
      <c r="UK459" s="13"/>
      <c r="US459" s="13"/>
      <c r="UU459" s="13"/>
      <c r="WQ459" s="13"/>
      <c r="WT459" s="13"/>
      <c r="AAL459" s="12"/>
      <c r="AAO459" s="12"/>
      <c r="AEQ459" s="13"/>
      <c r="AET459" s="13"/>
    </row>
    <row r="460" spans="219:826" ht="10.75" customHeight="1">
      <c r="HK460" s="12"/>
      <c r="HU460" s="12"/>
      <c r="HV460" s="12"/>
      <c r="HZ460" s="13"/>
      <c r="IA460" s="12"/>
      <c r="ID460" s="12"/>
      <c r="IK460" s="13"/>
      <c r="IL460" s="12"/>
      <c r="MF460" s="13"/>
      <c r="MI460" s="13"/>
      <c r="MN460" s="13"/>
      <c r="MO460" s="13"/>
      <c r="MY460" s="13"/>
      <c r="NY460" s="12"/>
      <c r="OA460" s="13"/>
      <c r="PW460" s="13"/>
      <c r="PX460" s="12"/>
      <c r="PY460" s="13"/>
      <c r="PZ460" s="12"/>
      <c r="RY460" s="13"/>
      <c r="SB460" s="13"/>
      <c r="SX460" s="12"/>
      <c r="TA460" s="12"/>
      <c r="TI460" s="12"/>
      <c r="UK460" s="13"/>
      <c r="US460" s="13"/>
      <c r="UU460" s="13"/>
      <c r="WQ460" s="13"/>
      <c r="WT460" s="13"/>
      <c r="AAL460" s="12"/>
      <c r="AAO460" s="12"/>
      <c r="AEQ460" s="13"/>
      <c r="AET460" s="13"/>
    </row>
    <row r="461" spans="219:826" ht="10.75" customHeight="1">
      <c r="HK461" s="12"/>
      <c r="HU461" s="12"/>
      <c r="HV461" s="12"/>
      <c r="HZ461" s="13"/>
      <c r="IA461" s="12"/>
      <c r="ID461" s="12"/>
      <c r="IK461" s="13"/>
      <c r="IL461" s="12"/>
      <c r="MF461" s="13"/>
      <c r="MI461" s="13"/>
      <c r="MN461" s="13"/>
      <c r="MO461" s="13"/>
      <c r="MY461" s="13"/>
      <c r="NY461" s="12"/>
      <c r="OA461" s="13"/>
      <c r="PW461" s="13"/>
      <c r="PX461" s="14"/>
      <c r="PY461" s="16"/>
      <c r="PZ461" s="12"/>
      <c r="RY461" s="13"/>
      <c r="SB461" s="13"/>
      <c r="SX461" s="12"/>
      <c r="TA461" s="12"/>
      <c r="TI461" s="12"/>
      <c r="UK461" s="13"/>
      <c r="US461" s="13"/>
      <c r="UU461" s="13"/>
      <c r="WQ461" s="13"/>
      <c r="WT461" s="13"/>
      <c r="AAL461" s="12"/>
      <c r="AAO461" s="9"/>
      <c r="AAP461" s="10"/>
      <c r="AAQ461" s="10"/>
      <c r="AAR461" s="10"/>
      <c r="AAS461" s="10"/>
      <c r="AAT461" s="10"/>
      <c r="AAU461" s="10"/>
      <c r="AAV461" s="11"/>
      <c r="ACC461" s="9"/>
      <c r="ACD461" s="10"/>
      <c r="ACE461" s="10"/>
      <c r="ACF461" s="10"/>
      <c r="ACG461" s="10"/>
      <c r="ACH461" s="10"/>
      <c r="ACI461" s="10"/>
      <c r="ACJ461" s="10"/>
      <c r="ACK461" s="10"/>
      <c r="ACL461" s="10"/>
      <c r="ACM461" s="10"/>
      <c r="ACN461" s="10"/>
      <c r="ACO461" s="10"/>
      <c r="ACP461" s="10"/>
      <c r="ACQ461" s="10"/>
      <c r="ACR461" s="10"/>
      <c r="ACS461" s="10"/>
      <c r="ACT461" s="10"/>
      <c r="ACU461" s="10"/>
      <c r="ACV461" s="10"/>
      <c r="ACW461" s="10"/>
      <c r="ACX461" s="10"/>
      <c r="ACY461" s="10"/>
      <c r="ACZ461" s="10"/>
      <c r="ADA461" s="10"/>
      <c r="ADB461" s="10"/>
      <c r="ADC461" s="10"/>
      <c r="ADD461" s="10"/>
      <c r="ADE461" s="10"/>
      <c r="ADF461" s="10"/>
      <c r="ADG461" s="10"/>
      <c r="ADH461" s="10"/>
      <c r="ADI461" s="10"/>
      <c r="ADJ461" s="10"/>
      <c r="ADK461" s="10"/>
      <c r="ADL461" s="10"/>
      <c r="ADM461" s="10"/>
      <c r="ADN461" s="10"/>
      <c r="ADO461" s="10"/>
      <c r="ADP461" s="10"/>
      <c r="ADQ461" s="10"/>
      <c r="ADR461" s="10"/>
      <c r="ADS461" s="10"/>
      <c r="ADT461" s="10"/>
      <c r="ADU461" s="10"/>
      <c r="ADV461" s="10"/>
      <c r="ADW461" s="10"/>
      <c r="ADX461" s="10"/>
      <c r="ADY461" s="10"/>
      <c r="ADZ461" s="10"/>
      <c r="AEA461" s="10"/>
      <c r="AEB461" s="10"/>
      <c r="AEC461" s="10"/>
      <c r="AED461" s="10"/>
      <c r="AEE461" s="10"/>
      <c r="AEF461" s="10"/>
      <c r="AEG461" s="10"/>
      <c r="AEH461" s="10"/>
      <c r="AEI461" s="10"/>
      <c r="AEJ461" s="10"/>
      <c r="AEK461" s="10"/>
      <c r="AEL461" s="10"/>
      <c r="AEM461" s="10"/>
      <c r="AEN461" s="10"/>
      <c r="AEO461" s="10"/>
      <c r="AEP461" s="10"/>
      <c r="AEQ461" s="11"/>
      <c r="AER461" s="10"/>
      <c r="AES461" s="10"/>
      <c r="AET461" s="11"/>
    </row>
    <row r="462" spans="219:826" ht="10.75" customHeight="1">
      <c r="HK462" s="12"/>
      <c r="HU462" s="12"/>
      <c r="HV462" s="12"/>
      <c r="HZ462" s="13"/>
      <c r="IA462" s="12"/>
      <c r="ID462" s="12"/>
      <c r="IK462" s="13"/>
      <c r="IL462" s="12"/>
      <c r="MF462" s="13"/>
      <c r="MI462" s="13"/>
      <c r="MN462" s="13"/>
      <c r="MO462" s="13"/>
      <c r="MY462" s="13"/>
      <c r="NY462" s="12"/>
      <c r="OA462" s="13"/>
      <c r="RY462" s="13"/>
      <c r="SB462" s="13"/>
      <c r="SX462" s="12"/>
      <c r="TA462" s="12"/>
      <c r="TI462" s="12"/>
      <c r="UK462" s="13"/>
      <c r="US462" s="13"/>
      <c r="UU462" s="13"/>
      <c r="WQ462" s="13"/>
      <c r="WT462" s="13"/>
      <c r="AAL462" s="12"/>
      <c r="AAO462" s="12"/>
      <c r="AAV462" s="13"/>
      <c r="ACC462" s="12"/>
      <c r="AEQ462" s="13"/>
      <c r="AET462" s="13"/>
    </row>
    <row r="463" spans="219:826" ht="10.75" customHeight="1">
      <c r="HK463" s="12"/>
      <c r="HU463" s="12"/>
      <c r="HV463" s="12"/>
      <c r="HZ463" s="13"/>
      <c r="IA463" s="12"/>
      <c r="ID463" s="12"/>
      <c r="IK463" s="13"/>
      <c r="IL463" s="12"/>
      <c r="MF463" s="13"/>
      <c r="MI463" s="13"/>
      <c r="MN463" s="13"/>
      <c r="MO463" s="13"/>
      <c r="MY463" s="13"/>
      <c r="NY463" s="12"/>
      <c r="NZ463" s="17"/>
      <c r="OA463" s="13"/>
      <c r="RY463" s="13"/>
      <c r="SB463" s="13"/>
      <c r="SX463" s="12"/>
      <c r="TA463" s="12"/>
      <c r="TI463" s="12"/>
      <c r="UK463" s="13"/>
      <c r="US463" s="13"/>
      <c r="UU463" s="13"/>
      <c r="WQ463" s="13"/>
      <c r="WT463" s="13"/>
      <c r="AAL463" s="12"/>
      <c r="AAO463" s="12"/>
      <c r="AAV463" s="13"/>
      <c r="ACC463" s="12"/>
      <c r="AEQ463" s="13"/>
      <c r="AET463" s="13"/>
    </row>
    <row r="464" spans="219:826" ht="10.75" customHeight="1">
      <c r="HK464" s="12"/>
      <c r="HU464" s="12"/>
      <c r="HV464" s="12"/>
      <c r="HZ464" s="13"/>
      <c r="IA464" s="12"/>
      <c r="ID464" s="12"/>
      <c r="IK464" s="13"/>
      <c r="IL464" s="12"/>
      <c r="MF464" s="13"/>
      <c r="MI464" s="13"/>
      <c r="MN464" s="13"/>
      <c r="MO464" s="13"/>
      <c r="MY464" s="13"/>
      <c r="NY464" s="12"/>
      <c r="NZ464" s="18"/>
      <c r="OA464" s="13"/>
      <c r="RY464" s="13"/>
      <c r="SB464" s="13"/>
      <c r="SX464" s="12"/>
      <c r="TA464" s="12"/>
      <c r="TI464" s="12"/>
      <c r="UK464" s="13"/>
      <c r="US464" s="13"/>
      <c r="UU464" s="13"/>
      <c r="WQ464" s="13"/>
      <c r="WT464" s="13"/>
      <c r="AAL464" s="12"/>
      <c r="AAO464" s="12"/>
      <c r="AAV464" s="13"/>
      <c r="ACC464" s="12"/>
      <c r="ACF464" s="9"/>
      <c r="ACG464" s="10"/>
      <c r="ACH464" s="10"/>
      <c r="ACI464" s="10"/>
      <c r="ACJ464" s="10"/>
      <c r="ACK464" s="10"/>
      <c r="ACL464" s="10"/>
      <c r="ACM464" s="10"/>
      <c r="ACN464" s="10"/>
      <c r="ACO464" s="10"/>
      <c r="ACP464" s="10"/>
      <c r="ACQ464" s="10"/>
      <c r="ACR464" s="10"/>
      <c r="ACS464" s="10"/>
      <c r="ACT464" s="10"/>
      <c r="ACU464" s="10"/>
      <c r="ACV464" s="10"/>
      <c r="ACW464" s="10"/>
      <c r="ACX464" s="10"/>
      <c r="ACY464" s="10"/>
      <c r="ACZ464" s="10"/>
      <c r="ADA464" s="10"/>
      <c r="ADB464" s="10"/>
      <c r="ADC464" s="10"/>
      <c r="ADD464" s="10"/>
      <c r="ADE464" s="10"/>
      <c r="ADF464" s="10"/>
      <c r="ADG464" s="10"/>
      <c r="ADH464" s="10"/>
      <c r="ADI464" s="10"/>
      <c r="ADJ464" s="10"/>
      <c r="ADK464" s="10"/>
      <c r="ADL464" s="10"/>
      <c r="ADM464" s="10"/>
      <c r="ADN464" s="10"/>
      <c r="ADO464" s="10"/>
      <c r="ADP464" s="10"/>
      <c r="ADQ464" s="10"/>
      <c r="ADR464" s="10"/>
      <c r="ADS464" s="10"/>
      <c r="ADT464" s="10"/>
      <c r="ADU464" s="10"/>
      <c r="ADV464" s="10"/>
      <c r="ADW464" s="10"/>
      <c r="ADX464" s="10"/>
      <c r="ADY464" s="10"/>
      <c r="ADZ464" s="10"/>
      <c r="AEA464" s="10"/>
      <c r="AEB464" s="10"/>
      <c r="AEC464" s="10"/>
      <c r="AED464" s="10"/>
      <c r="AEE464" s="10"/>
      <c r="AEF464" s="10"/>
      <c r="AEG464" s="10"/>
      <c r="AEH464" s="10"/>
      <c r="AEI464" s="10"/>
      <c r="AEJ464" s="10"/>
      <c r="AEK464" s="10"/>
      <c r="AEL464" s="10"/>
      <c r="AEM464" s="10"/>
      <c r="AEN464" s="10"/>
      <c r="AEO464" s="10"/>
      <c r="AEP464" s="10"/>
      <c r="AEQ464" s="10"/>
      <c r="AER464" s="10"/>
      <c r="AES464" s="10"/>
      <c r="AET464" s="11"/>
    </row>
    <row r="465" spans="219:826" ht="10.75" customHeight="1">
      <c r="HK465" s="12"/>
      <c r="HU465" s="12"/>
      <c r="HV465" s="12"/>
      <c r="HZ465" s="13"/>
      <c r="IA465" s="12"/>
      <c r="ID465" s="12"/>
      <c r="IK465" s="13"/>
      <c r="IL465" s="12"/>
      <c r="MF465" s="13"/>
      <c r="MI465" s="13"/>
      <c r="MN465" s="13"/>
      <c r="MO465" s="13"/>
      <c r="MY465" s="13"/>
      <c r="NY465" s="12"/>
      <c r="NZ465" s="18"/>
      <c r="OA465" s="13"/>
      <c r="OU465" s="20"/>
      <c r="OV465" s="21"/>
      <c r="OW465" s="21"/>
      <c r="OX465" s="21"/>
      <c r="OY465" s="21"/>
      <c r="OZ465" s="21"/>
      <c r="PA465" s="21"/>
      <c r="PB465" s="22"/>
      <c r="RY465" s="13"/>
      <c r="SB465" s="13"/>
      <c r="SX465" s="12"/>
      <c r="TA465" s="12"/>
      <c r="TI465" s="12"/>
      <c r="UK465" s="13"/>
      <c r="US465" s="13"/>
      <c r="UU465" s="13"/>
      <c r="WQ465" s="13"/>
      <c r="WT465" s="13"/>
      <c r="AAL465" s="12"/>
      <c r="AAO465" s="12"/>
      <c r="AAV465" s="13"/>
      <c r="ACC465" s="12"/>
      <c r="ACF465" s="12"/>
      <c r="AET465" s="13"/>
    </row>
    <row r="466" spans="219:826" ht="10.75" customHeight="1">
      <c r="HK466" s="12"/>
      <c r="HU466" s="12"/>
      <c r="HV466" s="12"/>
      <c r="HZ466" s="13"/>
      <c r="IA466" s="12"/>
      <c r="ID466" s="12"/>
      <c r="IK466" s="13"/>
      <c r="IL466" s="12"/>
      <c r="MF466" s="13"/>
      <c r="MI466" s="13"/>
      <c r="MN466" s="13"/>
      <c r="MO466" s="13"/>
      <c r="MY466" s="13"/>
      <c r="NY466" s="12"/>
      <c r="NZ466" s="18"/>
      <c r="OA466" s="13"/>
      <c r="OU466" s="12"/>
      <c r="PB466" s="13"/>
      <c r="RY466" s="13"/>
      <c r="SB466" s="13"/>
      <c r="SX466" s="12"/>
      <c r="TA466" s="12"/>
      <c r="TI466" s="12"/>
      <c r="UK466" s="13"/>
      <c r="US466" s="13"/>
      <c r="UU466" s="13"/>
      <c r="WQ466" s="13"/>
      <c r="WT466" s="13"/>
      <c r="AAL466" s="12"/>
      <c r="AAO466" s="12"/>
      <c r="AAV466" s="13"/>
      <c r="ACC466" s="12"/>
      <c r="ACF466" s="12"/>
      <c r="AET466" s="13"/>
    </row>
    <row r="467" spans="219:826" ht="10.75" customHeight="1">
      <c r="HK467" s="12"/>
      <c r="HU467" s="12"/>
      <c r="HV467" s="12"/>
      <c r="HZ467" s="13"/>
      <c r="IA467" s="12"/>
      <c r="ID467" s="14"/>
      <c r="IE467" s="15"/>
      <c r="IF467" s="15"/>
      <c r="IG467" s="15"/>
      <c r="IH467" s="15"/>
      <c r="II467" s="15"/>
      <c r="IJ467" s="15"/>
      <c r="IK467" s="16"/>
      <c r="IL467" s="14"/>
      <c r="IM467" s="15"/>
      <c r="IN467" s="15"/>
      <c r="IO467" s="15"/>
      <c r="IP467" s="15"/>
      <c r="IQ467" s="15"/>
      <c r="IR467" s="15"/>
      <c r="IS467" s="15"/>
      <c r="IT467" s="15"/>
      <c r="IU467" s="15"/>
      <c r="IV467" s="15"/>
      <c r="IW467" s="15"/>
      <c r="IX467" s="15"/>
      <c r="IY467" s="15"/>
      <c r="IZ467" s="15"/>
      <c r="JA467" s="15"/>
      <c r="JB467" s="15"/>
      <c r="JC467" s="15"/>
      <c r="JD467" s="15"/>
      <c r="JE467" s="15"/>
      <c r="JF467" s="15"/>
      <c r="JG467" s="15"/>
      <c r="JH467" s="15"/>
      <c r="JI467" s="15"/>
      <c r="JJ467" s="15"/>
      <c r="JK467" s="15"/>
      <c r="JL467" s="15"/>
      <c r="JM467" s="15"/>
      <c r="JN467" s="15"/>
      <c r="JO467" s="15"/>
      <c r="JP467" s="15"/>
      <c r="JQ467" s="15"/>
      <c r="JR467" s="15"/>
      <c r="JS467" s="15"/>
      <c r="JT467" s="15"/>
      <c r="JU467" s="15"/>
      <c r="JV467" s="15"/>
      <c r="JW467" s="15"/>
      <c r="JX467" s="15"/>
      <c r="JY467" s="15"/>
      <c r="JZ467" s="15"/>
      <c r="KA467" s="15"/>
      <c r="KB467" s="15"/>
      <c r="KC467" s="15"/>
      <c r="KD467" s="15"/>
      <c r="KE467" s="15"/>
      <c r="MF467" s="13"/>
      <c r="MI467" s="13"/>
      <c r="MN467" s="13"/>
      <c r="MO467" s="13"/>
      <c r="MY467" s="13"/>
      <c r="NY467" s="12"/>
      <c r="NZ467" s="18"/>
      <c r="OA467" s="13"/>
      <c r="OU467" s="12"/>
      <c r="PB467" s="13"/>
      <c r="RY467" s="13"/>
      <c r="SB467" s="13"/>
      <c r="SX467" s="12"/>
      <c r="TA467" s="12"/>
      <c r="TI467" s="12"/>
      <c r="UK467" s="13"/>
      <c r="US467" s="13"/>
      <c r="UT467" s="15"/>
      <c r="UU467" s="16"/>
      <c r="WQ467" s="13"/>
      <c r="WT467" s="13"/>
      <c r="AAL467" s="12"/>
      <c r="AAO467" s="12"/>
      <c r="AAV467" s="13"/>
      <c r="ACC467" s="12"/>
      <c r="ACF467" s="12"/>
      <c r="AET467" s="13"/>
    </row>
    <row r="468" spans="219:826" ht="10.75" customHeight="1">
      <c r="HK468" s="12"/>
      <c r="HU468" s="12"/>
      <c r="HV468" s="12"/>
      <c r="HZ468" s="13"/>
      <c r="IA468" s="12"/>
      <c r="ID468" s="12"/>
      <c r="IL468" s="9"/>
      <c r="IM468" s="10"/>
      <c r="IN468" s="10"/>
      <c r="IO468" s="10"/>
      <c r="IP468" s="10"/>
      <c r="IQ468" s="10"/>
      <c r="IR468" s="10"/>
      <c r="IS468" s="10"/>
      <c r="IT468" s="10"/>
      <c r="IU468" s="10"/>
      <c r="IV468" s="10"/>
      <c r="IW468" s="10"/>
      <c r="IX468" s="10"/>
      <c r="IY468" s="10"/>
      <c r="IZ468" s="10"/>
      <c r="JA468" s="10"/>
      <c r="JB468" s="10"/>
      <c r="JC468" s="10"/>
      <c r="JD468" s="10"/>
      <c r="JE468" s="10"/>
      <c r="JF468" s="10"/>
      <c r="JG468" s="10"/>
      <c r="JH468" s="10"/>
      <c r="JI468" s="10"/>
      <c r="JJ468" s="10"/>
      <c r="JK468" s="10"/>
      <c r="JP468" s="9"/>
      <c r="JQ468" s="10"/>
      <c r="JR468" s="10"/>
      <c r="JS468" s="10"/>
      <c r="JT468" s="10"/>
      <c r="JU468" s="10"/>
      <c r="JV468" s="10"/>
      <c r="JW468" s="11"/>
      <c r="KF468" s="17"/>
      <c r="MF468" s="13"/>
      <c r="MI468" s="13"/>
      <c r="MN468" s="13"/>
      <c r="MO468" s="13"/>
      <c r="MY468" s="13"/>
      <c r="NY468" s="12"/>
      <c r="NZ468" s="18"/>
      <c r="OA468" s="13"/>
      <c r="OU468" s="12"/>
      <c r="PB468" s="13"/>
      <c r="RY468" s="13"/>
      <c r="SB468" s="13"/>
      <c r="SX468" s="12"/>
      <c r="TA468" s="9"/>
      <c r="TB468" s="10"/>
      <c r="TC468" s="10"/>
      <c r="TD468" s="10"/>
      <c r="TE468" s="10"/>
      <c r="TF468" s="10"/>
      <c r="TG468" s="10"/>
      <c r="TH468" s="10"/>
      <c r="UL468" s="10"/>
      <c r="UM468" s="10"/>
      <c r="UN468" s="10"/>
      <c r="UO468" s="10"/>
      <c r="UP468" s="10"/>
      <c r="UQ468" s="10"/>
      <c r="UR468" s="10"/>
      <c r="US468" s="10"/>
      <c r="UT468" s="10"/>
      <c r="WQ468" s="13"/>
      <c r="WT468" s="13"/>
      <c r="AAL468" s="12"/>
      <c r="AAO468" s="12"/>
      <c r="AAV468" s="13"/>
      <c r="ACC468" s="12"/>
      <c r="ACF468" s="12"/>
      <c r="AET468" s="13"/>
    </row>
    <row r="469" spans="219:826" ht="10.75" customHeight="1">
      <c r="HK469" s="12"/>
      <c r="HU469" s="12"/>
      <c r="HV469" s="12"/>
      <c r="HZ469" s="13"/>
      <c r="IA469" s="12"/>
      <c r="ID469" s="12"/>
      <c r="IL469" s="12"/>
      <c r="JP469" s="12"/>
      <c r="JW469" s="13"/>
      <c r="KF469" s="18"/>
      <c r="MF469" s="13"/>
      <c r="MI469" s="13"/>
      <c r="MN469" s="13"/>
      <c r="MO469" s="13"/>
      <c r="MY469" s="13"/>
      <c r="NY469" s="12"/>
      <c r="NZ469" s="18"/>
      <c r="OA469" s="13"/>
      <c r="OU469" s="12"/>
      <c r="PB469" s="13"/>
      <c r="RY469" s="13"/>
      <c r="SB469" s="13"/>
      <c r="SX469" s="12"/>
      <c r="TA469" s="12"/>
      <c r="WQ469" s="13"/>
      <c r="WT469" s="13"/>
      <c r="AAL469" s="12"/>
      <c r="AAO469" s="12"/>
      <c r="AAV469" s="13"/>
      <c r="ACC469" s="12"/>
      <c r="ACF469" s="12"/>
      <c r="AET469" s="13"/>
    </row>
    <row r="470" spans="219:826" ht="10.75" customHeight="1">
      <c r="HK470" s="12"/>
      <c r="HU470" s="12"/>
      <c r="HV470" s="12"/>
      <c r="HZ470" s="13"/>
      <c r="IA470" s="12"/>
      <c r="ID470" s="12"/>
      <c r="IL470" s="12"/>
      <c r="JP470" s="12"/>
      <c r="JR470" s="37"/>
      <c r="JS470" s="38"/>
      <c r="JT470" s="38"/>
      <c r="JU470" s="39"/>
      <c r="JW470" s="13"/>
      <c r="KF470" s="18"/>
      <c r="MF470" s="13"/>
      <c r="MI470" s="13"/>
      <c r="MN470" s="13"/>
      <c r="MO470" s="13"/>
      <c r="MY470" s="13"/>
      <c r="NY470" s="12"/>
      <c r="NZ470" s="18"/>
      <c r="OA470" s="13"/>
      <c r="OU470" s="12"/>
      <c r="PB470" s="13"/>
      <c r="RY470" s="13"/>
      <c r="SB470" s="13"/>
      <c r="SX470" s="12"/>
      <c r="TA470" s="12"/>
      <c r="WQ470" s="13"/>
      <c r="WT470" s="13"/>
      <c r="AAL470" s="12"/>
      <c r="AAO470" s="12"/>
      <c r="AAV470" s="13"/>
      <c r="ACC470" s="12"/>
      <c r="ACF470" s="12"/>
      <c r="AET470" s="13"/>
    </row>
    <row r="471" spans="219:826" ht="10.75" customHeight="1">
      <c r="HK471" s="12"/>
      <c r="HU471" s="12"/>
      <c r="HV471" s="12"/>
      <c r="HZ471" s="13"/>
      <c r="IA471" s="12"/>
      <c r="ID471" s="12"/>
      <c r="IL471" s="12"/>
      <c r="JP471" s="12"/>
      <c r="JR471" s="36"/>
      <c r="JS471" s="32"/>
      <c r="JT471" s="32"/>
      <c r="JU471" s="33"/>
      <c r="JW471" s="13"/>
      <c r="KF471" s="18"/>
      <c r="MF471" s="13"/>
      <c r="MI471" s="13"/>
      <c r="MN471" s="13"/>
      <c r="MO471" s="13"/>
      <c r="MY471" s="13"/>
      <c r="NY471" s="12"/>
      <c r="NZ471" s="18"/>
      <c r="OA471" s="13"/>
      <c r="OU471" s="12"/>
      <c r="PB471" s="13"/>
      <c r="RY471" s="13"/>
      <c r="SB471" s="13"/>
      <c r="SX471" s="12"/>
      <c r="TA471" s="12"/>
      <c r="TQ471" s="20"/>
      <c r="TR471" s="21"/>
      <c r="TS471" s="21"/>
      <c r="TT471" s="21"/>
      <c r="TU471" s="21"/>
      <c r="TV471" s="21"/>
      <c r="TW471" s="21"/>
      <c r="TX471" s="22"/>
      <c r="WQ471" s="13"/>
      <c r="WT471" s="13"/>
      <c r="AAL471" s="12"/>
      <c r="AAO471" s="12"/>
      <c r="AAV471" s="13"/>
      <c r="ACC471" s="12"/>
      <c r="ACF471" s="12"/>
      <c r="AET471" s="13"/>
    </row>
    <row r="472" spans="219:826" ht="10.75" customHeight="1">
      <c r="HK472" s="12"/>
      <c r="HU472" s="12"/>
      <c r="HV472" s="12"/>
      <c r="HZ472" s="13"/>
      <c r="IA472" s="12"/>
      <c r="ID472" s="12"/>
      <c r="IL472" s="12"/>
      <c r="JP472" s="12"/>
      <c r="JR472" s="78"/>
      <c r="JS472" s="34"/>
      <c r="JT472" s="34"/>
      <c r="JU472" s="35"/>
      <c r="JW472" s="13"/>
      <c r="KF472" s="18"/>
      <c r="MF472" s="13"/>
      <c r="MI472" s="13"/>
      <c r="MN472" s="13"/>
      <c r="MO472" s="13"/>
      <c r="MY472" s="13"/>
      <c r="NY472" s="12"/>
      <c r="NZ472" s="19"/>
      <c r="OA472" s="13"/>
      <c r="OU472" s="14"/>
      <c r="OV472" s="15"/>
      <c r="OW472" s="15"/>
      <c r="OX472" s="15"/>
      <c r="OY472" s="15"/>
      <c r="OZ472" s="15"/>
      <c r="PA472" s="15"/>
      <c r="PB472" s="16"/>
      <c r="RY472" s="13"/>
      <c r="SB472" s="13"/>
      <c r="SX472" s="12"/>
      <c r="TA472" s="12"/>
      <c r="TQ472" s="12"/>
      <c r="TX472" s="13"/>
      <c r="WQ472" s="13"/>
      <c r="WT472" s="13"/>
      <c r="AAL472" s="12"/>
      <c r="AAO472" s="12"/>
      <c r="AAV472" s="13"/>
      <c r="ACC472" s="12"/>
      <c r="ACF472" s="12"/>
      <c r="AET472" s="13"/>
    </row>
    <row r="473" spans="219:826" ht="10.75" customHeight="1">
      <c r="HK473" s="12"/>
      <c r="HU473" s="12"/>
      <c r="HV473" s="12"/>
      <c r="HZ473" s="13"/>
      <c r="IA473" s="12"/>
      <c r="ID473" s="12"/>
      <c r="IL473" s="12"/>
      <c r="JP473" s="12"/>
      <c r="JW473" s="13"/>
      <c r="KF473" s="18"/>
      <c r="MF473" s="13"/>
      <c r="MI473" s="13"/>
      <c r="MN473" s="13"/>
      <c r="MO473" s="13"/>
      <c r="MY473" s="13"/>
      <c r="NY473" s="12"/>
      <c r="OA473" s="13"/>
      <c r="OB473" s="15"/>
      <c r="OC473" s="15"/>
      <c r="OD473" s="15"/>
      <c r="OE473" s="15"/>
      <c r="OF473" s="15"/>
      <c r="OG473" s="15"/>
      <c r="OH473" s="15"/>
      <c r="OI473" s="15"/>
      <c r="OJ473" s="15"/>
      <c r="OK473" s="15"/>
      <c r="OL473" s="15"/>
      <c r="OM473" s="15"/>
      <c r="ON473" s="15"/>
      <c r="OO473" s="15"/>
      <c r="OP473" s="15"/>
      <c r="OQ473" s="15"/>
      <c r="OR473" s="15"/>
      <c r="OS473" s="15"/>
      <c r="OT473" s="15"/>
      <c r="OU473" s="15"/>
      <c r="OV473" s="15"/>
      <c r="OW473" s="15"/>
      <c r="OX473" s="15"/>
      <c r="OY473" s="15"/>
      <c r="OZ473" s="15"/>
      <c r="PA473" s="15"/>
      <c r="PB473" s="15"/>
      <c r="PC473" s="15"/>
      <c r="PD473" s="15"/>
      <c r="PE473" s="15"/>
      <c r="PF473" s="15"/>
      <c r="PG473" s="15"/>
      <c r="PH473" s="15"/>
      <c r="PI473" s="15"/>
      <c r="PJ473" s="15"/>
      <c r="PK473" s="15"/>
      <c r="PL473" s="15"/>
      <c r="PM473" s="15"/>
      <c r="PN473" s="15"/>
      <c r="PO473" s="15"/>
      <c r="PP473" s="15"/>
      <c r="PQ473" s="15"/>
      <c r="PR473" s="15"/>
      <c r="PS473" s="15"/>
      <c r="PT473" s="15"/>
      <c r="PU473" s="15"/>
      <c r="PV473" s="15"/>
      <c r="PW473" s="15"/>
      <c r="PX473" s="15"/>
      <c r="PY473" s="15"/>
      <c r="PZ473" s="15"/>
      <c r="QA473" s="15"/>
      <c r="QB473" s="15"/>
      <c r="QC473" s="15"/>
      <c r="QD473" s="15"/>
      <c r="QE473" s="15"/>
      <c r="QF473" s="15"/>
      <c r="QG473" s="15"/>
      <c r="QH473" s="15"/>
      <c r="QI473" s="15"/>
      <c r="QJ473" s="15"/>
      <c r="QK473" s="15"/>
      <c r="QL473" s="15"/>
      <c r="QM473" s="15"/>
      <c r="QN473" s="15"/>
      <c r="QO473" s="15"/>
      <c r="QP473" s="15"/>
      <c r="QQ473" s="15"/>
      <c r="QR473" s="15"/>
      <c r="QS473" s="15"/>
      <c r="QT473" s="15"/>
      <c r="QU473" s="15"/>
      <c r="QV473" s="15"/>
      <c r="QW473" s="15"/>
      <c r="QX473" s="15"/>
      <c r="QY473" s="15"/>
      <c r="QZ473" s="15"/>
      <c r="RA473" s="15"/>
      <c r="RB473" s="15"/>
      <c r="RC473" s="15"/>
      <c r="RD473" s="15"/>
      <c r="RE473" s="15"/>
      <c r="RF473" s="15"/>
      <c r="RG473" s="15"/>
      <c r="RH473" s="15"/>
      <c r="RI473" s="15"/>
      <c r="RJ473" s="15"/>
      <c r="RK473" s="15"/>
      <c r="RL473" s="15"/>
      <c r="RM473" s="15"/>
      <c r="RN473" s="15"/>
      <c r="RO473" s="15"/>
      <c r="RP473" s="15"/>
      <c r="RQ473" s="15"/>
      <c r="RR473" s="15"/>
      <c r="RS473" s="15"/>
      <c r="RT473" s="15"/>
      <c r="RU473" s="15"/>
      <c r="RV473" s="15"/>
      <c r="RW473" s="15"/>
      <c r="RX473" s="15"/>
      <c r="RY473" s="16"/>
      <c r="RZ473" s="97"/>
      <c r="SA473" s="97"/>
      <c r="SB473" s="98"/>
      <c r="SX473" s="12"/>
      <c r="TA473" s="12"/>
      <c r="TQ473" s="12"/>
      <c r="TX473" s="13"/>
      <c r="WQ473" s="13"/>
      <c r="WT473" s="13"/>
      <c r="AAL473" s="12"/>
      <c r="AAO473" s="12"/>
      <c r="AAV473" s="13"/>
      <c r="ACC473" s="12"/>
      <c r="ACF473" s="12"/>
      <c r="AET473" s="13"/>
    </row>
    <row r="474" spans="219:826" ht="10.75" customHeight="1">
      <c r="HK474" s="12"/>
      <c r="HU474" s="12"/>
      <c r="HV474" s="12"/>
      <c r="HZ474" s="13"/>
      <c r="IA474" s="12"/>
      <c r="ID474" s="12"/>
      <c r="IL474" s="12"/>
      <c r="JP474" s="12"/>
      <c r="JW474" s="13"/>
      <c r="KF474" s="18"/>
      <c r="MF474" s="13"/>
      <c r="MI474" s="13"/>
      <c r="MN474" s="13"/>
      <c r="MO474" s="13"/>
      <c r="MY474" s="13"/>
      <c r="NY474" s="96"/>
      <c r="NZ474" s="97"/>
      <c r="OA474" s="98"/>
      <c r="OB474" s="97"/>
      <c r="PW474" s="97"/>
      <c r="PX474" s="97"/>
      <c r="PY474" s="97"/>
      <c r="PZ474" s="97"/>
      <c r="RZ474" s="97"/>
      <c r="SA474" s="97"/>
      <c r="SB474" s="98"/>
      <c r="SX474" s="12"/>
      <c r="TA474" s="12"/>
      <c r="TQ474" s="12"/>
      <c r="TX474" s="13"/>
      <c r="WQ474" s="13"/>
      <c r="WT474" s="13"/>
      <c r="AAL474" s="12"/>
      <c r="AAO474" s="12"/>
      <c r="AAV474" s="13"/>
      <c r="ACC474" s="12"/>
      <c r="ACF474" s="12"/>
      <c r="AET474" s="13"/>
    </row>
    <row r="475" spans="219:826" ht="10.75" customHeight="1">
      <c r="HK475" s="12"/>
      <c r="HU475" s="12"/>
      <c r="HV475" s="12"/>
      <c r="HZ475" s="13"/>
      <c r="IA475" s="12"/>
      <c r="ID475" s="14"/>
      <c r="IE475" s="15"/>
      <c r="IF475" s="15"/>
      <c r="IG475" s="15"/>
      <c r="IH475" s="15"/>
      <c r="II475" s="15"/>
      <c r="IJ475" s="15"/>
      <c r="IK475" s="15"/>
      <c r="IL475" s="14"/>
      <c r="IM475" s="15"/>
      <c r="IN475" s="15"/>
      <c r="IO475" s="15"/>
      <c r="IP475" s="15"/>
      <c r="IQ475" s="15"/>
      <c r="IR475" s="15"/>
      <c r="IS475" s="15"/>
      <c r="IT475" s="15"/>
      <c r="IU475" s="15"/>
      <c r="IV475" s="15"/>
      <c r="IW475" s="15"/>
      <c r="IX475" s="15"/>
      <c r="IY475" s="15"/>
      <c r="IZ475" s="15"/>
      <c r="JA475" s="15"/>
      <c r="JB475" s="15"/>
      <c r="JC475" s="15"/>
      <c r="JD475" s="15"/>
      <c r="JE475" s="15"/>
      <c r="JF475" s="15"/>
      <c r="JG475" s="15"/>
      <c r="JH475" s="15"/>
      <c r="JI475" s="15"/>
      <c r="JJ475" s="15"/>
      <c r="JK475" s="15"/>
      <c r="JL475" s="15"/>
      <c r="JM475" s="15"/>
      <c r="JN475" s="15"/>
      <c r="JO475" s="15"/>
      <c r="JP475" s="14"/>
      <c r="JQ475" s="15"/>
      <c r="JR475" s="15"/>
      <c r="JS475" s="15"/>
      <c r="JT475" s="15"/>
      <c r="JU475" s="15"/>
      <c r="JV475" s="15"/>
      <c r="JW475" s="16"/>
      <c r="JX475" s="15"/>
      <c r="JY475" s="15"/>
      <c r="JZ475" s="15"/>
      <c r="KA475" s="15"/>
      <c r="KB475" s="15"/>
      <c r="KC475" s="15"/>
      <c r="KD475" s="15"/>
      <c r="KE475" s="15"/>
      <c r="KF475" s="19"/>
      <c r="KG475" s="15"/>
      <c r="KH475" s="15"/>
      <c r="KI475" s="15"/>
      <c r="KJ475" s="15"/>
      <c r="KK475" s="15"/>
      <c r="KL475" s="15"/>
      <c r="KM475" s="15"/>
      <c r="KN475" s="15"/>
      <c r="KO475" s="15"/>
      <c r="KP475" s="15"/>
      <c r="KQ475" s="15"/>
      <c r="KR475" s="15"/>
      <c r="KS475" s="15"/>
      <c r="KT475" s="15"/>
      <c r="KU475" s="15"/>
      <c r="KV475" s="15"/>
      <c r="KW475" s="15"/>
      <c r="KX475" s="15"/>
      <c r="KY475" s="15"/>
      <c r="KZ475" s="15"/>
      <c r="LA475" s="15"/>
      <c r="LB475" s="15"/>
      <c r="LC475" s="15"/>
      <c r="LD475" s="15"/>
      <c r="LE475" s="15"/>
      <c r="LF475" s="15"/>
      <c r="LG475" s="15"/>
      <c r="LH475" s="15"/>
      <c r="LI475" s="15"/>
      <c r="LJ475" s="15"/>
      <c r="LK475" s="15"/>
      <c r="LL475" s="15"/>
      <c r="LM475" s="15"/>
      <c r="LN475" s="15"/>
      <c r="LO475" s="15"/>
      <c r="LP475" s="15"/>
      <c r="LQ475" s="15"/>
      <c r="LR475" s="15"/>
      <c r="LS475" s="15"/>
      <c r="LT475" s="15"/>
      <c r="LU475" s="15"/>
      <c r="LV475" s="15"/>
      <c r="LW475" s="15"/>
      <c r="LX475" s="15"/>
      <c r="LY475" s="15"/>
      <c r="LZ475" s="15"/>
      <c r="MA475" s="15"/>
      <c r="MB475" s="15"/>
      <c r="MC475" s="15"/>
      <c r="MD475" s="15"/>
      <c r="ME475" s="15"/>
      <c r="MF475" s="16"/>
      <c r="MG475" s="97"/>
      <c r="MH475" s="97"/>
      <c r="MI475" s="98"/>
      <c r="MN475" s="13"/>
      <c r="MO475" s="13"/>
      <c r="MY475" s="13"/>
      <c r="NY475" s="96"/>
      <c r="NZ475" s="97"/>
      <c r="OA475" s="98"/>
      <c r="OB475" s="97"/>
      <c r="PW475" s="97"/>
      <c r="PX475" s="97"/>
      <c r="PY475" s="97"/>
      <c r="PZ475" s="97"/>
      <c r="RL475" s="20"/>
      <c r="RM475" s="21"/>
      <c r="RN475" s="21"/>
      <c r="RO475" s="21"/>
      <c r="RP475" s="21"/>
      <c r="RQ475" s="21"/>
      <c r="RR475" s="21"/>
      <c r="RS475" s="21"/>
      <c r="RT475" s="21"/>
      <c r="RU475" s="21"/>
      <c r="RV475" s="21"/>
      <c r="RW475" s="22"/>
      <c r="RZ475" s="97"/>
      <c r="SA475" s="97"/>
      <c r="SB475" s="98"/>
      <c r="SX475" s="12"/>
      <c r="TA475" s="12"/>
      <c r="TQ475" s="12"/>
      <c r="TX475" s="13"/>
      <c r="WQ475" s="13"/>
      <c r="WT475" s="13"/>
      <c r="AAL475" s="12"/>
      <c r="AAO475" s="12"/>
      <c r="AAV475" s="13"/>
      <c r="ACC475" s="12"/>
      <c r="ACF475" s="12"/>
      <c r="AET475" s="13"/>
    </row>
    <row r="476" spans="219:826" ht="10.75" customHeight="1">
      <c r="HK476" s="12"/>
      <c r="HU476" s="12"/>
      <c r="HV476" s="12"/>
      <c r="HZ476" s="13"/>
      <c r="IA476" s="96"/>
      <c r="IB476" s="97"/>
      <c r="IC476" s="97"/>
      <c r="ID476" s="97"/>
      <c r="KD476" s="97"/>
      <c r="KE476" s="97"/>
      <c r="KF476" s="97"/>
      <c r="KG476" s="97"/>
      <c r="MG476" s="97"/>
      <c r="MH476" s="97"/>
      <c r="MI476" s="98"/>
      <c r="MN476" s="13"/>
      <c r="MO476" s="13"/>
      <c r="MY476" s="13"/>
      <c r="NY476" s="59"/>
      <c r="NZ476" s="60"/>
      <c r="OA476" s="61"/>
      <c r="OB476" s="60"/>
      <c r="OC476" s="15"/>
      <c r="OD476" s="15"/>
      <c r="OE476" s="15"/>
      <c r="OF476" s="15"/>
      <c r="OG476" s="15"/>
      <c r="OH476" s="15"/>
      <c r="OI476" s="15"/>
      <c r="OJ476" s="15"/>
      <c r="OK476" s="15"/>
      <c r="OL476" s="15"/>
      <c r="OM476" s="15"/>
      <c r="ON476" s="15"/>
      <c r="OO476" s="15"/>
      <c r="OP476" s="15"/>
      <c r="OQ476" s="15"/>
      <c r="OR476" s="15"/>
      <c r="OS476" s="15"/>
      <c r="OT476" s="15"/>
      <c r="OU476" s="15"/>
      <c r="OV476" s="15"/>
      <c r="OW476" s="15"/>
      <c r="OX476" s="15"/>
      <c r="OY476" s="15"/>
      <c r="OZ476" s="15"/>
      <c r="PA476" s="15"/>
      <c r="PB476" s="15"/>
      <c r="PC476" s="15"/>
      <c r="PD476" s="15"/>
      <c r="PE476" s="15"/>
      <c r="PF476" s="15"/>
      <c r="PG476" s="15"/>
      <c r="PH476" s="15"/>
      <c r="PI476" s="15"/>
      <c r="PJ476" s="15"/>
      <c r="PK476" s="15"/>
      <c r="PL476" s="15"/>
      <c r="PM476" s="15"/>
      <c r="PN476" s="15"/>
      <c r="PO476" s="15"/>
      <c r="PP476" s="15"/>
      <c r="PQ476" s="15"/>
      <c r="PR476" s="15"/>
      <c r="PS476" s="15"/>
      <c r="PT476" s="15"/>
      <c r="PU476" s="15"/>
      <c r="PV476" s="15"/>
      <c r="PW476" s="60"/>
      <c r="PX476" s="60"/>
      <c r="PY476" s="60"/>
      <c r="PZ476" s="60"/>
      <c r="QA476" s="15"/>
      <c r="QB476" s="15"/>
      <c r="QC476" s="15"/>
      <c r="QD476" s="15"/>
      <c r="QE476" s="15"/>
      <c r="QF476" s="15"/>
      <c r="QG476" s="15"/>
      <c r="QH476" s="15"/>
      <c r="QI476" s="15"/>
      <c r="QJ476" s="15"/>
      <c r="QK476" s="15"/>
      <c r="QL476" s="15"/>
      <c r="QM476" s="15"/>
      <c r="QN476" s="15"/>
      <c r="QO476" s="15"/>
      <c r="QP476" s="15"/>
      <c r="QQ476" s="15"/>
      <c r="QR476" s="15"/>
      <c r="QS476" s="15"/>
      <c r="QT476" s="15"/>
      <c r="QU476" s="15"/>
      <c r="QV476" s="15"/>
      <c r="QW476" s="15"/>
      <c r="QX476" s="15"/>
      <c r="QY476" s="15"/>
      <c r="QZ476" s="15"/>
      <c r="RA476" s="15"/>
      <c r="RB476" s="15"/>
      <c r="RC476" s="15"/>
      <c r="RD476" s="15"/>
      <c r="RE476" s="15"/>
      <c r="RF476" s="15"/>
      <c r="RG476" s="15"/>
      <c r="RH476" s="15"/>
      <c r="RI476" s="15"/>
      <c r="RJ476" s="15"/>
      <c r="RK476" s="15"/>
      <c r="RL476" s="15"/>
      <c r="RM476" s="15"/>
      <c r="RN476" s="15"/>
      <c r="RO476" s="15"/>
      <c r="RP476" s="15"/>
      <c r="RQ476" s="15"/>
      <c r="RR476" s="15"/>
      <c r="RS476" s="15"/>
      <c r="RT476" s="15"/>
      <c r="RU476" s="15"/>
      <c r="RV476" s="15"/>
      <c r="RW476" s="15"/>
      <c r="RX476" s="15"/>
      <c r="RY476" s="15"/>
      <c r="RZ476" s="60"/>
      <c r="SA476" s="60"/>
      <c r="SB476" s="61"/>
      <c r="SX476" s="12"/>
      <c r="TA476" s="12"/>
      <c r="TQ476" s="12"/>
      <c r="TX476" s="13"/>
      <c r="WQ476" s="13"/>
      <c r="WT476" s="13"/>
      <c r="AAL476" s="12"/>
      <c r="AAO476" s="12"/>
      <c r="AAV476" s="13"/>
      <c r="ACC476" s="12"/>
      <c r="ACF476" s="12"/>
      <c r="AET476" s="13"/>
    </row>
    <row r="477" spans="219:826" ht="10.75" customHeight="1">
      <c r="HK477" s="12"/>
      <c r="HU477" s="12"/>
      <c r="HV477" s="12"/>
      <c r="HZ477" s="13"/>
      <c r="IA477" s="96"/>
      <c r="IB477" s="97"/>
      <c r="IC477" s="97"/>
      <c r="ID477" s="97"/>
      <c r="KD477" s="97"/>
      <c r="KE477" s="97"/>
      <c r="KF477" s="97"/>
      <c r="KG477" s="97"/>
      <c r="LQ477" s="119"/>
      <c r="LR477" s="119"/>
      <c r="LS477" s="119"/>
      <c r="LT477" s="119"/>
      <c r="LU477" s="119"/>
      <c r="LV477" s="119"/>
      <c r="LW477" s="119"/>
      <c r="LX477" s="119"/>
      <c r="LY477" s="119"/>
      <c r="LZ477" s="119"/>
      <c r="MA477" s="119"/>
      <c r="MB477" s="119"/>
      <c r="MC477" s="119"/>
      <c r="MD477" s="119"/>
      <c r="MG477" s="97"/>
      <c r="MH477" s="97"/>
      <c r="MI477" s="98"/>
      <c r="MN477" s="13"/>
      <c r="MO477" s="13"/>
      <c r="MY477" s="13"/>
      <c r="SX477" s="12"/>
      <c r="TA477" s="12"/>
      <c r="TQ477" s="12"/>
      <c r="TX477" s="13"/>
      <c r="WQ477" s="13"/>
      <c r="WT477" s="13"/>
      <c r="AAL477" s="12"/>
      <c r="AAO477" s="12"/>
      <c r="AAV477" s="13"/>
      <c r="ACC477" s="12"/>
      <c r="ACF477" s="12"/>
      <c r="AET477" s="13"/>
    </row>
    <row r="478" spans="219:826" ht="10.75" customHeight="1">
      <c r="HK478" s="12"/>
      <c r="HU478" s="12"/>
      <c r="HV478" s="12"/>
      <c r="HZ478" s="13"/>
      <c r="IA478" s="96"/>
      <c r="IB478" s="97"/>
      <c r="IC478" s="97"/>
      <c r="ID478" s="97"/>
      <c r="KD478" s="97"/>
      <c r="KE478" s="97"/>
      <c r="KF478" s="97"/>
      <c r="KG478" s="97"/>
      <c r="MG478" s="97"/>
      <c r="MH478" s="97"/>
      <c r="MI478" s="98"/>
      <c r="MN478" s="13"/>
      <c r="MO478" s="13"/>
      <c r="MY478" s="13"/>
      <c r="SX478" s="12"/>
      <c r="TA478" s="12"/>
      <c r="TQ478" s="14"/>
      <c r="TR478" s="15"/>
      <c r="TS478" s="15"/>
      <c r="TT478" s="15"/>
      <c r="TU478" s="15"/>
      <c r="TV478" s="15"/>
      <c r="TW478" s="15"/>
      <c r="TX478" s="16"/>
      <c r="WQ478" s="13"/>
      <c r="WT478" s="13"/>
      <c r="AAL478" s="12"/>
      <c r="AAO478" s="12"/>
      <c r="AAV478" s="13"/>
      <c r="ACC478" s="12"/>
      <c r="ACF478" s="12"/>
      <c r="AET478" s="13"/>
    </row>
    <row r="479" spans="219:826" ht="10.75" customHeight="1">
      <c r="HK479" s="12"/>
      <c r="HU479" s="12"/>
      <c r="HV479" s="12"/>
      <c r="HZ479" s="13"/>
      <c r="IA479" s="9"/>
      <c r="IB479" s="10"/>
      <c r="IC479" s="10"/>
      <c r="ID479" s="10"/>
      <c r="IE479" s="10"/>
      <c r="IF479" s="10"/>
      <c r="IG479" s="10"/>
      <c r="IH479" s="10"/>
      <c r="II479" s="10"/>
      <c r="IJ479" s="10"/>
      <c r="IK479" s="10"/>
      <c r="IL479" s="10"/>
      <c r="IM479" s="10"/>
      <c r="IN479" s="10"/>
      <c r="IO479" s="10"/>
      <c r="IP479" s="10"/>
      <c r="IQ479" s="10"/>
      <c r="IR479" s="10"/>
      <c r="IS479" s="10"/>
      <c r="IT479" s="10"/>
      <c r="IU479" s="10"/>
      <c r="IV479" s="10"/>
      <c r="IW479" s="10"/>
      <c r="IX479" s="10"/>
      <c r="IY479" s="10"/>
      <c r="IZ479" s="10"/>
      <c r="JA479" s="10"/>
      <c r="JB479" s="10"/>
      <c r="JC479" s="10"/>
      <c r="JD479" s="10"/>
      <c r="JE479" s="10"/>
      <c r="JF479" s="10"/>
      <c r="JG479" s="10"/>
      <c r="JH479" s="10"/>
      <c r="JI479" s="10"/>
      <c r="JJ479" s="10"/>
      <c r="JK479" s="10"/>
      <c r="JL479" s="10"/>
      <c r="JM479" s="10"/>
      <c r="JN479" s="10"/>
      <c r="JO479" s="10"/>
      <c r="JP479" s="10"/>
      <c r="JQ479" s="10"/>
      <c r="JR479" s="10"/>
      <c r="JS479" s="10"/>
      <c r="JT479" s="10"/>
      <c r="JU479" s="10"/>
      <c r="JV479" s="10"/>
      <c r="JW479" s="10"/>
      <c r="JX479" s="10"/>
      <c r="JY479" s="10"/>
      <c r="JZ479" s="10"/>
      <c r="KA479" s="10"/>
      <c r="KB479" s="10"/>
      <c r="KC479" s="10"/>
      <c r="KD479" s="10"/>
      <c r="KE479" s="10"/>
      <c r="KF479" s="10"/>
      <c r="KG479" s="10"/>
      <c r="KH479" s="10"/>
      <c r="KI479" s="10"/>
      <c r="KJ479" s="10"/>
      <c r="KK479" s="10"/>
      <c r="KL479" s="10"/>
      <c r="KM479" s="10"/>
      <c r="KN479" s="10"/>
      <c r="KO479" s="10"/>
      <c r="KP479" s="10"/>
      <c r="KQ479" s="10"/>
      <c r="KR479" s="10"/>
      <c r="KS479" s="10"/>
      <c r="KT479" s="10"/>
      <c r="KU479" s="10"/>
      <c r="KV479" s="10"/>
      <c r="KW479" s="10"/>
      <c r="KX479" s="10"/>
      <c r="KY479" s="10"/>
      <c r="KZ479" s="10"/>
      <c r="LA479" s="10"/>
      <c r="LB479" s="10"/>
      <c r="LC479" s="10"/>
      <c r="LD479" s="10"/>
      <c r="LE479" s="10"/>
      <c r="LF479" s="10"/>
      <c r="LG479" s="10"/>
      <c r="LH479" s="10"/>
      <c r="LI479" s="10"/>
      <c r="LJ479" s="10"/>
      <c r="LK479" s="10"/>
      <c r="LL479" s="9"/>
      <c r="LM479" s="10"/>
      <c r="LN479" s="10"/>
      <c r="LO479" s="10"/>
      <c r="LP479" s="10"/>
      <c r="LQ479" s="10"/>
      <c r="LR479" s="10"/>
      <c r="LS479" s="10"/>
      <c r="LT479" s="10"/>
      <c r="LU479" s="10"/>
      <c r="LV479" s="10"/>
      <c r="LW479" s="10"/>
      <c r="LX479" s="10"/>
      <c r="LY479" s="10"/>
      <c r="LZ479" s="10"/>
      <c r="MA479" s="10"/>
      <c r="MB479" s="10"/>
      <c r="MC479" s="10"/>
      <c r="MD479" s="10"/>
      <c r="ME479" s="10"/>
      <c r="MF479" s="10"/>
      <c r="MG479" s="10"/>
      <c r="MH479" s="10"/>
      <c r="MI479" s="11"/>
      <c r="MN479" s="13"/>
      <c r="MO479" s="13"/>
      <c r="MY479" s="13"/>
      <c r="SX479" s="12"/>
      <c r="TA479" s="14"/>
      <c r="TB479" s="15"/>
      <c r="TC479" s="15"/>
      <c r="TD479" s="15"/>
      <c r="TE479" s="15"/>
      <c r="TF479" s="15"/>
      <c r="TG479" s="15"/>
      <c r="TH479" s="15"/>
      <c r="TI479" s="15"/>
      <c r="TJ479" s="15"/>
      <c r="TK479" s="15"/>
      <c r="TL479" s="15"/>
      <c r="TM479" s="15"/>
      <c r="TN479" s="15"/>
      <c r="TO479" s="15"/>
      <c r="TP479" s="15"/>
      <c r="TQ479" s="15"/>
      <c r="TR479" s="15"/>
      <c r="TS479" s="15"/>
      <c r="TT479" s="15"/>
      <c r="TU479" s="15"/>
      <c r="TV479" s="15"/>
      <c r="TW479" s="15"/>
      <c r="TX479" s="15"/>
      <c r="TY479" s="15"/>
      <c r="TZ479" s="15"/>
      <c r="UA479" s="15"/>
      <c r="UB479" s="15"/>
      <c r="UC479" s="15"/>
      <c r="UD479" s="15"/>
      <c r="UE479" s="15"/>
      <c r="UF479" s="15"/>
      <c r="UG479" s="15"/>
      <c r="UH479" s="15"/>
      <c r="UI479" s="15"/>
      <c r="UJ479" s="15"/>
      <c r="UK479" s="15"/>
      <c r="UL479" s="15"/>
      <c r="UM479" s="15"/>
      <c r="UN479" s="15"/>
      <c r="UO479" s="15"/>
      <c r="UP479" s="15"/>
      <c r="UQ479" s="15"/>
      <c r="UR479" s="15"/>
      <c r="US479" s="15"/>
      <c r="UT479" s="15"/>
      <c r="UU479" s="15"/>
      <c r="UV479" s="15"/>
      <c r="UW479" s="15"/>
      <c r="UX479" s="15"/>
      <c r="UY479" s="15"/>
      <c r="UZ479" s="15"/>
      <c r="VA479" s="15"/>
      <c r="VB479" s="15"/>
      <c r="VC479" s="15"/>
      <c r="VD479" s="15"/>
      <c r="VE479" s="15"/>
      <c r="VF479" s="15"/>
      <c r="VG479" s="15"/>
      <c r="VH479" s="15"/>
      <c r="VI479" s="15"/>
      <c r="VJ479" s="15"/>
      <c r="VK479" s="15"/>
      <c r="VL479" s="15"/>
      <c r="VM479" s="15"/>
      <c r="VN479" s="15"/>
      <c r="VO479" s="15"/>
      <c r="VP479" s="15"/>
      <c r="VQ479" s="15"/>
      <c r="VR479" s="15"/>
      <c r="VS479" s="15"/>
      <c r="VT479" s="15"/>
      <c r="VU479" s="15"/>
      <c r="VV479" s="15"/>
      <c r="VW479" s="15"/>
      <c r="VX479" s="15"/>
      <c r="VY479" s="15"/>
      <c r="VZ479" s="15"/>
      <c r="WA479" s="15"/>
      <c r="WB479" s="15"/>
      <c r="WC479" s="15"/>
      <c r="WD479" s="15"/>
      <c r="WE479" s="15"/>
      <c r="WF479" s="15"/>
      <c r="WG479" s="15"/>
      <c r="WH479" s="15"/>
      <c r="WI479" s="15"/>
      <c r="WJ479" s="15"/>
      <c r="WK479" s="15"/>
      <c r="WL479" s="15"/>
      <c r="WM479" s="15"/>
      <c r="WN479" s="15"/>
      <c r="WO479" s="15"/>
      <c r="WP479" s="15"/>
      <c r="WQ479" s="16"/>
      <c r="WR479" s="97"/>
      <c r="WS479" s="97"/>
      <c r="WT479" s="98"/>
      <c r="AAL479" s="12"/>
      <c r="AAO479" s="12"/>
      <c r="AAV479" s="13"/>
      <c r="ACC479" s="12"/>
      <c r="ACF479" s="12"/>
      <c r="AET479" s="13"/>
    </row>
    <row r="480" spans="219:826" ht="10.75" customHeight="1">
      <c r="HK480" s="12"/>
      <c r="HU480" s="12"/>
      <c r="HV480" s="12"/>
      <c r="HZ480" s="13"/>
      <c r="IA480" s="12"/>
      <c r="LL480" s="12"/>
      <c r="MI480" s="13"/>
      <c r="MN480" s="13"/>
      <c r="MO480" s="13"/>
      <c r="MY480" s="13"/>
      <c r="SX480" s="96"/>
      <c r="SY480" s="97"/>
      <c r="SZ480" s="97"/>
      <c r="TA480" s="97"/>
      <c r="US480" s="97"/>
      <c r="UT480" s="97"/>
      <c r="UU480" s="97"/>
      <c r="UV480" s="97"/>
      <c r="WR480" s="97"/>
      <c r="WS480" s="97"/>
      <c r="WT480" s="98"/>
      <c r="AAL480" s="12"/>
      <c r="AAO480" s="12"/>
      <c r="AAV480" s="13"/>
      <c r="ACC480" s="12"/>
      <c r="ACF480" s="12"/>
      <c r="AET480" s="13"/>
    </row>
    <row r="481" spans="47:826" ht="10.75" customHeight="1">
      <c r="HK481" s="12"/>
      <c r="HU481" s="12"/>
      <c r="HV481" s="12"/>
      <c r="HZ481" s="13"/>
      <c r="IA481" s="12"/>
      <c r="LL481" s="12"/>
      <c r="MI481" s="13"/>
      <c r="MN481" s="13"/>
      <c r="MO481" s="13"/>
      <c r="MY481" s="13"/>
      <c r="SX481" s="96"/>
      <c r="SY481" s="97"/>
      <c r="SZ481" s="97"/>
      <c r="TA481" s="97"/>
      <c r="US481" s="97"/>
      <c r="UT481" s="97"/>
      <c r="UU481" s="97"/>
      <c r="UV481" s="97"/>
      <c r="WR481" s="97"/>
      <c r="WS481" s="97"/>
      <c r="WT481" s="98"/>
      <c r="AAL481" s="12"/>
      <c r="AAO481" s="12"/>
      <c r="AAV481" s="13"/>
      <c r="ACC481" s="12"/>
      <c r="ACF481" s="12"/>
      <c r="AET481" s="13"/>
    </row>
    <row r="482" spans="47:826" ht="10.75" customHeight="1">
      <c r="HK482" s="12"/>
      <c r="HU482" s="12"/>
      <c r="HV482" s="12"/>
      <c r="HZ482" s="13"/>
      <c r="IA482" s="12"/>
      <c r="LL482" s="12"/>
      <c r="MI482" s="13"/>
      <c r="MN482" s="13"/>
      <c r="MO482" s="13"/>
      <c r="MY482" s="13"/>
      <c r="SX482" s="59"/>
      <c r="SY482" s="60"/>
      <c r="SZ482" s="60"/>
      <c r="TA482" s="60"/>
      <c r="TB482" s="15"/>
      <c r="TC482" s="15"/>
      <c r="TD482" s="15"/>
      <c r="TE482" s="15"/>
      <c r="TF482" s="15"/>
      <c r="TG482" s="15"/>
      <c r="TH482" s="15"/>
      <c r="TI482" s="15"/>
      <c r="TJ482" s="15"/>
      <c r="TK482" s="15"/>
      <c r="TL482" s="15"/>
      <c r="TM482" s="15"/>
      <c r="TN482" s="15"/>
      <c r="TO482" s="15"/>
      <c r="TP482" s="15"/>
      <c r="TQ482" s="15"/>
      <c r="TR482" s="15"/>
      <c r="TS482" s="15"/>
      <c r="TT482" s="15"/>
      <c r="TU482" s="15"/>
      <c r="TV482" s="15"/>
      <c r="TW482" s="15"/>
      <c r="TX482" s="15"/>
      <c r="TY482" s="15"/>
      <c r="TZ482" s="15"/>
      <c r="UA482" s="15"/>
      <c r="UB482" s="15"/>
      <c r="UC482" s="15"/>
      <c r="UD482" s="15"/>
      <c r="UE482" s="15"/>
      <c r="UF482" s="15"/>
      <c r="UG482" s="15"/>
      <c r="UH482" s="15"/>
      <c r="UI482" s="15"/>
      <c r="UJ482" s="15"/>
      <c r="UK482" s="15"/>
      <c r="UL482" s="15"/>
      <c r="UM482" s="15"/>
      <c r="UN482" s="15"/>
      <c r="UO482" s="15"/>
      <c r="UP482" s="15"/>
      <c r="UQ482" s="15"/>
      <c r="UR482" s="15"/>
      <c r="US482" s="60"/>
      <c r="UT482" s="60"/>
      <c r="UU482" s="60"/>
      <c r="UV482" s="60"/>
      <c r="UW482" s="15"/>
      <c r="UX482" s="15"/>
      <c r="UY482" s="15"/>
      <c r="UZ482" s="15"/>
      <c r="VA482" s="15"/>
      <c r="VB482" s="15"/>
      <c r="VC482" s="15"/>
      <c r="VD482" s="15"/>
      <c r="VE482" s="15"/>
      <c r="VF482" s="15"/>
      <c r="VG482" s="15"/>
      <c r="VH482" s="15"/>
      <c r="VI482" s="15"/>
      <c r="VJ482" s="15"/>
      <c r="VK482" s="15"/>
      <c r="VL482" s="15"/>
      <c r="VM482" s="15"/>
      <c r="VN482" s="15"/>
      <c r="VO482" s="15"/>
      <c r="VP482" s="15"/>
      <c r="VQ482" s="15"/>
      <c r="VR482" s="15"/>
      <c r="VS482" s="15"/>
      <c r="VT482" s="15"/>
      <c r="VU482" s="15"/>
      <c r="VV482" s="15"/>
      <c r="VW482" s="15"/>
      <c r="VX482" s="15"/>
      <c r="VY482" s="15"/>
      <c r="VZ482" s="15"/>
      <c r="WA482" s="15"/>
      <c r="WB482" s="15"/>
      <c r="WC482" s="15"/>
      <c r="WD482" s="15"/>
      <c r="WE482" s="15"/>
      <c r="WF482" s="15"/>
      <c r="WG482" s="15"/>
      <c r="WH482" s="15"/>
      <c r="WI482" s="15"/>
      <c r="WJ482" s="15"/>
      <c r="WK482" s="15"/>
      <c r="WL482" s="15"/>
      <c r="WM482" s="15"/>
      <c r="WN482" s="15"/>
      <c r="WO482" s="15"/>
      <c r="WP482" s="15"/>
      <c r="WQ482" s="15"/>
      <c r="WR482" s="60"/>
      <c r="WS482" s="60"/>
      <c r="WT482" s="61"/>
      <c r="AAL482" s="12"/>
      <c r="AAO482" s="12"/>
      <c r="AAV482" s="13"/>
      <c r="ACC482" s="12"/>
      <c r="ACF482" s="12"/>
      <c r="AET482" s="13"/>
    </row>
    <row r="483" spans="47:826" ht="10.75" customHeight="1">
      <c r="HK483" s="12"/>
      <c r="HU483" s="12"/>
      <c r="HV483" s="14"/>
      <c r="HW483" s="15"/>
      <c r="HX483" s="15"/>
      <c r="HY483" s="15"/>
      <c r="HZ483" s="16"/>
      <c r="IA483" s="14"/>
      <c r="IB483" s="15"/>
      <c r="IC483" s="15"/>
      <c r="ID483" s="15"/>
      <c r="IE483" s="15"/>
      <c r="IF483" s="15"/>
      <c r="IG483" s="15"/>
      <c r="IH483" s="15"/>
      <c r="II483" s="15"/>
      <c r="IJ483" s="15"/>
      <c r="IK483" s="15"/>
      <c r="IL483" s="15"/>
      <c r="IM483" s="15"/>
      <c r="IN483" s="15"/>
      <c r="IO483" s="15"/>
      <c r="IP483" s="15"/>
      <c r="IQ483" s="15"/>
      <c r="IR483" s="15"/>
      <c r="IS483" s="15"/>
      <c r="IT483" s="15"/>
      <c r="IU483" s="15"/>
      <c r="IV483" s="15"/>
      <c r="IW483" s="15"/>
      <c r="IX483" s="15"/>
      <c r="IY483" s="15"/>
      <c r="IZ483" s="15"/>
      <c r="JA483" s="15"/>
      <c r="JB483" s="15"/>
      <c r="JC483" s="15"/>
      <c r="JD483" s="15"/>
      <c r="JE483" s="15"/>
      <c r="JF483" s="15"/>
      <c r="JG483" s="15"/>
      <c r="JH483" s="15"/>
      <c r="JI483" s="15"/>
      <c r="JJ483" s="15"/>
      <c r="JK483" s="15"/>
      <c r="JL483" s="15"/>
      <c r="JM483" s="15"/>
      <c r="JN483" s="15"/>
      <c r="JO483" s="15"/>
      <c r="JP483" s="15"/>
      <c r="JQ483" s="15"/>
      <c r="JR483" s="15"/>
      <c r="JS483" s="15"/>
      <c r="JT483" s="15"/>
      <c r="JU483" s="15"/>
      <c r="JV483" s="15"/>
      <c r="JW483" s="15"/>
      <c r="JX483" s="15"/>
      <c r="JY483" s="15"/>
      <c r="JZ483" s="15"/>
      <c r="KA483" s="15"/>
      <c r="KB483" s="15"/>
      <c r="KC483" s="15"/>
      <c r="KD483" s="15"/>
      <c r="KE483" s="15"/>
      <c r="KF483" s="15"/>
      <c r="KG483" s="15"/>
      <c r="KH483" s="15"/>
      <c r="KI483" s="15"/>
      <c r="KJ483" s="15"/>
      <c r="KK483" s="15"/>
      <c r="KL483" s="15"/>
      <c r="KM483" s="15"/>
      <c r="KN483" s="15"/>
      <c r="KO483" s="15"/>
      <c r="KP483" s="15"/>
      <c r="KQ483" s="15"/>
      <c r="KR483" s="15"/>
      <c r="KS483" s="15"/>
      <c r="KT483" s="15"/>
      <c r="KU483" s="15"/>
      <c r="KV483" s="15"/>
      <c r="KW483" s="15"/>
      <c r="KX483" s="15"/>
      <c r="KY483" s="15"/>
      <c r="KZ483" s="15"/>
      <c r="LA483" s="15"/>
      <c r="LB483" s="15"/>
      <c r="LC483" s="15"/>
      <c r="LD483" s="15"/>
      <c r="LE483" s="15"/>
      <c r="LF483" s="15"/>
      <c r="LG483" s="15"/>
      <c r="LH483" s="15"/>
      <c r="LI483" s="15"/>
      <c r="LJ483" s="15"/>
      <c r="LK483" s="15"/>
      <c r="LL483" s="14"/>
      <c r="LM483" s="15"/>
      <c r="LN483" s="15"/>
      <c r="LO483" s="15"/>
      <c r="LP483" s="15"/>
      <c r="LQ483" s="15"/>
      <c r="LR483" s="15"/>
      <c r="LS483" s="15"/>
      <c r="LT483" s="15"/>
      <c r="LU483" s="15"/>
      <c r="LV483" s="15"/>
      <c r="LW483" s="15"/>
      <c r="LX483" s="15"/>
      <c r="LY483" s="15"/>
      <c r="LZ483" s="15"/>
      <c r="MA483" s="15"/>
      <c r="MB483" s="15"/>
      <c r="MC483" s="15"/>
      <c r="MD483" s="15"/>
      <c r="ME483" s="15"/>
      <c r="MF483" s="15"/>
      <c r="MG483" s="15"/>
      <c r="MH483" s="15"/>
      <c r="MI483" s="16"/>
      <c r="MJ483" s="15"/>
      <c r="MK483" s="15"/>
      <c r="ML483" s="15"/>
      <c r="MM483" s="15"/>
      <c r="MN483" s="16"/>
      <c r="MO483" s="13"/>
      <c r="MY483" s="13"/>
      <c r="AAL483" s="12"/>
      <c r="AAO483" s="12"/>
      <c r="AAV483" s="13"/>
      <c r="ACC483" s="12"/>
      <c r="ACF483" s="12"/>
      <c r="AET483" s="13"/>
    </row>
    <row r="484" spans="47:826" ht="10.75" customHeight="1">
      <c r="HK484" s="12"/>
      <c r="HU484" s="14"/>
      <c r="HV484" s="15"/>
      <c r="HW484" s="15"/>
      <c r="HX484" s="15"/>
      <c r="HY484" s="15"/>
      <c r="HZ484" s="16"/>
      <c r="IA484" s="14"/>
      <c r="IB484" s="15"/>
      <c r="IC484" s="15"/>
      <c r="ID484" s="15"/>
      <c r="IE484" s="15"/>
      <c r="IF484" s="15"/>
      <c r="IG484" s="15"/>
      <c r="IH484" s="15"/>
      <c r="II484" s="15"/>
      <c r="IJ484" s="15"/>
      <c r="IK484" s="15"/>
      <c r="IL484" s="15"/>
      <c r="IM484" s="15"/>
      <c r="IN484" s="15"/>
      <c r="IO484" s="15"/>
      <c r="IP484" s="15"/>
      <c r="IQ484" s="15"/>
      <c r="IR484" s="15"/>
      <c r="IS484" s="15"/>
      <c r="IT484" s="15"/>
      <c r="IU484" s="15"/>
      <c r="IV484" s="15"/>
      <c r="IW484" s="15"/>
      <c r="IX484" s="15"/>
      <c r="IY484" s="15"/>
      <c r="IZ484" s="15"/>
      <c r="JA484" s="15"/>
      <c r="JB484" s="15"/>
      <c r="JC484" s="15"/>
      <c r="JD484" s="15"/>
      <c r="JE484" s="15"/>
      <c r="JF484" s="15"/>
      <c r="JG484" s="15"/>
      <c r="JH484" s="15"/>
      <c r="JI484" s="15"/>
      <c r="JJ484" s="15"/>
      <c r="JK484" s="15"/>
      <c r="JL484" s="15"/>
      <c r="JM484" s="15"/>
      <c r="JN484" s="15"/>
      <c r="JO484" s="15"/>
      <c r="JP484" s="15"/>
      <c r="JQ484" s="15"/>
      <c r="JR484" s="15"/>
      <c r="JS484" s="15"/>
      <c r="JT484" s="15"/>
      <c r="JU484" s="15"/>
      <c r="JV484" s="15"/>
      <c r="JW484" s="15"/>
      <c r="JX484" s="15"/>
      <c r="JY484" s="15"/>
      <c r="JZ484" s="15"/>
      <c r="KA484" s="15"/>
      <c r="KB484" s="15"/>
      <c r="KC484" s="15"/>
      <c r="KD484" s="15"/>
      <c r="KE484" s="15"/>
      <c r="KF484" s="15"/>
      <c r="KG484" s="15"/>
      <c r="KH484" s="15"/>
      <c r="KI484" s="15"/>
      <c r="KJ484" s="15"/>
      <c r="KK484" s="15"/>
      <c r="KL484" s="15"/>
      <c r="KM484" s="15"/>
      <c r="KN484" s="15"/>
      <c r="KO484" s="15"/>
      <c r="KP484" s="15"/>
      <c r="KQ484" s="15"/>
      <c r="KR484" s="15"/>
      <c r="KS484" s="15"/>
      <c r="KT484" s="15"/>
      <c r="KU484" s="15"/>
      <c r="KV484" s="15"/>
      <c r="KW484" s="15"/>
      <c r="KX484" s="15"/>
      <c r="KY484" s="15"/>
      <c r="KZ484" s="15"/>
      <c r="LA484" s="15"/>
      <c r="LB484" s="15"/>
      <c r="LC484" s="15"/>
      <c r="LD484" s="15"/>
      <c r="LE484" s="15"/>
      <c r="LF484" s="15"/>
      <c r="LG484" s="15"/>
      <c r="LH484" s="15"/>
      <c r="LI484" s="15"/>
      <c r="LJ484" s="15"/>
      <c r="LK484" s="15"/>
      <c r="LL484" s="14"/>
      <c r="LM484" s="15"/>
      <c r="LN484" s="15"/>
      <c r="LO484" s="15"/>
      <c r="LP484" s="15"/>
      <c r="LQ484" s="15"/>
      <c r="LR484" s="15"/>
      <c r="LS484" s="15"/>
      <c r="LT484" s="15"/>
      <c r="LU484" s="15"/>
      <c r="LV484" s="15"/>
      <c r="LW484" s="15"/>
      <c r="LX484" s="15"/>
      <c r="LY484" s="15"/>
      <c r="LZ484" s="15"/>
      <c r="MA484" s="15"/>
      <c r="MB484" s="15"/>
      <c r="MC484" s="15"/>
      <c r="MD484" s="15"/>
      <c r="ME484" s="15"/>
      <c r="MF484" s="15"/>
      <c r="MG484" s="15"/>
      <c r="MH484" s="15"/>
      <c r="MI484" s="16"/>
      <c r="MJ484" s="15"/>
      <c r="MK484" s="15"/>
      <c r="ML484" s="15"/>
      <c r="MM484" s="15"/>
      <c r="MN484" s="15"/>
      <c r="MO484" s="16"/>
      <c r="MY484" s="13"/>
      <c r="AAL484" s="12"/>
      <c r="AAO484" s="12"/>
      <c r="AAV484" s="13"/>
      <c r="ACC484" s="12"/>
      <c r="ACF484" s="12"/>
      <c r="AET484" s="13"/>
    </row>
    <row r="485" spans="47:826" ht="10.75" customHeight="1">
      <c r="DD485" s="9"/>
      <c r="DE485" s="10"/>
      <c r="DF485" s="10"/>
      <c r="DG485" s="10"/>
      <c r="DH485" s="10"/>
      <c r="DI485" s="10"/>
      <c r="DJ485" s="10"/>
      <c r="DK485" s="10"/>
      <c r="DL485" s="10"/>
      <c r="DM485" s="10"/>
      <c r="DN485" s="10"/>
      <c r="DO485" s="11"/>
      <c r="HK485" s="12"/>
      <c r="IA485" s="12"/>
      <c r="MI485" s="13"/>
      <c r="MY485" s="13"/>
      <c r="AAL485" s="12"/>
      <c r="AAO485" s="12"/>
      <c r="AAW485" s="10"/>
      <c r="AAX485" s="10"/>
      <c r="AAY485" s="10"/>
      <c r="AAZ485" s="10"/>
      <c r="ABA485" s="10"/>
      <c r="ABB485" s="10"/>
      <c r="ABC485" s="10"/>
      <c r="ABD485" s="10"/>
      <c r="ABE485" s="10"/>
      <c r="ABF485" s="10"/>
      <c r="ABG485" s="10"/>
      <c r="ABH485" s="10"/>
      <c r="ABI485" s="10"/>
      <c r="ABJ485" s="10"/>
      <c r="ABK485" s="10"/>
      <c r="ABL485" s="10"/>
      <c r="ABM485" s="10"/>
      <c r="ABN485" s="10"/>
      <c r="ABO485" s="10"/>
      <c r="ABP485" s="10"/>
      <c r="ABQ485" s="10"/>
      <c r="ABR485" s="10"/>
      <c r="ABS485" s="10"/>
      <c r="ABT485" s="10"/>
      <c r="ABU485" s="10"/>
      <c r="ABV485" s="10"/>
      <c r="ABW485" s="10"/>
      <c r="ABX485" s="10"/>
      <c r="ABY485" s="10"/>
      <c r="ABZ485" s="10"/>
      <c r="ACA485" s="10"/>
      <c r="ACB485" s="10"/>
      <c r="ACC485" s="12"/>
      <c r="ACF485" s="12"/>
      <c r="AET485" s="13"/>
    </row>
    <row r="486" spans="47:826" ht="10.75" customHeight="1">
      <c r="DD486" s="12"/>
      <c r="DO486" s="13"/>
      <c r="HK486" s="12"/>
      <c r="IA486" s="12"/>
      <c r="MI486" s="13"/>
      <c r="MY486" s="13"/>
      <c r="AAL486" s="12"/>
      <c r="AAO486" s="12"/>
      <c r="ACC486" s="12"/>
      <c r="ACF486" s="12"/>
      <c r="AET486" s="13"/>
    </row>
    <row r="487" spans="47:826" ht="10.75" customHeight="1">
      <c r="AU487" s="9"/>
      <c r="AV487" s="10"/>
      <c r="AW487" s="10"/>
      <c r="AX487" s="10"/>
      <c r="AY487" s="10"/>
      <c r="AZ487" s="10"/>
      <c r="BA487" s="10"/>
      <c r="BB487" s="10"/>
      <c r="BC487" s="10"/>
      <c r="BD487" s="10"/>
      <c r="BE487" s="10"/>
      <c r="BF487" s="10"/>
      <c r="BG487" s="10"/>
      <c r="BH487" s="10"/>
      <c r="BI487" s="10"/>
      <c r="BJ487" s="10"/>
      <c r="BK487" s="10"/>
      <c r="BL487" s="10"/>
      <c r="BM487" s="10"/>
      <c r="BN487" s="10"/>
      <c r="BO487" s="10"/>
      <c r="BP487" s="10"/>
      <c r="BQ487" s="10"/>
      <c r="BR487" s="10"/>
      <c r="BS487" s="10"/>
      <c r="BT487" s="10"/>
      <c r="BU487" s="10"/>
      <c r="BV487" s="10"/>
      <c r="BW487" s="10"/>
      <c r="BX487" s="10"/>
      <c r="BY487" s="10"/>
      <c r="BZ487" s="10"/>
      <c r="CA487" s="10"/>
      <c r="CB487" s="10"/>
      <c r="CC487" s="10"/>
      <c r="CD487" s="10"/>
      <c r="CE487" s="10"/>
      <c r="CF487" s="10"/>
      <c r="CG487" s="10"/>
      <c r="CH487" s="10"/>
      <c r="CI487" s="10"/>
      <c r="CJ487" s="10"/>
      <c r="CK487" s="10"/>
      <c r="CL487" s="10"/>
      <c r="CM487" s="10"/>
      <c r="CN487" s="10"/>
      <c r="CO487" s="10"/>
      <c r="CP487" s="10"/>
      <c r="CQ487" s="10"/>
      <c r="CR487" s="10"/>
      <c r="CS487" s="10"/>
      <c r="CT487" s="10"/>
      <c r="CU487" s="10"/>
      <c r="CV487" s="10"/>
      <c r="CW487" s="10"/>
      <c r="CX487" s="10"/>
      <c r="CY487" s="10"/>
      <c r="CZ487" s="10"/>
      <c r="DA487" s="10"/>
      <c r="DB487" s="10"/>
      <c r="DC487" s="10"/>
      <c r="DD487" s="9"/>
      <c r="DE487" s="10"/>
      <c r="DF487" s="10"/>
      <c r="DG487" s="10"/>
      <c r="DH487" s="10"/>
      <c r="DI487" s="10"/>
      <c r="DJ487" s="10"/>
      <c r="DK487" s="10"/>
      <c r="DL487" s="10"/>
      <c r="DM487" s="10"/>
      <c r="DN487" s="10"/>
      <c r="DO487" s="11"/>
      <c r="DP487" s="10"/>
      <c r="DQ487" s="10"/>
      <c r="DR487" s="10"/>
      <c r="DS487" s="10"/>
      <c r="DT487" s="10"/>
      <c r="DU487" s="10"/>
      <c r="DV487" s="10"/>
      <c r="DW487" s="10"/>
      <c r="DX487" s="10"/>
      <c r="DY487" s="10"/>
      <c r="DZ487" s="10"/>
      <c r="EA487" s="10"/>
      <c r="EB487" s="10"/>
      <c r="EC487" s="10"/>
      <c r="ED487" s="10"/>
      <c r="EE487" s="10"/>
      <c r="EF487" s="10"/>
      <c r="EG487" s="10"/>
      <c r="EH487" s="10"/>
      <c r="EI487" s="10"/>
      <c r="EJ487" s="10"/>
      <c r="EK487" s="10"/>
      <c r="EL487" s="10"/>
      <c r="EM487" s="10"/>
      <c r="EN487" s="10"/>
      <c r="EO487" s="10"/>
      <c r="EP487" s="10"/>
      <c r="EQ487" s="10"/>
      <c r="ER487" s="10"/>
      <c r="ES487" s="10"/>
      <c r="ET487" s="10"/>
      <c r="EU487" s="10"/>
      <c r="EV487" s="10"/>
      <c r="EW487" s="10"/>
      <c r="EX487" s="10"/>
      <c r="EY487" s="10"/>
      <c r="EZ487" s="10"/>
      <c r="FA487" s="10"/>
      <c r="FB487" s="10"/>
      <c r="FC487" s="10"/>
      <c r="FD487" s="10"/>
      <c r="FE487" s="10"/>
      <c r="FF487" s="10"/>
      <c r="FG487" s="10"/>
      <c r="FH487" s="10"/>
      <c r="FI487" s="10"/>
      <c r="FJ487" s="10"/>
      <c r="FK487" s="10"/>
      <c r="FL487" s="10"/>
      <c r="FM487" s="10"/>
      <c r="FN487" s="10"/>
      <c r="FO487" s="10"/>
      <c r="FP487" s="10"/>
      <c r="FQ487" s="10"/>
      <c r="FR487" s="11"/>
      <c r="HK487" s="12"/>
      <c r="IA487" s="12"/>
      <c r="MI487" s="13"/>
      <c r="MY487" s="13"/>
      <c r="AAL487" s="12"/>
      <c r="AAO487" s="12"/>
      <c r="ACC487" s="12"/>
      <c r="ACF487" s="12"/>
      <c r="AET487" s="13"/>
    </row>
    <row r="488" spans="47:826" ht="10.75" customHeight="1">
      <c r="AU488" s="14"/>
      <c r="AV488" s="15"/>
      <c r="AW488" s="15"/>
      <c r="AX488" s="15"/>
      <c r="AY488" s="15"/>
      <c r="AZ488" s="15"/>
      <c r="BA488" s="15"/>
      <c r="BB488" s="15"/>
      <c r="BC488" s="15"/>
      <c r="BD488" s="15"/>
      <c r="BE488" s="15"/>
      <c r="BF488" s="15"/>
      <c r="BG488" s="15"/>
      <c r="BH488" s="15"/>
      <c r="BI488" s="15"/>
      <c r="BJ488" s="15"/>
      <c r="BK488" s="15"/>
      <c r="BL488" s="15"/>
      <c r="BM488" s="15"/>
      <c r="BN488" s="15"/>
      <c r="BO488" s="15"/>
      <c r="BP488" s="15"/>
      <c r="BQ488" s="15"/>
      <c r="BR488" s="15"/>
      <c r="BS488" s="15"/>
      <c r="BT488" s="15"/>
      <c r="BU488" s="15"/>
      <c r="BV488" s="15"/>
      <c r="BW488" s="15"/>
      <c r="BX488" s="15"/>
      <c r="BY488" s="15"/>
      <c r="BZ488" s="15"/>
      <c r="CA488" s="15"/>
      <c r="CB488" s="15"/>
      <c r="CC488" s="15"/>
      <c r="CD488" s="15"/>
      <c r="CE488" s="15"/>
      <c r="CF488" s="15"/>
      <c r="CG488" s="15"/>
      <c r="CH488" s="15"/>
      <c r="CI488" s="15"/>
      <c r="CJ488" s="15"/>
      <c r="CK488" s="15"/>
      <c r="CL488" s="15"/>
      <c r="CM488" s="15"/>
      <c r="CN488" s="15"/>
      <c r="CO488" s="15"/>
      <c r="CP488" s="15"/>
      <c r="CQ488" s="15"/>
      <c r="CR488" s="15"/>
      <c r="CS488" s="15"/>
      <c r="CT488" s="15"/>
      <c r="CU488" s="15"/>
      <c r="CV488" s="15"/>
      <c r="CW488" s="15"/>
      <c r="CX488" s="15"/>
      <c r="CY488" s="15"/>
      <c r="CZ488" s="15"/>
      <c r="DA488" s="15"/>
      <c r="DB488" s="15"/>
      <c r="DC488" s="15"/>
      <c r="DD488" s="14"/>
      <c r="DE488" s="15"/>
      <c r="DF488" s="15"/>
      <c r="DG488" s="15"/>
      <c r="DH488" s="15"/>
      <c r="DI488" s="15"/>
      <c r="DJ488" s="15"/>
      <c r="DK488" s="15"/>
      <c r="DL488" s="15"/>
      <c r="DM488" s="15"/>
      <c r="DN488" s="15"/>
      <c r="DO488" s="16"/>
      <c r="DP488" s="15"/>
      <c r="DQ488" s="15"/>
      <c r="DR488" s="15"/>
      <c r="DS488" s="15"/>
      <c r="DT488" s="15"/>
      <c r="DU488" s="15"/>
      <c r="DV488" s="15"/>
      <c r="DW488" s="15"/>
      <c r="DX488" s="15"/>
      <c r="DY488" s="15"/>
      <c r="DZ488" s="15"/>
      <c r="EA488" s="15"/>
      <c r="EB488" s="15"/>
      <c r="EC488" s="15"/>
      <c r="ED488" s="15"/>
      <c r="EE488" s="15"/>
      <c r="EF488" s="15"/>
      <c r="EG488" s="15"/>
      <c r="EH488" s="15"/>
      <c r="EI488" s="15"/>
      <c r="EJ488" s="15"/>
      <c r="EK488" s="15"/>
      <c r="EL488" s="15"/>
      <c r="EM488" s="15"/>
      <c r="EN488" s="15"/>
      <c r="EO488" s="15"/>
      <c r="EP488" s="15"/>
      <c r="EQ488" s="15"/>
      <c r="ER488" s="15"/>
      <c r="ES488" s="15"/>
      <c r="ET488" s="15"/>
      <c r="EU488" s="15"/>
      <c r="EV488" s="15"/>
      <c r="EW488" s="15"/>
      <c r="EX488" s="15"/>
      <c r="EY488" s="15"/>
      <c r="EZ488" s="15"/>
      <c r="FA488" s="15"/>
      <c r="FB488" s="15"/>
      <c r="FC488" s="15"/>
      <c r="FD488" s="15"/>
      <c r="FE488" s="15"/>
      <c r="FF488" s="15"/>
      <c r="FG488" s="15"/>
      <c r="FH488" s="15"/>
      <c r="FI488" s="15"/>
      <c r="FJ488" s="15"/>
      <c r="FK488" s="15"/>
      <c r="FL488" s="15"/>
      <c r="FM488" s="15"/>
      <c r="FN488" s="15"/>
      <c r="FO488" s="15"/>
      <c r="FP488" s="15"/>
      <c r="FQ488" s="15"/>
      <c r="FR488" s="16"/>
      <c r="HK488" s="12"/>
      <c r="IA488" s="12"/>
      <c r="MI488" s="13"/>
      <c r="MY488" s="13"/>
      <c r="AAL488" s="12"/>
      <c r="AAO488" s="12"/>
      <c r="ACC488" s="12"/>
      <c r="ACF488" s="12"/>
      <c r="AET488" s="13"/>
    </row>
    <row r="489" spans="47:826" ht="10.75" customHeight="1">
      <c r="AU489" s="56"/>
      <c r="AV489" s="57"/>
      <c r="AW489" s="57"/>
      <c r="AX489" s="57"/>
      <c r="AY489" s="57"/>
      <c r="AZ489" s="57"/>
      <c r="BA489" s="57"/>
      <c r="BB489" s="57"/>
      <c r="BC489" s="57"/>
      <c r="BD489" s="57"/>
      <c r="BE489" s="57"/>
      <c r="BF489" s="57"/>
      <c r="BG489" s="57"/>
      <c r="BH489" s="57"/>
      <c r="BI489" s="57"/>
      <c r="BJ489" s="57"/>
      <c r="BK489" s="57"/>
      <c r="BL489" s="57"/>
      <c r="BM489" s="57"/>
      <c r="BN489" s="57"/>
      <c r="BO489" s="57"/>
      <c r="BP489" s="57"/>
      <c r="BQ489" s="57"/>
      <c r="BR489" s="57"/>
      <c r="BS489" s="57"/>
      <c r="BT489" s="57"/>
      <c r="BU489" s="57"/>
      <c r="BV489" s="57"/>
      <c r="BW489" s="57"/>
      <c r="BX489" s="57"/>
      <c r="BY489" s="57"/>
      <c r="BZ489" s="57"/>
      <c r="CA489" s="57"/>
      <c r="CB489" s="57"/>
      <c r="CC489" s="57"/>
      <c r="CD489" s="57"/>
      <c r="CE489" s="57"/>
      <c r="CF489" s="57"/>
      <c r="CG489" s="57"/>
      <c r="CH489" s="57"/>
      <c r="CI489" s="57"/>
      <c r="CJ489" s="57"/>
      <c r="CK489" s="57"/>
      <c r="CL489" s="57"/>
      <c r="CM489" s="57"/>
      <c r="CN489" s="57"/>
      <c r="CO489" s="57"/>
      <c r="CP489" s="57"/>
      <c r="CQ489" s="57"/>
      <c r="CR489" s="57"/>
      <c r="CS489" s="57"/>
      <c r="CT489" s="57"/>
      <c r="CU489" s="57"/>
      <c r="CV489" s="57"/>
      <c r="CW489" s="57"/>
      <c r="CX489" s="57"/>
      <c r="CY489" s="57"/>
      <c r="CZ489" s="57"/>
      <c r="DA489" s="57"/>
      <c r="DB489" s="57"/>
      <c r="DC489" s="57"/>
      <c r="DD489" s="56"/>
      <c r="DE489" s="57"/>
      <c r="DF489" s="57"/>
      <c r="DG489" s="57"/>
      <c r="DH489" s="57"/>
      <c r="DI489" s="57"/>
      <c r="DJ489" s="57"/>
      <c r="DK489" s="57"/>
      <c r="DL489" s="57"/>
      <c r="DM489" s="57"/>
      <c r="DN489" s="57"/>
      <c r="DO489" s="58"/>
      <c r="DP489" s="57"/>
      <c r="DQ489" s="57"/>
      <c r="DR489" s="57"/>
      <c r="DS489" s="57"/>
      <c r="DT489" s="57"/>
      <c r="DU489" s="57"/>
      <c r="DV489" s="57"/>
      <c r="DW489" s="57"/>
      <c r="DX489" s="57"/>
      <c r="DY489" s="57"/>
      <c r="DZ489" s="57"/>
      <c r="EA489" s="57"/>
      <c r="EB489" s="57"/>
      <c r="EC489" s="57"/>
      <c r="ED489" s="57"/>
      <c r="EE489" s="57"/>
      <c r="EF489" s="57"/>
      <c r="EG489" s="57"/>
      <c r="EH489" s="57"/>
      <c r="EI489" s="57"/>
      <c r="EJ489" s="57"/>
      <c r="EK489" s="57"/>
      <c r="EL489" s="57"/>
      <c r="EM489" s="57"/>
      <c r="EN489" s="57"/>
      <c r="EO489" s="57"/>
      <c r="EP489" s="57"/>
      <c r="EQ489" s="57"/>
      <c r="ER489" s="57"/>
      <c r="ES489" s="57"/>
      <c r="ET489" s="57"/>
      <c r="EU489" s="57"/>
      <c r="EV489" s="57"/>
      <c r="EW489" s="57"/>
      <c r="EX489" s="57"/>
      <c r="EY489" s="57"/>
      <c r="EZ489" s="57"/>
      <c r="FA489" s="57"/>
      <c r="FB489" s="57"/>
      <c r="FC489" s="57"/>
      <c r="FD489" s="57"/>
      <c r="FE489" s="57"/>
      <c r="FF489" s="57"/>
      <c r="FG489" s="57"/>
      <c r="FH489" s="57"/>
      <c r="FI489" s="57"/>
      <c r="FJ489" s="57"/>
      <c r="FK489" s="57"/>
      <c r="FL489" s="57"/>
      <c r="FM489" s="57"/>
      <c r="FN489" s="57"/>
      <c r="FO489" s="57"/>
      <c r="FP489" s="57"/>
      <c r="FQ489" s="57"/>
      <c r="FR489" s="58"/>
      <c r="HK489" s="12"/>
      <c r="IA489" s="12"/>
      <c r="MI489" s="13"/>
      <c r="MY489" s="13"/>
      <c r="AAL489" s="12"/>
      <c r="AAO489" s="12"/>
      <c r="ACC489" s="12"/>
      <c r="ACF489" s="12"/>
      <c r="AET489" s="13"/>
    </row>
    <row r="490" spans="47:826" ht="10.75" customHeight="1">
      <c r="AU490" s="96"/>
      <c r="AV490" s="97"/>
      <c r="AW490" s="97"/>
      <c r="AX490" s="97"/>
      <c r="AY490" s="97"/>
      <c r="AZ490" s="97"/>
      <c r="BA490" s="97"/>
      <c r="BB490" s="97"/>
      <c r="BC490" s="97"/>
      <c r="BD490" s="97"/>
      <c r="BE490" s="97"/>
      <c r="BF490" s="97"/>
      <c r="BG490" s="97"/>
      <c r="BH490" s="97"/>
      <c r="BI490" s="97"/>
      <c r="BJ490" s="97"/>
      <c r="BK490" s="97"/>
      <c r="BL490" s="97"/>
      <c r="BM490" s="97"/>
      <c r="BN490" s="97"/>
      <c r="BO490" s="97"/>
      <c r="BP490" s="97"/>
      <c r="BQ490" s="97"/>
      <c r="BR490" s="97"/>
      <c r="BS490" s="97"/>
      <c r="BT490" s="97"/>
      <c r="BU490" s="97"/>
      <c r="BV490" s="97"/>
      <c r="BW490" s="97"/>
      <c r="BX490" s="97"/>
      <c r="BY490" s="97"/>
      <c r="BZ490" s="97"/>
      <c r="CA490" s="97"/>
      <c r="CB490" s="97"/>
      <c r="CC490" s="97"/>
      <c r="CD490" s="97"/>
      <c r="CE490" s="97"/>
      <c r="CF490" s="97"/>
      <c r="CG490" s="97"/>
      <c r="CH490" s="97"/>
      <c r="CI490" s="97"/>
      <c r="CJ490" s="97"/>
      <c r="CK490" s="97"/>
      <c r="CL490" s="97"/>
      <c r="CM490" s="97"/>
      <c r="CN490" s="97"/>
      <c r="CO490" s="97"/>
      <c r="CP490" s="97"/>
      <c r="CQ490" s="97"/>
      <c r="CR490" s="97"/>
      <c r="CS490" s="97"/>
      <c r="CT490" s="97"/>
      <c r="CU490" s="97"/>
      <c r="CV490" s="97"/>
      <c r="CW490" s="97"/>
      <c r="CX490" s="97"/>
      <c r="CY490" s="97"/>
      <c r="CZ490" s="97"/>
      <c r="DA490" s="97"/>
      <c r="DB490" s="97"/>
      <c r="DC490" s="97"/>
      <c r="DD490" s="96"/>
      <c r="DE490" s="97"/>
      <c r="DF490" s="97"/>
      <c r="DG490" s="97"/>
      <c r="DH490" s="97"/>
      <c r="DI490" s="97"/>
      <c r="DJ490" s="97"/>
      <c r="DK490" s="97"/>
      <c r="DL490" s="97"/>
      <c r="DM490" s="97"/>
      <c r="DN490" s="97"/>
      <c r="DO490" s="98"/>
      <c r="DP490" s="97"/>
      <c r="DQ490" s="97"/>
      <c r="DR490" s="97"/>
      <c r="DS490" s="97"/>
      <c r="DT490" s="97"/>
      <c r="DU490" s="97"/>
      <c r="DV490" s="97"/>
      <c r="DW490" s="97"/>
      <c r="DX490" s="97"/>
      <c r="DY490" s="97"/>
      <c r="DZ490" s="97"/>
      <c r="EA490" s="97"/>
      <c r="EB490" s="97"/>
      <c r="EC490" s="97"/>
      <c r="ED490" s="97"/>
      <c r="EE490" s="97"/>
      <c r="EF490" s="97"/>
      <c r="EG490" s="97"/>
      <c r="EH490" s="97"/>
      <c r="EI490" s="97"/>
      <c r="EJ490" s="97"/>
      <c r="EK490" s="97"/>
      <c r="EL490" s="97"/>
      <c r="EM490" s="97"/>
      <c r="EN490" s="97"/>
      <c r="EO490" s="97"/>
      <c r="EP490" s="97"/>
      <c r="EQ490" s="97"/>
      <c r="ER490" s="97"/>
      <c r="ES490" s="97"/>
      <c r="ET490" s="97"/>
      <c r="EU490" s="97"/>
      <c r="EV490" s="97"/>
      <c r="EW490" s="97"/>
      <c r="EX490" s="97"/>
      <c r="EY490" s="97"/>
      <c r="EZ490" s="97"/>
      <c r="FA490" s="97"/>
      <c r="FB490" s="97"/>
      <c r="FC490" s="97"/>
      <c r="FD490" s="97"/>
      <c r="FE490" s="97"/>
      <c r="FF490" s="97"/>
      <c r="FG490" s="97"/>
      <c r="FH490" s="97"/>
      <c r="FI490" s="97"/>
      <c r="FJ490" s="97"/>
      <c r="FK490" s="97"/>
      <c r="FL490" s="97"/>
      <c r="FM490" s="97"/>
      <c r="FN490" s="97"/>
      <c r="FO490" s="97"/>
      <c r="FP490" s="97"/>
      <c r="FQ490" s="97"/>
      <c r="FR490" s="98"/>
      <c r="HK490" s="12"/>
      <c r="IA490" s="12"/>
      <c r="MI490" s="13"/>
      <c r="MY490" s="13"/>
      <c r="AAL490" s="12"/>
      <c r="AAO490" s="12"/>
      <c r="ACC490" s="12"/>
      <c r="ACF490" s="12"/>
      <c r="AET490" s="13"/>
    </row>
    <row r="491" spans="47:826" ht="10.75" customHeight="1">
      <c r="AU491" s="59"/>
      <c r="AV491" s="60"/>
      <c r="AW491" s="60"/>
      <c r="AX491" s="60"/>
      <c r="AY491" s="60"/>
      <c r="AZ491" s="60"/>
      <c r="BA491" s="60"/>
      <c r="BB491" s="60"/>
      <c r="BC491" s="60"/>
      <c r="BD491" s="60"/>
      <c r="BE491" s="60"/>
      <c r="BF491" s="60"/>
      <c r="BG491" s="60"/>
      <c r="BH491" s="60"/>
      <c r="BI491" s="60"/>
      <c r="BJ491" s="60"/>
      <c r="BK491" s="60"/>
      <c r="BL491" s="60"/>
      <c r="BM491" s="60"/>
      <c r="BN491" s="60"/>
      <c r="BO491" s="60"/>
      <c r="BP491" s="60"/>
      <c r="BQ491" s="60"/>
      <c r="BR491" s="60"/>
      <c r="BS491" s="60"/>
      <c r="BT491" s="60"/>
      <c r="BU491" s="60"/>
      <c r="BV491" s="60"/>
      <c r="BW491" s="60"/>
      <c r="BX491" s="60"/>
      <c r="BY491" s="60"/>
      <c r="BZ491" s="60"/>
      <c r="CA491" s="60"/>
      <c r="CB491" s="60"/>
      <c r="CC491" s="60"/>
      <c r="CD491" s="60"/>
      <c r="CE491" s="60"/>
      <c r="CF491" s="60"/>
      <c r="CG491" s="60"/>
      <c r="CH491" s="60"/>
      <c r="CI491" s="60"/>
      <c r="CJ491" s="60"/>
      <c r="CK491" s="60"/>
      <c r="CL491" s="60"/>
      <c r="CM491" s="60"/>
      <c r="CN491" s="60"/>
      <c r="CO491" s="60"/>
      <c r="CP491" s="60"/>
      <c r="CQ491" s="60"/>
      <c r="CR491" s="60"/>
      <c r="CS491" s="60"/>
      <c r="CT491" s="60"/>
      <c r="CU491" s="60"/>
      <c r="CV491" s="60"/>
      <c r="CW491" s="60"/>
      <c r="CX491" s="60"/>
      <c r="CY491" s="60"/>
      <c r="CZ491" s="60"/>
      <c r="DA491" s="60"/>
      <c r="DB491" s="60"/>
      <c r="DC491" s="60"/>
      <c r="DD491" s="59"/>
      <c r="DE491" s="60"/>
      <c r="DF491" s="60"/>
      <c r="DG491" s="60"/>
      <c r="DH491" s="60"/>
      <c r="DI491" s="60"/>
      <c r="DJ491" s="60"/>
      <c r="DK491" s="60"/>
      <c r="DL491" s="60"/>
      <c r="DM491" s="60"/>
      <c r="DN491" s="60"/>
      <c r="DO491" s="61"/>
      <c r="DP491" s="60"/>
      <c r="DQ491" s="60"/>
      <c r="DR491" s="60"/>
      <c r="DS491" s="60"/>
      <c r="DT491" s="60"/>
      <c r="DU491" s="60"/>
      <c r="DV491" s="60"/>
      <c r="DW491" s="60"/>
      <c r="DX491" s="60"/>
      <c r="DY491" s="60"/>
      <c r="DZ491" s="60"/>
      <c r="EA491" s="60"/>
      <c r="EB491" s="60"/>
      <c r="EC491" s="60"/>
      <c r="ED491" s="60"/>
      <c r="EE491" s="60"/>
      <c r="EF491" s="60"/>
      <c r="EG491" s="60"/>
      <c r="EH491" s="60"/>
      <c r="EI491" s="60"/>
      <c r="EJ491" s="60"/>
      <c r="EK491" s="60"/>
      <c r="EL491" s="60"/>
      <c r="EM491" s="60"/>
      <c r="EN491" s="60"/>
      <c r="EO491" s="60"/>
      <c r="EP491" s="60"/>
      <c r="EQ491" s="60"/>
      <c r="ER491" s="60"/>
      <c r="ES491" s="60"/>
      <c r="ET491" s="60"/>
      <c r="EU491" s="60"/>
      <c r="EV491" s="60"/>
      <c r="EW491" s="60"/>
      <c r="EX491" s="60"/>
      <c r="EY491" s="60"/>
      <c r="EZ491" s="60"/>
      <c r="FA491" s="60"/>
      <c r="FB491" s="60"/>
      <c r="FC491" s="60"/>
      <c r="FD491" s="60"/>
      <c r="FE491" s="60"/>
      <c r="FF491" s="60"/>
      <c r="FG491" s="60"/>
      <c r="FH491" s="60"/>
      <c r="FI491" s="60"/>
      <c r="FJ491" s="60"/>
      <c r="FK491" s="60"/>
      <c r="FL491" s="60"/>
      <c r="FM491" s="60"/>
      <c r="FN491" s="60"/>
      <c r="FO491" s="60"/>
      <c r="FP491" s="60"/>
      <c r="FQ491" s="60"/>
      <c r="FR491" s="61"/>
      <c r="HK491" s="12"/>
      <c r="IA491" s="12"/>
      <c r="MI491" s="13"/>
      <c r="MY491" s="13"/>
      <c r="AAL491" s="12"/>
      <c r="AAO491" s="12"/>
      <c r="ACC491" s="12"/>
      <c r="ACF491" s="12"/>
      <c r="AET491" s="13"/>
    </row>
    <row r="492" spans="47:826" ht="10.75" customHeight="1">
      <c r="AY492" s="264"/>
      <c r="AZ492" s="265"/>
      <c r="BA492" s="265"/>
      <c r="BB492" s="266"/>
      <c r="DD492" s="274"/>
      <c r="DE492" s="263"/>
      <c r="DF492" s="263"/>
      <c r="DG492" s="275"/>
      <c r="DH492" s="20"/>
      <c r="DI492" s="21"/>
      <c r="DJ492" s="21"/>
      <c r="DK492" s="21"/>
      <c r="DL492" s="21"/>
      <c r="DM492" s="21"/>
      <c r="DN492" s="21"/>
      <c r="DO492" s="22"/>
      <c r="DP492" s="10"/>
      <c r="DQ492" s="10"/>
      <c r="DR492" s="10"/>
      <c r="DS492" s="10"/>
      <c r="DT492" s="10"/>
      <c r="DU492" s="10"/>
      <c r="DV492" s="10"/>
      <c r="DW492" s="10"/>
      <c r="DX492" s="10"/>
      <c r="DY492" s="10"/>
      <c r="DZ492" s="10"/>
      <c r="EA492" s="10"/>
      <c r="EB492" s="10"/>
      <c r="EC492" s="10"/>
      <c r="ED492" s="10"/>
      <c r="EE492" s="10"/>
      <c r="EF492" s="10"/>
      <c r="EG492" s="10"/>
      <c r="EH492" s="10"/>
      <c r="EI492" s="10"/>
      <c r="EJ492" s="10"/>
      <c r="EK492" s="10"/>
      <c r="EL492" s="10"/>
      <c r="EM492" s="10"/>
      <c r="EN492" s="10"/>
      <c r="EO492" s="10"/>
      <c r="EP492" s="10"/>
      <c r="EQ492" s="10"/>
      <c r="ER492" s="10"/>
      <c r="ES492" s="10"/>
      <c r="ET492" s="10"/>
      <c r="EU492" s="10"/>
      <c r="EV492" s="10"/>
      <c r="EW492" s="10"/>
      <c r="EX492" s="10"/>
      <c r="EY492" s="10"/>
      <c r="EZ492" s="10"/>
      <c r="FA492" s="20"/>
      <c r="FB492" s="21"/>
      <c r="FC492" s="21"/>
      <c r="FD492" s="21"/>
      <c r="FE492" s="21"/>
      <c r="FF492" s="21"/>
      <c r="FG492" s="21"/>
      <c r="FH492" s="21"/>
      <c r="FI492" s="21"/>
      <c r="FJ492" s="22"/>
      <c r="FK492" s="11"/>
      <c r="FL492" s="264"/>
      <c r="FM492" s="265"/>
      <c r="FN492" s="266"/>
      <c r="HK492" s="12"/>
      <c r="IA492" s="12"/>
      <c r="MI492" s="13"/>
      <c r="MY492" s="13"/>
      <c r="AAL492" s="12"/>
      <c r="AAO492" s="14"/>
      <c r="AAP492" s="15"/>
      <c r="AAQ492" s="15"/>
      <c r="AAR492" s="15"/>
      <c r="AAS492" s="15"/>
      <c r="AAT492" s="15"/>
      <c r="AAU492" s="15"/>
      <c r="AAV492" s="15"/>
      <c r="AAW492" s="15"/>
      <c r="AAX492" s="15"/>
      <c r="AAY492" s="15"/>
      <c r="AAZ492" s="15"/>
      <c r="ABA492" s="15"/>
      <c r="ABB492" s="15"/>
      <c r="ABC492" s="15"/>
      <c r="ABD492" s="15"/>
      <c r="ABE492" s="15"/>
      <c r="ABF492" s="15"/>
      <c r="ABG492" s="15"/>
      <c r="ABH492" s="15"/>
      <c r="ABI492" s="15"/>
      <c r="ABJ492" s="15"/>
      <c r="ABK492" s="15"/>
      <c r="ABL492" s="15"/>
      <c r="ABM492" s="15"/>
      <c r="ABN492" s="15"/>
      <c r="ABO492" s="15"/>
      <c r="ABP492" s="15"/>
      <c r="ABQ492" s="15"/>
      <c r="ABR492" s="15"/>
      <c r="ABS492" s="15"/>
      <c r="ABT492" s="15"/>
      <c r="ABU492" s="15"/>
      <c r="ABV492" s="15"/>
      <c r="ABW492" s="15"/>
      <c r="ABX492" s="15"/>
      <c r="ABY492" s="15"/>
      <c r="ABZ492" s="15"/>
      <c r="ACA492" s="15"/>
      <c r="ACB492" s="15"/>
      <c r="ACC492" s="14"/>
      <c r="ACD492" s="15"/>
      <c r="ACE492" s="15"/>
      <c r="ACF492" s="12"/>
      <c r="AET492" s="13"/>
    </row>
    <row r="493" spans="47:826" ht="10.75" customHeight="1">
      <c r="AY493" s="270"/>
      <c r="AZ493" s="271"/>
      <c r="BA493" s="271"/>
      <c r="BB493" s="272"/>
      <c r="DD493" s="270"/>
      <c r="DE493" s="271"/>
      <c r="DF493" s="271"/>
      <c r="DG493" s="272"/>
      <c r="DH493" s="12"/>
      <c r="DP493" s="9"/>
      <c r="DQ493" s="10"/>
      <c r="DR493" s="10"/>
      <c r="DS493" s="10"/>
      <c r="DT493" s="10"/>
      <c r="DU493" s="10"/>
      <c r="DV493" s="10"/>
      <c r="DW493" s="10"/>
      <c r="DX493" s="10"/>
      <c r="DY493" s="10"/>
      <c r="DZ493" s="10"/>
      <c r="EA493" s="11"/>
      <c r="FA493" s="12"/>
      <c r="FB493" s="9"/>
      <c r="FC493" s="10"/>
      <c r="FD493" s="10"/>
      <c r="FE493" s="10"/>
      <c r="FF493" s="10"/>
      <c r="FG493" s="10"/>
      <c r="FH493" s="10"/>
      <c r="FI493" s="11"/>
      <c r="FJ493" s="13"/>
      <c r="FK493" s="13"/>
      <c r="FL493" s="270"/>
      <c r="FM493" s="271"/>
      <c r="FN493" s="272"/>
      <c r="HK493" s="12"/>
      <c r="IA493" s="12"/>
      <c r="MI493" s="13"/>
      <c r="MY493" s="13"/>
      <c r="AAL493" s="12"/>
      <c r="ACC493" s="12"/>
      <c r="ACF493" s="12"/>
      <c r="AET493" s="13"/>
    </row>
    <row r="494" spans="47:826" ht="10.75" customHeight="1">
      <c r="AY494" s="270"/>
      <c r="AZ494" s="271"/>
      <c r="BA494" s="271"/>
      <c r="BB494" s="272"/>
      <c r="DD494" s="270"/>
      <c r="DE494" s="271"/>
      <c r="DF494" s="271"/>
      <c r="DG494" s="272"/>
      <c r="DH494" s="12"/>
      <c r="DP494" s="12"/>
      <c r="EA494" s="13"/>
      <c r="FA494" s="12"/>
      <c r="FB494" s="12"/>
      <c r="FI494" s="13"/>
      <c r="FJ494" s="13"/>
      <c r="FK494" s="13"/>
      <c r="FL494" s="270"/>
      <c r="FM494" s="271"/>
      <c r="FN494" s="272"/>
      <c r="HK494" s="12"/>
      <c r="IA494" s="12"/>
      <c r="MI494" s="13"/>
      <c r="MY494" s="13"/>
      <c r="AAL494" s="12"/>
      <c r="ACC494" s="12"/>
      <c r="ACF494" s="12"/>
      <c r="AET494" s="13"/>
    </row>
    <row r="495" spans="47:826" ht="10.75" customHeight="1">
      <c r="AY495" s="270"/>
      <c r="AZ495" s="271"/>
      <c r="BA495" s="271"/>
      <c r="BB495" s="272"/>
      <c r="DD495" s="270"/>
      <c r="DE495" s="271"/>
      <c r="DF495" s="271"/>
      <c r="DG495" s="272"/>
      <c r="DH495" s="12"/>
      <c r="DP495" s="12"/>
      <c r="EA495" s="13"/>
      <c r="FA495" s="12"/>
      <c r="FB495" s="12"/>
      <c r="FI495" s="13"/>
      <c r="FJ495" s="13"/>
      <c r="FK495" s="13"/>
      <c r="FL495" s="270"/>
      <c r="FM495" s="271"/>
      <c r="FN495" s="272"/>
      <c r="HK495" s="12"/>
      <c r="IA495" s="12"/>
      <c r="MI495" s="13"/>
      <c r="MY495" s="13"/>
      <c r="AAL495" s="14"/>
      <c r="AAM495" s="15"/>
      <c r="AAN495" s="15"/>
      <c r="AAO495" s="15"/>
      <c r="AAP495" s="15"/>
      <c r="AAQ495" s="15"/>
      <c r="AAR495" s="15"/>
      <c r="AAS495" s="15"/>
      <c r="AAT495" s="15"/>
      <c r="AAU495" s="15"/>
      <c r="AAV495" s="15"/>
      <c r="AAW495" s="15"/>
      <c r="AAX495" s="15"/>
      <c r="AAY495" s="15"/>
      <c r="AAZ495" s="15"/>
      <c r="ABA495" s="15"/>
      <c r="ABB495" s="15"/>
      <c r="ABC495" s="15"/>
      <c r="ABD495" s="15"/>
      <c r="ABE495" s="15"/>
      <c r="ABF495" s="15"/>
      <c r="ABG495" s="15"/>
      <c r="ABH495" s="15"/>
      <c r="ABI495" s="15"/>
      <c r="ABJ495" s="15"/>
      <c r="ABK495" s="15"/>
      <c r="ABL495" s="15"/>
      <c r="ABM495" s="15"/>
      <c r="ABN495" s="15"/>
      <c r="ABO495" s="15"/>
      <c r="ABP495" s="15"/>
      <c r="ABQ495" s="15"/>
      <c r="ABR495" s="15"/>
      <c r="ABS495" s="15"/>
      <c r="ABT495" s="15"/>
      <c r="ABU495" s="15"/>
      <c r="ABV495" s="15"/>
      <c r="ABW495" s="15"/>
      <c r="ABX495" s="15"/>
      <c r="ABY495" s="15"/>
      <c r="ABZ495" s="15"/>
      <c r="ACA495" s="15"/>
      <c r="ACB495" s="15"/>
      <c r="ACC495" s="14"/>
      <c r="ACD495" s="15"/>
      <c r="ACE495" s="15"/>
      <c r="ACF495" s="14"/>
      <c r="ACG495" s="15"/>
      <c r="ACH495" s="15"/>
      <c r="ACI495" s="15"/>
      <c r="ACJ495" s="15"/>
      <c r="ACK495" s="15"/>
      <c r="ACL495" s="15"/>
      <c r="ACM495" s="15"/>
      <c r="ACN495" s="15"/>
      <c r="ACO495" s="15"/>
      <c r="ACP495" s="15"/>
      <c r="ACQ495" s="15"/>
      <c r="ACR495" s="15"/>
      <c r="ACS495" s="15"/>
      <c r="ACT495" s="15"/>
      <c r="ACU495" s="15"/>
      <c r="ACV495" s="15"/>
      <c r="ACW495" s="15"/>
      <c r="ACX495" s="15"/>
      <c r="ACY495" s="15"/>
      <c r="ACZ495" s="15"/>
      <c r="ADA495" s="15"/>
      <c r="ADB495" s="15"/>
      <c r="ADC495" s="15"/>
      <c r="ADD495" s="15"/>
      <c r="ADE495" s="15"/>
      <c r="ADF495" s="15"/>
      <c r="ADG495" s="15"/>
      <c r="ADH495" s="15"/>
      <c r="ADI495" s="15"/>
      <c r="ADJ495" s="15"/>
      <c r="ADK495" s="15"/>
      <c r="ADL495" s="15"/>
      <c r="ADM495" s="15"/>
      <c r="ADN495" s="15"/>
      <c r="ADO495" s="15"/>
      <c r="ADP495" s="15"/>
      <c r="ADQ495" s="15"/>
      <c r="ADR495" s="15"/>
      <c r="ADS495" s="15"/>
      <c r="ADT495" s="15"/>
      <c r="ADU495" s="15"/>
      <c r="ADV495" s="15"/>
      <c r="ADW495" s="15"/>
      <c r="ADX495" s="15"/>
      <c r="ADY495" s="15"/>
      <c r="ADZ495" s="15"/>
      <c r="AEA495" s="15"/>
      <c r="AEB495" s="15"/>
      <c r="AEC495" s="15"/>
      <c r="AED495" s="15"/>
      <c r="AEE495" s="15"/>
      <c r="AEF495" s="15"/>
      <c r="AEG495" s="15"/>
      <c r="AEH495" s="15"/>
      <c r="AEI495" s="15"/>
      <c r="AEJ495" s="15"/>
      <c r="AEK495" s="15"/>
      <c r="AEL495" s="15"/>
      <c r="AEM495" s="15"/>
      <c r="AEN495" s="15"/>
      <c r="AEO495" s="15"/>
      <c r="AEP495" s="15"/>
      <c r="AEQ495" s="15"/>
      <c r="AER495" s="15"/>
      <c r="AES495" s="15"/>
      <c r="AET495" s="16"/>
    </row>
    <row r="496" spans="47:826" ht="10.75" customHeight="1">
      <c r="AY496" s="270"/>
      <c r="AZ496" s="271"/>
      <c r="BA496" s="271"/>
      <c r="BB496" s="272"/>
      <c r="DD496" s="270"/>
      <c r="DE496" s="271"/>
      <c r="DF496" s="271"/>
      <c r="DG496" s="272"/>
      <c r="DH496" s="12"/>
      <c r="DP496" s="12"/>
      <c r="EA496" s="13"/>
      <c r="FA496" s="12"/>
      <c r="FB496" s="12"/>
      <c r="FI496" s="13"/>
      <c r="FJ496" s="13"/>
      <c r="FK496" s="13"/>
      <c r="FL496" s="270"/>
      <c r="FM496" s="271"/>
      <c r="FN496" s="272"/>
      <c r="GH496" s="245"/>
      <c r="GI496" s="245"/>
      <c r="GJ496" s="245"/>
      <c r="HK496" s="12"/>
      <c r="IA496" s="12"/>
      <c r="MI496" s="13"/>
      <c r="MY496" s="13"/>
    </row>
    <row r="497" spans="51:363" ht="10.75" customHeight="1">
      <c r="AY497" s="270"/>
      <c r="AZ497" s="271"/>
      <c r="BA497" s="271"/>
      <c r="BB497" s="272"/>
      <c r="DD497" s="270"/>
      <c r="DE497" s="271"/>
      <c r="DF497" s="271"/>
      <c r="DG497" s="272"/>
      <c r="DH497" s="12"/>
      <c r="DP497" s="12"/>
      <c r="EA497" s="13"/>
      <c r="FA497" s="12"/>
      <c r="FB497" s="12"/>
      <c r="FI497" s="13"/>
      <c r="FJ497" s="13"/>
      <c r="FK497" s="13"/>
      <c r="FL497" s="270"/>
      <c r="FM497" s="271"/>
      <c r="FN497" s="272"/>
      <c r="GH497" s="245"/>
      <c r="GI497" s="245"/>
      <c r="GJ497" s="245"/>
      <c r="GK497" s="245"/>
      <c r="GL497" s="245"/>
      <c r="GM497" s="245"/>
      <c r="HK497" s="12"/>
      <c r="IA497" s="12"/>
      <c r="MI497" s="13"/>
      <c r="MY497" s="13"/>
    </row>
    <row r="498" spans="51:363" ht="10.75" customHeight="1">
      <c r="AY498" s="270"/>
      <c r="AZ498" s="271"/>
      <c r="BA498" s="271"/>
      <c r="BB498" s="272"/>
      <c r="DD498" s="270"/>
      <c r="DE498" s="271"/>
      <c r="DF498" s="271"/>
      <c r="DG498" s="272"/>
      <c r="DH498" s="12"/>
      <c r="DP498" s="12"/>
      <c r="EA498" s="13"/>
      <c r="FA498" s="12"/>
      <c r="FB498" s="12"/>
      <c r="FI498" s="13"/>
      <c r="FJ498" s="13"/>
      <c r="FK498" s="13"/>
      <c r="FL498" s="270"/>
      <c r="FM498" s="271"/>
      <c r="FN498" s="272"/>
      <c r="GH498" s="245"/>
      <c r="GI498" s="245"/>
      <c r="GJ498" s="245"/>
      <c r="GK498" s="245"/>
      <c r="GL498" s="245"/>
      <c r="GM498" s="245"/>
      <c r="HK498" s="12"/>
      <c r="IA498" s="12"/>
      <c r="MI498" s="13"/>
      <c r="MY498" s="13"/>
    </row>
    <row r="499" spans="51:363" ht="10.75" customHeight="1">
      <c r="AY499" s="270"/>
      <c r="AZ499" s="271"/>
      <c r="BA499" s="271"/>
      <c r="BB499" s="272"/>
      <c r="DD499" s="270"/>
      <c r="DE499" s="271"/>
      <c r="DF499" s="271"/>
      <c r="DG499" s="272"/>
      <c r="DH499" s="12"/>
      <c r="DP499" s="12"/>
      <c r="EA499" s="13"/>
      <c r="FA499" s="12"/>
      <c r="FB499" s="12"/>
      <c r="FI499" s="13"/>
      <c r="FJ499" s="13"/>
      <c r="FK499" s="13"/>
      <c r="FL499" s="270"/>
      <c r="FM499" s="271"/>
      <c r="FN499" s="272"/>
      <c r="GH499" s="245"/>
      <c r="GI499" s="245"/>
      <c r="GJ499" s="245"/>
      <c r="GK499" s="245"/>
      <c r="GL499" s="245"/>
      <c r="GM499" s="245"/>
      <c r="HK499" s="12"/>
      <c r="IA499" s="12"/>
      <c r="MI499" s="13"/>
      <c r="MY499" s="13"/>
    </row>
    <row r="500" spans="51:363" ht="10.75" customHeight="1">
      <c r="AY500" s="270"/>
      <c r="AZ500" s="271"/>
      <c r="BA500" s="271"/>
      <c r="BB500" s="272"/>
      <c r="DD500" s="270"/>
      <c r="DE500" s="271"/>
      <c r="DF500" s="271"/>
      <c r="DG500" s="272"/>
      <c r="DH500" s="12"/>
      <c r="DP500" s="14"/>
      <c r="DQ500" s="15"/>
      <c r="DR500" s="15"/>
      <c r="DS500" s="15"/>
      <c r="DT500" s="15"/>
      <c r="DU500" s="15"/>
      <c r="DV500" s="15"/>
      <c r="DW500" s="15"/>
      <c r="DX500" s="15"/>
      <c r="DY500" s="15"/>
      <c r="DZ500" s="15"/>
      <c r="EA500" s="16"/>
      <c r="FA500" s="12"/>
      <c r="FB500" s="12"/>
      <c r="FI500" s="13"/>
      <c r="FJ500" s="13"/>
      <c r="FK500" s="13"/>
      <c r="FL500" s="270"/>
      <c r="FM500" s="271"/>
      <c r="FN500" s="272"/>
      <c r="GN500" s="245"/>
      <c r="GO500" s="245"/>
      <c r="GP500" s="245"/>
      <c r="GQ500" s="245"/>
      <c r="GR500" s="245"/>
      <c r="GS500" s="245"/>
      <c r="HK500" s="12"/>
      <c r="IA500" s="12"/>
      <c r="MI500" s="13"/>
      <c r="MY500" s="13"/>
    </row>
    <row r="501" spans="51:363" ht="10.75" customHeight="1">
      <c r="AY501" s="270"/>
      <c r="AZ501" s="271"/>
      <c r="BA501" s="271"/>
      <c r="BB501" s="272"/>
      <c r="DD501" s="270"/>
      <c r="DE501" s="271"/>
      <c r="DF501" s="271"/>
      <c r="DG501" s="272"/>
      <c r="DH501" s="12"/>
      <c r="EB501" s="9"/>
      <c r="EC501" s="10"/>
      <c r="ED501" s="10"/>
      <c r="EE501" s="10"/>
      <c r="EF501" s="10"/>
      <c r="EG501" s="10"/>
      <c r="EH501" s="10"/>
      <c r="EI501" s="10"/>
      <c r="EJ501" s="10"/>
      <c r="EK501" s="10"/>
      <c r="EL501" s="10"/>
      <c r="EM501" s="11"/>
      <c r="FA501" s="12"/>
      <c r="FB501" s="12"/>
      <c r="FI501" s="13"/>
      <c r="FJ501" s="13"/>
      <c r="FK501" s="13"/>
      <c r="FL501" s="270"/>
      <c r="FM501" s="271"/>
      <c r="FN501" s="272"/>
      <c r="GN501" s="245"/>
      <c r="GO501" s="245"/>
      <c r="GP501" s="245"/>
      <c r="GQ501" s="245"/>
      <c r="GR501" s="245"/>
      <c r="GS501" s="245"/>
      <c r="HK501" s="12"/>
      <c r="IA501" s="12"/>
      <c r="MI501" s="13"/>
      <c r="MY501" s="13"/>
    </row>
    <row r="502" spans="51:363" ht="10.75" customHeight="1">
      <c r="AY502" s="270"/>
      <c r="AZ502" s="271"/>
      <c r="BA502" s="271"/>
      <c r="BB502" s="272"/>
      <c r="DD502" s="270"/>
      <c r="DE502" s="271"/>
      <c r="DF502" s="271"/>
      <c r="DG502" s="272"/>
      <c r="DH502" s="12"/>
      <c r="EB502" s="12"/>
      <c r="EM502" s="13"/>
      <c r="FA502" s="12"/>
      <c r="FB502" s="12"/>
      <c r="FI502" s="13"/>
      <c r="FJ502" s="13"/>
      <c r="FK502" s="13"/>
      <c r="FL502" s="270"/>
      <c r="FM502" s="271"/>
      <c r="FN502" s="272"/>
      <c r="GN502" s="245"/>
      <c r="GO502" s="245"/>
      <c r="GP502" s="245"/>
      <c r="GQ502" s="245"/>
      <c r="GR502" s="245"/>
      <c r="GS502" s="245"/>
      <c r="HK502" s="12"/>
      <c r="IA502" s="12"/>
      <c r="MI502" s="13"/>
      <c r="MY502" s="13"/>
    </row>
    <row r="503" spans="51:363" ht="10.75" customHeight="1">
      <c r="AY503" s="270"/>
      <c r="AZ503" s="271"/>
      <c r="BA503" s="271"/>
      <c r="BB503" s="272"/>
      <c r="DD503" s="270"/>
      <c r="DE503" s="271"/>
      <c r="DF503" s="271"/>
      <c r="DG503" s="272"/>
      <c r="DH503" s="12"/>
      <c r="EB503" s="12"/>
      <c r="EM503" s="13"/>
      <c r="FA503" s="12"/>
      <c r="FB503" s="12"/>
      <c r="FI503" s="13"/>
      <c r="FJ503" s="13"/>
      <c r="FK503" s="13"/>
      <c r="FL503" s="270"/>
      <c r="FM503" s="271"/>
      <c r="FN503" s="272"/>
      <c r="GN503" s="245"/>
      <c r="GO503" s="245"/>
      <c r="GP503" s="245"/>
      <c r="GQ503" s="245"/>
      <c r="GR503" s="245"/>
      <c r="GS503" s="245"/>
      <c r="HK503" s="12"/>
      <c r="IA503" s="12"/>
      <c r="MI503" s="13"/>
      <c r="MY503" s="13"/>
    </row>
    <row r="504" spans="51:363" ht="10.75" customHeight="1">
      <c r="AY504" s="270"/>
      <c r="AZ504" s="271"/>
      <c r="BA504" s="271"/>
      <c r="BB504" s="272"/>
      <c r="DD504" s="270"/>
      <c r="DE504" s="271"/>
      <c r="DF504" s="271"/>
      <c r="DG504" s="272"/>
      <c r="DH504" s="12"/>
      <c r="EB504" s="12"/>
      <c r="EM504" s="13"/>
      <c r="FA504" s="12"/>
      <c r="FB504" s="12"/>
      <c r="FI504" s="13"/>
      <c r="FJ504" s="13"/>
      <c r="FK504" s="13"/>
      <c r="FL504" s="270"/>
      <c r="FM504" s="271"/>
      <c r="FN504" s="272"/>
      <c r="GT504" s="245"/>
      <c r="GU504" s="245"/>
      <c r="GV504" s="245"/>
      <c r="GW504" s="245"/>
      <c r="GX504" s="245"/>
      <c r="GY504" s="245"/>
      <c r="HK504" s="12"/>
      <c r="IA504" s="12"/>
      <c r="MI504" s="13"/>
      <c r="MY504" s="13"/>
    </row>
    <row r="505" spans="51:363" ht="10.75" customHeight="1">
      <c r="AY505" s="270"/>
      <c r="AZ505" s="271"/>
      <c r="BA505" s="271"/>
      <c r="BB505" s="272"/>
      <c r="DD505" s="270"/>
      <c r="DE505" s="271"/>
      <c r="DF505" s="271"/>
      <c r="DG505" s="272"/>
      <c r="DH505" s="12"/>
      <c r="EB505" s="12"/>
      <c r="EM505" s="13"/>
      <c r="FA505" s="12"/>
      <c r="FB505" s="12"/>
      <c r="FI505" s="13"/>
      <c r="FJ505" s="13"/>
      <c r="FK505" s="13"/>
      <c r="FL505" s="270"/>
      <c r="FM505" s="271"/>
      <c r="FN505" s="272"/>
      <c r="GT505" s="245"/>
      <c r="GU505" s="245"/>
      <c r="GV505" s="245"/>
      <c r="GW505" s="245"/>
      <c r="GX505" s="245"/>
      <c r="GY505" s="245"/>
      <c r="HK505" s="12"/>
      <c r="IA505" s="12"/>
      <c r="MI505" s="13"/>
      <c r="MY505" s="13"/>
    </row>
    <row r="506" spans="51:363" ht="10.75" customHeight="1">
      <c r="AY506" s="270"/>
      <c r="AZ506" s="271"/>
      <c r="BA506" s="271"/>
      <c r="BB506" s="272"/>
      <c r="DD506" s="270"/>
      <c r="DE506" s="271"/>
      <c r="DF506" s="271"/>
      <c r="DG506" s="272"/>
      <c r="DH506" s="12"/>
      <c r="EB506" s="12"/>
      <c r="EM506" s="13"/>
      <c r="FA506" s="12"/>
      <c r="FB506" s="12"/>
      <c r="FI506" s="13"/>
      <c r="FJ506" s="13"/>
      <c r="FK506" s="13"/>
      <c r="FL506" s="270"/>
      <c r="FM506" s="271"/>
      <c r="FN506" s="272"/>
      <c r="GT506" s="245"/>
      <c r="GU506" s="245"/>
      <c r="GV506" s="245"/>
      <c r="GW506" s="245"/>
      <c r="GX506" s="245"/>
      <c r="GY506" s="245"/>
      <c r="HK506" s="12"/>
      <c r="IA506" s="12"/>
      <c r="MI506" s="13"/>
      <c r="MY506" s="13"/>
    </row>
    <row r="507" spans="51:363" ht="10.75" customHeight="1">
      <c r="AY507" s="270"/>
      <c r="AZ507" s="271"/>
      <c r="BA507" s="271"/>
      <c r="BB507" s="272"/>
      <c r="DD507" s="270"/>
      <c r="DE507" s="271"/>
      <c r="DF507" s="271"/>
      <c r="DG507" s="272"/>
      <c r="DH507" s="12"/>
      <c r="EB507" s="12"/>
      <c r="EM507" s="13"/>
      <c r="FA507" s="12"/>
      <c r="FB507" s="12"/>
      <c r="FI507" s="13"/>
      <c r="FJ507" s="13"/>
      <c r="FK507" s="13"/>
      <c r="FL507" s="270"/>
      <c r="FM507" s="271"/>
      <c r="FN507" s="272"/>
      <c r="GT507" s="245"/>
      <c r="GU507" s="245"/>
      <c r="GV507" s="245"/>
      <c r="GW507" s="245"/>
      <c r="GX507" s="245"/>
      <c r="GY507" s="245"/>
      <c r="HK507" s="12"/>
      <c r="IA507" s="12"/>
      <c r="MI507" s="13"/>
      <c r="MY507" s="13"/>
    </row>
    <row r="508" spans="51:363" ht="10.75" customHeight="1">
      <c r="AY508" s="270"/>
      <c r="AZ508" s="271"/>
      <c r="BA508" s="271"/>
      <c r="BB508" s="272"/>
      <c r="DD508" s="270"/>
      <c r="DE508" s="271"/>
      <c r="DF508" s="271"/>
      <c r="DG508" s="272"/>
      <c r="DH508" s="12"/>
      <c r="EB508" s="14"/>
      <c r="EC508" s="15"/>
      <c r="ED508" s="15"/>
      <c r="EE508" s="15"/>
      <c r="EF508" s="15"/>
      <c r="EG508" s="15"/>
      <c r="EH508" s="15"/>
      <c r="EI508" s="15"/>
      <c r="EJ508" s="15"/>
      <c r="EK508" s="15"/>
      <c r="EL508" s="15"/>
      <c r="EM508" s="16"/>
      <c r="FA508" s="12"/>
      <c r="FB508" s="12"/>
      <c r="FI508" s="13"/>
      <c r="FJ508" s="13"/>
      <c r="FK508" s="13"/>
      <c r="FL508" s="270"/>
      <c r="FM508" s="271"/>
      <c r="FN508" s="272"/>
      <c r="HK508" s="12"/>
      <c r="IA508" s="12"/>
      <c r="MI508" s="13"/>
      <c r="MY508" s="13"/>
    </row>
    <row r="509" spans="51:363" ht="10.75" customHeight="1">
      <c r="AY509" s="270"/>
      <c r="AZ509" s="271"/>
      <c r="BA509" s="271"/>
      <c r="BB509" s="272"/>
      <c r="DD509" s="270"/>
      <c r="DE509" s="271"/>
      <c r="DF509" s="271"/>
      <c r="DG509" s="272"/>
      <c r="DH509" s="12"/>
      <c r="EN509" s="9"/>
      <c r="EO509" s="10"/>
      <c r="EP509" s="10"/>
      <c r="EQ509" s="10"/>
      <c r="ER509" s="10"/>
      <c r="ES509" s="10"/>
      <c r="ET509" s="10"/>
      <c r="EU509" s="10"/>
      <c r="EV509" s="10"/>
      <c r="EW509" s="10"/>
      <c r="EX509" s="10"/>
      <c r="EY509" s="11"/>
      <c r="FA509" s="12"/>
      <c r="FB509" s="12"/>
      <c r="FI509" s="13"/>
      <c r="FJ509" s="13"/>
      <c r="FK509" s="13"/>
      <c r="FL509" s="270"/>
      <c r="FM509" s="271"/>
      <c r="FN509" s="272"/>
      <c r="HK509" s="12"/>
      <c r="IA509" s="12"/>
      <c r="MI509" s="13"/>
      <c r="MY509" s="13"/>
    </row>
    <row r="510" spans="51:363" ht="10.75" customHeight="1">
      <c r="AY510" s="270"/>
      <c r="AZ510" s="271"/>
      <c r="BA510" s="271"/>
      <c r="BB510" s="272"/>
      <c r="DD510" s="270"/>
      <c r="DE510" s="271"/>
      <c r="DF510" s="271"/>
      <c r="DG510" s="272"/>
      <c r="DH510" s="12"/>
      <c r="EN510" s="12"/>
      <c r="EY510" s="13"/>
      <c r="FA510" s="12"/>
      <c r="FB510" s="12"/>
      <c r="FI510" s="13"/>
      <c r="FJ510" s="13"/>
      <c r="FK510" s="13"/>
      <c r="FL510" s="270"/>
      <c r="FM510" s="271"/>
      <c r="FN510" s="272"/>
      <c r="HK510" s="12"/>
      <c r="IA510" s="12"/>
      <c r="MI510" s="13"/>
      <c r="MY510" s="13"/>
    </row>
    <row r="511" spans="51:363" ht="10.75" customHeight="1">
      <c r="AY511" s="270"/>
      <c r="AZ511" s="271"/>
      <c r="BA511" s="271"/>
      <c r="BB511" s="272"/>
      <c r="DD511" s="270"/>
      <c r="DE511" s="271"/>
      <c r="DF511" s="271"/>
      <c r="DG511" s="272"/>
      <c r="DH511" s="12"/>
      <c r="EN511" s="12"/>
      <c r="EY511" s="13"/>
      <c r="FA511" s="12"/>
      <c r="FB511" s="12"/>
      <c r="FI511" s="13"/>
      <c r="FJ511" s="13"/>
      <c r="FK511" s="13"/>
      <c r="FL511" s="270"/>
      <c r="FM511" s="271"/>
      <c r="FN511" s="272"/>
      <c r="HK511" s="12"/>
      <c r="IA511" s="12"/>
      <c r="MI511" s="13"/>
      <c r="MY511" s="13"/>
    </row>
    <row r="512" spans="51:363" ht="10.75" customHeight="1">
      <c r="AY512" s="270"/>
      <c r="AZ512" s="271"/>
      <c r="BA512" s="271"/>
      <c r="BB512" s="272"/>
      <c r="DD512" s="270"/>
      <c r="DE512" s="271"/>
      <c r="DF512" s="271"/>
      <c r="DG512" s="272"/>
      <c r="DH512" s="12"/>
      <c r="EN512" s="12"/>
      <c r="EY512" s="13"/>
      <c r="FA512" s="12"/>
      <c r="FB512" s="12"/>
      <c r="FI512" s="13"/>
      <c r="FJ512" s="13"/>
      <c r="FK512" s="13"/>
      <c r="FL512" s="270"/>
      <c r="FM512" s="271"/>
      <c r="FN512" s="272"/>
      <c r="HK512" s="12"/>
      <c r="IA512" s="12"/>
      <c r="MI512" s="13"/>
      <c r="MY512" s="13"/>
    </row>
    <row r="513" spans="51:363" ht="10.75" customHeight="1">
      <c r="AY513" s="270"/>
      <c r="AZ513" s="271"/>
      <c r="BA513" s="271"/>
      <c r="BB513" s="272"/>
      <c r="DD513" s="270"/>
      <c r="DE513" s="271"/>
      <c r="DF513" s="271"/>
      <c r="DG513" s="272"/>
      <c r="DH513" s="12"/>
      <c r="EN513" s="12"/>
      <c r="EY513" s="13"/>
      <c r="FA513" s="12"/>
      <c r="FB513" s="12"/>
      <c r="FI513" s="13"/>
      <c r="FJ513" s="13"/>
      <c r="FK513" s="13"/>
      <c r="FL513" s="270"/>
      <c r="FM513" s="271"/>
      <c r="FN513" s="272"/>
      <c r="HK513" s="12"/>
      <c r="IA513" s="12"/>
      <c r="MI513" s="13"/>
      <c r="MY513" s="13"/>
    </row>
    <row r="514" spans="51:363" ht="10.75" customHeight="1">
      <c r="AY514" s="270"/>
      <c r="AZ514" s="271"/>
      <c r="BA514" s="271"/>
      <c r="BB514" s="272"/>
      <c r="DD514" s="270"/>
      <c r="DE514" s="271"/>
      <c r="DF514" s="271"/>
      <c r="DG514" s="272"/>
      <c r="DH514" s="12"/>
      <c r="EN514" s="12"/>
      <c r="EY514" s="13"/>
      <c r="FA514" s="14"/>
      <c r="FB514" s="14"/>
      <c r="FC514" s="15"/>
      <c r="FD514" s="15"/>
      <c r="FE514" s="15"/>
      <c r="FF514" s="15"/>
      <c r="FG514" s="15"/>
      <c r="FH514" s="15"/>
      <c r="FI514" s="16"/>
      <c r="FJ514" s="16"/>
      <c r="FK514" s="13"/>
      <c r="FL514" s="270"/>
      <c r="FM514" s="271"/>
      <c r="FN514" s="272"/>
      <c r="HK514" s="12"/>
      <c r="HZ514" s="13"/>
      <c r="IA514" s="14"/>
      <c r="IB514" s="15"/>
      <c r="IC514" s="15"/>
      <c r="ID514" s="15"/>
      <c r="IE514" s="15"/>
      <c r="IF514" s="15"/>
      <c r="IG514" s="15"/>
      <c r="IH514" s="15"/>
      <c r="II514" s="15"/>
      <c r="IJ514" s="15"/>
      <c r="IK514" s="15"/>
      <c r="IL514" s="15"/>
      <c r="IM514" s="15"/>
      <c r="IN514" s="15"/>
      <c r="IO514" s="15"/>
      <c r="IP514" s="15"/>
      <c r="IQ514" s="15"/>
      <c r="IR514" s="15"/>
      <c r="IS514" s="15"/>
      <c r="IT514" s="15"/>
      <c r="IU514" s="15"/>
      <c r="IV514" s="15"/>
      <c r="IW514" s="15"/>
      <c r="IX514" s="15"/>
      <c r="IY514" s="15"/>
      <c r="IZ514" s="15"/>
      <c r="JA514" s="15"/>
      <c r="JB514" s="15"/>
      <c r="JC514" s="15"/>
      <c r="JD514" s="15"/>
      <c r="JE514" s="15"/>
      <c r="JF514" s="15"/>
      <c r="JG514" s="15"/>
      <c r="JH514" s="15"/>
      <c r="JI514" s="15"/>
      <c r="JJ514" s="15"/>
      <c r="JK514" s="15"/>
      <c r="JL514" s="15"/>
      <c r="JM514" s="15"/>
      <c r="JN514" s="15"/>
      <c r="JO514" s="15"/>
      <c r="JP514" s="15"/>
      <c r="JQ514" s="15"/>
      <c r="JR514" s="15"/>
      <c r="JS514" s="15"/>
      <c r="JT514" s="15"/>
      <c r="JU514" s="15"/>
      <c r="JV514" s="15"/>
      <c r="JW514" s="15"/>
      <c r="JX514" s="15"/>
      <c r="JY514" s="15"/>
      <c r="JZ514" s="15"/>
      <c r="KA514" s="15"/>
      <c r="KB514" s="15"/>
      <c r="KC514" s="15"/>
      <c r="KD514" s="15"/>
      <c r="KE514" s="15"/>
      <c r="KF514" s="15"/>
      <c r="KG514" s="15"/>
      <c r="KH514" s="15"/>
      <c r="KI514" s="15"/>
      <c r="KJ514" s="15"/>
      <c r="KK514" s="15"/>
      <c r="KL514" s="15"/>
      <c r="KM514" s="15"/>
      <c r="KN514" s="15"/>
      <c r="KO514" s="15"/>
      <c r="KP514" s="15"/>
      <c r="KQ514" s="15"/>
      <c r="KR514" s="15"/>
      <c r="KS514" s="15"/>
      <c r="KT514" s="15"/>
      <c r="KU514" s="15"/>
      <c r="KV514" s="15"/>
      <c r="KW514" s="15"/>
      <c r="KX514" s="15"/>
      <c r="KY514" s="15"/>
      <c r="KZ514" s="15"/>
      <c r="LA514" s="15"/>
      <c r="LB514" s="15"/>
      <c r="LC514" s="15"/>
      <c r="LD514" s="15"/>
      <c r="LE514" s="15"/>
      <c r="LF514" s="15"/>
      <c r="LG514" s="15"/>
      <c r="LH514" s="15"/>
      <c r="LI514" s="15"/>
      <c r="LJ514" s="15"/>
      <c r="LK514" s="15"/>
      <c r="LL514" s="15"/>
      <c r="LM514" s="15"/>
      <c r="LN514" s="15"/>
      <c r="LO514" s="15"/>
      <c r="LP514" s="15"/>
      <c r="LQ514" s="15"/>
      <c r="LR514" s="15"/>
      <c r="LS514" s="15"/>
      <c r="LT514" s="15"/>
      <c r="LU514" s="15"/>
      <c r="LV514" s="15"/>
      <c r="LW514" s="15"/>
      <c r="LX514" s="15"/>
      <c r="LY514" s="15"/>
      <c r="LZ514" s="15"/>
      <c r="MA514" s="15"/>
      <c r="MB514" s="15"/>
      <c r="MC514" s="15"/>
      <c r="MD514" s="15"/>
      <c r="ME514" s="15"/>
      <c r="MF514" s="15"/>
      <c r="MG514" s="15"/>
      <c r="MH514" s="15"/>
      <c r="MI514" s="16"/>
      <c r="MY514" s="13"/>
    </row>
    <row r="515" spans="51:363" ht="10.75" customHeight="1">
      <c r="AY515" s="270"/>
      <c r="AZ515" s="271"/>
      <c r="BA515" s="271"/>
      <c r="BB515" s="272"/>
      <c r="DD515" s="270"/>
      <c r="DE515" s="271"/>
      <c r="DF515" s="271"/>
      <c r="DG515" s="272"/>
      <c r="DH515" s="12"/>
      <c r="EN515" s="12"/>
      <c r="EY515" s="13"/>
      <c r="FA515" s="9"/>
      <c r="FB515" s="10"/>
      <c r="FC515" s="10"/>
      <c r="FD515" s="10"/>
      <c r="FE515" s="10"/>
      <c r="FF515" s="10"/>
      <c r="FG515" s="10"/>
      <c r="FH515" s="10"/>
      <c r="FI515" s="10"/>
      <c r="FJ515" s="11"/>
      <c r="FK515" s="13"/>
      <c r="FL515" s="270"/>
      <c r="FM515" s="271"/>
      <c r="FN515" s="272"/>
      <c r="HK515" s="12"/>
      <c r="IA515" s="10"/>
      <c r="IB515" s="10"/>
      <c r="IC515" s="10"/>
      <c r="ID515" s="10"/>
      <c r="IE515" s="10"/>
      <c r="IF515" s="10"/>
      <c r="IG515" s="10"/>
      <c r="IH515" s="10"/>
      <c r="II515" s="10"/>
      <c r="IJ515" s="10"/>
      <c r="IK515" s="10"/>
      <c r="IL515" s="10"/>
      <c r="IM515" s="10"/>
      <c r="IN515" s="10"/>
      <c r="IO515" s="10"/>
      <c r="IP515" s="10"/>
      <c r="IQ515" s="10"/>
      <c r="IR515" s="10"/>
      <c r="IS515" s="10"/>
      <c r="IT515" s="10"/>
      <c r="IU515" s="10"/>
      <c r="IV515" s="10"/>
      <c r="IW515" s="10"/>
      <c r="IX515" s="10"/>
      <c r="IY515" s="10"/>
      <c r="IZ515" s="10"/>
      <c r="JA515" s="10"/>
      <c r="JB515" s="10"/>
      <c r="JC515" s="10"/>
      <c r="JD515" s="10"/>
      <c r="JE515" s="10"/>
      <c r="JF515" s="10"/>
      <c r="JG515" s="10"/>
      <c r="JH515" s="10"/>
      <c r="JI515" s="10"/>
      <c r="JJ515" s="10"/>
      <c r="JK515" s="10"/>
      <c r="JL515" s="10"/>
      <c r="JM515" s="10"/>
      <c r="JN515" s="10"/>
      <c r="JO515" s="10"/>
      <c r="JP515" s="10"/>
      <c r="JQ515" s="10"/>
      <c r="JR515" s="10"/>
      <c r="JS515" s="10"/>
      <c r="JT515" s="10"/>
      <c r="JU515" s="10"/>
      <c r="JV515" s="10"/>
      <c r="JW515" s="10"/>
      <c r="JX515" s="10"/>
      <c r="JY515" s="10"/>
      <c r="JZ515" s="10"/>
      <c r="KA515" s="10"/>
      <c r="KB515" s="10"/>
      <c r="KC515" s="10"/>
      <c r="KD515" s="10"/>
      <c r="KE515" s="10"/>
      <c r="KF515" s="10"/>
      <c r="KG515" s="10"/>
      <c r="KH515" s="10"/>
      <c r="KI515" s="10"/>
      <c r="KJ515" s="10"/>
      <c r="KK515" s="10"/>
      <c r="KL515" s="10"/>
      <c r="KM515" s="10"/>
      <c r="KN515" s="10"/>
      <c r="KO515" s="10"/>
      <c r="KP515" s="10"/>
      <c r="KQ515" s="10"/>
      <c r="KR515" s="10"/>
      <c r="KS515" s="10"/>
      <c r="KT515" s="10"/>
      <c r="KU515" s="10"/>
      <c r="KV515" s="10"/>
      <c r="KW515" s="10"/>
      <c r="KX515" s="10"/>
      <c r="KY515" s="10"/>
      <c r="KZ515" s="10"/>
      <c r="LA515" s="10"/>
      <c r="LB515" s="10"/>
      <c r="LC515" s="10"/>
      <c r="LD515" s="10"/>
      <c r="LE515" s="10"/>
      <c r="LF515" s="10"/>
      <c r="LG515" s="10"/>
      <c r="LH515" s="10"/>
      <c r="LI515" s="10"/>
      <c r="LJ515" s="10"/>
      <c r="LK515" s="10"/>
      <c r="LL515" s="10"/>
      <c r="LM515" s="10"/>
      <c r="LN515" s="10"/>
      <c r="LO515" s="10"/>
      <c r="LP515" s="10"/>
      <c r="LQ515" s="10"/>
      <c r="LR515" s="10"/>
      <c r="LS515" s="10"/>
      <c r="LT515" s="10"/>
      <c r="LU515" s="10"/>
      <c r="LV515" s="10"/>
      <c r="LW515" s="10"/>
      <c r="LX515" s="10"/>
      <c r="LY515" s="10"/>
      <c r="LZ515" s="10"/>
      <c r="MA515" s="10"/>
      <c r="MB515" s="10"/>
      <c r="MC515" s="10"/>
      <c r="MD515" s="10"/>
      <c r="ME515" s="10"/>
      <c r="MF515" s="10"/>
      <c r="MG515" s="10"/>
      <c r="MH515" s="10"/>
      <c r="MI515" s="10"/>
      <c r="MY515" s="13"/>
    </row>
    <row r="516" spans="51:363" ht="10.75" customHeight="1">
      <c r="AY516" s="270"/>
      <c r="AZ516" s="271"/>
      <c r="BA516" s="271"/>
      <c r="BB516" s="272"/>
      <c r="DD516" s="270"/>
      <c r="DE516" s="271"/>
      <c r="DF516" s="271"/>
      <c r="DG516" s="272"/>
      <c r="DH516" s="12"/>
      <c r="EN516" s="14"/>
      <c r="EO516" s="15"/>
      <c r="EP516" s="15"/>
      <c r="EQ516" s="15"/>
      <c r="ER516" s="15"/>
      <c r="ES516" s="15"/>
      <c r="ET516" s="15"/>
      <c r="EU516" s="15"/>
      <c r="EV516" s="15"/>
      <c r="EW516" s="15"/>
      <c r="EX516" s="15"/>
      <c r="EY516" s="16"/>
      <c r="FA516" s="12"/>
      <c r="FJ516" s="13"/>
      <c r="FK516" s="13"/>
      <c r="FL516" s="270"/>
      <c r="FM516" s="271"/>
      <c r="FN516" s="272"/>
      <c r="HK516" s="12"/>
      <c r="MY516" s="13"/>
    </row>
    <row r="517" spans="51:363" ht="10.75" customHeight="1">
      <c r="AY517" s="270"/>
      <c r="AZ517" s="271"/>
      <c r="BA517" s="271"/>
      <c r="BB517" s="272"/>
      <c r="DD517" s="270"/>
      <c r="DE517" s="271"/>
      <c r="DF517" s="271"/>
      <c r="DG517" s="272"/>
      <c r="DH517" s="12"/>
      <c r="EZ517" s="264"/>
      <c r="FA517" s="265"/>
      <c r="FB517" s="265"/>
      <c r="FC517" s="265"/>
      <c r="FD517" s="265"/>
      <c r="FE517" s="265"/>
      <c r="FF517" s="265"/>
      <c r="FG517" s="265"/>
      <c r="FH517" s="265"/>
      <c r="FI517" s="265"/>
      <c r="FJ517" s="265"/>
      <c r="FK517" s="266"/>
      <c r="FL517" s="270"/>
      <c r="FM517" s="271"/>
      <c r="FN517" s="272"/>
      <c r="HK517" s="12"/>
      <c r="MY517" s="13"/>
    </row>
    <row r="518" spans="51:363" ht="10.75" customHeight="1">
      <c r="AY518" s="270"/>
      <c r="AZ518" s="271"/>
      <c r="BA518" s="271"/>
      <c r="BB518" s="272"/>
      <c r="DD518" s="270"/>
      <c r="DE518" s="271"/>
      <c r="DF518" s="271"/>
      <c r="DG518" s="272"/>
      <c r="DH518" s="12"/>
      <c r="EZ518" s="267"/>
      <c r="FA518" s="268"/>
      <c r="FB518" s="268"/>
      <c r="FC518" s="268"/>
      <c r="FD518" s="268"/>
      <c r="FE518" s="268"/>
      <c r="FF518" s="268"/>
      <c r="FG518" s="268"/>
      <c r="FH518" s="268"/>
      <c r="FI518" s="268"/>
      <c r="FJ518" s="268"/>
      <c r="FK518" s="269"/>
      <c r="FL518" s="270"/>
      <c r="FM518" s="271"/>
      <c r="FN518" s="272"/>
      <c r="HK518" s="12"/>
      <c r="MY518" s="13"/>
    </row>
    <row r="519" spans="51:363" ht="10.75" customHeight="1">
      <c r="AY519" s="270"/>
      <c r="AZ519" s="271"/>
      <c r="BA519" s="271"/>
      <c r="BB519" s="272"/>
      <c r="DD519" s="270"/>
      <c r="DE519" s="271"/>
      <c r="DF519" s="271"/>
      <c r="DG519" s="272"/>
      <c r="DH519" s="12"/>
      <c r="FK519" s="13"/>
      <c r="FL519" s="270"/>
      <c r="FM519" s="271"/>
      <c r="FN519" s="272"/>
      <c r="HK519" s="12"/>
      <c r="MY519" s="13"/>
    </row>
    <row r="520" spans="51:363" ht="10.75" customHeight="1">
      <c r="AY520" s="270"/>
      <c r="AZ520" s="271"/>
      <c r="BA520" s="271"/>
      <c r="BB520" s="272"/>
      <c r="DD520" s="270"/>
      <c r="DE520" s="271"/>
      <c r="DF520" s="271"/>
      <c r="DG520" s="272"/>
      <c r="DH520" s="12"/>
      <c r="FK520" s="13"/>
      <c r="FL520" s="270"/>
      <c r="FM520" s="271"/>
      <c r="FN520" s="272"/>
      <c r="HK520" s="14"/>
      <c r="HL520" s="15"/>
      <c r="HM520" s="15"/>
      <c r="HN520" s="15"/>
      <c r="HO520" s="15"/>
      <c r="HP520" s="15"/>
      <c r="HQ520" s="15"/>
      <c r="HR520" s="15"/>
      <c r="HS520" s="15"/>
      <c r="HT520" s="15"/>
      <c r="HU520" s="15"/>
      <c r="HV520" s="15"/>
      <c r="HW520" s="15"/>
      <c r="HX520" s="15"/>
      <c r="HY520" s="15"/>
      <c r="HZ520" s="15"/>
      <c r="IA520" s="15"/>
      <c r="IB520" s="15"/>
      <c r="IC520" s="15"/>
      <c r="ID520" s="15"/>
      <c r="IE520" s="15"/>
      <c r="IF520" s="15"/>
      <c r="IG520" s="15"/>
      <c r="IH520" s="15"/>
      <c r="II520" s="15"/>
      <c r="IJ520" s="15"/>
      <c r="IK520" s="15"/>
      <c r="IL520" s="15"/>
      <c r="IM520" s="15"/>
      <c r="IN520" s="15"/>
      <c r="IO520" s="15"/>
      <c r="IP520" s="15"/>
      <c r="IQ520" s="15"/>
      <c r="IR520" s="15"/>
      <c r="IS520" s="15"/>
      <c r="IT520" s="15"/>
      <c r="IU520" s="15"/>
      <c r="IV520" s="15"/>
      <c r="IW520" s="15"/>
      <c r="IX520" s="15"/>
      <c r="IY520" s="15"/>
      <c r="IZ520" s="15"/>
      <c r="JA520" s="15"/>
      <c r="JB520" s="15"/>
      <c r="JC520" s="15"/>
      <c r="JD520" s="15"/>
      <c r="JE520" s="15"/>
      <c r="JF520" s="15"/>
      <c r="JG520" s="15"/>
      <c r="JH520" s="15"/>
      <c r="JI520" s="15"/>
      <c r="JJ520" s="15"/>
      <c r="JK520" s="15"/>
      <c r="JL520" s="15"/>
      <c r="JM520" s="15"/>
      <c r="JN520" s="15"/>
      <c r="JO520" s="15"/>
      <c r="JP520" s="15"/>
      <c r="JQ520" s="15"/>
      <c r="JR520" s="15"/>
      <c r="JS520" s="15"/>
      <c r="JT520" s="15"/>
      <c r="JU520" s="15"/>
      <c r="JV520" s="15"/>
      <c r="JW520" s="15"/>
      <c r="JX520" s="15"/>
      <c r="JY520" s="15"/>
      <c r="JZ520" s="15"/>
      <c r="KA520" s="15"/>
      <c r="KB520" s="15"/>
      <c r="KC520" s="15"/>
      <c r="KD520" s="15"/>
      <c r="KE520" s="15"/>
      <c r="KF520" s="15"/>
      <c r="KG520" s="15"/>
      <c r="KH520" s="15"/>
      <c r="KI520" s="15"/>
      <c r="KJ520" s="15"/>
      <c r="KK520" s="15"/>
      <c r="KL520" s="15"/>
      <c r="KM520" s="15"/>
      <c r="KN520" s="15"/>
      <c r="KO520" s="15"/>
      <c r="KP520" s="15"/>
      <c r="KQ520" s="15"/>
      <c r="KR520" s="15"/>
      <c r="KS520" s="15"/>
      <c r="KT520" s="15"/>
      <c r="KU520" s="15"/>
      <c r="KV520" s="15"/>
      <c r="KW520" s="15"/>
      <c r="KX520" s="15"/>
      <c r="KY520" s="15"/>
      <c r="KZ520" s="15"/>
      <c r="LA520" s="15"/>
      <c r="LB520" s="15"/>
      <c r="LC520" s="15"/>
      <c r="LD520" s="15"/>
      <c r="LE520" s="15"/>
      <c r="LF520" s="15"/>
      <c r="LG520" s="15"/>
      <c r="LH520" s="15"/>
      <c r="LI520" s="15"/>
      <c r="LJ520" s="15"/>
      <c r="LK520" s="15"/>
      <c r="LL520" s="15"/>
      <c r="LM520" s="15"/>
      <c r="LN520" s="15"/>
      <c r="LO520" s="15"/>
      <c r="LP520" s="15"/>
      <c r="LQ520" s="15"/>
      <c r="LR520" s="15"/>
      <c r="LS520" s="15"/>
      <c r="LT520" s="15"/>
      <c r="LU520" s="15"/>
      <c r="LV520" s="15"/>
      <c r="LW520" s="15"/>
      <c r="LX520" s="15"/>
      <c r="LY520" s="15"/>
      <c r="LZ520" s="15"/>
      <c r="MA520" s="15"/>
      <c r="MB520" s="15"/>
      <c r="MC520" s="15"/>
      <c r="MD520" s="15"/>
      <c r="ME520" s="15"/>
      <c r="MF520" s="15"/>
      <c r="MG520" s="15"/>
      <c r="MH520" s="15"/>
      <c r="MI520" s="15"/>
      <c r="MJ520" s="15"/>
      <c r="MK520" s="15"/>
      <c r="ML520" s="15"/>
      <c r="MM520" s="15"/>
      <c r="MN520" s="15"/>
      <c r="MO520" s="15"/>
      <c r="MP520" s="15"/>
      <c r="MQ520" s="15"/>
      <c r="MR520" s="15"/>
      <c r="MS520" s="15"/>
      <c r="MT520" s="15"/>
      <c r="MU520" s="15"/>
      <c r="MV520" s="15"/>
      <c r="MW520" s="15"/>
      <c r="MX520" s="15"/>
      <c r="MY520" s="16"/>
    </row>
    <row r="521" spans="51:363" ht="10.75" customHeight="1">
      <c r="AY521" s="270"/>
      <c r="AZ521" s="271"/>
      <c r="BA521" s="271"/>
      <c r="BB521" s="272"/>
      <c r="DD521" s="270"/>
      <c r="DE521" s="271"/>
      <c r="DF521" s="271"/>
      <c r="DG521" s="272"/>
      <c r="DH521" s="12"/>
      <c r="FK521" s="13"/>
      <c r="FL521" s="270"/>
      <c r="FM521" s="271"/>
      <c r="FN521" s="272"/>
    </row>
    <row r="522" spans="51:363" ht="10.75" customHeight="1">
      <c r="AY522" s="270"/>
      <c r="AZ522" s="271"/>
      <c r="BA522" s="271"/>
      <c r="BB522" s="272"/>
      <c r="DD522" s="270"/>
      <c r="DE522" s="271"/>
      <c r="DF522" s="271"/>
      <c r="DG522" s="272"/>
      <c r="DH522" s="12"/>
      <c r="FK522" s="13"/>
      <c r="FL522" s="270"/>
      <c r="FM522" s="271"/>
      <c r="FN522" s="272"/>
    </row>
    <row r="523" spans="51:363" ht="10.75" customHeight="1">
      <c r="AY523" s="270"/>
      <c r="AZ523" s="271"/>
      <c r="BA523" s="271"/>
      <c r="BB523" s="272"/>
      <c r="DD523" s="270"/>
      <c r="DE523" s="271"/>
      <c r="DF523" s="271"/>
      <c r="DG523" s="272"/>
      <c r="DH523" s="12"/>
      <c r="FK523" s="13"/>
      <c r="FL523" s="270"/>
      <c r="FM523" s="271"/>
      <c r="FN523" s="272"/>
    </row>
    <row r="524" spans="51:363" ht="10.75" customHeight="1">
      <c r="AY524" s="270"/>
      <c r="AZ524" s="271"/>
      <c r="BA524" s="271"/>
      <c r="BB524" s="272"/>
      <c r="DD524" s="270"/>
      <c r="DE524" s="271"/>
      <c r="DF524" s="271"/>
      <c r="DG524" s="272"/>
      <c r="DH524" s="12"/>
      <c r="FK524" s="13"/>
      <c r="FL524" s="270"/>
      <c r="FM524" s="271"/>
      <c r="FN524" s="272"/>
    </row>
    <row r="525" spans="51:363" ht="10.75" customHeight="1">
      <c r="AY525" s="270"/>
      <c r="AZ525" s="271"/>
      <c r="BA525" s="271"/>
      <c r="BB525" s="272"/>
      <c r="DD525" s="270"/>
      <c r="DE525" s="271"/>
      <c r="DF525" s="271"/>
      <c r="DG525" s="272"/>
      <c r="DH525" s="12"/>
      <c r="FK525" s="13"/>
      <c r="FL525" s="270"/>
      <c r="FM525" s="271"/>
      <c r="FN525" s="272"/>
    </row>
    <row r="526" spans="51:363" ht="10.75" customHeight="1">
      <c r="AY526" s="270"/>
      <c r="AZ526" s="271"/>
      <c r="BA526" s="271"/>
      <c r="BB526" s="272"/>
      <c r="DD526" s="270"/>
      <c r="DE526" s="271"/>
      <c r="DF526" s="271"/>
      <c r="DG526" s="272"/>
      <c r="DH526" s="12"/>
      <c r="FK526" s="13"/>
      <c r="FL526" s="270"/>
      <c r="FM526" s="271"/>
      <c r="FN526" s="272"/>
    </row>
    <row r="527" spans="51:363" ht="10.75" customHeight="1">
      <c r="AY527" s="270"/>
      <c r="AZ527" s="271"/>
      <c r="BA527" s="271"/>
      <c r="BB527" s="272"/>
      <c r="DD527" s="270"/>
      <c r="DE527" s="271"/>
      <c r="DF527" s="271"/>
      <c r="DG527" s="272"/>
      <c r="DH527" s="12"/>
      <c r="FK527" s="13"/>
      <c r="FL527" s="270"/>
      <c r="FM527" s="271"/>
      <c r="FN527" s="272"/>
    </row>
    <row r="528" spans="51:363" ht="10.75" customHeight="1">
      <c r="AY528" s="270"/>
      <c r="AZ528" s="271"/>
      <c r="BA528" s="271"/>
      <c r="BB528" s="272"/>
      <c r="DD528" s="270"/>
      <c r="DE528" s="271"/>
      <c r="DF528" s="271"/>
      <c r="DG528" s="272"/>
      <c r="DH528" s="12"/>
      <c r="FK528" s="13"/>
      <c r="FL528" s="270"/>
      <c r="FM528" s="271"/>
      <c r="FN528" s="272"/>
    </row>
    <row r="529" spans="43:398" ht="10.75" customHeight="1">
      <c r="AY529" s="270"/>
      <c r="AZ529" s="271"/>
      <c r="BA529" s="271"/>
      <c r="BB529" s="272"/>
      <c r="DD529" s="270"/>
      <c r="DE529" s="271"/>
      <c r="DF529" s="271"/>
      <c r="DG529" s="272"/>
      <c r="DH529" s="12"/>
      <c r="FK529" s="13"/>
      <c r="FL529" s="270"/>
      <c r="FM529" s="271"/>
      <c r="FN529" s="272"/>
    </row>
    <row r="530" spans="43:398" ht="10.75" customHeight="1">
      <c r="AY530" s="270"/>
      <c r="AZ530" s="271"/>
      <c r="BA530" s="271"/>
      <c r="BB530" s="272"/>
      <c r="DD530" s="270"/>
      <c r="DE530" s="271"/>
      <c r="DF530" s="271"/>
      <c r="DG530" s="272"/>
      <c r="DH530" s="12"/>
      <c r="FK530" s="13"/>
      <c r="FL530" s="270"/>
      <c r="FM530" s="271"/>
      <c r="FN530" s="272"/>
    </row>
    <row r="531" spans="43:398" ht="10.75" customHeight="1">
      <c r="AY531" s="270"/>
      <c r="AZ531" s="271"/>
      <c r="BA531" s="271"/>
      <c r="BB531" s="272"/>
      <c r="DD531" s="270"/>
      <c r="DE531" s="271"/>
      <c r="DF531" s="271"/>
      <c r="DG531" s="272"/>
      <c r="DH531" s="12"/>
      <c r="FK531" s="13"/>
      <c r="FL531" s="270"/>
      <c r="FM531" s="271"/>
      <c r="FN531" s="272"/>
    </row>
    <row r="532" spans="43:398" ht="10.75" customHeight="1">
      <c r="AY532" s="270"/>
      <c r="AZ532" s="271"/>
      <c r="BA532" s="271"/>
      <c r="BB532" s="272"/>
      <c r="DD532" s="270"/>
      <c r="DE532" s="271"/>
      <c r="DF532" s="271"/>
      <c r="DG532" s="272"/>
      <c r="DH532" s="12"/>
      <c r="FK532" s="13"/>
      <c r="FL532" s="270"/>
      <c r="FM532" s="271"/>
      <c r="FN532" s="272"/>
    </row>
    <row r="533" spans="43:398" ht="10.75" customHeight="1">
      <c r="AY533" s="270"/>
      <c r="AZ533" s="271"/>
      <c r="BA533" s="271"/>
      <c r="BB533" s="272"/>
      <c r="DD533" s="270"/>
      <c r="DE533" s="271"/>
      <c r="DF533" s="271"/>
      <c r="DG533" s="272"/>
      <c r="DH533" s="12"/>
      <c r="FK533" s="13"/>
      <c r="FL533" s="270"/>
      <c r="FM533" s="271"/>
      <c r="FN533" s="272"/>
    </row>
    <row r="534" spans="43:398" ht="10.75" customHeight="1">
      <c r="AY534" s="270"/>
      <c r="AZ534" s="271"/>
      <c r="BA534" s="271"/>
      <c r="BB534" s="272"/>
      <c r="DD534" s="270"/>
      <c r="DE534" s="271"/>
      <c r="DF534" s="271"/>
      <c r="DG534" s="272"/>
      <c r="DH534" s="12"/>
      <c r="FK534" s="13"/>
      <c r="FL534" s="270"/>
      <c r="FM534" s="271"/>
      <c r="FN534" s="272"/>
    </row>
    <row r="535" spans="43:398" ht="10.75" customHeight="1">
      <c r="AY535" s="270"/>
      <c r="AZ535" s="271"/>
      <c r="BA535" s="271"/>
      <c r="BB535" s="272"/>
      <c r="DD535" s="270"/>
      <c r="DE535" s="271"/>
      <c r="DF535" s="271"/>
      <c r="DG535" s="272"/>
      <c r="DH535" s="12"/>
      <c r="FK535" s="13"/>
      <c r="FL535" s="270"/>
      <c r="FM535" s="271"/>
      <c r="FN535" s="272"/>
    </row>
    <row r="536" spans="43:398" ht="10.75" customHeight="1">
      <c r="AY536" s="267"/>
      <c r="AZ536" s="268"/>
      <c r="BA536" s="268"/>
      <c r="BB536" s="269"/>
      <c r="DD536" s="267"/>
      <c r="DE536" s="268"/>
      <c r="DF536" s="268"/>
      <c r="DG536" s="269"/>
      <c r="DH536" s="14"/>
      <c r="DI536" s="15"/>
      <c r="DJ536" s="15"/>
      <c r="DK536" s="15"/>
      <c r="DL536" s="15"/>
      <c r="DM536" s="15"/>
      <c r="DN536" s="15"/>
      <c r="DO536" s="15"/>
      <c r="DP536" s="15"/>
      <c r="DQ536" s="15"/>
      <c r="DR536" s="15"/>
      <c r="DS536" s="15"/>
      <c r="DT536" s="15"/>
      <c r="DU536" s="15"/>
      <c r="DV536" s="15"/>
      <c r="DW536" s="15"/>
      <c r="DX536" s="15"/>
      <c r="DY536" s="15"/>
      <c r="DZ536" s="15"/>
      <c r="EA536" s="15"/>
      <c r="EB536" s="15"/>
      <c r="EC536" s="15"/>
      <c r="ED536" s="15"/>
      <c r="EE536" s="15"/>
      <c r="EF536" s="15"/>
      <c r="EG536" s="15"/>
      <c r="EH536" s="15"/>
      <c r="EI536" s="15"/>
      <c r="EJ536" s="15"/>
      <c r="EK536" s="15"/>
      <c r="EL536" s="15"/>
      <c r="EM536" s="15"/>
      <c r="EN536" s="15"/>
      <c r="EO536" s="15"/>
      <c r="EP536" s="15"/>
      <c r="EQ536" s="15"/>
      <c r="ER536" s="15"/>
      <c r="ES536" s="15"/>
      <c r="ET536" s="15"/>
      <c r="EU536" s="15"/>
      <c r="EV536" s="15"/>
      <c r="EW536" s="15"/>
      <c r="EX536" s="15"/>
      <c r="EY536" s="15"/>
      <c r="EZ536" s="15"/>
      <c r="FA536" s="15"/>
      <c r="FB536" s="15"/>
      <c r="FC536" s="15"/>
      <c r="FD536" s="15"/>
      <c r="FE536" s="15"/>
      <c r="FF536" s="15"/>
      <c r="FG536" s="15"/>
      <c r="FH536" s="15"/>
      <c r="FI536" s="15"/>
      <c r="FJ536" s="15"/>
      <c r="FK536" s="16"/>
      <c r="FL536" s="267"/>
      <c r="FM536" s="268"/>
      <c r="FN536" s="269"/>
    </row>
    <row r="537" spans="43:398" ht="10.75" customHeight="1">
      <c r="AQ537" s="10"/>
      <c r="AR537" s="10"/>
      <c r="AS537" s="10"/>
      <c r="AT537" s="10"/>
      <c r="AU537" s="10"/>
      <c r="AV537" s="10"/>
      <c r="AW537" s="10"/>
      <c r="AX537" s="10"/>
      <c r="AY537" s="10"/>
      <c r="AZ537" s="10"/>
      <c r="BA537" s="10"/>
      <c r="BB537" s="10"/>
      <c r="BC537" s="10"/>
      <c r="BD537" s="10"/>
      <c r="BE537" s="10"/>
      <c r="BF537" s="10"/>
      <c r="BG537" s="10"/>
      <c r="BH537" s="10"/>
      <c r="BI537" s="10"/>
      <c r="BJ537" s="10"/>
      <c r="BK537" s="10"/>
      <c r="BL537" s="10"/>
      <c r="BM537" s="10"/>
      <c r="BN537" s="10"/>
      <c r="BO537" s="10"/>
      <c r="BP537" s="10"/>
      <c r="BQ537" s="10"/>
      <c r="BR537" s="10"/>
      <c r="BS537" s="10"/>
      <c r="BT537" s="10"/>
      <c r="BU537" s="10"/>
      <c r="BV537" s="10"/>
      <c r="BW537" s="10"/>
      <c r="BX537" s="10"/>
      <c r="BY537" s="10"/>
      <c r="BZ537" s="10"/>
      <c r="CA537" s="10"/>
      <c r="CB537" s="10"/>
      <c r="CC537" s="10"/>
      <c r="CD537" s="10"/>
      <c r="CE537" s="10"/>
      <c r="CF537" s="10"/>
      <c r="CG537" s="10"/>
      <c r="CH537" s="10"/>
      <c r="CI537" s="10"/>
      <c r="CJ537" s="10"/>
      <c r="CK537" s="10"/>
      <c r="CL537" s="10"/>
      <c r="CM537" s="10"/>
      <c r="CN537" s="10"/>
      <c r="CO537" s="10"/>
      <c r="CP537" s="10"/>
      <c r="CQ537" s="10"/>
      <c r="CR537" s="10"/>
      <c r="CS537" s="10"/>
      <c r="CT537" s="10"/>
      <c r="CU537" s="10"/>
      <c r="CV537" s="10"/>
      <c r="CW537" s="10"/>
      <c r="CX537" s="10"/>
      <c r="CY537" s="10"/>
      <c r="CZ537" s="10"/>
      <c r="DA537" s="10"/>
      <c r="DB537" s="10"/>
      <c r="DC537" s="10"/>
      <c r="DD537" s="10"/>
      <c r="DE537" s="10"/>
      <c r="DF537" s="10"/>
      <c r="DG537" s="10"/>
      <c r="DH537" s="10"/>
      <c r="DI537" s="10"/>
      <c r="DJ537" s="10"/>
      <c r="DK537" s="10"/>
      <c r="DL537" s="10"/>
      <c r="DM537" s="10"/>
      <c r="DN537" s="10"/>
      <c r="DO537" s="10"/>
      <c r="DP537" s="10"/>
      <c r="DQ537" s="10"/>
      <c r="DR537" s="10"/>
      <c r="DS537" s="10"/>
      <c r="DT537" s="10"/>
      <c r="DU537" s="10"/>
      <c r="DV537" s="10"/>
      <c r="DW537" s="10"/>
      <c r="DX537" s="10"/>
      <c r="DY537" s="10"/>
      <c r="DZ537" s="10"/>
      <c r="EA537" s="10"/>
      <c r="EB537" s="10"/>
      <c r="EC537" s="10"/>
      <c r="ED537" s="10"/>
      <c r="EE537" s="10"/>
      <c r="EF537" s="10"/>
      <c r="EG537" s="10"/>
      <c r="EH537" s="10"/>
      <c r="EI537" s="10"/>
      <c r="EJ537" s="10"/>
      <c r="EK537" s="10"/>
      <c r="EL537" s="10"/>
      <c r="EM537" s="10"/>
      <c r="EN537" s="10"/>
      <c r="EO537" s="10"/>
      <c r="EP537" s="10"/>
      <c r="EQ537" s="10"/>
      <c r="ER537" s="10"/>
      <c r="ES537" s="10"/>
      <c r="ET537" s="10"/>
      <c r="EU537" s="10"/>
      <c r="EV537" s="10"/>
      <c r="EW537" s="10"/>
      <c r="EX537" s="10"/>
      <c r="EY537" s="10"/>
      <c r="EZ537" s="10"/>
      <c r="FA537" s="10"/>
      <c r="FB537" s="10"/>
      <c r="FC537" s="10"/>
      <c r="FD537" s="10"/>
      <c r="FE537" s="10"/>
      <c r="FF537" s="10"/>
      <c r="FG537" s="10"/>
      <c r="FH537" s="10"/>
      <c r="FI537" s="10"/>
      <c r="FJ537" s="10"/>
      <c r="FK537" s="10"/>
      <c r="FL537" s="10"/>
      <c r="FM537" s="10"/>
      <c r="FN537" s="10"/>
      <c r="FO537" s="10"/>
      <c r="FP537" s="10"/>
      <c r="FQ537" s="10"/>
      <c r="FR537" s="10"/>
      <c r="FS537" s="10"/>
      <c r="FT537" s="10"/>
      <c r="FU537" s="10"/>
      <c r="FV537" s="10"/>
      <c r="FW537" s="10"/>
      <c r="FX537" s="10"/>
      <c r="FY537" s="10"/>
      <c r="FZ537" s="10"/>
      <c r="GA537" s="10"/>
      <c r="GB537" s="10"/>
      <c r="GC537" s="10"/>
      <c r="GD537" s="10"/>
    </row>
    <row r="543" spans="43:398" ht="10.75" customHeight="1">
      <c r="NL543" s="245"/>
      <c r="NM543" s="245"/>
      <c r="NN543" s="245"/>
      <c r="NO543" s="245"/>
      <c r="NP543" s="245"/>
      <c r="NQ543" s="245"/>
      <c r="NR543" s="245"/>
      <c r="NS543" s="245"/>
      <c r="NT543" s="245"/>
      <c r="NU543" s="245"/>
      <c r="NV543" s="245"/>
      <c r="NW543" s="245"/>
      <c r="NX543" s="245"/>
      <c r="NY543" s="245"/>
      <c r="NZ543" s="245"/>
      <c r="OA543" s="245"/>
      <c r="OB543" s="245"/>
      <c r="OC543" s="245"/>
      <c r="OD543" s="245"/>
      <c r="OE543" s="245"/>
      <c r="OF543" s="245"/>
      <c r="OG543" s="245"/>
      <c r="OH543" s="245"/>
    </row>
    <row r="544" spans="43:398" ht="10.75" customHeight="1">
      <c r="AQ544" s="15"/>
      <c r="AR544" s="15"/>
      <c r="AS544" s="15"/>
      <c r="AT544" s="15"/>
      <c r="AU544" s="15"/>
      <c r="AV544" s="15"/>
      <c r="AW544" s="15"/>
      <c r="AX544" s="15"/>
      <c r="AY544" s="15"/>
      <c r="AZ544" s="15"/>
      <c r="BA544" s="15"/>
      <c r="BB544" s="15"/>
      <c r="BC544" s="15"/>
      <c r="BD544" s="15"/>
      <c r="BE544" s="15"/>
      <c r="BF544" s="15"/>
      <c r="BG544" s="15"/>
      <c r="BH544" s="15"/>
      <c r="BI544" s="15"/>
      <c r="BJ544" s="15"/>
      <c r="BK544" s="15"/>
      <c r="BL544" s="15"/>
      <c r="BM544" s="15"/>
      <c r="BN544" s="15"/>
      <c r="BO544" s="15"/>
      <c r="BP544" s="15"/>
      <c r="BQ544" s="15"/>
      <c r="BR544" s="15"/>
      <c r="BS544" s="15"/>
      <c r="BT544" s="15"/>
      <c r="BU544" s="15"/>
      <c r="BV544" s="15"/>
      <c r="BW544" s="15"/>
      <c r="BX544" s="15"/>
      <c r="BY544" s="15"/>
      <c r="BZ544" s="15"/>
      <c r="CA544" s="15"/>
      <c r="CB544" s="15"/>
      <c r="CC544" s="15"/>
      <c r="CD544" s="15"/>
      <c r="CE544" s="15"/>
      <c r="CF544" s="15"/>
      <c r="CG544" s="15"/>
      <c r="CH544" s="15"/>
      <c r="CI544" s="15"/>
      <c r="CJ544" s="15"/>
      <c r="CK544" s="15"/>
      <c r="CL544" s="15"/>
      <c r="CM544" s="15"/>
      <c r="CN544" s="15"/>
      <c r="CO544" s="15"/>
      <c r="CP544" s="15"/>
      <c r="CQ544" s="15"/>
      <c r="CR544" s="15"/>
      <c r="CS544" s="15"/>
      <c r="CT544" s="15"/>
      <c r="CU544" s="15"/>
      <c r="CV544" s="15"/>
      <c r="CW544" s="15"/>
      <c r="CX544" s="15"/>
      <c r="CY544" s="15"/>
      <c r="CZ544" s="15"/>
      <c r="DA544" s="15"/>
      <c r="DB544" s="15"/>
      <c r="DC544" s="15"/>
      <c r="DD544" s="15"/>
      <c r="DE544" s="15"/>
      <c r="DF544" s="15"/>
      <c r="DG544" s="15"/>
      <c r="DH544" s="15"/>
      <c r="DI544" s="15"/>
      <c r="DJ544" s="15"/>
      <c r="DK544" s="15"/>
      <c r="DL544" s="15"/>
      <c r="DM544" s="15"/>
      <c r="DN544" s="15"/>
      <c r="DO544" s="15"/>
      <c r="DP544" s="15"/>
      <c r="DQ544" s="15"/>
      <c r="DR544" s="15"/>
      <c r="DS544" s="15"/>
      <c r="DT544" s="15"/>
      <c r="DU544" s="15"/>
      <c r="DV544" s="15"/>
      <c r="DW544" s="15"/>
      <c r="DX544" s="15"/>
      <c r="DY544" s="15"/>
      <c r="DZ544" s="15"/>
      <c r="EA544" s="15"/>
      <c r="EB544" s="15"/>
      <c r="EC544" s="15"/>
      <c r="ED544" s="15"/>
      <c r="EE544" s="15"/>
      <c r="EF544" s="15"/>
      <c r="EG544" s="15"/>
      <c r="EH544" s="15"/>
      <c r="EI544" s="15"/>
      <c r="EJ544" s="15"/>
      <c r="EK544" s="15"/>
      <c r="EL544" s="15"/>
      <c r="EM544" s="15"/>
      <c r="EN544" s="15"/>
      <c r="EO544" s="15"/>
      <c r="EP544" s="15"/>
      <c r="EQ544" s="15"/>
      <c r="ER544" s="15"/>
      <c r="ES544" s="15"/>
      <c r="ET544" s="15"/>
      <c r="EU544" s="15"/>
      <c r="EV544" s="15"/>
      <c r="EW544" s="15"/>
      <c r="EX544" s="15"/>
      <c r="EY544" s="15"/>
      <c r="EZ544" s="15"/>
      <c r="FA544" s="15"/>
      <c r="FB544" s="15"/>
      <c r="FC544" s="15"/>
      <c r="FD544" s="15"/>
      <c r="FE544" s="15"/>
      <c r="FF544" s="15"/>
      <c r="FG544" s="15"/>
      <c r="FH544" s="15"/>
      <c r="FI544" s="15"/>
      <c r="FJ544" s="15"/>
      <c r="FK544" s="15"/>
      <c r="FL544" s="15"/>
      <c r="FM544" s="15"/>
      <c r="FN544" s="15"/>
      <c r="FO544" s="15"/>
      <c r="FP544" s="15"/>
      <c r="FQ544" s="15"/>
      <c r="FR544" s="15"/>
      <c r="FS544" s="15"/>
      <c r="FT544" s="15"/>
      <c r="FU544" s="15"/>
      <c r="FV544" s="15"/>
      <c r="FW544" s="15"/>
      <c r="FX544" s="15"/>
      <c r="FY544" s="15"/>
      <c r="FZ544" s="15"/>
      <c r="GA544" s="15"/>
      <c r="GB544" s="15"/>
      <c r="GC544" s="15"/>
      <c r="GD544" s="15"/>
      <c r="NL544" s="245"/>
      <c r="NM544" s="245"/>
      <c r="NN544" s="245"/>
      <c r="NO544" s="245"/>
      <c r="NP544" s="245"/>
      <c r="NQ544" s="245"/>
      <c r="NR544" s="245"/>
      <c r="NS544" s="245"/>
      <c r="NT544" s="245"/>
      <c r="NU544" s="245"/>
      <c r="NV544" s="245"/>
      <c r="NW544" s="245"/>
      <c r="NX544" s="245"/>
      <c r="NY544" s="245"/>
      <c r="NZ544" s="245"/>
      <c r="OA544" s="245"/>
      <c r="OB544" s="245"/>
      <c r="OC544" s="245"/>
      <c r="OD544" s="245"/>
      <c r="OE544" s="245"/>
      <c r="OF544" s="245"/>
      <c r="OG544" s="245"/>
      <c r="OH544" s="245"/>
    </row>
    <row r="545" spans="376:398" ht="10.75" customHeight="1">
      <c r="NL545" s="245"/>
      <c r="NM545" s="245"/>
      <c r="NN545" s="245"/>
      <c r="NO545" s="245"/>
      <c r="NP545" s="245"/>
      <c r="NQ545" s="245"/>
      <c r="NR545" s="245"/>
      <c r="NS545" s="245"/>
      <c r="NT545" s="245"/>
      <c r="NU545" s="245"/>
      <c r="NV545" s="245"/>
      <c r="NW545" s="245"/>
      <c r="NX545" s="245"/>
      <c r="NY545" s="245"/>
      <c r="NZ545" s="245"/>
      <c r="OA545" s="245"/>
      <c r="OB545" s="245"/>
      <c r="OC545" s="245"/>
      <c r="OD545" s="245"/>
      <c r="OE545" s="245"/>
      <c r="OF545" s="245"/>
      <c r="OG545" s="245"/>
      <c r="OH545" s="245"/>
    </row>
    <row r="546" spans="376:398" ht="10.75" customHeight="1">
      <c r="NL546" s="245"/>
      <c r="NM546" s="245"/>
      <c r="NN546" s="245"/>
      <c r="NO546" s="245"/>
      <c r="NP546" s="245"/>
      <c r="NQ546" s="245"/>
      <c r="NR546" s="245"/>
      <c r="NS546" s="245"/>
      <c r="NT546" s="245"/>
      <c r="NU546" s="245"/>
      <c r="NV546" s="245"/>
      <c r="NW546" s="245"/>
      <c r="NX546" s="245"/>
      <c r="NY546" s="245"/>
      <c r="NZ546" s="245"/>
      <c r="OA546" s="245"/>
      <c r="OB546" s="245"/>
      <c r="OC546" s="245"/>
      <c r="OD546" s="245"/>
      <c r="OE546" s="245"/>
      <c r="OF546" s="245"/>
      <c r="OG546" s="245"/>
      <c r="OH546" s="245"/>
    </row>
    <row r="547" spans="376:398" ht="10.75" customHeight="1">
      <c r="NL547" s="245"/>
      <c r="NM547" s="245"/>
      <c r="NN547" s="245"/>
      <c r="NO547" s="245"/>
      <c r="NP547" s="245"/>
      <c r="NQ547" s="245"/>
      <c r="NR547" s="245"/>
      <c r="NS547" s="245"/>
      <c r="NT547" s="245"/>
      <c r="NU547" s="245"/>
      <c r="NV547" s="245"/>
      <c r="NW547" s="245"/>
      <c r="NX547" s="245"/>
      <c r="NY547" s="245"/>
      <c r="NZ547" s="245"/>
      <c r="OA547" s="245"/>
      <c r="OB547" s="245"/>
      <c r="OC547" s="245"/>
      <c r="OD547" s="245"/>
      <c r="OE547" s="245"/>
      <c r="OF547" s="245"/>
      <c r="OG547" s="245"/>
      <c r="OH547" s="245"/>
    </row>
    <row r="548" spans="376:398" ht="10.75" customHeight="1">
      <c r="NL548" s="245"/>
      <c r="NM548" s="245"/>
      <c r="NN548" s="245"/>
      <c r="NO548" s="245"/>
      <c r="NP548" s="245"/>
      <c r="NQ548" s="245"/>
      <c r="NR548" s="245"/>
      <c r="NS548" s="245"/>
      <c r="NT548" s="245"/>
      <c r="NU548" s="245"/>
      <c r="NV548" s="245"/>
      <c r="NW548" s="245"/>
      <c r="NX548" s="245"/>
      <c r="NY548" s="245"/>
      <c r="NZ548" s="245"/>
      <c r="OA548" s="245"/>
      <c r="OB548" s="245"/>
      <c r="OC548" s="245"/>
      <c r="OD548" s="245"/>
      <c r="OE548" s="245"/>
      <c r="OF548" s="245"/>
      <c r="OG548" s="245"/>
      <c r="OH548" s="245"/>
    </row>
    <row r="549" spans="376:398" ht="10.75" customHeight="1">
      <c r="NL549" s="245"/>
      <c r="NM549" s="245"/>
      <c r="NN549" s="245"/>
      <c r="NO549" s="245"/>
      <c r="NP549" s="245"/>
      <c r="NQ549" s="245"/>
      <c r="NR549" s="245"/>
      <c r="NS549" s="245"/>
      <c r="NT549" s="245"/>
      <c r="NU549" s="245"/>
      <c r="NV549" s="245"/>
      <c r="NW549" s="245"/>
      <c r="NX549" s="245"/>
      <c r="NY549" s="245"/>
      <c r="NZ549" s="245"/>
      <c r="OA549" s="245"/>
      <c r="OB549" s="245"/>
      <c r="OC549" s="245"/>
      <c r="OD549" s="245"/>
      <c r="OE549" s="245"/>
      <c r="OF549" s="245"/>
      <c r="OG549" s="245"/>
      <c r="OH549" s="245"/>
    </row>
    <row r="550" spans="376:398" ht="10.75" customHeight="1">
      <c r="NL550" s="245"/>
      <c r="NM550" s="245"/>
      <c r="NN550" s="245"/>
      <c r="NO550" s="245"/>
      <c r="NP550" s="245"/>
      <c r="NQ550" s="245"/>
      <c r="NR550" s="245"/>
      <c r="NS550" s="245"/>
      <c r="NT550" s="245"/>
      <c r="NU550" s="245"/>
      <c r="NV550" s="245"/>
      <c r="NW550" s="245"/>
      <c r="NX550" s="245"/>
      <c r="NY550" s="245"/>
      <c r="NZ550" s="245"/>
      <c r="OA550" s="245"/>
      <c r="OB550" s="245"/>
      <c r="OC550" s="245"/>
      <c r="OD550" s="245"/>
      <c r="OE550" s="245"/>
      <c r="OF550" s="245"/>
      <c r="OG550" s="245"/>
      <c r="OH550" s="245"/>
    </row>
    <row r="551" spans="376:398" ht="10.75" customHeight="1">
      <c r="NL551" s="245"/>
      <c r="NM551" s="245"/>
      <c r="NN551" s="245"/>
      <c r="NO551" s="245"/>
      <c r="NP551" s="245"/>
      <c r="NQ551" s="245"/>
      <c r="NR551" s="245"/>
      <c r="NS551" s="245"/>
      <c r="NT551" s="245"/>
      <c r="NU551" s="245"/>
      <c r="NV551" s="245"/>
      <c r="NW551" s="245"/>
      <c r="NX551" s="245"/>
      <c r="NY551" s="245"/>
      <c r="NZ551" s="245"/>
      <c r="OA551" s="245"/>
      <c r="OB551" s="245"/>
      <c r="OC551" s="245"/>
      <c r="OD551" s="245"/>
      <c r="OE551" s="245"/>
      <c r="OF551" s="245"/>
      <c r="OG551" s="245"/>
      <c r="OH551" s="245"/>
    </row>
    <row r="552" spans="376:398" ht="10.75" customHeight="1">
      <c r="NL552" s="245"/>
      <c r="NM552" s="245"/>
      <c r="NN552" s="245"/>
      <c r="NO552" s="245"/>
      <c r="NP552" s="245"/>
      <c r="NQ552" s="245"/>
      <c r="NR552" s="245"/>
      <c r="NS552" s="245"/>
      <c r="NT552" s="245"/>
      <c r="NU552" s="245"/>
      <c r="NV552" s="245"/>
      <c r="NW552" s="245"/>
      <c r="NX552" s="245"/>
      <c r="NY552" s="245"/>
      <c r="NZ552" s="245"/>
      <c r="OA552" s="245"/>
      <c r="OB552" s="245"/>
      <c r="OC552" s="245"/>
      <c r="OD552" s="245"/>
      <c r="OE552" s="245"/>
      <c r="OF552" s="245"/>
      <c r="OG552" s="245"/>
      <c r="OH552" s="245"/>
    </row>
    <row r="576" spans="214:312" ht="10.75" customHeight="1">
      <c r="HF576" s="291"/>
      <c r="JB576" s="291"/>
      <c r="JD576" s="291"/>
      <c r="KZ576" s="291"/>
    </row>
    <row r="577" spans="34:326" ht="10.75" customHeight="1">
      <c r="HF577" s="293"/>
      <c r="HG577" s="294"/>
      <c r="HH577" s="294"/>
      <c r="HI577" s="294"/>
      <c r="HJ577" s="294"/>
      <c r="HK577" s="294"/>
      <c r="HL577" s="294"/>
      <c r="HM577" s="294"/>
      <c r="HN577" s="294"/>
      <c r="HO577" s="294"/>
      <c r="HP577" s="294"/>
      <c r="HQ577" s="294"/>
      <c r="HR577" s="294"/>
      <c r="HS577" s="294"/>
      <c r="HT577" s="294"/>
      <c r="HU577" s="294"/>
      <c r="HV577" s="294"/>
      <c r="HW577" s="294"/>
      <c r="HX577" s="294"/>
      <c r="HY577" s="294"/>
      <c r="HZ577" s="294"/>
      <c r="IA577" s="294"/>
      <c r="IB577" s="294"/>
      <c r="IC577" s="294"/>
      <c r="ID577" s="294"/>
      <c r="IE577" s="294"/>
      <c r="IF577" s="294"/>
      <c r="IG577" s="294"/>
      <c r="IH577" s="294"/>
      <c r="II577" s="294"/>
      <c r="IJ577" s="294"/>
      <c r="IK577" s="294"/>
      <c r="IL577" s="294"/>
      <c r="IM577" s="294"/>
      <c r="IN577" s="294"/>
      <c r="IO577" s="294"/>
      <c r="IP577" s="294"/>
      <c r="IQ577" s="294"/>
      <c r="IR577" s="294"/>
      <c r="IS577" s="294"/>
      <c r="IT577" s="294"/>
      <c r="IU577" s="294"/>
      <c r="IV577" s="294"/>
      <c r="IW577" s="294"/>
      <c r="IX577" s="294"/>
      <c r="IY577" s="294"/>
      <c r="IZ577" s="294"/>
      <c r="JA577" s="294"/>
      <c r="JB577" s="291"/>
      <c r="JD577" s="293"/>
      <c r="JE577" s="294"/>
      <c r="JF577" s="294"/>
      <c r="JG577" s="294"/>
      <c r="JH577" s="294"/>
      <c r="JI577" s="294"/>
      <c r="JJ577" s="294"/>
      <c r="JK577" s="294"/>
      <c r="JL577" s="294"/>
      <c r="JM577" s="294"/>
      <c r="JN577" s="294"/>
      <c r="JO577" s="294"/>
      <c r="JP577" s="294"/>
      <c r="JQ577" s="294"/>
      <c r="JR577" s="294"/>
      <c r="JS577" s="294"/>
      <c r="JT577" s="294"/>
      <c r="JU577" s="294"/>
      <c r="JV577" s="294"/>
      <c r="JW577" s="294"/>
      <c r="JX577" s="294"/>
      <c r="JY577" s="294"/>
      <c r="JZ577" s="294"/>
      <c r="KA577" s="294"/>
      <c r="KB577" s="294"/>
      <c r="KC577" s="294"/>
      <c r="KD577" s="294"/>
      <c r="KE577" s="294"/>
      <c r="KF577" s="294"/>
      <c r="KG577" s="294"/>
      <c r="KH577" s="294"/>
      <c r="KI577" s="294"/>
      <c r="KJ577" s="294"/>
      <c r="KK577" s="294"/>
      <c r="KL577" s="294"/>
      <c r="KM577" s="294"/>
      <c r="KN577" s="294"/>
      <c r="KO577" s="294"/>
      <c r="KP577" s="294"/>
      <c r="KQ577" s="294"/>
      <c r="KR577" s="294"/>
      <c r="KS577" s="294"/>
      <c r="KT577" s="294"/>
      <c r="KU577" s="294"/>
      <c r="KV577" s="294"/>
      <c r="KW577" s="294"/>
      <c r="KX577" s="294"/>
      <c r="KY577" s="294"/>
      <c r="KZ577" s="291"/>
    </row>
    <row r="578" spans="34:326" ht="10.75" customHeight="1">
      <c r="HF578" s="291"/>
      <c r="JB578" s="291"/>
      <c r="JD578" s="291"/>
      <c r="KZ578" s="291"/>
    </row>
    <row r="579" spans="34:326" ht="10.75" customHeight="1">
      <c r="HF579" s="291"/>
      <c r="JB579" s="291"/>
      <c r="JD579" s="291"/>
      <c r="KZ579" s="291"/>
    </row>
    <row r="580" spans="34:326" ht="10.75" customHeight="1">
      <c r="LM580" s="294"/>
      <c r="LN580" s="294"/>
    </row>
    <row r="581" spans="34:326" ht="10.75" customHeight="1">
      <c r="AR581" s="57"/>
      <c r="AS581" s="57"/>
      <c r="AT581" s="57"/>
      <c r="AU581" s="41"/>
      <c r="AV581" s="41"/>
      <c r="AW581" s="41"/>
      <c r="AX581" s="41"/>
      <c r="AY581" s="41"/>
      <c r="AZ581" s="41"/>
      <c r="BA581" s="41"/>
      <c r="BB581" s="41"/>
      <c r="BC581" s="41"/>
      <c r="BD581" s="41"/>
      <c r="BE581" s="41"/>
      <c r="BF581" s="41"/>
      <c r="BG581" s="41"/>
      <c r="BH581" s="41"/>
      <c r="BI581" s="41"/>
      <c r="BJ581" s="41"/>
      <c r="BK581" s="41"/>
      <c r="BL581" s="41"/>
      <c r="BM581" s="41"/>
      <c r="BN581" s="41"/>
      <c r="BO581" s="41"/>
      <c r="BP581" s="41"/>
      <c r="BQ581" s="41"/>
      <c r="BR581" s="41"/>
      <c r="BS581" s="41"/>
      <c r="BT581" s="41"/>
      <c r="BU581" s="41"/>
      <c r="BV581" s="41"/>
      <c r="BW581" s="41"/>
      <c r="BX581" s="41"/>
      <c r="BY581" s="41"/>
      <c r="BZ581" s="41"/>
      <c r="CA581" s="41"/>
      <c r="CB581" s="41"/>
      <c r="CC581" s="41"/>
      <c r="CD581" s="41"/>
      <c r="CE581" s="41"/>
      <c r="CF581" s="41"/>
      <c r="CG581" s="41"/>
      <c r="CH581" s="41"/>
      <c r="CI581" s="41"/>
      <c r="CJ581" s="41"/>
      <c r="CK581" s="41"/>
      <c r="CL581" s="41"/>
      <c r="CM581" s="41"/>
      <c r="CN581" s="41"/>
      <c r="CO581" s="41"/>
      <c r="CP581" s="41"/>
      <c r="CQ581" s="41"/>
      <c r="CR581" s="41"/>
      <c r="CS581" s="41"/>
      <c r="CT581" s="41"/>
      <c r="CU581" s="57"/>
      <c r="CV581" s="57"/>
      <c r="CW581" s="57"/>
      <c r="CX581" s="57"/>
      <c r="CY581" s="41"/>
      <c r="CZ581" s="41"/>
      <c r="DA581" s="41"/>
      <c r="DB581" s="41"/>
      <c r="DC581" s="41"/>
      <c r="DD581" s="41"/>
      <c r="DE581" s="41"/>
      <c r="DF581" s="41"/>
      <c r="DG581" s="41"/>
      <c r="DH581" s="41"/>
      <c r="DI581" s="41"/>
      <c r="DJ581" s="41"/>
      <c r="DK581" s="41"/>
      <c r="DL581" s="41"/>
      <c r="DM581" s="41"/>
      <c r="DN581" s="41"/>
      <c r="DO581" s="41"/>
      <c r="DP581" s="41"/>
      <c r="DQ581" s="41"/>
      <c r="DR581" s="41"/>
      <c r="DS581" s="41"/>
      <c r="DT581" s="41"/>
      <c r="DU581" s="41"/>
      <c r="DV581" s="41"/>
      <c r="DW581" s="41"/>
      <c r="DX581" s="41"/>
      <c r="DY581" s="41"/>
      <c r="DZ581" s="41"/>
      <c r="EA581" s="41"/>
      <c r="EB581" s="41"/>
      <c r="EC581" s="41"/>
      <c r="ED581" s="41"/>
      <c r="EE581" s="41"/>
      <c r="EF581" s="41"/>
      <c r="EG581" s="41"/>
      <c r="EH581" s="41"/>
      <c r="EI581" s="41"/>
      <c r="EJ581" s="41"/>
      <c r="EK581" s="41"/>
      <c r="EL581" s="41"/>
      <c r="EM581" s="41"/>
      <c r="EN581" s="41"/>
      <c r="EO581" s="41"/>
      <c r="EP581" s="41"/>
      <c r="EQ581" s="41"/>
      <c r="ER581" s="41"/>
      <c r="ES581" s="41"/>
      <c r="ET581" s="41"/>
      <c r="EU581" s="41"/>
      <c r="EV581" s="41"/>
      <c r="EW581" s="41"/>
      <c r="EX581" s="57"/>
      <c r="EY581" s="57"/>
      <c r="EZ581" s="57"/>
      <c r="FA581" s="58"/>
      <c r="FX581" s="10"/>
      <c r="FY581" s="10"/>
      <c r="FZ581" s="10"/>
      <c r="GA581" s="10"/>
      <c r="GB581" s="10"/>
      <c r="GC581" s="10"/>
      <c r="HC581" s="56"/>
      <c r="HD581" s="57"/>
      <c r="HE581" s="57"/>
      <c r="HF581" s="58"/>
      <c r="HG581" s="41"/>
      <c r="HH581" s="41"/>
      <c r="HI581" s="41"/>
      <c r="HJ581" s="41"/>
      <c r="HK581" s="41"/>
      <c r="HL581" s="41"/>
      <c r="HM581" s="41"/>
      <c r="HN581" s="41"/>
      <c r="HO581" s="41"/>
      <c r="HP581" s="41"/>
      <c r="HQ581" s="41"/>
      <c r="HR581" s="41"/>
      <c r="HS581" s="41"/>
      <c r="HT581" s="41"/>
      <c r="HU581" s="41"/>
      <c r="HV581" s="41"/>
      <c r="HW581" s="41"/>
      <c r="HX581" s="41"/>
      <c r="HY581" s="41"/>
      <c r="HZ581" s="41"/>
      <c r="IA581" s="41"/>
      <c r="IB581" s="41"/>
      <c r="IC581" s="41"/>
      <c r="ID581" s="41"/>
      <c r="IE581" s="41"/>
      <c r="IF581" s="41"/>
      <c r="IG581" s="41"/>
      <c r="IH581" s="41"/>
      <c r="II581" s="41"/>
      <c r="IJ581" s="41"/>
      <c r="IK581" s="41"/>
      <c r="IL581" s="41"/>
      <c r="IM581" s="41"/>
      <c r="IN581" s="41"/>
      <c r="IO581" s="41"/>
      <c r="IP581" s="41"/>
      <c r="IQ581" s="41"/>
      <c r="IR581" s="41"/>
      <c r="IS581" s="41"/>
      <c r="IT581" s="41"/>
      <c r="IU581" s="41"/>
      <c r="IV581" s="41"/>
      <c r="IW581" s="41"/>
      <c r="IX581" s="41"/>
      <c r="IY581" s="41"/>
      <c r="IZ581" s="41"/>
      <c r="JA581" s="56"/>
      <c r="JB581" s="57"/>
      <c r="JC581" s="57"/>
      <c r="JD581" s="58"/>
      <c r="JE581" s="41"/>
      <c r="JF581" s="41"/>
      <c r="JG581" s="41"/>
      <c r="JH581" s="41"/>
      <c r="JI581" s="41"/>
      <c r="JJ581" s="41"/>
      <c r="JK581" s="41"/>
      <c r="JL581" s="41"/>
      <c r="JM581" s="41"/>
      <c r="JN581" s="41"/>
      <c r="JO581" s="41"/>
      <c r="JP581" s="41"/>
      <c r="JQ581" s="41"/>
      <c r="JR581" s="41"/>
      <c r="JS581" s="41"/>
      <c r="JT581" s="41"/>
      <c r="JU581" s="41"/>
      <c r="JV581" s="41"/>
      <c r="JW581" s="41"/>
      <c r="JX581" s="41"/>
      <c r="JY581" s="41"/>
      <c r="JZ581" s="41"/>
      <c r="KA581" s="41"/>
      <c r="KB581" s="41"/>
      <c r="KC581" s="41"/>
      <c r="KD581" s="41"/>
      <c r="KE581" s="41"/>
      <c r="KF581" s="41"/>
      <c r="KG581" s="41"/>
      <c r="KH581" s="41"/>
      <c r="KI581" s="41"/>
      <c r="KJ581" s="41"/>
      <c r="KK581" s="41"/>
      <c r="KL581" s="41"/>
      <c r="KM581" s="41"/>
      <c r="KN581" s="41"/>
      <c r="KO581" s="41"/>
      <c r="KP581" s="41"/>
      <c r="KQ581" s="41"/>
      <c r="KR581" s="41"/>
      <c r="KS581" s="41"/>
      <c r="KT581" s="41"/>
      <c r="KU581" s="41"/>
      <c r="KV581" s="41"/>
      <c r="KW581" s="41"/>
      <c r="KX581" s="41"/>
      <c r="KY581" s="41"/>
      <c r="KZ581" s="56"/>
      <c r="LA581" s="57"/>
      <c r="LB581" s="58"/>
      <c r="LN581" s="291"/>
    </row>
    <row r="582" spans="34:326" ht="10.75" customHeight="1">
      <c r="AR582" s="97"/>
      <c r="AS582" s="97"/>
      <c r="AT582" s="97"/>
      <c r="AU582" s="43"/>
      <c r="AV582" s="43"/>
      <c r="AW582" s="43"/>
      <c r="AX582" s="43"/>
      <c r="AY582" s="43"/>
      <c r="AZ582" s="43"/>
      <c r="BA582" s="43"/>
      <c r="BB582" s="43"/>
      <c r="BC582" s="43"/>
      <c r="BD582" s="43"/>
      <c r="BE582" s="43"/>
      <c r="BF582" s="43"/>
      <c r="BG582" s="43"/>
      <c r="BH582" s="43"/>
      <c r="BI582" s="43"/>
      <c r="BJ582" s="43"/>
      <c r="BK582" s="43"/>
      <c r="BL582" s="43"/>
      <c r="BM582" s="43"/>
      <c r="BN582" s="43"/>
      <c r="BO582" s="43"/>
      <c r="BP582" s="43"/>
      <c r="BQ582" s="43"/>
      <c r="BR582" s="43"/>
      <c r="BS582" s="43"/>
      <c r="BT582" s="43"/>
      <c r="BU582" s="43"/>
      <c r="BV582" s="43"/>
      <c r="BW582" s="43"/>
      <c r="BX582" s="43"/>
      <c r="BY582" s="43"/>
      <c r="BZ582" s="43"/>
      <c r="CA582" s="43"/>
      <c r="CB582" s="43"/>
      <c r="CC582" s="43"/>
      <c r="CD582" s="43"/>
      <c r="CE582" s="43"/>
      <c r="CF582" s="43"/>
      <c r="CG582" s="43"/>
      <c r="CH582" s="43"/>
      <c r="CI582" s="43"/>
      <c r="CJ582" s="43"/>
      <c r="CK582" s="43"/>
      <c r="CL582" s="43"/>
      <c r="CM582" s="43"/>
      <c r="CN582" s="43"/>
      <c r="CO582" s="43"/>
      <c r="CP582" s="43"/>
      <c r="CQ582" s="43"/>
      <c r="CR582" s="43"/>
      <c r="CS582" s="43"/>
      <c r="CT582" s="43"/>
      <c r="CU582" s="97"/>
      <c r="CV582" s="97"/>
      <c r="CW582" s="97"/>
      <c r="CX582" s="97"/>
      <c r="CY582" s="43"/>
      <c r="CZ582" s="43"/>
      <c r="DA582" s="43"/>
      <c r="DB582" s="43"/>
      <c r="DC582" s="43"/>
      <c r="DD582" s="43"/>
      <c r="DE582" s="43"/>
      <c r="DF582" s="43"/>
      <c r="DG582" s="43"/>
      <c r="DH582" s="43"/>
      <c r="DI582" s="43"/>
      <c r="DJ582" s="43"/>
      <c r="DK582" s="43"/>
      <c r="DL582" s="43"/>
      <c r="DM582" s="43"/>
      <c r="DN582" s="43"/>
      <c r="DO582" s="43"/>
      <c r="DP582" s="43"/>
      <c r="DQ582" s="43"/>
      <c r="DR582" s="43"/>
      <c r="DS582" s="43"/>
      <c r="DT582" s="43"/>
      <c r="DU582" s="43"/>
      <c r="DV582" s="43"/>
      <c r="DW582" s="43"/>
      <c r="DX582" s="43"/>
      <c r="DY582" s="43"/>
      <c r="DZ582" s="43"/>
      <c r="EA582" s="43"/>
      <c r="EB582" s="43"/>
      <c r="EC582" s="43"/>
      <c r="ED582" s="43"/>
      <c r="EE582" s="43"/>
      <c r="EF582" s="43"/>
      <c r="EG582" s="43"/>
      <c r="EH582" s="43"/>
      <c r="EI582" s="43"/>
      <c r="EJ582" s="43"/>
      <c r="EK582" s="43"/>
      <c r="EL582" s="43"/>
      <c r="EM582" s="43"/>
      <c r="EN582" s="43"/>
      <c r="EO582" s="43"/>
      <c r="EP582" s="43"/>
      <c r="EQ582" s="43"/>
      <c r="ER582" s="43"/>
      <c r="ES582" s="43"/>
      <c r="ET582" s="43"/>
      <c r="EU582" s="43"/>
      <c r="EV582" s="43"/>
      <c r="EW582" s="43"/>
      <c r="EX582" s="97"/>
      <c r="EY582" s="97"/>
      <c r="EZ582" s="97"/>
      <c r="FA582" s="98"/>
      <c r="HC582" s="96"/>
      <c r="HD582" s="97"/>
      <c r="HE582" s="97"/>
      <c r="HF582" s="98"/>
      <c r="HG582" s="43"/>
      <c r="HH582" s="43"/>
      <c r="HI582" s="43"/>
      <c r="HJ582" s="43"/>
      <c r="HK582" s="43"/>
      <c r="HL582" s="43"/>
      <c r="HM582" s="43"/>
      <c r="HN582" s="43"/>
      <c r="HO582" s="43"/>
      <c r="HP582" s="43"/>
      <c r="HQ582" s="43"/>
      <c r="HR582" s="43"/>
      <c r="HS582" s="43"/>
      <c r="HT582" s="43"/>
      <c r="HU582" s="43"/>
      <c r="HV582" s="43"/>
      <c r="HW582" s="43"/>
      <c r="HX582" s="43"/>
      <c r="HY582" s="43"/>
      <c r="HZ582" s="43"/>
      <c r="IA582" s="43"/>
      <c r="IB582" s="43"/>
      <c r="IC582" s="43"/>
      <c r="ID582" s="43"/>
      <c r="IE582" s="43"/>
      <c r="IF582" s="43"/>
      <c r="IG582" s="43"/>
      <c r="IH582" s="43"/>
      <c r="II582" s="43"/>
      <c r="IJ582" s="43"/>
      <c r="IK582" s="43"/>
      <c r="IL582" s="43"/>
      <c r="IM582" s="43"/>
      <c r="IN582" s="43"/>
      <c r="IO582" s="43"/>
      <c r="IP582" s="43"/>
      <c r="IQ582" s="43"/>
      <c r="IR582" s="43"/>
      <c r="IS582" s="43"/>
      <c r="IT582" s="43"/>
      <c r="IU582" s="43"/>
      <c r="IV582" s="43"/>
      <c r="IW582" s="43"/>
      <c r="IX582" s="43"/>
      <c r="IY582" s="43"/>
      <c r="IZ582" s="43"/>
      <c r="JA582" s="96"/>
      <c r="JB582" s="97"/>
      <c r="JC582" s="97"/>
      <c r="JD582" s="98"/>
      <c r="JE582" s="43"/>
      <c r="JF582" s="43"/>
      <c r="JG582" s="43"/>
      <c r="JH582" s="43"/>
      <c r="JI582" s="43"/>
      <c r="JJ582" s="43"/>
      <c r="JK582" s="43"/>
      <c r="JL582" s="43"/>
      <c r="JM582" s="43"/>
      <c r="JN582" s="43"/>
      <c r="JO582" s="43"/>
      <c r="JP582" s="43"/>
      <c r="JQ582" s="43"/>
      <c r="JR582" s="43"/>
      <c r="JS582" s="43"/>
      <c r="JT582" s="43"/>
      <c r="JU582" s="43"/>
      <c r="JV582" s="43"/>
      <c r="JW582" s="43"/>
      <c r="JX582" s="43"/>
      <c r="JY582" s="43"/>
      <c r="JZ582" s="43"/>
      <c r="KA582" s="43"/>
      <c r="KB582" s="43"/>
      <c r="KC582" s="43"/>
      <c r="KD582" s="43"/>
      <c r="KE582" s="43"/>
      <c r="KF582" s="43"/>
      <c r="KG582" s="43"/>
      <c r="KH582" s="43"/>
      <c r="KI582" s="43"/>
      <c r="KJ582" s="43"/>
      <c r="KK582" s="43"/>
      <c r="KL582" s="43"/>
      <c r="KM582" s="43"/>
      <c r="KN582" s="43"/>
      <c r="KO582" s="43"/>
      <c r="KP582" s="43"/>
      <c r="KQ582" s="43"/>
      <c r="KR582" s="43"/>
      <c r="KS582" s="43"/>
      <c r="KT582" s="43"/>
      <c r="KU582" s="43"/>
      <c r="KV582" s="43"/>
      <c r="KW582" s="43"/>
      <c r="KX582" s="43"/>
      <c r="KY582" s="43"/>
      <c r="KZ582" s="96"/>
      <c r="LA582" s="97"/>
      <c r="LB582" s="98"/>
      <c r="LN582" s="291"/>
    </row>
    <row r="583" spans="34:326" ht="10.75" customHeight="1">
      <c r="AR583" s="97"/>
      <c r="AS583" s="97"/>
      <c r="AT583" s="97"/>
      <c r="AU583" s="43"/>
      <c r="AV583" s="43"/>
      <c r="AW583" s="43"/>
      <c r="AX583" s="43"/>
      <c r="AY583" s="43"/>
      <c r="AZ583" s="43"/>
      <c r="BA583" s="43"/>
      <c r="BB583" s="43"/>
      <c r="BC583" s="43"/>
      <c r="BD583" s="43"/>
      <c r="BE583" s="43"/>
      <c r="BF583" s="43"/>
      <c r="BG583" s="43"/>
      <c r="BH583" s="43"/>
      <c r="BI583" s="43"/>
      <c r="BJ583" s="43"/>
      <c r="BK583" s="43"/>
      <c r="BL583" s="43"/>
      <c r="BM583" s="43"/>
      <c r="BN583" s="43"/>
      <c r="BO583" s="43"/>
      <c r="BP583" s="43"/>
      <c r="BQ583" s="43"/>
      <c r="BR583" s="43"/>
      <c r="BS583" s="43"/>
      <c r="BT583" s="43"/>
      <c r="BU583" s="43"/>
      <c r="BV583" s="43"/>
      <c r="BW583" s="43"/>
      <c r="BX583" s="43"/>
      <c r="BY583" s="43"/>
      <c r="BZ583" s="43"/>
      <c r="CA583" s="43"/>
      <c r="CB583" s="43"/>
      <c r="CC583" s="43"/>
      <c r="CD583" s="43"/>
      <c r="CE583" s="43"/>
      <c r="CF583" s="43"/>
      <c r="CG583" s="43"/>
      <c r="CH583" s="43"/>
      <c r="CI583" s="43"/>
      <c r="CJ583" s="43"/>
      <c r="CK583" s="43"/>
      <c r="CL583" s="43"/>
      <c r="CM583" s="43"/>
      <c r="CN583" s="43"/>
      <c r="CO583" s="43"/>
      <c r="CP583" s="43"/>
      <c r="CQ583" s="43"/>
      <c r="CR583" s="43"/>
      <c r="CS583" s="43"/>
      <c r="CT583" s="43"/>
      <c r="CU583" s="97"/>
      <c r="CV583" s="97"/>
      <c r="CW583" s="97"/>
      <c r="CX583" s="97"/>
      <c r="CY583" s="43"/>
      <c r="CZ583" s="43"/>
      <c r="DA583" s="43"/>
      <c r="DB583" s="43"/>
      <c r="DC583" s="43"/>
      <c r="DD583" s="43"/>
      <c r="DE583" s="43"/>
      <c r="DF583" s="43"/>
      <c r="DG583" s="43"/>
      <c r="DH583" s="43"/>
      <c r="DI583" s="43"/>
      <c r="DJ583" s="43"/>
      <c r="DK583" s="43"/>
      <c r="DL583" s="43"/>
      <c r="DM583" s="43"/>
      <c r="DN583" s="43"/>
      <c r="DO583" s="43"/>
      <c r="DP583" s="43"/>
      <c r="DQ583" s="43"/>
      <c r="DR583" s="43"/>
      <c r="DS583" s="43"/>
      <c r="DT583" s="43"/>
      <c r="DU583" s="43"/>
      <c r="DV583" s="43"/>
      <c r="DW583" s="43"/>
      <c r="DX583" s="43"/>
      <c r="DY583" s="43"/>
      <c r="DZ583" s="43"/>
      <c r="EA583" s="43"/>
      <c r="EB583" s="43"/>
      <c r="EC583" s="43"/>
      <c r="ED583" s="43"/>
      <c r="EE583" s="43"/>
      <c r="EF583" s="43"/>
      <c r="EG583" s="43"/>
      <c r="EH583" s="43"/>
      <c r="EI583" s="43"/>
      <c r="EJ583" s="43"/>
      <c r="EK583" s="43"/>
      <c r="EL583" s="43"/>
      <c r="EM583" s="43"/>
      <c r="EN583" s="43"/>
      <c r="EO583" s="43"/>
      <c r="EP583" s="43"/>
      <c r="EQ583" s="43"/>
      <c r="ER583" s="43"/>
      <c r="ES583" s="43"/>
      <c r="ET583" s="43"/>
      <c r="EU583" s="43"/>
      <c r="EV583" s="43"/>
      <c r="EW583" s="43"/>
      <c r="EX583" s="97"/>
      <c r="EY583" s="97"/>
      <c r="EZ583" s="97"/>
      <c r="FA583" s="98"/>
      <c r="HC583" s="59"/>
      <c r="HD583" s="60"/>
      <c r="HE583" s="60"/>
      <c r="HF583" s="61"/>
      <c r="HG583" s="43"/>
      <c r="HH583" s="43"/>
      <c r="HI583" s="47"/>
      <c r="HJ583" s="47"/>
      <c r="HK583" s="47"/>
      <c r="HL583" s="47"/>
      <c r="HM583" s="47"/>
      <c r="HN583" s="47"/>
      <c r="HO583" s="47"/>
      <c r="HP583" s="47"/>
      <c r="HQ583" s="47"/>
      <c r="HR583" s="47"/>
      <c r="HS583" s="47"/>
      <c r="HT583" s="47"/>
      <c r="HU583" s="47"/>
      <c r="HV583" s="47"/>
      <c r="HW583" s="47"/>
      <c r="HX583" s="47"/>
      <c r="HY583" s="47"/>
      <c r="HZ583" s="47"/>
      <c r="IA583" s="47"/>
      <c r="IB583" s="47"/>
      <c r="IC583" s="47"/>
      <c r="ID583" s="47"/>
      <c r="IE583" s="47"/>
      <c r="IF583" s="47"/>
      <c r="IG583" s="47"/>
      <c r="IH583" s="47"/>
      <c r="II583" s="47"/>
      <c r="IJ583" s="47"/>
      <c r="IK583" s="47"/>
      <c r="IL583" s="47"/>
      <c r="IM583" s="47"/>
      <c r="IN583" s="47"/>
      <c r="IO583" s="47"/>
      <c r="IP583" s="47"/>
      <c r="IQ583" s="47"/>
      <c r="IR583" s="47"/>
      <c r="IS583" s="47"/>
      <c r="IT583" s="47"/>
      <c r="IU583" s="47"/>
      <c r="IV583" s="47"/>
      <c r="IW583" s="47"/>
      <c r="IX583" s="47"/>
      <c r="IY583" s="47"/>
      <c r="IZ583" s="47"/>
      <c r="JA583" s="59"/>
      <c r="JB583" s="60"/>
      <c r="JC583" s="60"/>
      <c r="JD583" s="61"/>
      <c r="JE583" s="47"/>
      <c r="JF583" s="47"/>
      <c r="JG583" s="47"/>
      <c r="JH583" s="47"/>
      <c r="JI583" s="47"/>
      <c r="JJ583" s="47"/>
      <c r="JK583" s="47"/>
      <c r="JL583" s="47"/>
      <c r="JM583" s="47"/>
      <c r="JN583" s="47"/>
      <c r="JO583" s="47"/>
      <c r="JP583" s="47"/>
      <c r="JQ583" s="47"/>
      <c r="JR583" s="47"/>
      <c r="JS583" s="47"/>
      <c r="JT583" s="47"/>
      <c r="JU583" s="47"/>
      <c r="JV583" s="47"/>
      <c r="JW583" s="47"/>
      <c r="JX583" s="47"/>
      <c r="JY583" s="47"/>
      <c r="JZ583" s="47"/>
      <c r="KA583" s="47"/>
      <c r="KB583" s="47"/>
      <c r="KC583" s="47"/>
      <c r="KD583" s="47"/>
      <c r="KE583" s="47"/>
      <c r="KF583" s="47"/>
      <c r="KG583" s="47"/>
      <c r="KH583" s="47"/>
      <c r="KI583" s="47"/>
      <c r="KJ583" s="47"/>
      <c r="KK583" s="47"/>
      <c r="KL583" s="47"/>
      <c r="KM583" s="47"/>
      <c r="KN583" s="47"/>
      <c r="KO583" s="47"/>
      <c r="KP583" s="47"/>
      <c r="KQ583" s="47"/>
      <c r="KR583" s="47"/>
      <c r="KS583" s="47"/>
      <c r="KT583" s="47"/>
      <c r="KU583" s="47"/>
      <c r="KV583" s="47"/>
      <c r="KW583" s="47"/>
      <c r="KX583" s="47"/>
      <c r="KY583" s="47"/>
      <c r="KZ583" s="96"/>
      <c r="LA583" s="97"/>
      <c r="LB583" s="98"/>
      <c r="LN583" s="291"/>
    </row>
    <row r="584" spans="34:326" ht="10.75" customHeight="1">
      <c r="AR584" s="97"/>
      <c r="AS584" s="97"/>
      <c r="AT584" s="97"/>
      <c r="AU584" s="9"/>
      <c r="AV584" s="10"/>
      <c r="AW584" s="10"/>
      <c r="AX584" s="10"/>
      <c r="AY584" s="10"/>
      <c r="AZ584" s="10"/>
      <c r="BA584" s="10"/>
      <c r="BB584" s="10"/>
      <c r="BC584" s="10"/>
      <c r="BD584" s="10"/>
      <c r="BE584" s="10"/>
      <c r="BF584" s="10"/>
      <c r="BG584" s="10"/>
      <c r="BH584" s="10"/>
      <c r="BI584" s="10"/>
      <c r="BJ584" s="10"/>
      <c r="BK584" s="10"/>
      <c r="BL584" s="10"/>
      <c r="BM584" s="10"/>
      <c r="BN584" s="10"/>
      <c r="BO584" s="10"/>
      <c r="BP584" s="10"/>
      <c r="BQ584" s="10"/>
      <c r="BR584" s="10"/>
      <c r="BS584" s="10"/>
      <c r="BT584" s="10"/>
      <c r="BU584" s="10"/>
      <c r="BV584" s="10"/>
      <c r="BW584" s="10"/>
      <c r="BX584" s="10"/>
      <c r="BY584" s="10"/>
      <c r="BZ584" s="11"/>
      <c r="CA584" s="10"/>
      <c r="CB584" s="11"/>
      <c r="CC584" s="10"/>
      <c r="CD584" s="10"/>
      <c r="CE584" s="10"/>
      <c r="CF584" s="10"/>
      <c r="CG584" s="10"/>
      <c r="CH584" s="10"/>
      <c r="CI584" s="10"/>
      <c r="CJ584" s="10"/>
      <c r="CK584" s="10"/>
      <c r="CL584" s="10"/>
      <c r="CM584" s="10"/>
      <c r="CN584" s="10"/>
      <c r="CO584" s="10"/>
      <c r="CP584" s="10"/>
      <c r="CQ584" s="10"/>
      <c r="CR584" s="10"/>
      <c r="CS584" s="10"/>
      <c r="CT584" s="10"/>
      <c r="CU584" s="10"/>
      <c r="CV584" s="11"/>
      <c r="CW584" s="10"/>
      <c r="CX584" s="11"/>
      <c r="CY584" s="10"/>
      <c r="CZ584" s="10"/>
      <c r="DA584" s="10"/>
      <c r="DB584" s="10"/>
      <c r="DC584" s="10"/>
      <c r="DD584" s="10"/>
      <c r="DE584" s="10"/>
      <c r="DF584" s="10"/>
      <c r="DG584" s="10"/>
      <c r="DH584" s="10"/>
      <c r="DI584" s="10"/>
      <c r="DJ584" s="10"/>
      <c r="DK584" s="10"/>
      <c r="DL584" s="10"/>
      <c r="DM584" s="10"/>
      <c r="DN584" s="10"/>
      <c r="DO584" s="10"/>
      <c r="DP584" s="10"/>
      <c r="DQ584" s="10"/>
      <c r="DR584" s="10"/>
      <c r="DS584" s="10"/>
      <c r="DT584" s="10"/>
      <c r="DU584" s="10"/>
      <c r="DV584" s="10"/>
      <c r="DW584" s="10"/>
      <c r="DX584" s="10"/>
      <c r="DY584" s="10"/>
      <c r="DZ584" s="10"/>
      <c r="EA584" s="10"/>
      <c r="EB584" s="10"/>
      <c r="EC584" s="10"/>
      <c r="ED584" s="10"/>
      <c r="EE584" s="10"/>
      <c r="EF584" s="10"/>
      <c r="EG584" s="10"/>
      <c r="EH584" s="10"/>
      <c r="EI584" s="10"/>
      <c r="EJ584" s="10"/>
      <c r="EK584" s="10"/>
      <c r="EL584" s="10"/>
      <c r="EM584" s="10"/>
      <c r="EN584" s="10"/>
      <c r="EO584" s="10"/>
      <c r="EP584" s="10"/>
      <c r="EQ584" s="10"/>
      <c r="ER584" s="10"/>
      <c r="ES584" s="10"/>
      <c r="ET584" s="10"/>
      <c r="EU584" s="10"/>
      <c r="EV584" s="10"/>
      <c r="EW584" s="10"/>
      <c r="EX584" s="11"/>
      <c r="EY584" s="43"/>
      <c r="EZ584" s="43"/>
      <c r="FA584" s="45"/>
      <c r="HC584" s="42"/>
      <c r="HD584" s="43"/>
      <c r="HE584" s="43"/>
      <c r="HF584" s="9"/>
      <c r="HG584" s="10"/>
      <c r="HH584" s="10"/>
      <c r="HI584" s="10"/>
      <c r="HJ584" s="10"/>
      <c r="HK584" s="10"/>
      <c r="HL584" s="10"/>
      <c r="HM584" s="10"/>
      <c r="HN584" s="10"/>
      <c r="HO584" s="10"/>
      <c r="HP584" s="10"/>
      <c r="HQ584" s="10"/>
      <c r="HR584" s="10"/>
      <c r="HS584" s="10"/>
      <c r="HT584" s="10"/>
      <c r="HU584" s="10"/>
      <c r="HV584" s="10"/>
      <c r="HW584" s="10"/>
      <c r="HX584" s="10"/>
      <c r="HY584" s="10"/>
      <c r="HZ584" s="10"/>
      <c r="IA584" s="10"/>
      <c r="IB584" s="10"/>
      <c r="IC584" s="10"/>
      <c r="ID584" s="10"/>
      <c r="IE584" s="10"/>
      <c r="IF584" s="10"/>
      <c r="IG584" s="11"/>
      <c r="IH584" s="158"/>
      <c r="II584" s="159"/>
      <c r="IJ584" s="10"/>
      <c r="IK584" s="10"/>
      <c r="IL584" s="10"/>
      <c r="IM584" s="10"/>
      <c r="IN584" s="10"/>
      <c r="IO584" s="10"/>
      <c r="IP584" s="10"/>
      <c r="IQ584" s="10"/>
      <c r="IR584" s="10"/>
      <c r="IS584" s="10"/>
      <c r="IT584" s="10"/>
      <c r="IU584" s="10"/>
      <c r="IV584" s="10"/>
      <c r="IW584" s="10"/>
      <c r="IX584" s="10"/>
      <c r="IY584" s="10"/>
      <c r="IZ584" s="10"/>
      <c r="JA584" s="10"/>
      <c r="JB584" s="9"/>
      <c r="JC584" s="11"/>
      <c r="JD584" s="10"/>
      <c r="JE584" s="10"/>
      <c r="JF584" s="10"/>
      <c r="JG584" s="10"/>
      <c r="JH584" s="10"/>
      <c r="JI584" s="298"/>
      <c r="JJ584" s="10"/>
      <c r="JK584" s="10"/>
      <c r="JL584" s="10"/>
      <c r="JM584" s="10"/>
      <c r="JN584" s="10"/>
      <c r="JO584" s="10"/>
      <c r="JP584" s="10"/>
      <c r="JQ584" s="10"/>
      <c r="JR584" s="10"/>
      <c r="JS584" s="10"/>
      <c r="JT584" s="10"/>
      <c r="JU584" s="10"/>
      <c r="JV584" s="10"/>
      <c r="JW584" s="10"/>
      <c r="JX584" s="10"/>
      <c r="JY584" s="10"/>
      <c r="JZ584" s="10"/>
      <c r="KA584" s="10"/>
      <c r="KB584" s="10"/>
      <c r="KC584" s="10"/>
      <c r="KD584" s="10"/>
      <c r="KE584" s="10"/>
      <c r="KF584" s="10"/>
      <c r="KG584" s="10"/>
      <c r="KH584" s="10"/>
      <c r="KI584" s="10"/>
      <c r="KJ584" s="10"/>
      <c r="KK584" s="10"/>
      <c r="KL584" s="10"/>
      <c r="KM584" s="10"/>
      <c r="KN584" s="10"/>
      <c r="KO584" s="10"/>
      <c r="KP584" s="10"/>
      <c r="KQ584" s="10"/>
      <c r="KR584" s="10"/>
      <c r="KS584" s="10"/>
      <c r="KT584" s="10"/>
      <c r="KU584" s="10"/>
      <c r="KV584" s="10"/>
      <c r="KW584" s="10"/>
      <c r="KX584" s="10"/>
      <c r="KY584" s="11"/>
      <c r="KZ584" s="59"/>
      <c r="LA584" s="60"/>
      <c r="LB584" s="61"/>
      <c r="LN584" s="291"/>
    </row>
    <row r="585" spans="34:326" ht="10.75" customHeight="1">
      <c r="AR585" s="42"/>
      <c r="AS585" s="43"/>
      <c r="AT585" s="43"/>
      <c r="AU585" s="12"/>
      <c r="BZ585" s="13"/>
      <c r="CB585" s="13"/>
      <c r="CV585" s="13"/>
      <c r="CX585" s="122"/>
      <c r="EX585" s="13"/>
      <c r="EY585" s="43"/>
      <c r="EZ585" s="43"/>
      <c r="FA585" s="45"/>
      <c r="HC585" s="42"/>
      <c r="HD585" s="43"/>
      <c r="HE585" s="43"/>
      <c r="HF585" s="12"/>
      <c r="IG585" s="13"/>
      <c r="IH585" s="162"/>
      <c r="II585" s="161"/>
      <c r="JB585" s="12"/>
      <c r="JC585" s="13"/>
      <c r="JI585" s="297"/>
      <c r="KY585" s="13"/>
      <c r="KZ585" s="43"/>
      <c r="LA585" s="43"/>
      <c r="LB585" s="45"/>
      <c r="LN585" s="291"/>
    </row>
    <row r="586" spans="34:326" ht="10.75" customHeight="1">
      <c r="AR586" s="42"/>
      <c r="AS586" s="43"/>
      <c r="AT586" s="43"/>
      <c r="AU586" s="12"/>
      <c r="BZ586" s="13"/>
      <c r="CB586" s="13"/>
      <c r="CV586" s="13"/>
      <c r="CX586" s="122"/>
      <c r="EX586" s="13"/>
      <c r="EY586" s="43"/>
      <c r="EZ586" s="43"/>
      <c r="FA586" s="45"/>
      <c r="HC586" s="42"/>
      <c r="HD586" s="43"/>
      <c r="HE586" s="43"/>
      <c r="HF586" s="12"/>
      <c r="IG586" s="13"/>
      <c r="IH586" s="162"/>
      <c r="II586" s="161"/>
      <c r="IJ586" s="12"/>
      <c r="JB586" s="12"/>
      <c r="JC586" s="13"/>
      <c r="JI586" s="297"/>
      <c r="KY586" s="13"/>
      <c r="KZ586" s="43"/>
      <c r="LA586" s="43"/>
      <c r="LB586" s="45"/>
      <c r="LN586" s="291"/>
    </row>
    <row r="587" spans="34:326" ht="10.75" customHeight="1">
      <c r="AR587" s="42"/>
      <c r="AS587" s="43"/>
      <c r="AT587" s="43"/>
      <c r="AU587" s="12"/>
      <c r="BZ587" s="13"/>
      <c r="CB587" s="13"/>
      <c r="CV587" s="13"/>
      <c r="CX587" s="122"/>
      <c r="EX587" s="13"/>
      <c r="EY587" s="43"/>
      <c r="EZ587" s="43"/>
      <c r="FA587" s="45"/>
      <c r="HC587" s="42"/>
      <c r="HD587" s="43"/>
      <c r="HE587" s="43"/>
      <c r="HF587" s="9"/>
      <c r="HG587" s="11"/>
      <c r="HH587" s="10"/>
      <c r="HI587" s="10"/>
      <c r="HJ587" s="10"/>
      <c r="HK587" s="10"/>
      <c r="HL587" s="10"/>
      <c r="HM587" s="10"/>
      <c r="HN587" s="11"/>
      <c r="IG587" s="13"/>
      <c r="IH587" s="162"/>
      <c r="II587" s="161"/>
      <c r="IJ587" s="9"/>
      <c r="IK587" s="11"/>
      <c r="IL587" s="10"/>
      <c r="IM587" s="10"/>
      <c r="IN587" s="10"/>
      <c r="IO587" s="10"/>
      <c r="IP587" s="10"/>
      <c r="IQ587" s="10"/>
      <c r="IR587" s="11"/>
      <c r="JB587" s="12"/>
      <c r="JC587" s="13"/>
      <c r="JI587" s="297"/>
      <c r="KY587" s="13"/>
      <c r="KZ587" s="43"/>
      <c r="LA587" s="43"/>
      <c r="LB587" s="45"/>
      <c r="LN587" s="291"/>
    </row>
    <row r="588" spans="34:326" ht="10.75" customHeight="1">
      <c r="AR588" s="42"/>
      <c r="AS588" s="43"/>
      <c r="AT588" s="43"/>
      <c r="AU588" s="12"/>
      <c r="BZ588" s="13"/>
      <c r="CB588" s="13"/>
      <c r="CV588" s="13"/>
      <c r="CX588" s="122"/>
      <c r="EX588" s="13"/>
      <c r="EY588" s="43"/>
      <c r="EZ588" s="43"/>
      <c r="FA588" s="45"/>
      <c r="HC588" s="42"/>
      <c r="HD588" s="43"/>
      <c r="HE588" s="43"/>
      <c r="HF588" s="12"/>
      <c r="HG588" s="13"/>
      <c r="HN588" s="13"/>
      <c r="IG588" s="13"/>
      <c r="IH588" s="162"/>
      <c r="II588" s="161"/>
      <c r="IJ588" s="12"/>
      <c r="IK588" s="13"/>
      <c r="IR588" s="13"/>
      <c r="JB588" s="12"/>
      <c r="JC588" s="13"/>
      <c r="JI588" s="297"/>
      <c r="KY588" s="13"/>
      <c r="KZ588" s="43"/>
      <c r="LA588" s="43"/>
      <c r="LB588" s="45"/>
      <c r="LN588" s="291"/>
    </row>
    <row r="589" spans="34:326" ht="10.75" customHeight="1">
      <c r="AR589" s="42"/>
      <c r="AS589" s="43"/>
      <c r="AT589" s="43"/>
      <c r="AU589" s="12"/>
      <c r="BZ589" s="13"/>
      <c r="CB589" s="13"/>
      <c r="CV589" s="13"/>
      <c r="CX589" s="122"/>
      <c r="EX589" s="13"/>
      <c r="EY589" s="43"/>
      <c r="EZ589" s="43"/>
      <c r="FA589" s="45"/>
      <c r="HC589" s="42"/>
      <c r="HD589" s="43"/>
      <c r="HE589" s="43"/>
      <c r="HF589" s="12"/>
      <c r="HG589" s="13"/>
      <c r="HN589" s="13"/>
      <c r="IG589" s="13"/>
      <c r="IH589" s="162"/>
      <c r="II589" s="161"/>
      <c r="IJ589" s="12"/>
      <c r="IK589" s="13"/>
      <c r="IR589" s="13"/>
      <c r="JB589" s="12"/>
      <c r="JC589" s="13"/>
      <c r="JI589" s="297"/>
      <c r="KY589" s="13"/>
      <c r="KZ589" s="43"/>
      <c r="LA589" s="43"/>
      <c r="LB589" s="45"/>
      <c r="LN589" s="291"/>
    </row>
    <row r="590" spans="34:326" ht="10.75" customHeight="1">
      <c r="AR590" s="42"/>
      <c r="AS590" s="43"/>
      <c r="AT590" s="43"/>
      <c r="AU590" s="12"/>
      <c r="BZ590" s="13"/>
      <c r="CB590" s="13"/>
      <c r="CV590" s="13"/>
      <c r="CX590" s="122"/>
      <c r="EX590" s="13"/>
      <c r="EY590" s="43"/>
      <c r="EZ590" s="43"/>
      <c r="FA590" s="45"/>
      <c r="HC590" s="42"/>
      <c r="HD590" s="43"/>
      <c r="HE590" s="43"/>
      <c r="HF590" s="12"/>
      <c r="HG590" s="13"/>
      <c r="HN590" s="13"/>
      <c r="IG590" s="13"/>
      <c r="IH590" s="162"/>
      <c r="II590" s="161"/>
      <c r="IJ590" s="12"/>
      <c r="IK590" s="13"/>
      <c r="IR590" s="13"/>
      <c r="JB590" s="12"/>
      <c r="JC590" s="13"/>
      <c r="JI590" s="297"/>
      <c r="KY590" s="13"/>
      <c r="KZ590" s="43"/>
      <c r="LA590" s="43"/>
      <c r="LB590" s="45"/>
      <c r="LN590" s="291"/>
    </row>
    <row r="591" spans="34:326" ht="10.75" customHeight="1">
      <c r="AR591" s="42"/>
      <c r="AS591" s="43"/>
      <c r="AT591" s="43"/>
      <c r="AU591" s="12"/>
      <c r="BZ591" s="13"/>
      <c r="CB591" s="13"/>
      <c r="CV591" s="13"/>
      <c r="CX591" s="122"/>
      <c r="EX591" s="13"/>
      <c r="EY591" s="43"/>
      <c r="EZ591" s="43"/>
      <c r="FA591" s="45"/>
      <c r="HC591" s="42"/>
      <c r="HD591" s="43"/>
      <c r="HE591" s="43"/>
      <c r="HF591" s="14"/>
      <c r="HG591" s="16"/>
      <c r="HH591" s="15"/>
      <c r="HI591" s="15"/>
      <c r="HJ591" s="15"/>
      <c r="HK591" s="15"/>
      <c r="HL591" s="15"/>
      <c r="HM591" s="15"/>
      <c r="HN591" s="16"/>
      <c r="IG591" s="13"/>
      <c r="IH591" s="162"/>
      <c r="II591" s="161"/>
      <c r="IJ591" s="14"/>
      <c r="IK591" s="16"/>
      <c r="IL591" s="15"/>
      <c r="IM591" s="15"/>
      <c r="IN591" s="15"/>
      <c r="IO591" s="15"/>
      <c r="IP591" s="15"/>
      <c r="IQ591" s="15"/>
      <c r="IR591" s="16"/>
      <c r="JB591" s="12"/>
      <c r="JC591" s="13"/>
      <c r="JI591" s="297"/>
      <c r="KY591" s="13"/>
      <c r="KZ591" s="43"/>
      <c r="LA591" s="43"/>
      <c r="LB591" s="45"/>
      <c r="LN591" s="291"/>
    </row>
    <row r="592" spans="34:326" ht="10.75" customHeight="1">
      <c r="AH592" s="9"/>
      <c r="AI592" s="10"/>
      <c r="AJ592" s="10"/>
      <c r="AK592" s="10"/>
      <c r="AL592" s="10"/>
      <c r="AM592" s="10"/>
      <c r="AN592" s="10"/>
      <c r="AO592" s="10"/>
      <c r="AP592" s="10"/>
      <c r="AQ592" s="11"/>
      <c r="AR592" s="42"/>
      <c r="AS592" s="43"/>
      <c r="AT592" s="43"/>
      <c r="AU592" s="12"/>
      <c r="BZ592" s="13"/>
      <c r="CB592" s="13"/>
      <c r="CV592" s="13"/>
      <c r="CX592" s="122"/>
      <c r="EX592" s="13"/>
      <c r="EY592" s="43"/>
      <c r="EZ592" s="43"/>
      <c r="FA592" s="45"/>
      <c r="GS592" s="9"/>
      <c r="GT592" s="10"/>
      <c r="GU592" s="10"/>
      <c r="GV592" s="10"/>
      <c r="GW592" s="10"/>
      <c r="GX592" s="10"/>
      <c r="GY592" s="10"/>
      <c r="GZ592" s="10"/>
      <c r="HA592" s="10"/>
      <c r="HB592" s="11"/>
      <c r="HC592" s="42"/>
      <c r="HD592" s="43"/>
      <c r="HE592" s="43"/>
      <c r="HF592" s="12"/>
      <c r="IG592" s="13"/>
      <c r="IH592" s="162"/>
      <c r="II592" s="161"/>
      <c r="IJ592" s="12"/>
      <c r="JB592" s="12"/>
      <c r="JC592" s="13"/>
      <c r="JI592" s="297"/>
      <c r="KY592" s="13"/>
      <c r="KZ592" s="43"/>
      <c r="LA592" s="43"/>
      <c r="LB592" s="45"/>
      <c r="LN592" s="291"/>
    </row>
    <row r="593" spans="34:535" ht="10.75" customHeight="1">
      <c r="AH593" s="12"/>
      <c r="AI593" s="9"/>
      <c r="AJ593" s="10"/>
      <c r="AK593" s="10"/>
      <c r="AL593" s="10"/>
      <c r="AM593" s="10"/>
      <c r="AN593" s="10"/>
      <c r="AO593" s="10"/>
      <c r="AP593" s="10"/>
      <c r="AQ593" s="11"/>
      <c r="AR593" s="42"/>
      <c r="AS593" s="43"/>
      <c r="AT593" s="43"/>
      <c r="AU593" s="12"/>
      <c r="BZ593" s="13"/>
      <c r="CB593" s="13"/>
      <c r="CV593" s="13"/>
      <c r="CX593" s="13"/>
      <c r="EX593" s="13"/>
      <c r="EY593" s="43"/>
      <c r="EZ593" s="43"/>
      <c r="FA593" s="45"/>
      <c r="GS593" s="12"/>
      <c r="HB593" s="13"/>
      <c r="HC593" s="42"/>
      <c r="HD593" s="43"/>
      <c r="HE593" s="43"/>
      <c r="HF593" s="12"/>
      <c r="IG593" s="13"/>
      <c r="IH593" s="162"/>
      <c r="II593" s="161"/>
      <c r="IJ593" s="12"/>
      <c r="JB593" s="12"/>
      <c r="JC593" s="313"/>
      <c r="JI593" s="297"/>
      <c r="KY593" s="13"/>
      <c r="KZ593" s="43"/>
      <c r="LA593" s="43"/>
      <c r="LB593" s="45"/>
      <c r="LN593" s="291"/>
    </row>
    <row r="594" spans="34:535" ht="10.75" customHeight="1">
      <c r="AH594" s="12"/>
      <c r="AI594" s="12"/>
      <c r="AQ594" s="13"/>
      <c r="AR594" s="42"/>
      <c r="AS594" s="43"/>
      <c r="AT594" s="43"/>
      <c r="AU594" s="12"/>
      <c r="BZ594" s="13"/>
      <c r="CB594" s="13"/>
      <c r="CV594" s="13"/>
      <c r="CX594" s="13"/>
      <c r="EX594" s="13"/>
      <c r="EY594" s="43"/>
      <c r="EZ594" s="43"/>
      <c r="FA594" s="45"/>
      <c r="GS594" s="12"/>
      <c r="HB594" s="13"/>
      <c r="HC594" s="42"/>
      <c r="HD594" s="43"/>
      <c r="HE594" s="43"/>
      <c r="HF594" s="9"/>
      <c r="HG594" s="11"/>
      <c r="HH594" s="10"/>
      <c r="HI594" s="10"/>
      <c r="HJ594" s="10"/>
      <c r="HK594" s="11"/>
      <c r="IG594" s="13"/>
      <c r="IH594" s="162"/>
      <c r="II594" s="161"/>
      <c r="IJ594" s="9"/>
      <c r="IK594" s="11"/>
      <c r="IL594" s="10"/>
      <c r="IM594" s="10"/>
      <c r="IN594" s="10"/>
      <c r="IO594" s="11"/>
      <c r="JB594" s="12"/>
      <c r="JC594" s="313"/>
      <c r="JI594" s="297"/>
      <c r="KY594" s="13"/>
      <c r="KZ594" s="43"/>
      <c r="LA594" s="43"/>
      <c r="LB594" s="45"/>
      <c r="LN594" s="291"/>
    </row>
    <row r="595" spans="34:535" ht="10.75" customHeight="1">
      <c r="AH595" s="12"/>
      <c r="AI595" s="12"/>
      <c r="AQ595" s="13"/>
      <c r="AR595" s="42"/>
      <c r="AS595" s="43"/>
      <c r="AT595" s="43"/>
      <c r="AU595" s="12"/>
      <c r="BZ595" s="13"/>
      <c r="CB595" s="13"/>
      <c r="CV595" s="13"/>
      <c r="CX595" s="13"/>
      <c r="EX595" s="13"/>
      <c r="EY595" s="43"/>
      <c r="EZ595" s="43"/>
      <c r="FA595" s="45"/>
      <c r="GS595" s="12"/>
      <c r="HB595" s="13"/>
      <c r="HC595" s="42"/>
      <c r="HD595" s="43"/>
      <c r="HE595" s="43"/>
      <c r="HF595" s="12"/>
      <c r="HG595" s="13"/>
      <c r="HK595" s="13"/>
      <c r="IG595" s="13"/>
      <c r="IH595" s="162"/>
      <c r="II595" s="161"/>
      <c r="IJ595" s="12"/>
      <c r="IK595" s="13"/>
      <c r="IO595" s="13"/>
      <c r="JB595" s="12"/>
      <c r="JC595" s="313"/>
      <c r="JI595" s="297"/>
      <c r="KY595" s="13"/>
      <c r="KZ595" s="43"/>
      <c r="LA595" s="43"/>
      <c r="LB595" s="45"/>
      <c r="LN595" s="291"/>
    </row>
    <row r="596" spans="34:535" ht="10.75" customHeight="1">
      <c r="AH596" s="12"/>
      <c r="AI596" s="12"/>
      <c r="AQ596" s="13"/>
      <c r="AR596" s="42"/>
      <c r="AS596" s="43"/>
      <c r="AT596" s="43"/>
      <c r="AU596" s="12"/>
      <c r="BZ596" s="13"/>
      <c r="CB596" s="13"/>
      <c r="CV596" s="13"/>
      <c r="CX596" s="13"/>
      <c r="EX596" s="13"/>
      <c r="EY596" s="43"/>
      <c r="EZ596" s="43"/>
      <c r="FA596" s="45"/>
      <c r="GS596" s="12"/>
      <c r="HB596" s="13"/>
      <c r="HC596" s="42"/>
      <c r="HD596" s="43"/>
      <c r="HE596" s="43"/>
      <c r="HF596" s="12"/>
      <c r="HG596" s="13"/>
      <c r="HK596" s="13"/>
      <c r="IG596" s="13"/>
      <c r="IH596" s="162"/>
      <c r="II596" s="161"/>
      <c r="IJ596" s="12"/>
      <c r="IK596" s="13"/>
      <c r="IO596" s="13"/>
      <c r="JB596" s="12"/>
      <c r="JC596" s="313"/>
      <c r="JI596" s="297"/>
      <c r="KY596" s="13"/>
      <c r="KZ596" s="43"/>
      <c r="LA596" s="43"/>
      <c r="LB596" s="45"/>
      <c r="LN596" s="291"/>
    </row>
    <row r="597" spans="34:535" ht="10.75" customHeight="1">
      <c r="AH597" s="12"/>
      <c r="AI597" s="12"/>
      <c r="AQ597" s="13"/>
      <c r="AR597" s="42"/>
      <c r="AS597" s="43"/>
      <c r="AT597" s="43"/>
      <c r="AU597" s="12"/>
      <c r="BZ597" s="13"/>
      <c r="CB597" s="13"/>
      <c r="CV597" s="13"/>
      <c r="CX597" s="13"/>
      <c r="EX597" s="13"/>
      <c r="EY597" s="43"/>
      <c r="EZ597" s="43"/>
      <c r="FA597" s="45"/>
      <c r="GS597" s="12"/>
      <c r="HB597" s="13"/>
      <c r="HC597" s="42"/>
      <c r="HD597" s="43"/>
      <c r="HE597" s="43"/>
      <c r="HF597" s="12"/>
      <c r="HG597" s="13"/>
      <c r="HK597" s="13"/>
      <c r="IG597" s="13"/>
      <c r="IH597" s="162"/>
      <c r="II597" s="161"/>
      <c r="IJ597" s="12"/>
      <c r="IK597" s="13"/>
      <c r="IO597" s="13"/>
      <c r="JB597" s="12"/>
      <c r="JC597" s="313"/>
      <c r="JI597" s="297"/>
      <c r="KY597" s="13"/>
      <c r="KZ597" s="43"/>
      <c r="LA597" s="43"/>
      <c r="LB597" s="45"/>
      <c r="LN597" s="291"/>
      <c r="QR597" s="10"/>
      <c r="QS597" s="10"/>
      <c r="QT597" s="10"/>
      <c r="QU597" s="10"/>
      <c r="QV597" s="10"/>
      <c r="QW597" s="10"/>
      <c r="QX597" s="10"/>
      <c r="QY597" s="10"/>
      <c r="QZ597" s="10"/>
      <c r="RA597" s="10"/>
      <c r="RB597" s="10"/>
      <c r="RC597" s="10"/>
      <c r="RD597" s="10"/>
      <c r="RE597" s="10"/>
      <c r="RF597" s="10"/>
      <c r="RG597" s="10"/>
      <c r="RH597" s="10"/>
      <c r="RI597" s="10"/>
      <c r="RJ597" s="10"/>
      <c r="RK597" s="10"/>
      <c r="RL597" s="10"/>
      <c r="RM597" s="10"/>
      <c r="RN597" s="10"/>
      <c r="RO597" s="10"/>
      <c r="RP597" s="10"/>
      <c r="RQ597" s="10"/>
      <c r="RR597" s="10"/>
      <c r="RS597" s="10"/>
      <c r="RT597" s="10"/>
      <c r="RU597" s="10"/>
      <c r="RV597" s="10"/>
      <c r="RW597" s="10"/>
      <c r="RX597" s="10"/>
      <c r="RY597" s="10"/>
      <c r="RZ597" s="10"/>
      <c r="SA597" s="10"/>
      <c r="SB597" s="10"/>
      <c r="SC597" s="10"/>
      <c r="SD597" s="10"/>
      <c r="SE597" s="10"/>
      <c r="SF597" s="10"/>
      <c r="SG597" s="10"/>
      <c r="SH597" s="10"/>
      <c r="SI597" s="10"/>
      <c r="SJ597" s="10"/>
      <c r="SK597" s="10"/>
      <c r="SL597" s="10"/>
      <c r="SM597" s="10"/>
      <c r="SN597" s="10"/>
      <c r="SO597" s="10"/>
      <c r="SP597" s="10"/>
      <c r="SQ597" s="10"/>
      <c r="SR597" s="10"/>
      <c r="SS597" s="10"/>
      <c r="ST597" s="10"/>
      <c r="SU597" s="10"/>
      <c r="SV597" s="10"/>
      <c r="SW597" s="10"/>
      <c r="SX597" s="10"/>
      <c r="SY597" s="10"/>
      <c r="SZ597" s="10"/>
      <c r="TA597" s="10"/>
      <c r="TB597" s="10"/>
      <c r="TC597" s="10"/>
      <c r="TD597" s="10"/>
      <c r="TE597" s="10"/>
      <c r="TF597" s="10"/>
      <c r="TG597" s="10"/>
      <c r="TH597" s="10"/>
      <c r="TI597" s="10"/>
      <c r="TJ597" s="10"/>
      <c r="TK597" s="10"/>
      <c r="TL597" s="10"/>
      <c r="TM597" s="10"/>
      <c r="TN597" s="10"/>
      <c r="TO597" s="11"/>
    </row>
    <row r="598" spans="34:535" ht="10.75" customHeight="1">
      <c r="AH598" s="12"/>
      <c r="AI598" s="12"/>
      <c r="AQ598" s="13"/>
      <c r="AR598" s="42"/>
      <c r="AS598" s="43"/>
      <c r="AT598" s="43"/>
      <c r="AU598" s="12"/>
      <c r="BZ598" s="13"/>
      <c r="CB598" s="13"/>
      <c r="CV598" s="13"/>
      <c r="CX598" s="13"/>
      <c r="EX598" s="13"/>
      <c r="EY598" s="43"/>
      <c r="EZ598" s="43"/>
      <c r="FA598" s="45"/>
      <c r="GS598" s="12"/>
      <c r="HB598" s="13"/>
      <c r="HC598" s="42"/>
      <c r="HD598" s="43"/>
      <c r="HE598" s="43"/>
      <c r="HF598" s="12"/>
      <c r="HG598" s="13"/>
      <c r="HK598" s="13"/>
      <c r="IG598" s="13"/>
      <c r="IH598" s="162"/>
      <c r="II598" s="161"/>
      <c r="IJ598" s="12"/>
      <c r="IK598" s="13"/>
      <c r="IO598" s="13"/>
      <c r="JB598" s="12"/>
      <c r="JC598" s="313"/>
      <c r="JI598" s="297"/>
      <c r="KY598" s="13"/>
      <c r="KZ598" s="43"/>
      <c r="LA598" s="43"/>
      <c r="LB598" s="45"/>
      <c r="LN598" s="291"/>
      <c r="TO598" s="13"/>
    </row>
    <row r="599" spans="34:535" ht="10.75" customHeight="1">
      <c r="AH599" s="12"/>
      <c r="AI599" s="12"/>
      <c r="AQ599" s="13"/>
      <c r="AR599" s="42"/>
      <c r="AS599" s="43"/>
      <c r="AT599" s="43"/>
      <c r="AU599" s="12"/>
      <c r="BZ599" s="13"/>
      <c r="CB599" s="13"/>
      <c r="CV599" s="13"/>
      <c r="CX599" s="13"/>
      <c r="EX599" s="13"/>
      <c r="EY599" s="43"/>
      <c r="EZ599" s="43"/>
      <c r="FA599" s="45"/>
      <c r="GS599" s="12"/>
      <c r="HB599" s="13"/>
      <c r="HC599" s="42"/>
      <c r="HD599" s="43"/>
      <c r="HE599" s="43"/>
      <c r="HF599" s="12"/>
      <c r="HG599" s="13"/>
      <c r="HK599" s="13"/>
      <c r="IG599" s="13"/>
      <c r="IH599" s="162"/>
      <c r="II599" s="161"/>
      <c r="IJ599" s="12"/>
      <c r="IK599" s="13"/>
      <c r="IO599" s="13"/>
      <c r="JB599" s="12"/>
      <c r="JC599" s="313"/>
      <c r="JI599" s="297"/>
      <c r="KY599" s="13"/>
      <c r="KZ599" s="43"/>
      <c r="LA599" s="43"/>
      <c r="LB599" s="45"/>
      <c r="LN599" s="291"/>
      <c r="TO599" s="13"/>
    </row>
    <row r="600" spans="34:535" ht="10.75" customHeight="1">
      <c r="AH600" s="12"/>
      <c r="AI600" s="12"/>
      <c r="AQ600" s="13"/>
      <c r="AR600" s="42"/>
      <c r="AS600" s="43"/>
      <c r="AT600" s="43"/>
      <c r="AU600" s="12"/>
      <c r="BZ600" s="13"/>
      <c r="CB600" s="13"/>
      <c r="CV600" s="13"/>
      <c r="CX600" s="13"/>
      <c r="EX600" s="13"/>
      <c r="EY600" s="43"/>
      <c r="EZ600" s="43"/>
      <c r="FA600" s="45"/>
      <c r="GS600" s="12"/>
      <c r="HB600" s="13"/>
      <c r="HC600" s="42"/>
      <c r="HD600" s="43"/>
      <c r="HE600" s="43"/>
      <c r="HF600" s="14"/>
      <c r="HG600" s="16"/>
      <c r="HH600" s="15"/>
      <c r="HI600" s="15"/>
      <c r="HJ600" s="15"/>
      <c r="HK600" s="16"/>
      <c r="IG600" s="13"/>
      <c r="IH600" s="162"/>
      <c r="II600" s="161"/>
      <c r="IJ600" s="14"/>
      <c r="IK600" s="16"/>
      <c r="IL600" s="15"/>
      <c r="IM600" s="15"/>
      <c r="IN600" s="15"/>
      <c r="IO600" s="16"/>
      <c r="JB600" s="12"/>
      <c r="JC600" s="313"/>
      <c r="JI600" s="297"/>
      <c r="KY600" s="13"/>
      <c r="KZ600" s="43"/>
      <c r="LA600" s="43"/>
      <c r="LB600" s="45"/>
      <c r="LN600" s="291"/>
      <c r="TO600" s="13"/>
    </row>
    <row r="601" spans="34:535" ht="10.75" customHeight="1">
      <c r="AH601" s="12"/>
      <c r="AI601" s="12"/>
      <c r="AQ601" s="13"/>
      <c r="AR601" s="42"/>
      <c r="AS601" s="43"/>
      <c r="AT601" s="43"/>
      <c r="AU601" s="12"/>
      <c r="BZ601" s="13"/>
      <c r="CB601" s="13"/>
      <c r="CV601" s="13"/>
      <c r="CX601" s="13"/>
      <c r="EX601" s="13"/>
      <c r="EY601" s="43"/>
      <c r="EZ601" s="43"/>
      <c r="FA601" s="45"/>
      <c r="GS601" s="12"/>
      <c r="HB601" s="13"/>
      <c r="HC601" s="42"/>
      <c r="HD601" s="43"/>
      <c r="HE601" s="43"/>
      <c r="HF601" s="12"/>
      <c r="IG601" s="13"/>
      <c r="IH601" s="162"/>
      <c r="II601" s="161"/>
      <c r="JB601" s="12"/>
      <c r="JC601" s="313"/>
      <c r="JI601" s="297"/>
      <c r="KY601" s="13"/>
      <c r="KZ601" s="43"/>
      <c r="LA601" s="43"/>
      <c r="LB601" s="45"/>
      <c r="LN601" s="291"/>
      <c r="TO601" s="13"/>
    </row>
    <row r="602" spans="34:535" ht="10.75" customHeight="1">
      <c r="AH602" s="12"/>
      <c r="AI602" s="12"/>
      <c r="AQ602" s="13"/>
      <c r="AR602" s="42"/>
      <c r="AS602" s="43"/>
      <c r="AT602" s="43"/>
      <c r="AU602" s="12"/>
      <c r="BZ602" s="13"/>
      <c r="CB602" s="13"/>
      <c r="CV602" s="13"/>
      <c r="CX602" s="13"/>
      <c r="EX602" s="13"/>
      <c r="EY602" s="43"/>
      <c r="EZ602" s="43"/>
      <c r="FA602" s="45"/>
      <c r="GS602" s="12"/>
      <c r="HB602" s="13"/>
      <c r="HC602" s="42"/>
      <c r="HD602" s="43"/>
      <c r="HE602" s="43"/>
      <c r="HF602" s="12"/>
      <c r="IG602" s="13"/>
      <c r="IH602" s="162"/>
      <c r="II602" s="161"/>
      <c r="JB602" s="12"/>
      <c r="JC602" s="13"/>
      <c r="JI602" s="297"/>
      <c r="KY602" s="13"/>
      <c r="KZ602" s="43"/>
      <c r="LA602" s="43"/>
      <c r="LB602" s="45"/>
      <c r="LN602" s="291"/>
      <c r="QR602" s="15"/>
      <c r="QS602" s="15"/>
      <c r="QT602" s="15"/>
      <c r="QU602" s="15"/>
      <c r="QV602" s="15"/>
      <c r="QW602" s="15"/>
      <c r="QX602" s="15"/>
      <c r="QY602" s="15"/>
      <c r="QZ602" s="15"/>
      <c r="RA602" s="15"/>
      <c r="RB602" s="15"/>
      <c r="RC602" s="15"/>
      <c r="RD602" s="15"/>
      <c r="RE602" s="15"/>
      <c r="RF602" s="15"/>
      <c r="RG602" s="15"/>
      <c r="RH602" s="15"/>
      <c r="RI602" s="15"/>
      <c r="RJ602" s="15"/>
      <c r="RK602" s="15"/>
      <c r="RL602" s="15"/>
      <c r="RM602" s="15"/>
      <c r="RN602" s="15"/>
      <c r="RO602" s="15"/>
      <c r="RP602" s="15"/>
      <c r="RQ602" s="15"/>
      <c r="RR602" s="15"/>
      <c r="RS602" s="15"/>
      <c r="RT602" s="15"/>
      <c r="RU602" s="15"/>
      <c r="RV602" s="15"/>
      <c r="RW602" s="15"/>
      <c r="RX602" s="15"/>
      <c r="RY602" s="15"/>
      <c r="RZ602" s="15"/>
      <c r="SA602" s="15"/>
      <c r="SB602" s="15"/>
      <c r="SC602" s="15"/>
      <c r="SD602" s="15"/>
      <c r="SE602" s="15"/>
      <c r="SF602" s="15"/>
      <c r="SG602" s="15"/>
      <c r="SH602" s="15"/>
      <c r="SI602" s="15"/>
      <c r="SJ602" s="15"/>
      <c r="SK602" s="15"/>
      <c r="SL602" s="15"/>
      <c r="SM602" s="15"/>
      <c r="SN602" s="15"/>
      <c r="SO602" s="15"/>
      <c r="SP602" s="15"/>
      <c r="SQ602" s="15"/>
      <c r="SR602" s="15"/>
      <c r="SS602" s="15"/>
      <c r="ST602" s="15"/>
      <c r="SU602" s="15"/>
      <c r="SV602" s="15"/>
      <c r="SW602" s="15"/>
      <c r="SX602" s="15"/>
      <c r="SY602" s="15"/>
      <c r="SZ602" s="15"/>
      <c r="TA602" s="15"/>
      <c r="TB602" s="15"/>
      <c r="TC602" s="15"/>
      <c r="TD602" s="15"/>
      <c r="TE602" s="15"/>
      <c r="TF602" s="15"/>
      <c r="TG602" s="15"/>
      <c r="TH602" s="15"/>
      <c r="TI602" s="15"/>
      <c r="TJ602" s="15"/>
      <c r="TK602" s="15"/>
      <c r="TL602" s="15"/>
      <c r="TM602" s="15"/>
      <c r="TN602" s="15"/>
      <c r="TO602" s="16"/>
    </row>
    <row r="603" spans="34:535" ht="10.75" customHeight="1">
      <c r="AH603" s="14"/>
      <c r="AI603" s="14"/>
      <c r="AJ603" s="15"/>
      <c r="AK603" s="15"/>
      <c r="AL603" s="15"/>
      <c r="AM603" s="15"/>
      <c r="AN603" s="15"/>
      <c r="AO603" s="15"/>
      <c r="AP603" s="15"/>
      <c r="AQ603" s="16"/>
      <c r="AR603" s="42"/>
      <c r="AS603" s="43"/>
      <c r="AT603" s="43"/>
      <c r="AU603" s="14"/>
      <c r="AV603" s="15"/>
      <c r="AW603" s="15"/>
      <c r="AX603" s="15"/>
      <c r="AY603" s="15"/>
      <c r="AZ603" s="15"/>
      <c r="BA603" s="15"/>
      <c r="BB603" s="15"/>
      <c r="BC603" s="15"/>
      <c r="BD603" s="15"/>
      <c r="BE603" s="15"/>
      <c r="BF603" s="15"/>
      <c r="BG603" s="15"/>
      <c r="BH603" s="15"/>
      <c r="BI603" s="15"/>
      <c r="BJ603" s="15"/>
      <c r="BK603" s="15"/>
      <c r="BL603" s="15"/>
      <c r="BM603" s="15"/>
      <c r="BN603" s="15"/>
      <c r="BO603" s="15"/>
      <c r="BP603" s="15"/>
      <c r="BQ603" s="15"/>
      <c r="BR603" s="15"/>
      <c r="BS603" s="15"/>
      <c r="BT603" s="15"/>
      <c r="BU603" s="15"/>
      <c r="BV603" s="15"/>
      <c r="BW603" s="15"/>
      <c r="BX603" s="15"/>
      <c r="BY603" s="15"/>
      <c r="BZ603" s="16"/>
      <c r="CA603" s="15"/>
      <c r="CB603" s="16"/>
      <c r="CC603" s="15"/>
      <c r="CD603" s="15"/>
      <c r="CE603" s="15"/>
      <c r="CF603" s="15"/>
      <c r="CG603" s="15"/>
      <c r="CH603" s="15"/>
      <c r="CI603" s="15"/>
      <c r="CJ603" s="15"/>
      <c r="CK603" s="15"/>
      <c r="CL603" s="15"/>
      <c r="CM603" s="15"/>
      <c r="CN603" s="15"/>
      <c r="CO603" s="15"/>
      <c r="CP603" s="15"/>
      <c r="CQ603" s="15"/>
      <c r="CR603" s="15"/>
      <c r="CS603" s="15"/>
      <c r="CT603" s="15"/>
      <c r="CU603" s="15"/>
      <c r="CV603" s="16"/>
      <c r="CX603" s="13"/>
      <c r="EX603" s="13"/>
      <c r="EY603" s="43"/>
      <c r="EZ603" s="43"/>
      <c r="FA603" s="45"/>
      <c r="GJ603" s="294"/>
      <c r="GK603" s="294"/>
      <c r="GS603" s="12"/>
      <c r="HB603" s="13"/>
      <c r="HC603" s="42"/>
      <c r="HD603" s="43"/>
      <c r="HE603" s="43"/>
      <c r="HF603" s="14"/>
      <c r="HG603" s="15"/>
      <c r="HH603" s="15"/>
      <c r="HI603" s="15"/>
      <c r="HJ603" s="15"/>
      <c r="HK603" s="15"/>
      <c r="HL603" s="15"/>
      <c r="HM603" s="15"/>
      <c r="HN603" s="15"/>
      <c r="HO603" s="15"/>
      <c r="HP603" s="15"/>
      <c r="HQ603" s="15"/>
      <c r="HR603" s="15"/>
      <c r="HS603" s="15"/>
      <c r="HT603" s="15"/>
      <c r="HU603" s="15"/>
      <c r="HV603" s="15"/>
      <c r="HW603" s="15"/>
      <c r="HX603" s="15"/>
      <c r="HY603" s="15"/>
      <c r="HZ603" s="15"/>
      <c r="IA603" s="15"/>
      <c r="IB603" s="15"/>
      <c r="IC603" s="15"/>
      <c r="ID603" s="15"/>
      <c r="IE603" s="15"/>
      <c r="IF603" s="15"/>
      <c r="IG603" s="16"/>
      <c r="IH603" s="162"/>
      <c r="II603" s="161"/>
      <c r="IJ603" s="15"/>
      <c r="IK603" s="15"/>
      <c r="IL603" s="15"/>
      <c r="IM603" s="15"/>
      <c r="IN603" s="15"/>
      <c r="IO603" s="15"/>
      <c r="IP603" s="15"/>
      <c r="IQ603" s="15"/>
      <c r="IR603" s="15"/>
      <c r="IS603" s="15"/>
      <c r="IT603" s="15"/>
      <c r="IU603" s="15"/>
      <c r="IV603" s="15"/>
      <c r="IW603" s="15"/>
      <c r="IX603" s="15"/>
      <c r="IY603" s="15"/>
      <c r="IZ603" s="15"/>
      <c r="JA603" s="15"/>
      <c r="JB603" s="12"/>
      <c r="JC603" s="13"/>
      <c r="JI603" s="299"/>
      <c r="JJ603" s="294"/>
      <c r="KY603" s="13"/>
      <c r="KZ603" s="43"/>
      <c r="LA603" s="43"/>
      <c r="LB603" s="45"/>
      <c r="LN603" s="291"/>
      <c r="QR603" s="10"/>
      <c r="QS603" s="10"/>
      <c r="QT603" s="10"/>
      <c r="QU603" s="10"/>
      <c r="QV603" s="10"/>
      <c r="QW603" s="10"/>
      <c r="QX603" s="10"/>
      <c r="QY603" s="10"/>
      <c r="QZ603" s="10"/>
      <c r="RA603" s="10"/>
      <c r="RB603" s="10"/>
      <c r="RC603" s="10"/>
      <c r="RD603" s="10"/>
      <c r="RE603" s="10"/>
      <c r="RF603" s="10"/>
      <c r="RG603" s="10"/>
      <c r="RH603" s="10"/>
      <c r="RI603" s="10"/>
      <c r="RJ603" s="10"/>
      <c r="RK603" s="10"/>
      <c r="RL603" s="10"/>
      <c r="RM603" s="10"/>
      <c r="RN603" s="10"/>
      <c r="RO603" s="10"/>
      <c r="RP603" s="10"/>
      <c r="RQ603" s="10"/>
      <c r="RR603" s="10"/>
      <c r="RS603" s="10"/>
      <c r="RT603" s="10"/>
      <c r="RU603" s="10"/>
      <c r="RV603" s="10"/>
      <c r="RW603" s="10"/>
      <c r="RX603" s="10"/>
      <c r="RY603" s="10"/>
      <c r="RZ603" s="10"/>
      <c r="SA603" s="10"/>
      <c r="SB603" s="10"/>
      <c r="SC603" s="10"/>
      <c r="SD603" s="10"/>
      <c r="SE603" s="10"/>
      <c r="SF603" s="10"/>
      <c r="SG603" s="10"/>
      <c r="SH603" s="10"/>
      <c r="SI603" s="10"/>
      <c r="SJ603" s="10"/>
      <c r="SK603" s="10"/>
      <c r="SL603" s="10"/>
      <c r="SM603" s="10"/>
      <c r="SN603" s="10"/>
      <c r="SO603" s="10"/>
      <c r="SP603" s="10"/>
      <c r="SQ603" s="10"/>
      <c r="SR603" s="10"/>
      <c r="SS603" s="10"/>
      <c r="ST603" s="10"/>
      <c r="SU603" s="10"/>
      <c r="SV603" s="10"/>
      <c r="SW603" s="11"/>
    </row>
    <row r="604" spans="34:535" ht="10.75" customHeight="1">
      <c r="AH604" s="9"/>
      <c r="AI604" s="9"/>
      <c r="AJ604" s="10"/>
      <c r="AK604" s="10"/>
      <c r="AL604" s="10"/>
      <c r="AM604" s="10"/>
      <c r="AN604" s="10"/>
      <c r="AO604" s="10"/>
      <c r="AP604" s="10"/>
      <c r="AQ604" s="11"/>
      <c r="AR604" s="42"/>
      <c r="AS604" s="43"/>
      <c r="AT604" s="43"/>
      <c r="AU604" s="12"/>
      <c r="CV604" s="13"/>
      <c r="CX604" s="13"/>
      <c r="EX604" s="13"/>
      <c r="EY604" s="43"/>
      <c r="EZ604" s="43"/>
      <c r="FA604" s="45"/>
      <c r="GK604" s="291"/>
      <c r="GS604" s="9"/>
      <c r="GT604" s="10"/>
      <c r="GU604" s="10"/>
      <c r="GV604" s="10"/>
      <c r="GW604" s="10"/>
      <c r="GX604" s="10"/>
      <c r="GY604" s="10"/>
      <c r="GZ604" s="10"/>
      <c r="HA604" s="10"/>
      <c r="HB604" s="11"/>
      <c r="HC604" s="42"/>
      <c r="HD604" s="43"/>
      <c r="HE604" s="43"/>
      <c r="HF604" s="160"/>
      <c r="HG604" s="162"/>
      <c r="HH604" s="162"/>
      <c r="HI604" s="162"/>
      <c r="HJ604" s="162"/>
      <c r="HK604" s="162"/>
      <c r="HL604" s="162"/>
      <c r="HM604" s="162"/>
      <c r="HN604" s="162"/>
      <c r="HO604" s="162"/>
      <c r="HP604" s="162"/>
      <c r="HQ604" s="162"/>
      <c r="HR604" s="162"/>
      <c r="HS604" s="162"/>
      <c r="HT604" s="162"/>
      <c r="HU604" s="162"/>
      <c r="HV604" s="162"/>
      <c r="HW604" s="162"/>
      <c r="HX604" s="162"/>
      <c r="HY604" s="162"/>
      <c r="HZ604" s="162"/>
      <c r="IA604" s="162"/>
      <c r="IB604" s="162"/>
      <c r="IC604" s="162"/>
      <c r="ID604" s="162"/>
      <c r="IE604" s="162"/>
      <c r="IF604" s="162"/>
      <c r="IG604" s="162"/>
      <c r="IH604" s="162"/>
      <c r="II604" s="162"/>
      <c r="IJ604" s="162"/>
      <c r="IK604" s="162"/>
      <c r="IL604" s="162"/>
      <c r="IM604" s="162"/>
      <c r="IN604" s="162"/>
      <c r="IO604" s="162"/>
      <c r="IP604" s="162"/>
      <c r="IQ604" s="162"/>
      <c r="IR604" s="162"/>
      <c r="IS604" s="162"/>
      <c r="IT604" s="162"/>
      <c r="IU604" s="162"/>
      <c r="IV604" s="162"/>
      <c r="IW604" s="162"/>
      <c r="IX604" s="162"/>
      <c r="IY604" s="162"/>
      <c r="IZ604" s="162"/>
      <c r="JA604" s="158"/>
      <c r="JB604" s="158"/>
      <c r="JC604" s="159"/>
      <c r="KY604" s="13"/>
      <c r="KZ604" s="43"/>
      <c r="LA604" s="43"/>
      <c r="LB604" s="45"/>
      <c r="LN604" s="291"/>
      <c r="SW604" s="13"/>
    </row>
    <row r="605" spans="34:535" ht="10.75" customHeight="1">
      <c r="AH605" s="12"/>
      <c r="AI605" s="12"/>
      <c r="AQ605" s="13"/>
      <c r="AR605" s="42"/>
      <c r="AS605" s="43"/>
      <c r="AT605" s="43"/>
      <c r="AU605" s="12"/>
      <c r="AV605" s="119"/>
      <c r="AW605" s="119"/>
      <c r="AX605" s="119"/>
      <c r="AY605" s="119"/>
      <c r="AZ605" s="119"/>
      <c r="BA605" s="119"/>
      <c r="BB605" s="119"/>
      <c r="BC605" s="119"/>
      <c r="CV605" s="13"/>
      <c r="CX605" s="13"/>
      <c r="EX605" s="13"/>
      <c r="EY605" s="43"/>
      <c r="EZ605" s="43"/>
      <c r="FA605" s="45"/>
      <c r="GK605" s="291"/>
      <c r="GS605" s="12"/>
      <c r="HB605" s="13"/>
      <c r="HC605" s="42"/>
      <c r="HD605" s="43"/>
      <c r="HE605" s="43"/>
      <c r="HF605" s="160"/>
      <c r="HG605" s="162"/>
      <c r="HH605" s="162"/>
      <c r="HI605" s="162"/>
      <c r="HJ605" s="162"/>
      <c r="HK605" s="162"/>
      <c r="HL605" s="162"/>
      <c r="HM605" s="162"/>
      <c r="HN605" s="314"/>
      <c r="HO605" s="314"/>
      <c r="HP605" s="314"/>
      <c r="HQ605" s="314"/>
      <c r="HR605" s="314"/>
      <c r="HS605" s="314"/>
      <c r="HT605" s="314"/>
      <c r="HU605" s="314"/>
      <c r="HV605" s="314"/>
      <c r="HW605" s="162"/>
      <c r="HX605" s="162"/>
      <c r="HY605" s="162"/>
      <c r="HZ605" s="162"/>
      <c r="IA605" s="162"/>
      <c r="IB605" s="162"/>
      <c r="IC605" s="162"/>
      <c r="ID605" s="162"/>
      <c r="IE605" s="162"/>
      <c r="IF605" s="162"/>
      <c r="IG605" s="162"/>
      <c r="IH605" s="162"/>
      <c r="II605" s="162"/>
      <c r="IJ605" s="162"/>
      <c r="IK605" s="162"/>
      <c r="IL605" s="162"/>
      <c r="IM605" s="162"/>
      <c r="IN605" s="162"/>
      <c r="IO605" s="162"/>
      <c r="IP605" s="162"/>
      <c r="IQ605" s="162"/>
      <c r="IR605" s="162"/>
      <c r="IS605" s="162"/>
      <c r="IT605" s="162"/>
      <c r="IU605" s="162"/>
      <c r="IV605" s="162"/>
      <c r="IW605" s="162"/>
      <c r="IX605" s="162"/>
      <c r="IY605" s="162"/>
      <c r="IZ605" s="162"/>
      <c r="JA605" s="163"/>
      <c r="JB605" s="162"/>
      <c r="JC605" s="161"/>
      <c r="JI605" s="294"/>
      <c r="JJ605" s="294"/>
      <c r="KY605" s="13"/>
      <c r="KZ605" s="43"/>
      <c r="LA605" s="43"/>
      <c r="LB605" s="45"/>
      <c r="LN605" s="291"/>
      <c r="SW605" s="13"/>
    </row>
    <row r="606" spans="34:535" ht="10.75" customHeight="1">
      <c r="AH606" s="12"/>
      <c r="AI606" s="12"/>
      <c r="AQ606" s="13"/>
      <c r="AR606" s="42"/>
      <c r="AS606" s="43"/>
      <c r="AT606" s="43"/>
      <c r="AU606" s="9"/>
      <c r="AV606" s="10"/>
      <c r="AW606" s="10"/>
      <c r="AX606" s="10"/>
      <c r="AY606" s="10"/>
      <c r="AZ606" s="10"/>
      <c r="BA606" s="10"/>
      <c r="BB606" s="10"/>
      <c r="BC606" s="10"/>
      <c r="BD606" s="10"/>
      <c r="BE606" s="10"/>
      <c r="BF606" s="10"/>
      <c r="BG606" s="10"/>
      <c r="BH606" s="10"/>
      <c r="BI606" s="10"/>
      <c r="BJ606" s="10"/>
      <c r="BK606" s="10"/>
      <c r="BL606" s="10"/>
      <c r="BM606" s="10"/>
      <c r="BN606" s="10"/>
      <c r="BO606" s="10"/>
      <c r="BP606" s="10"/>
      <c r="BQ606" s="10"/>
      <c r="BR606" s="10"/>
      <c r="BS606" s="10"/>
      <c r="BT606" s="10"/>
      <c r="BU606" s="10"/>
      <c r="BV606" s="10"/>
      <c r="BW606" s="10"/>
      <c r="BX606" s="10"/>
      <c r="BY606" s="10"/>
      <c r="BZ606" s="10"/>
      <c r="CA606" s="10"/>
      <c r="CB606" s="10"/>
      <c r="CC606" s="10"/>
      <c r="CD606" s="10"/>
      <c r="CE606" s="10"/>
      <c r="CF606" s="10"/>
      <c r="CG606" s="10"/>
      <c r="CH606" s="10"/>
      <c r="CI606" s="10"/>
      <c r="CJ606" s="10"/>
      <c r="CK606" s="10"/>
      <c r="CL606" s="10"/>
      <c r="CM606" s="10"/>
      <c r="CN606" s="10"/>
      <c r="CO606" s="10"/>
      <c r="CP606" s="10"/>
      <c r="CQ606" s="10"/>
      <c r="CR606" s="10"/>
      <c r="CS606" s="10"/>
      <c r="CT606" s="10"/>
      <c r="CU606" s="10"/>
      <c r="CV606" s="11"/>
      <c r="CX606" s="13"/>
      <c r="EX606" s="13"/>
      <c r="EY606" s="43"/>
      <c r="EZ606" s="43"/>
      <c r="FA606" s="45"/>
      <c r="GK606" s="291"/>
      <c r="GS606" s="12"/>
      <c r="HB606" s="13"/>
      <c r="HC606" s="42"/>
      <c r="HD606" s="43"/>
      <c r="HE606" s="43"/>
      <c r="HF606" s="9"/>
      <c r="HG606" s="10"/>
      <c r="HH606" s="10"/>
      <c r="HI606" s="10"/>
      <c r="HJ606" s="10"/>
      <c r="HK606" s="10"/>
      <c r="HL606" s="10"/>
      <c r="HM606" s="10"/>
      <c r="HN606" s="10"/>
      <c r="HO606" s="10"/>
      <c r="HP606" s="10"/>
      <c r="HQ606" s="10"/>
      <c r="HR606" s="10"/>
      <c r="HS606" s="10"/>
      <c r="HT606" s="10"/>
      <c r="HU606" s="10"/>
      <c r="HV606" s="10"/>
      <c r="HW606" s="10"/>
      <c r="HX606" s="10"/>
      <c r="HY606" s="10"/>
      <c r="HZ606" s="10"/>
      <c r="IA606" s="10"/>
      <c r="IB606" s="10"/>
      <c r="IC606" s="10"/>
      <c r="ID606" s="10"/>
      <c r="IE606" s="10"/>
      <c r="IF606" s="10"/>
      <c r="IG606" s="10"/>
      <c r="IH606" s="10"/>
      <c r="II606" s="10"/>
      <c r="IJ606" s="10"/>
      <c r="IK606" s="10"/>
      <c r="IL606" s="10"/>
      <c r="IM606" s="10"/>
      <c r="IN606" s="10"/>
      <c r="IO606" s="10"/>
      <c r="IP606" s="10"/>
      <c r="IQ606" s="10"/>
      <c r="IR606" s="10"/>
      <c r="IS606" s="10"/>
      <c r="IT606" s="10"/>
      <c r="IU606" s="10"/>
      <c r="IV606" s="10"/>
      <c r="IW606" s="10"/>
      <c r="IX606" s="10"/>
      <c r="IY606" s="10"/>
      <c r="IZ606" s="10"/>
      <c r="JA606" s="10"/>
      <c r="JB606" s="160"/>
      <c r="JC606" s="161"/>
      <c r="JJ606" s="291"/>
      <c r="KY606" s="13"/>
      <c r="KZ606" s="43"/>
      <c r="LA606" s="43"/>
      <c r="LB606" s="45"/>
      <c r="LN606" s="291"/>
      <c r="SW606" s="13"/>
    </row>
    <row r="607" spans="34:535" ht="10.75" customHeight="1">
      <c r="AH607" s="12"/>
      <c r="AI607" s="12"/>
      <c r="AQ607" s="13"/>
      <c r="AR607" s="42"/>
      <c r="AS607" s="43"/>
      <c r="AT607" s="43"/>
      <c r="AU607" s="12"/>
      <c r="CV607" s="13"/>
      <c r="CX607" s="13"/>
      <c r="EX607" s="13"/>
      <c r="EY607" s="43"/>
      <c r="EZ607" s="43"/>
      <c r="FA607" s="45"/>
      <c r="GK607" s="291"/>
      <c r="GS607" s="12"/>
      <c r="HB607" s="13"/>
      <c r="HC607" s="42"/>
      <c r="HD607" s="43"/>
      <c r="HE607" s="43"/>
      <c r="HF607" s="12"/>
      <c r="JB607" s="160"/>
      <c r="JC607" s="161"/>
      <c r="JJ607" s="291"/>
      <c r="KY607" s="13"/>
      <c r="KZ607" s="43"/>
      <c r="LA607" s="43"/>
      <c r="LB607" s="45"/>
      <c r="LN607" s="291"/>
      <c r="SW607" s="13"/>
    </row>
    <row r="608" spans="34:535" ht="10.75" customHeight="1">
      <c r="AH608" s="12"/>
      <c r="AI608" s="12"/>
      <c r="AQ608" s="13"/>
      <c r="AR608" s="42"/>
      <c r="AS608" s="43"/>
      <c r="AT608" s="43"/>
      <c r="AU608" s="12"/>
      <c r="CV608" s="13"/>
      <c r="CX608" s="13"/>
      <c r="EX608" s="13"/>
      <c r="EY608" s="43"/>
      <c r="EZ608" s="43"/>
      <c r="FA608" s="45"/>
      <c r="GK608" s="291"/>
      <c r="GS608" s="9"/>
      <c r="GT608" s="10"/>
      <c r="GU608" s="10"/>
      <c r="GV608" s="10"/>
      <c r="GW608" s="10"/>
      <c r="GX608" s="10"/>
      <c r="GY608" s="10"/>
      <c r="GZ608" s="10"/>
      <c r="HA608" s="10"/>
      <c r="HB608" s="11"/>
      <c r="HC608" s="42"/>
      <c r="HD608" s="43"/>
      <c r="HE608" s="43"/>
      <c r="HF608" s="12"/>
      <c r="JB608" s="160"/>
      <c r="JC608" s="313"/>
      <c r="JJ608" s="291"/>
      <c r="KY608" s="13"/>
      <c r="KZ608" s="43"/>
      <c r="LA608" s="43"/>
      <c r="LB608" s="45"/>
      <c r="LN608" s="291"/>
      <c r="SW608" s="13"/>
    </row>
    <row r="609" spans="34:517" ht="10.75" customHeight="1">
      <c r="AH609" s="12"/>
      <c r="AI609" s="12"/>
      <c r="AQ609" s="13"/>
      <c r="AR609" s="42"/>
      <c r="AS609" s="43"/>
      <c r="AT609" s="43"/>
      <c r="AU609" s="12"/>
      <c r="CV609" s="13"/>
      <c r="CX609" s="13"/>
      <c r="EX609" s="13"/>
      <c r="EY609" s="43"/>
      <c r="EZ609" s="43"/>
      <c r="FA609" s="45"/>
      <c r="GK609" s="291"/>
      <c r="GS609" s="12"/>
      <c r="HB609" s="13"/>
      <c r="HC609" s="42"/>
      <c r="HD609" s="43"/>
      <c r="HE609" s="43"/>
      <c r="HF609" s="12"/>
      <c r="JB609" s="160"/>
      <c r="JC609" s="313"/>
      <c r="JJ609" s="291"/>
      <c r="KY609" s="13"/>
      <c r="KZ609" s="43"/>
      <c r="LA609" s="43"/>
      <c r="LB609" s="45"/>
      <c r="LN609" s="291"/>
      <c r="SW609" s="13"/>
    </row>
    <row r="610" spans="34:517" ht="10.75" customHeight="1">
      <c r="AH610" s="12"/>
      <c r="AI610" s="12"/>
      <c r="AQ610" s="13"/>
      <c r="AR610" s="42"/>
      <c r="AS610" s="43"/>
      <c r="AT610" s="43"/>
      <c r="AU610" s="12"/>
      <c r="CV610" s="13"/>
      <c r="CX610" s="13"/>
      <c r="EX610" s="13"/>
      <c r="EY610" s="43"/>
      <c r="EZ610" s="43"/>
      <c r="FA610" s="45"/>
      <c r="GK610" s="291"/>
      <c r="GS610" s="12"/>
      <c r="HB610" s="13"/>
      <c r="HC610" s="42"/>
      <c r="HD610" s="43"/>
      <c r="HE610" s="43"/>
      <c r="HF610" s="295"/>
      <c r="HG610" s="294"/>
      <c r="HH610" s="294"/>
      <c r="HI610" s="294"/>
      <c r="HJ610" s="294"/>
      <c r="HK610" s="294"/>
      <c r="HL610" s="294"/>
      <c r="HM610" s="294"/>
      <c r="HN610" s="294"/>
      <c r="HO610" s="294"/>
      <c r="HP610" s="294"/>
      <c r="HQ610" s="294"/>
      <c r="HR610" s="294"/>
      <c r="HS610" s="294"/>
      <c r="HT610" s="294"/>
      <c r="HU610" s="294"/>
      <c r="HV610" s="294"/>
      <c r="HW610" s="294"/>
      <c r="HX610" s="294"/>
      <c r="HY610" s="294"/>
      <c r="HZ610" s="294"/>
      <c r="IA610" s="294"/>
      <c r="IB610" s="294"/>
      <c r="IC610" s="294"/>
      <c r="ID610" s="294"/>
      <c r="IE610" s="294"/>
      <c r="IF610" s="294"/>
      <c r="IG610" s="294"/>
      <c r="IH610" s="291"/>
      <c r="II610" s="297"/>
      <c r="IJ610" s="294"/>
      <c r="IK610" s="294"/>
      <c r="IL610" s="294"/>
      <c r="IM610" s="294"/>
      <c r="IN610" s="294"/>
      <c r="IO610" s="294"/>
      <c r="IP610" s="294"/>
      <c r="IQ610" s="294"/>
      <c r="IR610" s="294"/>
      <c r="IS610" s="294"/>
      <c r="IT610" s="294"/>
      <c r="IU610" s="294"/>
      <c r="IV610" s="294"/>
      <c r="IW610" s="294"/>
      <c r="IX610" s="294"/>
      <c r="IY610" s="294"/>
      <c r="IZ610" s="294"/>
      <c r="JA610" s="296"/>
      <c r="JB610" s="160"/>
      <c r="JC610" s="313"/>
      <c r="JJ610" s="291"/>
      <c r="KY610" s="13"/>
      <c r="KZ610" s="43"/>
      <c r="LA610" s="43"/>
      <c r="LB610" s="45"/>
      <c r="LN610" s="291"/>
      <c r="SW610" s="13"/>
    </row>
    <row r="611" spans="34:517" ht="10.75" customHeight="1">
      <c r="AH611" s="12"/>
      <c r="AI611" s="12"/>
      <c r="AQ611" s="13"/>
      <c r="AR611" s="42"/>
      <c r="AS611" s="43"/>
      <c r="AT611" s="43"/>
      <c r="AU611" s="12"/>
      <c r="CV611" s="13"/>
      <c r="CX611" s="13"/>
      <c r="EX611" s="13"/>
      <c r="EY611" s="43"/>
      <c r="EZ611" s="43"/>
      <c r="FA611" s="45"/>
      <c r="GK611" s="291"/>
      <c r="GS611" s="12"/>
      <c r="HB611" s="13"/>
      <c r="HC611" s="42"/>
      <c r="HD611" s="43"/>
      <c r="HE611" s="43"/>
      <c r="HF611" s="12"/>
      <c r="IH611" s="291"/>
      <c r="II611" s="297"/>
      <c r="JB611" s="160"/>
      <c r="JC611" s="313"/>
      <c r="JJ611" s="291"/>
      <c r="KY611" s="13"/>
      <c r="KZ611" s="43"/>
      <c r="LA611" s="43"/>
      <c r="LB611" s="45"/>
      <c r="LN611" s="291"/>
      <c r="SW611" s="13"/>
    </row>
    <row r="612" spans="34:517" ht="10.75" customHeight="1">
      <c r="AH612" s="12"/>
      <c r="AI612" s="12"/>
      <c r="AQ612" s="13"/>
      <c r="AR612" s="42"/>
      <c r="AS612" s="43"/>
      <c r="AT612" s="43"/>
      <c r="AU612" s="12"/>
      <c r="CV612" s="13"/>
      <c r="CX612" s="13"/>
      <c r="EX612" s="13"/>
      <c r="EY612" s="43"/>
      <c r="EZ612" s="43"/>
      <c r="FA612" s="45"/>
      <c r="GK612" s="291"/>
      <c r="GS612" s="9"/>
      <c r="GT612" s="10"/>
      <c r="GU612" s="10"/>
      <c r="GV612" s="10"/>
      <c r="GW612" s="10"/>
      <c r="GX612" s="10"/>
      <c r="GY612" s="10"/>
      <c r="GZ612" s="10"/>
      <c r="HA612" s="10"/>
      <c r="HB612" s="11"/>
      <c r="HC612" s="42"/>
      <c r="HD612" s="43"/>
      <c r="HE612" s="43"/>
      <c r="HF612" s="12"/>
      <c r="JB612" s="160"/>
      <c r="JC612" s="313"/>
      <c r="JJ612" s="291"/>
      <c r="KY612" s="13"/>
      <c r="KZ612" s="43"/>
      <c r="LA612" s="43"/>
      <c r="LB612" s="45"/>
      <c r="LN612" s="291"/>
      <c r="SW612" s="13"/>
    </row>
    <row r="613" spans="34:517" ht="10.75" customHeight="1">
      <c r="AH613" s="12"/>
      <c r="AI613" s="12"/>
      <c r="AQ613" s="13"/>
      <c r="AR613" s="42"/>
      <c r="AS613" s="43"/>
      <c r="AT613" s="43"/>
      <c r="AU613" s="12"/>
      <c r="CV613" s="13"/>
      <c r="CX613" s="13"/>
      <c r="EX613" s="13"/>
      <c r="EY613" s="43"/>
      <c r="EZ613" s="43"/>
      <c r="FA613" s="45"/>
      <c r="GK613" s="291"/>
      <c r="GS613" s="12"/>
      <c r="HB613" s="13"/>
      <c r="HC613" s="42"/>
      <c r="HD613" s="43"/>
      <c r="HE613" s="43"/>
      <c r="HF613" s="12"/>
      <c r="JB613" s="160"/>
      <c r="JC613" s="313"/>
      <c r="JJ613" s="291"/>
      <c r="KY613" s="13"/>
      <c r="KZ613" s="43"/>
      <c r="LA613" s="43"/>
      <c r="LB613" s="45"/>
      <c r="LN613" s="291"/>
      <c r="SW613" s="13"/>
    </row>
    <row r="614" spans="34:517" ht="10.75" customHeight="1">
      <c r="AH614" s="12"/>
      <c r="AI614" s="12"/>
      <c r="AQ614" s="13"/>
      <c r="AR614" s="42"/>
      <c r="AS614" s="43"/>
      <c r="AT614" s="43"/>
      <c r="AU614" s="12"/>
      <c r="CV614" s="13"/>
      <c r="CX614" s="13"/>
      <c r="EX614" s="13"/>
      <c r="EY614" s="43"/>
      <c r="EZ614" s="43"/>
      <c r="FA614" s="45"/>
      <c r="GK614" s="291"/>
      <c r="GS614" s="12"/>
      <c r="HB614" s="13"/>
      <c r="HC614" s="42"/>
      <c r="HD614" s="43"/>
      <c r="HE614" s="43"/>
      <c r="HF614" s="12"/>
      <c r="JB614" s="160"/>
      <c r="JC614" s="313"/>
      <c r="JJ614" s="291"/>
      <c r="KY614" s="13"/>
      <c r="KZ614" s="43"/>
      <c r="LA614" s="43"/>
      <c r="LB614" s="45"/>
      <c r="LN614" s="291"/>
      <c r="SW614" s="13"/>
    </row>
    <row r="615" spans="34:517" ht="10.75" customHeight="1">
      <c r="AH615" s="12"/>
      <c r="AI615" s="12"/>
      <c r="AQ615" s="13"/>
      <c r="AR615" s="42"/>
      <c r="AS615" s="43"/>
      <c r="AT615" s="43"/>
      <c r="AU615" s="12"/>
      <c r="CV615" s="13"/>
      <c r="CX615" s="13"/>
      <c r="EX615" s="13"/>
      <c r="EY615" s="43"/>
      <c r="EZ615" s="43"/>
      <c r="FA615" s="45"/>
      <c r="GK615" s="291"/>
      <c r="GS615" s="14"/>
      <c r="GT615" s="15"/>
      <c r="GU615" s="15"/>
      <c r="GV615" s="15"/>
      <c r="GW615" s="15"/>
      <c r="GX615" s="15"/>
      <c r="GY615" s="15"/>
      <c r="GZ615" s="15"/>
      <c r="HA615" s="15"/>
      <c r="HB615" s="16"/>
      <c r="HC615" s="42"/>
      <c r="HD615" s="43"/>
      <c r="HE615" s="43"/>
      <c r="HF615" s="12"/>
      <c r="JB615" s="160"/>
      <c r="JC615" s="313"/>
      <c r="JJ615" s="291"/>
      <c r="KY615" s="13"/>
      <c r="KZ615" s="43"/>
      <c r="LA615" s="43"/>
      <c r="LB615" s="45"/>
      <c r="LN615" s="291"/>
      <c r="SW615" s="13"/>
    </row>
    <row r="616" spans="34:517" ht="10.75" customHeight="1">
      <c r="AH616" s="12"/>
      <c r="AI616" s="12"/>
      <c r="AQ616" s="13"/>
      <c r="AR616" s="42"/>
      <c r="AS616" s="43"/>
      <c r="AT616" s="43"/>
      <c r="AU616" s="12"/>
      <c r="CV616" s="13"/>
      <c r="CX616" s="13"/>
      <c r="EX616" s="13"/>
      <c r="EY616" s="43"/>
      <c r="EZ616" s="43"/>
      <c r="FA616" s="45"/>
      <c r="GK616" s="291"/>
      <c r="GS616" s="12"/>
      <c r="HB616" s="13"/>
      <c r="HC616" s="42"/>
      <c r="HD616" s="43"/>
      <c r="HE616" s="43"/>
      <c r="HF616" s="12"/>
      <c r="JB616" s="160"/>
      <c r="JC616" s="313"/>
      <c r="JJ616" s="291"/>
      <c r="KY616" s="13"/>
      <c r="KZ616" s="43"/>
      <c r="LA616" s="43"/>
      <c r="LB616" s="45"/>
      <c r="LN616" s="291"/>
      <c r="SW616" s="13"/>
    </row>
    <row r="617" spans="34:517" ht="10.75" customHeight="1">
      <c r="AH617" s="12"/>
      <c r="AI617" s="12"/>
      <c r="AQ617" s="13"/>
      <c r="AR617" s="42"/>
      <c r="AS617" s="43"/>
      <c r="AT617" s="43"/>
      <c r="AU617" s="12"/>
      <c r="CV617" s="13"/>
      <c r="CX617" s="13"/>
      <c r="EX617" s="13"/>
      <c r="EY617" s="43"/>
      <c r="EZ617" s="43"/>
      <c r="FA617" s="45"/>
      <c r="GK617" s="291"/>
      <c r="GS617" s="12"/>
      <c r="HB617" s="13"/>
      <c r="HC617" s="42"/>
      <c r="HD617" s="43"/>
      <c r="HE617" s="43"/>
      <c r="HF617" s="12"/>
      <c r="JB617" s="160"/>
      <c r="JC617" s="313"/>
      <c r="JJ617" s="291"/>
      <c r="KY617" s="13"/>
      <c r="KZ617" s="43"/>
      <c r="LA617" s="43"/>
      <c r="LB617" s="45"/>
      <c r="LN617" s="291"/>
      <c r="SW617" s="13"/>
    </row>
    <row r="618" spans="34:517" ht="10.75" customHeight="1">
      <c r="AH618" s="12"/>
      <c r="AI618" s="12"/>
      <c r="AQ618" s="13"/>
      <c r="AR618" s="42"/>
      <c r="AS618" s="43"/>
      <c r="AT618" s="43"/>
      <c r="AU618" s="12"/>
      <c r="CV618" s="13"/>
      <c r="CX618" s="13"/>
      <c r="EX618" s="13"/>
      <c r="EY618" s="43"/>
      <c r="EZ618" s="43"/>
      <c r="FA618" s="45"/>
      <c r="GK618" s="291"/>
      <c r="GS618" s="12"/>
      <c r="HB618" s="13"/>
      <c r="HC618" s="42"/>
      <c r="HD618" s="43"/>
      <c r="HE618" s="43"/>
      <c r="HF618" s="12"/>
      <c r="JB618" s="160"/>
      <c r="JC618" s="161"/>
      <c r="JJ618" s="291"/>
      <c r="KY618" s="13"/>
      <c r="KZ618" s="43"/>
      <c r="LA618" s="43"/>
      <c r="LB618" s="45"/>
      <c r="LN618" s="291"/>
      <c r="SW618" s="13"/>
    </row>
    <row r="619" spans="34:517" ht="10.75" customHeight="1">
      <c r="AH619" s="12"/>
      <c r="AI619" s="12"/>
      <c r="AQ619" s="13"/>
      <c r="AR619" s="42"/>
      <c r="AS619" s="43"/>
      <c r="AT619" s="43"/>
      <c r="AU619" s="12"/>
      <c r="CV619" s="13"/>
      <c r="CX619" s="13"/>
      <c r="EX619" s="13"/>
      <c r="EY619" s="43"/>
      <c r="EZ619" s="43"/>
      <c r="FA619" s="45"/>
      <c r="FX619" s="15"/>
      <c r="FY619" s="15"/>
      <c r="FZ619" s="15"/>
      <c r="GA619" s="15"/>
      <c r="GB619" s="15"/>
      <c r="GC619" s="15"/>
      <c r="GK619" s="291"/>
      <c r="GS619" s="12"/>
      <c r="HB619" s="13"/>
      <c r="HC619" s="42"/>
      <c r="HD619" s="43"/>
      <c r="HE619" s="43"/>
      <c r="HF619" s="12"/>
      <c r="JB619" s="160"/>
      <c r="JC619" s="161"/>
      <c r="JJ619" s="291"/>
      <c r="KY619" s="13"/>
      <c r="KZ619" s="43"/>
      <c r="LA619" s="43"/>
      <c r="LB619" s="45"/>
      <c r="LN619" s="291"/>
      <c r="SW619" s="13"/>
    </row>
    <row r="620" spans="34:517" ht="10.75" customHeight="1">
      <c r="AH620" s="12"/>
      <c r="AI620" s="12"/>
      <c r="AQ620" s="13"/>
      <c r="AR620" s="42"/>
      <c r="AS620" s="43"/>
      <c r="AT620" s="43"/>
      <c r="AU620" s="12"/>
      <c r="CV620" s="13"/>
      <c r="CX620" s="13"/>
      <c r="EX620" s="13"/>
      <c r="EY620" s="43"/>
      <c r="EZ620" s="43"/>
      <c r="FA620" s="45"/>
      <c r="GK620" s="291"/>
      <c r="GS620" s="9"/>
      <c r="GT620" s="10"/>
      <c r="GU620" s="10"/>
      <c r="GV620" s="10"/>
      <c r="GW620" s="10"/>
      <c r="GX620" s="10"/>
      <c r="GY620" s="10"/>
      <c r="GZ620" s="10"/>
      <c r="HA620" s="10"/>
      <c r="HB620" s="11"/>
      <c r="HC620" s="42"/>
      <c r="HD620" s="43"/>
      <c r="HE620" s="43"/>
      <c r="HF620" s="12"/>
      <c r="JB620" s="160"/>
      <c r="JC620" s="161"/>
      <c r="JJ620" s="291"/>
      <c r="KY620" s="13"/>
      <c r="KZ620" s="43"/>
      <c r="LA620" s="43"/>
      <c r="LB620" s="45"/>
      <c r="LN620" s="291"/>
      <c r="SW620" s="13"/>
    </row>
    <row r="621" spans="34:517" ht="10.75" customHeight="1">
      <c r="AH621" s="12"/>
      <c r="AI621" s="12"/>
      <c r="AQ621" s="13"/>
      <c r="AR621" s="42"/>
      <c r="AS621" s="43"/>
      <c r="AT621" s="43"/>
      <c r="AU621" s="12"/>
      <c r="CV621" s="13"/>
      <c r="CX621" s="13"/>
      <c r="EX621" s="13"/>
      <c r="EY621" s="43"/>
      <c r="EZ621" s="43"/>
      <c r="FA621" s="45"/>
      <c r="GK621" s="291"/>
      <c r="GS621" s="12"/>
      <c r="HB621" s="13"/>
      <c r="HC621" s="42"/>
      <c r="HD621" s="43"/>
      <c r="HE621" s="43"/>
      <c r="HF621" s="12"/>
      <c r="JB621" s="160"/>
      <c r="JC621" s="161"/>
      <c r="JJ621" s="291"/>
      <c r="KY621" s="13"/>
      <c r="KZ621" s="43"/>
      <c r="LA621" s="43"/>
      <c r="LB621" s="45"/>
      <c r="LN621" s="291"/>
      <c r="SW621" s="13"/>
    </row>
    <row r="622" spans="34:517" ht="10.75" customHeight="1">
      <c r="AH622" s="12"/>
      <c r="AI622" s="12"/>
      <c r="AQ622" s="13"/>
      <c r="AR622" s="42"/>
      <c r="AS622" s="43"/>
      <c r="AT622" s="43"/>
      <c r="AU622" s="12"/>
      <c r="CV622" s="13"/>
      <c r="CX622" s="13"/>
      <c r="EX622" s="13"/>
      <c r="EY622" s="43"/>
      <c r="EZ622" s="43"/>
      <c r="FA622" s="45"/>
      <c r="GK622" s="291"/>
      <c r="GS622" s="12"/>
      <c r="HB622" s="13"/>
      <c r="HC622" s="42"/>
      <c r="HD622" s="43"/>
      <c r="HE622" s="43"/>
      <c r="HF622" s="12"/>
      <c r="JB622" s="160"/>
      <c r="JC622" s="161"/>
      <c r="JJ622" s="291"/>
      <c r="KY622" s="13"/>
      <c r="KZ622" s="43"/>
      <c r="LA622" s="43"/>
      <c r="LB622" s="45"/>
      <c r="LN622" s="291"/>
      <c r="SW622" s="13"/>
    </row>
    <row r="623" spans="34:517" ht="10.75" customHeight="1">
      <c r="AH623" s="12"/>
      <c r="AI623" s="12"/>
      <c r="AQ623" s="13"/>
      <c r="AR623" s="42"/>
      <c r="AS623" s="43"/>
      <c r="AT623" s="43"/>
      <c r="AU623" s="12"/>
      <c r="CV623" s="13"/>
      <c r="CX623" s="13"/>
      <c r="EX623" s="13"/>
      <c r="EY623" s="43"/>
      <c r="EZ623" s="43"/>
      <c r="FA623" s="45"/>
      <c r="GK623" s="291"/>
      <c r="GS623" s="14"/>
      <c r="GT623" s="15"/>
      <c r="GU623" s="15"/>
      <c r="GV623" s="15"/>
      <c r="GW623" s="15"/>
      <c r="GX623" s="15"/>
      <c r="GY623" s="15"/>
      <c r="GZ623" s="15"/>
      <c r="HA623" s="15"/>
      <c r="HB623" s="16"/>
      <c r="HC623" s="42"/>
      <c r="HD623" s="43"/>
      <c r="HE623" s="43"/>
      <c r="HF623" s="12"/>
      <c r="JB623" s="160"/>
      <c r="JC623" s="161"/>
      <c r="JJ623" s="291"/>
      <c r="KY623" s="13"/>
      <c r="KZ623" s="43"/>
      <c r="LA623" s="43"/>
      <c r="LB623" s="45"/>
      <c r="LN623" s="291"/>
      <c r="SW623" s="13"/>
    </row>
    <row r="624" spans="34:517" ht="10.75" customHeight="1">
      <c r="AH624" s="12"/>
      <c r="AI624" s="12"/>
      <c r="AQ624" s="13"/>
      <c r="AR624" s="42"/>
      <c r="AS624" s="43"/>
      <c r="AT624" s="43"/>
      <c r="AU624" s="12"/>
      <c r="CV624" s="13"/>
      <c r="CX624" s="13"/>
      <c r="EX624" s="13"/>
      <c r="EY624" s="43"/>
      <c r="EZ624" s="43"/>
      <c r="FA624" s="45"/>
      <c r="GK624" s="291"/>
      <c r="GS624" s="12"/>
      <c r="HB624" s="13"/>
      <c r="HC624" s="42"/>
      <c r="HD624" s="43"/>
      <c r="HE624" s="43"/>
      <c r="HF624" s="12"/>
      <c r="JB624" s="160"/>
      <c r="JC624" s="161"/>
      <c r="JJ624" s="291"/>
      <c r="KY624" s="13"/>
      <c r="KZ624" s="43"/>
      <c r="LA624" s="43"/>
      <c r="LB624" s="45"/>
      <c r="LN624" s="291"/>
      <c r="SW624" s="13"/>
    </row>
    <row r="625" spans="34:565" ht="10.75" customHeight="1">
      <c r="AH625" s="12"/>
      <c r="AI625" s="12"/>
      <c r="AQ625" s="13"/>
      <c r="AR625" s="42"/>
      <c r="AS625" s="43"/>
      <c r="AT625" s="43"/>
      <c r="AU625" s="12"/>
      <c r="CV625" s="13"/>
      <c r="CX625" s="13"/>
      <c r="EX625" s="13"/>
      <c r="EY625" s="43"/>
      <c r="EZ625" s="43"/>
      <c r="FA625" s="45"/>
      <c r="GK625" s="291"/>
      <c r="GS625" s="12"/>
      <c r="HB625" s="13"/>
      <c r="HC625" s="42"/>
      <c r="HD625" s="43"/>
      <c r="HE625" s="43"/>
      <c r="HF625" s="12"/>
      <c r="JB625" s="160"/>
      <c r="JC625" s="161"/>
      <c r="JJ625" s="291"/>
      <c r="KY625" s="13"/>
      <c r="KZ625" s="43"/>
      <c r="LA625" s="43"/>
      <c r="LB625" s="45"/>
      <c r="LN625" s="291"/>
      <c r="SW625" s="13"/>
    </row>
    <row r="626" spans="34:565" ht="10.75" customHeight="1">
      <c r="AH626" s="12"/>
      <c r="AI626" s="12"/>
      <c r="AQ626" s="13"/>
      <c r="AR626" s="42"/>
      <c r="AS626" s="43"/>
      <c r="AT626" s="43"/>
      <c r="AU626" s="12"/>
      <c r="CV626" s="13"/>
      <c r="CX626" s="13"/>
      <c r="EX626" s="13"/>
      <c r="EY626" s="43"/>
      <c r="EZ626" s="43"/>
      <c r="FA626" s="45"/>
      <c r="GK626" s="291"/>
      <c r="GS626" s="12"/>
      <c r="HB626" s="13"/>
      <c r="HC626" s="42"/>
      <c r="HD626" s="43"/>
      <c r="HE626" s="43"/>
      <c r="HF626" s="12"/>
      <c r="JB626" s="160"/>
      <c r="JC626" s="161"/>
      <c r="JJ626" s="291"/>
      <c r="KY626" s="13"/>
      <c r="KZ626" s="43"/>
      <c r="LA626" s="43"/>
      <c r="LB626" s="45"/>
      <c r="LN626" s="291"/>
      <c r="SW626" s="13"/>
    </row>
    <row r="627" spans="34:565" ht="10.75" customHeight="1">
      <c r="AH627" s="12"/>
      <c r="AI627" s="12"/>
      <c r="AQ627" s="13"/>
      <c r="AR627" s="42"/>
      <c r="AS627" s="43"/>
      <c r="AT627" s="43"/>
      <c r="AU627" s="12"/>
      <c r="CV627" s="13"/>
      <c r="CX627" s="13"/>
      <c r="EX627" s="13"/>
      <c r="EY627" s="43"/>
      <c r="EZ627" s="43"/>
      <c r="FA627" s="45"/>
      <c r="GK627" s="291"/>
      <c r="GS627" s="12"/>
      <c r="HB627" s="13"/>
      <c r="HC627" s="42"/>
      <c r="HD627" s="43"/>
      <c r="HE627" s="43"/>
      <c r="HF627" s="12"/>
      <c r="JB627" s="160"/>
      <c r="JC627" s="161"/>
      <c r="JJ627" s="291"/>
      <c r="KY627" s="13"/>
      <c r="KZ627" s="43"/>
      <c r="LA627" s="43"/>
      <c r="LB627" s="45"/>
      <c r="LN627" s="291"/>
      <c r="SW627" s="13"/>
    </row>
    <row r="628" spans="34:565" ht="10.75" customHeight="1">
      <c r="AH628" s="12"/>
      <c r="AI628" s="12"/>
      <c r="AQ628" s="13"/>
      <c r="AR628" s="42"/>
      <c r="AS628" s="43"/>
      <c r="AT628" s="43"/>
      <c r="AU628" s="12"/>
      <c r="CV628" s="13"/>
      <c r="CX628" s="13"/>
      <c r="EX628" s="13"/>
      <c r="EY628" s="43"/>
      <c r="EZ628" s="43"/>
      <c r="FA628" s="45"/>
      <c r="FY628" s="10"/>
      <c r="FZ628" s="10"/>
      <c r="GA628" s="10"/>
      <c r="GB628" s="10"/>
      <c r="GC628" s="10"/>
      <c r="GD628" s="10"/>
      <c r="GK628" s="291"/>
      <c r="GS628" s="9"/>
      <c r="GT628" s="10"/>
      <c r="GU628" s="10"/>
      <c r="GV628" s="10"/>
      <c r="GW628" s="10"/>
      <c r="GX628" s="10"/>
      <c r="GY628" s="10"/>
      <c r="GZ628" s="10"/>
      <c r="HA628" s="10"/>
      <c r="HB628" s="11"/>
      <c r="HC628" s="42"/>
      <c r="HD628" s="43"/>
      <c r="HE628" s="43"/>
      <c r="HF628" s="12"/>
      <c r="JB628" s="160"/>
      <c r="JC628" s="161"/>
      <c r="JJ628" s="291"/>
      <c r="KY628" s="13"/>
      <c r="KZ628" s="43"/>
      <c r="LA628" s="43"/>
      <c r="LB628" s="45"/>
      <c r="LN628" s="291"/>
      <c r="SW628" s="13"/>
    </row>
    <row r="629" spans="34:565" ht="10.75" customHeight="1">
      <c r="AH629" s="12"/>
      <c r="AI629" s="12"/>
      <c r="AQ629" s="13"/>
      <c r="AR629" s="42"/>
      <c r="AS629" s="43"/>
      <c r="AT629" s="43"/>
      <c r="AU629" s="12"/>
      <c r="CV629" s="13"/>
      <c r="CX629" s="13"/>
      <c r="EX629" s="13"/>
      <c r="EY629" s="43"/>
      <c r="EZ629" s="43"/>
      <c r="FA629" s="45"/>
      <c r="GK629" s="291"/>
      <c r="GS629" s="12"/>
      <c r="HB629" s="13"/>
      <c r="HC629" s="42"/>
      <c r="HD629" s="43"/>
      <c r="HE629" s="43"/>
      <c r="HF629" s="12"/>
      <c r="JB629" s="160"/>
      <c r="JC629" s="161"/>
      <c r="JJ629" s="291"/>
      <c r="KY629" s="13"/>
      <c r="KZ629" s="43"/>
      <c r="LA629" s="43"/>
      <c r="LB629" s="45"/>
      <c r="LN629" s="291"/>
      <c r="SW629" s="13"/>
    </row>
    <row r="630" spans="34:565" ht="10.75" customHeight="1" thickBot="1">
      <c r="AH630" s="12"/>
      <c r="AI630" s="12"/>
      <c r="AQ630" s="13"/>
      <c r="AR630" s="42"/>
      <c r="AS630" s="43"/>
      <c r="AT630" s="43"/>
      <c r="AU630" s="12"/>
      <c r="CV630" s="13"/>
      <c r="CX630" s="13"/>
      <c r="EX630" s="13"/>
      <c r="EY630" s="43"/>
      <c r="EZ630" s="43"/>
      <c r="FA630" s="45"/>
      <c r="GK630" s="291"/>
      <c r="GS630" s="12"/>
      <c r="HB630" s="13"/>
      <c r="HC630" s="56"/>
      <c r="HD630" s="57"/>
      <c r="HE630" s="58"/>
      <c r="HF630" s="12"/>
      <c r="JA630" s="56"/>
      <c r="JB630" s="56"/>
      <c r="JC630" s="58"/>
      <c r="JJ630" s="291"/>
      <c r="KY630" s="13"/>
      <c r="KZ630" s="56"/>
      <c r="LA630" s="57"/>
      <c r="LB630" s="58"/>
      <c r="LN630" s="291"/>
      <c r="SW630" s="13"/>
    </row>
    <row r="631" spans="34:565" ht="10.75" customHeight="1">
      <c r="AH631" s="12"/>
      <c r="AI631" s="12"/>
      <c r="AQ631" s="13"/>
      <c r="AR631" s="42"/>
      <c r="AS631" s="43"/>
      <c r="AT631" s="43"/>
      <c r="AU631" s="12"/>
      <c r="CV631" s="13"/>
      <c r="CX631" s="13"/>
      <c r="EX631" s="13"/>
      <c r="EY631" s="43"/>
      <c r="EZ631" s="43"/>
      <c r="FA631" s="45"/>
      <c r="GK631" s="291"/>
      <c r="GS631" s="14"/>
      <c r="GT631" s="15"/>
      <c r="GU631" s="15"/>
      <c r="GV631" s="15"/>
      <c r="GW631" s="15"/>
      <c r="GX631" s="15"/>
      <c r="GY631" s="15"/>
      <c r="GZ631" s="15"/>
      <c r="HA631" s="15"/>
      <c r="HB631" s="16"/>
      <c r="HC631" s="96"/>
      <c r="HD631" s="97"/>
      <c r="HE631" s="98"/>
      <c r="HF631" s="305"/>
      <c r="HG631" s="306"/>
      <c r="HH631" s="306"/>
      <c r="HI631" s="306"/>
      <c r="HJ631" s="306"/>
      <c r="HK631" s="306"/>
      <c r="HL631" s="306"/>
      <c r="HM631" s="306"/>
      <c r="HN631" s="306"/>
      <c r="JA631" s="96"/>
      <c r="JB631" s="96"/>
      <c r="JC631" s="98"/>
      <c r="JJ631" s="291"/>
      <c r="KP631" s="306"/>
      <c r="KQ631" s="306"/>
      <c r="KR631" s="306"/>
      <c r="KS631" s="306"/>
      <c r="KT631" s="306"/>
      <c r="KU631" s="306"/>
      <c r="KV631" s="306"/>
      <c r="KW631" s="306"/>
      <c r="KX631" s="306"/>
      <c r="KY631" s="307"/>
      <c r="KZ631" s="96"/>
      <c r="LA631" s="97"/>
      <c r="LB631" s="98"/>
      <c r="LN631" s="291"/>
      <c r="SW631" s="13"/>
    </row>
    <row r="632" spans="34:565" ht="10.75" customHeight="1">
      <c r="AH632" s="12"/>
      <c r="AI632" s="12"/>
      <c r="AQ632" s="13"/>
      <c r="AR632" s="42"/>
      <c r="AS632" s="43"/>
      <c r="AT632" s="43"/>
      <c r="AU632" s="12"/>
      <c r="CV632" s="13"/>
      <c r="CX632" s="13"/>
      <c r="EX632" s="13"/>
      <c r="EY632" s="43"/>
      <c r="EZ632" s="43"/>
      <c r="FA632" s="45"/>
      <c r="GK632" s="291"/>
      <c r="GS632" s="12"/>
      <c r="HB632" s="13"/>
      <c r="HC632" s="96"/>
      <c r="HD632" s="97"/>
      <c r="HE632" s="98"/>
      <c r="HF632" s="12"/>
      <c r="JA632" s="96"/>
      <c r="JB632" s="96"/>
      <c r="JC632" s="98"/>
      <c r="JJ632" s="291"/>
      <c r="KY632" s="13"/>
      <c r="KZ632" s="96"/>
      <c r="LA632" s="97"/>
      <c r="LB632" s="98"/>
      <c r="LN632" s="291"/>
      <c r="SW632" s="13"/>
    </row>
    <row r="633" spans="34:565" ht="10.75" customHeight="1" thickBot="1">
      <c r="AH633" s="12"/>
      <c r="AI633" s="12"/>
      <c r="AQ633" s="13"/>
      <c r="AR633" s="42"/>
      <c r="AS633" s="43"/>
      <c r="AT633" s="43"/>
      <c r="AU633" s="12"/>
      <c r="CV633" s="13"/>
      <c r="CX633" s="13"/>
      <c r="EX633" s="13"/>
      <c r="EY633" s="43"/>
      <c r="EZ633" s="43"/>
      <c r="FA633" s="45"/>
      <c r="GK633" s="291"/>
      <c r="GS633" s="12"/>
      <c r="HB633" s="13"/>
      <c r="HC633" s="59"/>
      <c r="HD633" s="60"/>
      <c r="HE633" s="61"/>
      <c r="HF633" s="303"/>
      <c r="HG633" s="304"/>
      <c r="HH633" s="304"/>
      <c r="HI633" s="304"/>
      <c r="HJ633" s="304"/>
      <c r="HK633" s="304"/>
      <c r="HL633" s="304"/>
      <c r="HM633" s="304"/>
      <c r="HN633" s="304"/>
      <c r="JA633" s="59"/>
      <c r="JB633" s="59"/>
      <c r="JC633" s="61"/>
      <c r="JJ633" s="291"/>
      <c r="KP633" s="304"/>
      <c r="KQ633" s="304"/>
      <c r="KR633" s="304"/>
      <c r="KS633" s="304"/>
      <c r="KT633" s="304"/>
      <c r="KU633" s="304"/>
      <c r="KV633" s="304"/>
      <c r="KW633" s="304"/>
      <c r="KX633" s="304"/>
      <c r="KY633" s="308"/>
      <c r="KZ633" s="59"/>
      <c r="LA633" s="60"/>
      <c r="LB633" s="61"/>
      <c r="LN633" s="291"/>
      <c r="SW633" s="13"/>
    </row>
    <row r="634" spans="34:565" ht="10.75" customHeight="1">
      <c r="AH634" s="12"/>
      <c r="AI634" s="12"/>
      <c r="AQ634" s="13"/>
      <c r="AR634" s="42"/>
      <c r="AS634" s="43"/>
      <c r="AT634" s="43"/>
      <c r="AU634" s="12"/>
      <c r="CV634" s="13"/>
      <c r="CX634" s="13"/>
      <c r="EX634" s="13"/>
      <c r="EY634" s="43"/>
      <c r="EZ634" s="43"/>
      <c r="FA634" s="45"/>
      <c r="GK634" s="291"/>
      <c r="GS634" s="12"/>
      <c r="HB634" s="13"/>
      <c r="HC634" s="40"/>
      <c r="HD634" s="41"/>
      <c r="HE634" s="44"/>
      <c r="HF634" s="12"/>
      <c r="JB634" s="160"/>
      <c r="JC634" s="161"/>
      <c r="JJ634" s="291"/>
      <c r="KY634" s="13"/>
      <c r="KZ634" s="43"/>
      <c r="LA634" s="43"/>
      <c r="LB634" s="45"/>
      <c r="LN634" s="291"/>
      <c r="QR634" s="15"/>
      <c r="QS634" s="15"/>
      <c r="QT634" s="15"/>
      <c r="QU634" s="15"/>
      <c r="QV634" s="15"/>
      <c r="QW634" s="15"/>
      <c r="QX634" s="15"/>
      <c r="QY634" s="15"/>
      <c r="QZ634" s="15"/>
      <c r="RA634" s="15"/>
      <c r="RB634" s="15"/>
      <c r="RC634" s="15"/>
      <c r="RD634" s="15"/>
      <c r="RE634" s="15"/>
      <c r="RF634" s="15"/>
      <c r="RG634" s="15"/>
      <c r="RH634" s="15"/>
      <c r="RI634" s="15"/>
      <c r="RJ634" s="15"/>
      <c r="RK634" s="15"/>
      <c r="RL634" s="15"/>
      <c r="RM634" s="15"/>
      <c r="RN634" s="15"/>
      <c r="RO634" s="15"/>
      <c r="RP634" s="15"/>
      <c r="RQ634" s="15"/>
      <c r="RR634" s="15"/>
      <c r="RS634" s="15"/>
      <c r="RT634" s="15"/>
      <c r="RU634" s="15"/>
      <c r="RV634" s="15"/>
      <c r="RW634" s="15"/>
      <c r="RX634" s="15"/>
      <c r="RY634" s="15"/>
      <c r="RZ634" s="15"/>
      <c r="SA634" s="15"/>
      <c r="SB634" s="15"/>
      <c r="SC634" s="15"/>
      <c r="SD634" s="15"/>
      <c r="SE634" s="15"/>
      <c r="SF634" s="15"/>
      <c r="SG634" s="15"/>
      <c r="SH634" s="15"/>
      <c r="SI634" s="15"/>
      <c r="SJ634" s="15"/>
      <c r="SK634" s="15"/>
      <c r="SL634" s="15"/>
      <c r="SM634" s="15"/>
      <c r="SN634" s="15"/>
      <c r="SO634" s="15"/>
      <c r="SP634" s="15"/>
      <c r="SQ634" s="15"/>
      <c r="SR634" s="15"/>
      <c r="SS634" s="15"/>
      <c r="ST634" s="15"/>
      <c r="SU634" s="15"/>
      <c r="SV634" s="15"/>
      <c r="SW634" s="16"/>
    </row>
    <row r="635" spans="34:565" ht="10.75" customHeight="1">
      <c r="AH635" s="12"/>
      <c r="AI635" s="12"/>
      <c r="AQ635" s="13"/>
      <c r="AR635" s="42"/>
      <c r="AS635" s="43"/>
      <c r="AT635" s="43"/>
      <c r="AU635" s="12"/>
      <c r="CV635" s="13"/>
      <c r="CX635" s="13"/>
      <c r="EX635" s="13"/>
      <c r="EY635" s="43"/>
      <c r="EZ635" s="43"/>
      <c r="FA635" s="45"/>
      <c r="GK635" s="291"/>
      <c r="GS635" s="12"/>
      <c r="HB635" s="13"/>
      <c r="HC635" s="42"/>
      <c r="HD635" s="43"/>
      <c r="HE635" s="45"/>
      <c r="HF635" s="12"/>
      <c r="JB635" s="160"/>
      <c r="JC635" s="161"/>
      <c r="JJ635" s="291"/>
      <c r="KY635" s="13"/>
      <c r="KZ635" s="43"/>
      <c r="LA635" s="43"/>
      <c r="LB635" s="45"/>
      <c r="LN635" s="291"/>
      <c r="SK635" s="10"/>
      <c r="SL635" s="10"/>
      <c r="SM635" s="10"/>
      <c r="SN635" s="10"/>
      <c r="SO635" s="10"/>
      <c r="SP635" s="10"/>
      <c r="SQ635" s="10"/>
      <c r="SR635" s="10"/>
      <c r="SS635" s="10"/>
      <c r="ST635" s="10"/>
      <c r="SU635" s="10"/>
      <c r="SV635" s="10"/>
      <c r="SW635" s="11"/>
      <c r="SX635" s="10"/>
      <c r="SY635" s="10"/>
      <c r="SZ635" s="10"/>
      <c r="TA635" s="10"/>
      <c r="TB635" s="10"/>
      <c r="TC635" s="10"/>
      <c r="TD635" s="10"/>
      <c r="TE635" s="10"/>
      <c r="TF635" s="10"/>
      <c r="TG635" s="10"/>
      <c r="TH635" s="10"/>
      <c r="TI635" s="10"/>
      <c r="TJ635" s="10"/>
      <c r="TK635" s="10"/>
      <c r="TL635" s="10"/>
      <c r="TM635" s="10"/>
      <c r="TN635" s="10"/>
      <c r="TO635" s="10"/>
      <c r="TP635" s="10"/>
      <c r="TQ635" s="10"/>
      <c r="TR635" s="10"/>
      <c r="TS635" s="10"/>
      <c r="TT635" s="10"/>
      <c r="TU635" s="10"/>
      <c r="TV635" s="10"/>
      <c r="TW635" s="10"/>
      <c r="TX635" s="10"/>
      <c r="TY635" s="10"/>
      <c r="TZ635" s="10"/>
      <c r="UA635" s="10"/>
      <c r="UB635" s="10"/>
      <c r="UC635" s="10"/>
      <c r="UD635" s="10"/>
      <c r="UE635" s="10"/>
      <c r="UF635" s="10"/>
      <c r="UG635" s="10"/>
      <c r="UH635" s="10"/>
      <c r="UI635" s="10"/>
      <c r="UJ635" s="10"/>
      <c r="UK635" s="10"/>
      <c r="UL635" s="10"/>
      <c r="UM635" s="10"/>
      <c r="UN635" s="10"/>
      <c r="UO635" s="10"/>
      <c r="UP635" s="10"/>
      <c r="UQ635" s="10"/>
      <c r="UR635" s="10"/>
      <c r="US635" s="11"/>
    </row>
    <row r="636" spans="34:565" ht="10.75" customHeight="1">
      <c r="AH636" s="12"/>
      <c r="AI636" s="12"/>
      <c r="AQ636" s="13"/>
      <c r="AR636" s="42"/>
      <c r="AS636" s="43"/>
      <c r="AT636" s="43"/>
      <c r="AU636" s="12"/>
      <c r="CV636" s="13"/>
      <c r="CX636" s="13"/>
      <c r="EX636" s="13"/>
      <c r="EY636" s="43"/>
      <c r="EZ636" s="43"/>
      <c r="FA636" s="45"/>
      <c r="GK636" s="291"/>
      <c r="GS636" s="9"/>
      <c r="GT636" s="10"/>
      <c r="GU636" s="10"/>
      <c r="GV636" s="10"/>
      <c r="GW636" s="10"/>
      <c r="GX636" s="10"/>
      <c r="GY636" s="10"/>
      <c r="GZ636" s="10"/>
      <c r="HA636" s="10"/>
      <c r="HB636" s="11"/>
      <c r="HC636" s="42"/>
      <c r="HD636" s="43"/>
      <c r="HE636" s="45"/>
      <c r="HF636" s="12"/>
      <c r="JB636" s="160"/>
      <c r="JC636" s="161"/>
      <c r="JJ636" s="291"/>
      <c r="KY636" s="13"/>
      <c r="KZ636" s="43"/>
      <c r="LA636" s="43"/>
      <c r="LB636" s="45"/>
      <c r="LN636" s="291"/>
      <c r="SW636" s="13"/>
      <c r="US636" s="13"/>
    </row>
    <row r="637" spans="34:565" ht="10.75" customHeight="1">
      <c r="AH637" s="12"/>
      <c r="AI637" s="12"/>
      <c r="AQ637" s="13"/>
      <c r="AR637" s="42"/>
      <c r="AS637" s="43"/>
      <c r="AT637" s="43"/>
      <c r="AU637" s="12"/>
      <c r="CV637" s="13"/>
      <c r="CX637" s="13"/>
      <c r="EX637" s="13"/>
      <c r="EY637" s="43"/>
      <c r="EZ637" s="43"/>
      <c r="FA637" s="45"/>
      <c r="GK637" s="291"/>
      <c r="GS637" s="12"/>
      <c r="HB637" s="13"/>
      <c r="HC637" s="42"/>
      <c r="HD637" s="43"/>
      <c r="HE637" s="45"/>
      <c r="HF637" s="12"/>
      <c r="JB637" s="160"/>
      <c r="JC637" s="161"/>
      <c r="JJ637" s="291"/>
      <c r="KY637" s="13"/>
      <c r="KZ637" s="43"/>
      <c r="LA637" s="43"/>
      <c r="LB637" s="45"/>
      <c r="LN637" s="291"/>
      <c r="SW637" s="13"/>
      <c r="US637" s="13"/>
    </row>
    <row r="638" spans="34:565" ht="10.75" customHeight="1">
      <c r="AH638" s="12"/>
      <c r="AI638" s="12"/>
      <c r="AQ638" s="13"/>
      <c r="AR638" s="96"/>
      <c r="AS638" s="97"/>
      <c r="AT638" s="97"/>
      <c r="AU638" s="12"/>
      <c r="CV638" s="98"/>
      <c r="CW638" s="97"/>
      <c r="CX638" s="98"/>
      <c r="EX638" s="13"/>
      <c r="EY638" s="97"/>
      <c r="EZ638" s="97"/>
      <c r="FA638" s="98"/>
      <c r="GK638" s="291"/>
      <c r="GS638" s="12"/>
      <c r="HB638" s="13"/>
      <c r="HC638" s="42"/>
      <c r="HD638" s="43"/>
      <c r="HE638" s="45"/>
      <c r="HF638" s="12"/>
      <c r="JB638" s="160"/>
      <c r="JC638" s="161"/>
      <c r="JJ638" s="291"/>
      <c r="KY638" s="13"/>
      <c r="KZ638" s="43"/>
      <c r="LA638" s="43"/>
      <c r="LB638" s="45"/>
      <c r="LN638" s="291"/>
      <c r="SO638" s="15"/>
      <c r="SP638" s="15"/>
      <c r="SQ638" s="15"/>
      <c r="SR638" s="15"/>
      <c r="SS638" s="15"/>
      <c r="ST638" s="15"/>
      <c r="SU638" s="15"/>
      <c r="SV638" s="15"/>
      <c r="SW638" s="16"/>
      <c r="SX638" s="15"/>
      <c r="SY638" s="15"/>
      <c r="SZ638" s="15"/>
      <c r="TA638" s="15"/>
      <c r="TB638" s="15"/>
      <c r="TC638" s="15"/>
      <c r="TD638" s="15"/>
      <c r="TE638" s="15"/>
      <c r="TF638" s="15"/>
      <c r="TG638" s="15"/>
      <c r="TH638" s="15"/>
      <c r="TI638" s="15"/>
      <c r="TJ638" s="15"/>
      <c r="TK638" s="15"/>
      <c r="TL638" s="15"/>
      <c r="TM638" s="15"/>
      <c r="TN638" s="15"/>
      <c r="TO638" s="15"/>
      <c r="TP638" s="15"/>
      <c r="TQ638" s="15"/>
      <c r="TR638" s="15"/>
      <c r="TS638" s="15"/>
      <c r="TT638" s="15"/>
      <c r="TU638" s="15"/>
      <c r="TV638" s="15"/>
      <c r="TW638" s="15"/>
      <c r="TX638" s="15"/>
      <c r="TY638" s="15"/>
      <c r="TZ638" s="15"/>
      <c r="UA638" s="15"/>
      <c r="UB638" s="15"/>
      <c r="UC638" s="15"/>
      <c r="UD638" s="15"/>
      <c r="UE638" s="15"/>
      <c r="UF638" s="15"/>
      <c r="UG638" s="15"/>
      <c r="UH638" s="15"/>
      <c r="UI638" s="15"/>
      <c r="UJ638" s="15"/>
      <c r="UK638" s="15"/>
      <c r="UL638" s="15"/>
      <c r="UM638" s="15"/>
      <c r="UN638" s="15"/>
      <c r="UO638" s="15"/>
      <c r="UP638" s="15"/>
      <c r="UQ638" s="15"/>
      <c r="UR638" s="15"/>
      <c r="US638" s="16"/>
    </row>
    <row r="639" spans="34:565" ht="10.75" customHeight="1">
      <c r="AH639" s="12"/>
      <c r="AI639" s="12"/>
      <c r="AQ639" s="13"/>
      <c r="AR639" s="96"/>
      <c r="AS639" s="97"/>
      <c r="AT639" s="97"/>
      <c r="AU639" s="12"/>
      <c r="CV639" s="98"/>
      <c r="CW639" s="97"/>
      <c r="CX639" s="98"/>
      <c r="EX639" s="13"/>
      <c r="EY639" s="97"/>
      <c r="EZ639" s="97"/>
      <c r="FA639" s="98"/>
      <c r="GK639" s="291"/>
      <c r="GS639" s="14"/>
      <c r="GT639" s="15"/>
      <c r="GU639" s="15"/>
      <c r="GV639" s="15"/>
      <c r="GW639" s="15"/>
      <c r="GX639" s="15"/>
      <c r="GY639" s="15"/>
      <c r="GZ639" s="15"/>
      <c r="HA639" s="15"/>
      <c r="HB639" s="16"/>
      <c r="HC639" s="42"/>
      <c r="HD639" s="43"/>
      <c r="HE639" s="45"/>
      <c r="HF639" s="12"/>
      <c r="JB639" s="160"/>
      <c r="JC639" s="161"/>
      <c r="JJ639" s="291"/>
      <c r="KY639" s="13"/>
      <c r="KZ639" s="43"/>
      <c r="LA639" s="43"/>
      <c r="LB639" s="45"/>
      <c r="LN639" s="291"/>
      <c r="QR639" s="10"/>
      <c r="QS639" s="10"/>
      <c r="QT639" s="10"/>
      <c r="QU639" s="10"/>
      <c r="QV639" s="10"/>
      <c r="QW639" s="10"/>
      <c r="QX639" s="10"/>
      <c r="QY639" s="10"/>
      <c r="QZ639" s="10"/>
      <c r="RA639" s="10"/>
      <c r="RB639" s="10"/>
      <c r="RC639" s="10"/>
      <c r="RD639" s="10"/>
      <c r="RE639" s="10"/>
      <c r="RF639" s="10"/>
      <c r="RG639" s="10"/>
      <c r="RH639" s="10"/>
      <c r="RI639" s="10"/>
      <c r="RJ639" s="10"/>
      <c r="RK639" s="10"/>
      <c r="RL639" s="10"/>
      <c r="RM639" s="10"/>
      <c r="RN639" s="10"/>
      <c r="RO639" s="10"/>
      <c r="RP639" s="10"/>
      <c r="RQ639" s="10"/>
      <c r="RR639" s="10"/>
      <c r="RS639" s="10"/>
      <c r="RT639" s="10"/>
      <c r="RU639" s="10"/>
      <c r="RV639" s="10"/>
      <c r="RW639" s="10"/>
      <c r="RX639" s="10"/>
      <c r="RY639" s="10"/>
      <c r="RZ639" s="10"/>
      <c r="SA639" s="10"/>
      <c r="SB639" s="10"/>
      <c r="SC639" s="10"/>
      <c r="SD639" s="10"/>
      <c r="SE639" s="10"/>
      <c r="SF639" s="10"/>
      <c r="SG639" s="10"/>
      <c r="SH639" s="10"/>
      <c r="SI639" s="10"/>
      <c r="SJ639" s="10"/>
      <c r="SK639" s="10"/>
      <c r="SL639" s="10"/>
      <c r="SM639" s="10"/>
      <c r="SN639" s="10"/>
      <c r="SW639" s="13"/>
    </row>
    <row r="640" spans="34:565" ht="10.75" customHeight="1">
      <c r="AH640" s="12"/>
      <c r="AI640" s="12"/>
      <c r="AQ640" s="13"/>
      <c r="AR640" s="96"/>
      <c r="AS640" s="97"/>
      <c r="AT640" s="97"/>
      <c r="AU640" s="12"/>
      <c r="CV640" s="98"/>
      <c r="CW640" s="97"/>
      <c r="CX640" s="98"/>
      <c r="EX640" s="13"/>
      <c r="EY640" s="97"/>
      <c r="EZ640" s="97"/>
      <c r="FA640" s="98"/>
      <c r="GK640" s="291"/>
      <c r="GS640" s="9"/>
      <c r="GT640" s="10"/>
      <c r="GU640" s="10"/>
      <c r="GV640" s="10"/>
      <c r="GW640" s="10"/>
      <c r="GX640" s="10"/>
      <c r="GY640" s="10"/>
      <c r="GZ640" s="10"/>
      <c r="HA640" s="10"/>
      <c r="HB640" s="11"/>
      <c r="HC640" s="42"/>
      <c r="HD640" s="43"/>
      <c r="HE640" s="45"/>
      <c r="HF640" s="12"/>
      <c r="JB640" s="160"/>
      <c r="JC640" s="161"/>
      <c r="JJ640" s="291"/>
      <c r="KY640" s="13"/>
      <c r="KZ640" s="43"/>
      <c r="LA640" s="43"/>
      <c r="LB640" s="45"/>
      <c r="LN640" s="291"/>
      <c r="SW640" s="13"/>
    </row>
    <row r="641" spans="34:517" ht="10.75" customHeight="1">
      <c r="AH641" s="12"/>
      <c r="AI641" s="12"/>
      <c r="AQ641" s="13"/>
      <c r="AR641" s="59"/>
      <c r="AS641" s="60"/>
      <c r="AT641" s="60"/>
      <c r="AU641" s="12"/>
      <c r="CV641" s="98"/>
      <c r="CW641" s="97"/>
      <c r="CX641" s="98"/>
      <c r="EX641" s="13"/>
      <c r="EY641" s="97"/>
      <c r="EZ641" s="97"/>
      <c r="FA641" s="98"/>
      <c r="GK641" s="291"/>
      <c r="GS641" s="12"/>
      <c r="HB641" s="13"/>
      <c r="HC641" s="42"/>
      <c r="HD641" s="43"/>
      <c r="HE641" s="45"/>
      <c r="HF641" s="12"/>
      <c r="JB641" s="160"/>
      <c r="JC641" s="161"/>
      <c r="JJ641" s="291"/>
      <c r="KY641" s="13"/>
      <c r="KZ641" s="43"/>
      <c r="LA641" s="43"/>
      <c r="LB641" s="45"/>
      <c r="LN641" s="291"/>
      <c r="SW641" s="13"/>
    </row>
    <row r="642" spans="34:517" ht="10.75" customHeight="1">
      <c r="AH642" s="12"/>
      <c r="AI642" s="12"/>
      <c r="AQ642" s="13"/>
      <c r="AR642" s="42"/>
      <c r="AS642" s="43"/>
      <c r="AT642" s="43"/>
      <c r="AU642" s="12"/>
      <c r="CV642" s="13"/>
      <c r="CX642" s="13"/>
      <c r="EX642" s="13"/>
      <c r="EY642" s="43"/>
      <c r="EZ642" s="43"/>
      <c r="FA642" s="45"/>
      <c r="GK642" s="291"/>
      <c r="GS642" s="12"/>
      <c r="HB642" s="13"/>
      <c r="HC642" s="42"/>
      <c r="HD642" s="43"/>
      <c r="HE642" s="45"/>
      <c r="HF642" s="12"/>
      <c r="JB642" s="160"/>
      <c r="JC642" s="161"/>
      <c r="JJ642" s="291"/>
      <c r="KY642" s="13"/>
      <c r="KZ642" s="43"/>
      <c r="LA642" s="43"/>
      <c r="LB642" s="45"/>
      <c r="LN642" s="291"/>
      <c r="SW642" s="13"/>
    </row>
    <row r="643" spans="34:517" ht="10.75" customHeight="1">
      <c r="AH643" s="14"/>
      <c r="AI643" s="14"/>
      <c r="AJ643" s="15"/>
      <c r="AK643" s="15"/>
      <c r="AL643" s="15"/>
      <c r="AM643" s="15"/>
      <c r="AN643" s="15"/>
      <c r="AO643" s="15"/>
      <c r="AP643" s="15"/>
      <c r="AQ643" s="16"/>
      <c r="AR643" s="42"/>
      <c r="AS643" s="43"/>
      <c r="AT643" s="43"/>
      <c r="AU643" s="12"/>
      <c r="CV643" s="13"/>
      <c r="CX643" s="13"/>
      <c r="EX643" s="13"/>
      <c r="EY643" s="43"/>
      <c r="EZ643" s="43"/>
      <c r="FA643" s="45"/>
      <c r="GK643" s="291"/>
      <c r="GS643" s="14"/>
      <c r="GT643" s="15"/>
      <c r="GU643" s="15"/>
      <c r="GV643" s="15"/>
      <c r="GW643" s="15"/>
      <c r="GX643" s="15"/>
      <c r="GY643" s="15"/>
      <c r="GZ643" s="15"/>
      <c r="HA643" s="15"/>
      <c r="HB643" s="16"/>
      <c r="HC643" s="42"/>
      <c r="HD643" s="43"/>
      <c r="HE643" s="45"/>
      <c r="HF643" s="12"/>
      <c r="JB643" s="160"/>
      <c r="JC643" s="161"/>
      <c r="JJ643" s="291"/>
      <c r="KY643" s="13"/>
      <c r="KZ643" s="43"/>
      <c r="LA643" s="43"/>
      <c r="LB643" s="45"/>
      <c r="LN643" s="291"/>
      <c r="SW643" s="13"/>
    </row>
    <row r="644" spans="34:517" ht="10.75" customHeight="1">
      <c r="AH644" s="9"/>
      <c r="AI644" s="9"/>
      <c r="AJ644" s="10"/>
      <c r="AK644" s="10"/>
      <c r="AL644" s="10"/>
      <c r="AM644" s="10"/>
      <c r="AN644" s="10"/>
      <c r="AO644" s="10"/>
      <c r="AP644" s="10"/>
      <c r="AQ644" s="11"/>
      <c r="AR644" s="42"/>
      <c r="AS644" s="43"/>
      <c r="AT644" s="43"/>
      <c r="AU644" s="12"/>
      <c r="CV644" s="13"/>
      <c r="CX644" s="13"/>
      <c r="EX644" s="13"/>
      <c r="EY644" s="43"/>
      <c r="EZ644" s="43"/>
      <c r="FA644" s="45"/>
      <c r="GK644" s="291"/>
      <c r="GS644" s="12"/>
      <c r="HB644" s="13"/>
      <c r="HC644" s="42"/>
      <c r="HD644" s="43"/>
      <c r="HE644" s="45"/>
      <c r="HF644" s="12"/>
      <c r="JB644" s="160"/>
      <c r="JC644" s="161"/>
      <c r="JJ644" s="291"/>
      <c r="KY644" s="13"/>
      <c r="KZ644" s="43"/>
      <c r="LA644" s="43"/>
      <c r="LB644" s="45"/>
      <c r="LN644" s="291"/>
      <c r="SW644" s="13"/>
    </row>
    <row r="645" spans="34:517" ht="10.75" customHeight="1">
      <c r="AH645" s="12"/>
      <c r="AI645" s="12"/>
      <c r="AQ645" s="13"/>
      <c r="AR645" s="42"/>
      <c r="AS645" s="43"/>
      <c r="AT645" s="43"/>
      <c r="AU645" s="14"/>
      <c r="AV645" s="15"/>
      <c r="AW645" s="15"/>
      <c r="AX645" s="15"/>
      <c r="AY645" s="15"/>
      <c r="AZ645" s="15"/>
      <c r="BA645" s="15"/>
      <c r="BB645" s="15"/>
      <c r="BC645" s="15"/>
      <c r="BD645" s="15"/>
      <c r="BE645" s="15"/>
      <c r="BF645" s="15"/>
      <c r="BG645" s="15"/>
      <c r="BH645" s="15"/>
      <c r="BI645" s="15"/>
      <c r="BJ645" s="15"/>
      <c r="BK645" s="15"/>
      <c r="BL645" s="15"/>
      <c r="BM645" s="15"/>
      <c r="BN645" s="15"/>
      <c r="BO645" s="15"/>
      <c r="BP645" s="15"/>
      <c r="BQ645" s="15"/>
      <c r="BR645" s="15"/>
      <c r="BS645" s="15"/>
      <c r="BT645" s="15"/>
      <c r="BU645" s="15"/>
      <c r="BV645" s="15"/>
      <c r="BW645" s="15"/>
      <c r="BX645" s="15"/>
      <c r="BY645" s="15"/>
      <c r="BZ645" s="15"/>
      <c r="CA645" s="15"/>
      <c r="CB645" s="15"/>
      <c r="CC645" s="15"/>
      <c r="CD645" s="15"/>
      <c r="CE645" s="15"/>
      <c r="CF645" s="15"/>
      <c r="CG645" s="15"/>
      <c r="CH645" s="15"/>
      <c r="CI645" s="15"/>
      <c r="CJ645" s="15"/>
      <c r="CK645" s="15"/>
      <c r="CL645" s="15"/>
      <c r="CM645" s="15"/>
      <c r="CN645" s="15"/>
      <c r="CO645" s="15"/>
      <c r="CP645" s="15"/>
      <c r="CQ645" s="15"/>
      <c r="CR645" s="15"/>
      <c r="CS645" s="15"/>
      <c r="CT645" s="15"/>
      <c r="CU645" s="15"/>
      <c r="CV645" s="16"/>
      <c r="CX645" s="13"/>
      <c r="EX645" s="13"/>
      <c r="EY645" s="43"/>
      <c r="EZ645" s="43"/>
      <c r="FA645" s="45"/>
      <c r="GK645" s="291"/>
      <c r="GS645" s="12"/>
      <c r="HB645" s="13"/>
      <c r="HC645" s="42"/>
      <c r="HD645" s="43"/>
      <c r="HE645" s="45"/>
      <c r="HF645" s="14"/>
      <c r="HG645" s="15"/>
      <c r="HH645" s="15"/>
      <c r="HI645" s="15"/>
      <c r="HJ645" s="15"/>
      <c r="HK645" s="15"/>
      <c r="HL645" s="15"/>
      <c r="HM645" s="15"/>
      <c r="HN645" s="15"/>
      <c r="HO645" s="15"/>
      <c r="HP645" s="15"/>
      <c r="HQ645" s="15"/>
      <c r="HR645" s="15"/>
      <c r="HS645" s="15"/>
      <c r="HT645" s="15"/>
      <c r="HU645" s="15"/>
      <c r="HV645" s="15"/>
      <c r="HW645" s="15"/>
      <c r="HX645" s="15"/>
      <c r="HY645" s="15"/>
      <c r="HZ645" s="15"/>
      <c r="IA645" s="15"/>
      <c r="IB645" s="15"/>
      <c r="IC645" s="15"/>
      <c r="ID645" s="15"/>
      <c r="IE645" s="15"/>
      <c r="IF645" s="15"/>
      <c r="IG645" s="15"/>
      <c r="IH645" s="15"/>
      <c r="II645" s="15"/>
      <c r="IJ645" s="15"/>
      <c r="IK645" s="15"/>
      <c r="IL645" s="15"/>
      <c r="IM645" s="15"/>
      <c r="IN645" s="15"/>
      <c r="IO645" s="15"/>
      <c r="IP645" s="15"/>
      <c r="IQ645" s="15"/>
      <c r="IR645" s="15"/>
      <c r="IS645" s="15"/>
      <c r="IT645" s="15"/>
      <c r="IU645" s="15"/>
      <c r="IV645" s="15"/>
      <c r="IW645" s="15"/>
      <c r="IX645" s="15"/>
      <c r="IY645" s="15"/>
      <c r="IZ645" s="15"/>
      <c r="JA645" s="15"/>
      <c r="JB645" s="160"/>
      <c r="JC645" s="161"/>
      <c r="JI645" s="294"/>
      <c r="JJ645" s="293"/>
      <c r="KY645" s="13"/>
      <c r="KZ645" s="43"/>
      <c r="LA645" s="43"/>
      <c r="LB645" s="45"/>
      <c r="LN645" s="291"/>
      <c r="SW645" s="13"/>
    </row>
    <row r="646" spans="34:517" ht="10.75" customHeight="1">
      <c r="AH646" s="12"/>
      <c r="AI646" s="12"/>
      <c r="AQ646" s="13"/>
      <c r="AR646" s="42"/>
      <c r="AS646" s="43"/>
      <c r="AT646" s="45"/>
      <c r="CX646" s="13"/>
      <c r="EX646" s="13"/>
      <c r="EY646" s="43"/>
      <c r="EZ646" s="43"/>
      <c r="FA646" s="45"/>
      <c r="GK646" s="291"/>
      <c r="GS646" s="12"/>
      <c r="HB646" s="13"/>
      <c r="HC646" s="42"/>
      <c r="HD646" s="43"/>
      <c r="HE646" s="45"/>
      <c r="HF646" s="160"/>
      <c r="HG646" s="162"/>
      <c r="HH646" s="162"/>
      <c r="HI646" s="162"/>
      <c r="HJ646" s="162"/>
      <c r="HK646" s="162"/>
      <c r="HL646" s="162"/>
      <c r="HM646" s="162"/>
      <c r="HN646" s="162"/>
      <c r="HO646" s="162"/>
      <c r="HP646" s="162"/>
      <c r="HQ646" s="162"/>
      <c r="HR646" s="162"/>
      <c r="HS646" s="162"/>
      <c r="HT646" s="162"/>
      <c r="HU646" s="162"/>
      <c r="HV646" s="162"/>
      <c r="HW646" s="162"/>
      <c r="HX646" s="162"/>
      <c r="HY646" s="162"/>
      <c r="HZ646" s="162"/>
      <c r="IA646" s="162"/>
      <c r="IB646" s="162"/>
      <c r="IC646" s="162"/>
      <c r="ID646" s="162"/>
      <c r="IE646" s="162"/>
      <c r="IF646" s="162"/>
      <c r="IG646" s="162"/>
      <c r="IH646" s="162"/>
      <c r="II646" s="162"/>
      <c r="IJ646" s="162"/>
      <c r="IK646" s="162"/>
      <c r="IL646" s="162"/>
      <c r="IM646" s="162"/>
      <c r="IN646" s="162"/>
      <c r="IO646" s="162"/>
      <c r="IP646" s="162"/>
      <c r="IQ646" s="162"/>
      <c r="IR646" s="162"/>
      <c r="IS646" s="162"/>
      <c r="IT646" s="162"/>
      <c r="IU646" s="162"/>
      <c r="IV646" s="162"/>
      <c r="IW646" s="162"/>
      <c r="IX646" s="162"/>
      <c r="IY646" s="162"/>
      <c r="IZ646" s="162"/>
      <c r="JA646" s="158"/>
      <c r="JB646" s="162"/>
      <c r="JC646" s="161"/>
      <c r="KY646" s="13"/>
      <c r="KZ646" s="43"/>
      <c r="LA646" s="43"/>
      <c r="LB646" s="45"/>
      <c r="LN646" s="291"/>
      <c r="SW646" s="13"/>
    </row>
    <row r="647" spans="34:517" ht="10.75" customHeight="1">
      <c r="AH647" s="12"/>
      <c r="AI647" s="12"/>
      <c r="AQ647" s="13"/>
      <c r="AR647" s="42"/>
      <c r="AS647" s="43"/>
      <c r="AT647" s="45"/>
      <c r="CL647" s="119"/>
      <c r="CM647" s="119"/>
      <c r="CN647" s="119"/>
      <c r="CO647" s="119"/>
      <c r="CP647" s="119"/>
      <c r="CQ647" s="119"/>
      <c r="CR647" s="119"/>
      <c r="CS647" s="119"/>
      <c r="CT647" s="119"/>
      <c r="CU647" s="119"/>
      <c r="CX647" s="13"/>
      <c r="EX647" s="13"/>
      <c r="EY647" s="43"/>
      <c r="EZ647" s="43"/>
      <c r="FA647" s="45"/>
      <c r="GK647" s="291"/>
      <c r="GS647" s="12"/>
      <c r="HB647" s="13"/>
      <c r="HC647" s="42"/>
      <c r="HD647" s="43"/>
      <c r="HE647" s="45"/>
      <c r="HF647" s="290"/>
      <c r="HG647" s="163"/>
      <c r="HH647" s="163"/>
      <c r="HI647" s="163"/>
      <c r="HJ647" s="163"/>
      <c r="HK647" s="163"/>
      <c r="HL647" s="163"/>
      <c r="HM647" s="163"/>
      <c r="HN647" s="163"/>
      <c r="HO647" s="163"/>
      <c r="HP647" s="163"/>
      <c r="HQ647" s="163"/>
      <c r="HR647" s="163"/>
      <c r="HS647" s="163"/>
      <c r="HT647" s="163"/>
      <c r="HU647" s="163"/>
      <c r="HV647" s="163"/>
      <c r="HW647" s="163"/>
      <c r="HX647" s="163"/>
      <c r="HY647" s="163"/>
      <c r="HZ647" s="163"/>
      <c r="IA647" s="163"/>
      <c r="IB647" s="163"/>
      <c r="IC647" s="163"/>
      <c r="ID647" s="163"/>
      <c r="IE647" s="163"/>
      <c r="IF647" s="163"/>
      <c r="IG647" s="163"/>
      <c r="IH647" s="163"/>
      <c r="II647" s="163"/>
      <c r="IJ647" s="163"/>
      <c r="IK647" s="163"/>
      <c r="IL647" s="163"/>
      <c r="IM647" s="163"/>
      <c r="IN647" s="163"/>
      <c r="IO647" s="163"/>
      <c r="IP647" s="163"/>
      <c r="IQ647" s="163"/>
      <c r="IR647" s="163"/>
      <c r="IS647" s="163"/>
      <c r="IT647" s="163"/>
      <c r="IU647" s="163"/>
      <c r="IV647" s="163"/>
      <c r="IW647" s="163"/>
      <c r="IX647" s="163"/>
      <c r="IY647" s="163"/>
      <c r="IZ647" s="163"/>
      <c r="JA647" s="163"/>
      <c r="JB647" s="163"/>
      <c r="JC647" s="164"/>
      <c r="KY647" s="13"/>
      <c r="KZ647" s="43"/>
      <c r="LA647" s="43"/>
      <c r="LB647" s="45"/>
      <c r="LN647" s="291"/>
      <c r="SW647" s="13"/>
    </row>
    <row r="648" spans="34:517" ht="10.75" customHeight="1">
      <c r="AH648" s="12"/>
      <c r="AI648" s="12"/>
      <c r="AQ648" s="13"/>
      <c r="AR648" s="42"/>
      <c r="AS648" s="43"/>
      <c r="AT648" s="43"/>
      <c r="AU648" s="9"/>
      <c r="AV648" s="10"/>
      <c r="AW648" s="10"/>
      <c r="AX648" s="10"/>
      <c r="AY648" s="10"/>
      <c r="AZ648" s="10"/>
      <c r="BA648" s="10"/>
      <c r="BB648" s="10"/>
      <c r="BC648" s="10"/>
      <c r="BD648" s="10"/>
      <c r="BE648" s="10"/>
      <c r="BF648" s="11"/>
      <c r="BG648" s="9"/>
      <c r="BH648" s="10"/>
      <c r="BI648" s="10"/>
      <c r="BJ648" s="10"/>
      <c r="BK648" s="9"/>
      <c r="BL648" s="10"/>
      <c r="BM648" s="10"/>
      <c r="BN648" s="11"/>
      <c r="BO648" s="10"/>
      <c r="BP648" s="10"/>
      <c r="BQ648" s="10"/>
      <c r="BR648" s="10"/>
      <c r="BS648" s="9"/>
      <c r="BT648" s="10"/>
      <c r="BU648" s="10"/>
      <c r="BV648" s="11"/>
      <c r="BW648" s="10"/>
      <c r="BX648" s="10"/>
      <c r="BY648" s="10"/>
      <c r="BZ648" s="10"/>
      <c r="CA648" s="9"/>
      <c r="CB648" s="10"/>
      <c r="CC648" s="10"/>
      <c r="CD648" s="11"/>
      <c r="CE648" s="10"/>
      <c r="CF648" s="10"/>
      <c r="CG648" s="10"/>
      <c r="CH648" s="10"/>
      <c r="CI648" s="10"/>
      <c r="CJ648" s="10"/>
      <c r="CK648" s="10"/>
      <c r="CL648" s="10"/>
      <c r="CM648" s="10"/>
      <c r="CN648" s="10"/>
      <c r="CO648" s="10"/>
      <c r="CP648" s="10"/>
      <c r="CQ648" s="10"/>
      <c r="CR648" s="10"/>
      <c r="CS648" s="10"/>
      <c r="CT648" s="10"/>
      <c r="CU648" s="10"/>
      <c r="CV648" s="10"/>
      <c r="CW648" s="10"/>
      <c r="CX648" s="10"/>
      <c r="EX648" s="13"/>
      <c r="EY648" s="43"/>
      <c r="EZ648" s="43"/>
      <c r="FA648" s="45"/>
      <c r="GK648" s="291"/>
      <c r="GS648" s="9"/>
      <c r="GT648" s="10"/>
      <c r="GU648" s="10"/>
      <c r="GV648" s="10"/>
      <c r="GW648" s="10"/>
      <c r="GX648" s="10"/>
      <c r="GY648" s="10"/>
      <c r="GZ648" s="10"/>
      <c r="HA648" s="10"/>
      <c r="HB648" s="11"/>
      <c r="HC648" s="42"/>
      <c r="HD648" s="43"/>
      <c r="HE648" s="45"/>
      <c r="HF648" s="9"/>
      <c r="HG648" s="10"/>
      <c r="HH648" s="10"/>
      <c r="HI648" s="10"/>
      <c r="HJ648" s="10"/>
      <c r="HK648" s="10"/>
      <c r="HL648" s="10"/>
      <c r="HM648" s="10"/>
      <c r="HN648" s="10"/>
      <c r="HO648" s="10"/>
      <c r="HP648" s="10"/>
      <c r="HQ648" s="10"/>
      <c r="HR648" s="10"/>
      <c r="HS648" s="10"/>
      <c r="HT648" s="10"/>
      <c r="HU648" s="10"/>
      <c r="HV648" s="10"/>
      <c r="HW648" s="10"/>
      <c r="HX648" s="10"/>
      <c r="HY648" s="10"/>
      <c r="HZ648" s="10"/>
      <c r="IA648" s="10"/>
      <c r="IB648" s="10"/>
      <c r="IC648" s="10"/>
      <c r="ID648" s="10"/>
      <c r="IE648" s="10"/>
      <c r="IF648" s="10"/>
      <c r="IG648" s="10"/>
      <c r="IH648" s="10"/>
      <c r="II648" s="10"/>
      <c r="IJ648" s="10"/>
      <c r="IK648" s="10"/>
      <c r="IL648" s="10"/>
      <c r="IM648" s="10"/>
      <c r="IN648" s="10"/>
      <c r="IO648" s="10"/>
      <c r="IP648" s="10"/>
      <c r="IQ648" s="10"/>
      <c r="IR648" s="10"/>
      <c r="IS648" s="10"/>
      <c r="IT648" s="10"/>
      <c r="IU648" s="10"/>
      <c r="IV648" s="10"/>
      <c r="IW648" s="10"/>
      <c r="IX648" s="10"/>
      <c r="IY648" s="10"/>
      <c r="IZ648" s="10"/>
      <c r="JA648" s="11"/>
      <c r="JC648" s="13"/>
      <c r="JI648" s="300"/>
      <c r="JJ648" s="301"/>
      <c r="KY648" s="13"/>
      <c r="KZ648" s="43"/>
      <c r="LA648" s="43"/>
      <c r="LB648" s="45"/>
      <c r="LN648" s="291"/>
      <c r="SW648" s="13"/>
    </row>
    <row r="649" spans="34:517" ht="10.75" customHeight="1">
      <c r="AH649" s="12"/>
      <c r="AI649" s="12"/>
      <c r="AQ649" s="13"/>
      <c r="AR649" s="42"/>
      <c r="AS649" s="43"/>
      <c r="AT649" s="43"/>
      <c r="AU649" s="12"/>
      <c r="BF649" s="13"/>
      <c r="BG649" s="12"/>
      <c r="BK649" s="12"/>
      <c r="BN649" s="13"/>
      <c r="BS649" s="12"/>
      <c r="BV649" s="13"/>
      <c r="CA649" s="12"/>
      <c r="CD649" s="13"/>
      <c r="EX649" s="13"/>
      <c r="EY649" s="43"/>
      <c r="EZ649" s="43"/>
      <c r="FA649" s="45"/>
      <c r="GK649" s="291"/>
      <c r="GS649" s="12"/>
      <c r="HB649" s="13"/>
      <c r="HC649" s="42"/>
      <c r="HD649" s="43"/>
      <c r="HE649" s="45"/>
      <c r="HF649" s="12"/>
      <c r="JA649" s="13"/>
      <c r="JC649" s="13"/>
      <c r="JI649" s="297"/>
      <c r="KY649" s="13"/>
      <c r="KZ649" s="43"/>
      <c r="LA649" s="43"/>
      <c r="LB649" s="45"/>
      <c r="LN649" s="291"/>
      <c r="SW649" s="13"/>
    </row>
    <row r="650" spans="34:517" ht="10.75" customHeight="1">
      <c r="AH650" s="12"/>
      <c r="AI650" s="12"/>
      <c r="AQ650" s="13"/>
      <c r="AR650" s="42"/>
      <c r="AS650" s="43"/>
      <c r="AT650" s="43"/>
      <c r="AU650" s="12"/>
      <c r="BF650" s="13"/>
      <c r="BG650" s="12"/>
      <c r="BK650" s="12"/>
      <c r="BN650" s="13"/>
      <c r="BS650" s="12"/>
      <c r="BV650" s="13"/>
      <c r="CA650" s="12"/>
      <c r="CD650" s="13"/>
      <c r="EX650" s="13"/>
      <c r="EY650" s="43"/>
      <c r="EZ650" s="43"/>
      <c r="FA650" s="45"/>
      <c r="GK650" s="291"/>
      <c r="GS650" s="12"/>
      <c r="HB650" s="13"/>
      <c r="HC650" s="42"/>
      <c r="HD650" s="43"/>
      <c r="HE650" s="45"/>
      <c r="HF650" s="12"/>
      <c r="JA650" s="13"/>
      <c r="JC650" s="13"/>
      <c r="JI650" s="297"/>
      <c r="KY650" s="13"/>
      <c r="KZ650" s="43"/>
      <c r="LA650" s="43"/>
      <c r="LB650" s="45"/>
      <c r="LN650" s="291"/>
      <c r="SK650" s="15"/>
      <c r="SL650" s="15"/>
      <c r="SM650" s="15"/>
      <c r="SN650" s="15"/>
      <c r="SO650" s="15"/>
      <c r="SP650" s="15"/>
      <c r="SQ650" s="15"/>
      <c r="SR650" s="15"/>
      <c r="SS650" s="15"/>
      <c r="ST650" s="15"/>
      <c r="SU650" s="15"/>
      <c r="SV650" s="15"/>
      <c r="SW650" s="16"/>
    </row>
    <row r="651" spans="34:517" ht="10.75" customHeight="1">
      <c r="AH651" s="12"/>
      <c r="AI651" s="12"/>
      <c r="AQ651" s="13"/>
      <c r="AR651" s="42"/>
      <c r="AS651" s="43"/>
      <c r="AT651" s="43"/>
      <c r="AU651" s="12"/>
      <c r="BF651" s="13"/>
      <c r="BG651" s="12"/>
      <c r="BK651" s="12"/>
      <c r="BN651" s="13"/>
      <c r="BS651" s="12"/>
      <c r="BV651" s="13"/>
      <c r="CA651" s="12"/>
      <c r="CD651" s="13"/>
      <c r="EX651" s="13"/>
      <c r="EY651" s="43"/>
      <c r="EZ651" s="43"/>
      <c r="FA651" s="45"/>
      <c r="GK651" s="291"/>
      <c r="GS651" s="14"/>
      <c r="GT651" s="15"/>
      <c r="GU651" s="15"/>
      <c r="GV651" s="15"/>
      <c r="GW651" s="15"/>
      <c r="GX651" s="15"/>
      <c r="GY651" s="15"/>
      <c r="GZ651" s="15"/>
      <c r="HA651" s="15"/>
      <c r="HB651" s="16"/>
      <c r="HC651" s="42"/>
      <c r="HD651" s="43"/>
      <c r="HE651" s="45"/>
      <c r="HF651" s="12"/>
      <c r="HN651" s="291"/>
      <c r="IS651" s="297"/>
      <c r="JA651" s="13"/>
      <c r="JC651" s="13"/>
      <c r="JI651" s="297"/>
      <c r="KY651" s="13"/>
      <c r="KZ651" s="43"/>
      <c r="LA651" s="43"/>
      <c r="LB651" s="45"/>
      <c r="LN651" s="291"/>
      <c r="SL651" s="10"/>
      <c r="SM651" s="10"/>
      <c r="SN651" s="10"/>
      <c r="SO651" s="10"/>
      <c r="SP651" s="10"/>
      <c r="SQ651" s="10"/>
      <c r="SR651" s="10"/>
      <c r="SS651" s="10"/>
      <c r="ST651" s="10"/>
      <c r="SU651" s="10"/>
      <c r="SV651" s="10"/>
      <c r="SW651" s="13"/>
    </row>
    <row r="652" spans="34:517" ht="10.75" customHeight="1">
      <c r="AH652" s="12"/>
      <c r="AI652" s="12"/>
      <c r="AQ652" s="13"/>
      <c r="AR652" s="42"/>
      <c r="AS652" s="43"/>
      <c r="AT652" s="43"/>
      <c r="AU652" s="12"/>
      <c r="BF652" s="13"/>
      <c r="BG652" s="12"/>
      <c r="BK652" s="12"/>
      <c r="BN652" s="13"/>
      <c r="BS652" s="12"/>
      <c r="BV652" s="13"/>
      <c r="CA652" s="12"/>
      <c r="CD652" s="13"/>
      <c r="EX652" s="13"/>
      <c r="EY652" s="43"/>
      <c r="EZ652" s="43"/>
      <c r="FA652" s="45"/>
      <c r="GA652" s="10"/>
      <c r="GB652" s="10"/>
      <c r="GC652" s="10"/>
      <c r="GD652" s="10"/>
      <c r="GE652" s="10"/>
      <c r="GK652" s="291"/>
      <c r="GS652" s="12"/>
      <c r="HB652" s="13"/>
      <c r="HC652" s="42"/>
      <c r="HD652" s="43"/>
      <c r="HE652" s="45"/>
      <c r="HF652" s="12"/>
      <c r="HN652" s="302"/>
      <c r="HO652" s="301"/>
      <c r="HP652" s="301"/>
      <c r="HQ652" s="301"/>
      <c r="HR652" s="301"/>
      <c r="HS652" s="301"/>
      <c r="HT652" s="301"/>
      <c r="HU652" s="301"/>
      <c r="HV652" s="301"/>
      <c r="HW652" s="301"/>
      <c r="HX652" s="301"/>
      <c r="HY652" s="301"/>
      <c r="HZ652" s="301"/>
      <c r="IA652" s="301"/>
      <c r="IB652" s="301"/>
      <c r="IC652" s="301"/>
      <c r="ID652" s="301"/>
      <c r="IE652" s="301"/>
      <c r="IF652" s="301"/>
      <c r="IG652" s="301"/>
      <c r="IH652" s="301"/>
      <c r="II652" s="301"/>
      <c r="IJ652" s="301"/>
      <c r="IK652" s="301"/>
      <c r="IL652" s="301"/>
      <c r="IM652" s="301"/>
      <c r="IN652" s="301"/>
      <c r="IO652" s="301"/>
      <c r="IP652" s="301"/>
      <c r="IQ652" s="301"/>
      <c r="IR652" s="301"/>
      <c r="IS652" s="300"/>
      <c r="JA652" s="13"/>
      <c r="JC652" s="13"/>
      <c r="JI652" s="297"/>
      <c r="KY652" s="13"/>
      <c r="KZ652" s="43"/>
      <c r="LA652" s="43"/>
      <c r="LB652" s="45"/>
      <c r="LN652" s="291"/>
      <c r="SW652" s="13"/>
    </row>
    <row r="653" spans="34:517" ht="10.75" customHeight="1">
      <c r="AH653" s="12"/>
      <c r="AI653" s="12"/>
      <c r="AQ653" s="13"/>
      <c r="AR653" s="42"/>
      <c r="AS653" s="43"/>
      <c r="AT653" s="43"/>
      <c r="AU653" s="12"/>
      <c r="BF653" s="13"/>
      <c r="BG653" s="12"/>
      <c r="BK653" s="12"/>
      <c r="BN653" s="13"/>
      <c r="BS653" s="12"/>
      <c r="BV653" s="13"/>
      <c r="CA653" s="12"/>
      <c r="CD653" s="13"/>
      <c r="EX653" s="13"/>
      <c r="EY653" s="43"/>
      <c r="EZ653" s="43"/>
      <c r="FA653" s="45"/>
      <c r="GK653" s="291"/>
      <c r="GS653" s="12"/>
      <c r="HB653" s="13"/>
      <c r="HC653" s="42"/>
      <c r="HD653" s="43"/>
      <c r="HE653" s="45"/>
      <c r="HF653" s="12"/>
      <c r="JA653" s="13"/>
      <c r="JC653" s="13"/>
      <c r="JI653" s="297"/>
      <c r="KY653" s="13"/>
      <c r="KZ653" s="43"/>
      <c r="LA653" s="43"/>
      <c r="LB653" s="45"/>
      <c r="LN653" s="291"/>
      <c r="SW653" s="13"/>
    </row>
    <row r="654" spans="34:517" ht="10.75" customHeight="1">
      <c r="AH654" s="12"/>
      <c r="AI654" s="12"/>
      <c r="AQ654" s="13"/>
      <c r="AR654" s="42"/>
      <c r="AS654" s="43"/>
      <c r="AT654" s="43"/>
      <c r="AU654" s="12"/>
      <c r="BF654" s="13"/>
      <c r="BG654" s="12"/>
      <c r="BK654" s="12"/>
      <c r="BN654" s="13"/>
      <c r="BS654" s="12"/>
      <c r="BV654" s="13"/>
      <c r="CA654" s="12"/>
      <c r="CD654" s="13"/>
      <c r="EX654" s="13"/>
      <c r="EY654" s="43"/>
      <c r="EZ654" s="43"/>
      <c r="FA654" s="45"/>
      <c r="GK654" s="291"/>
      <c r="GS654" s="12"/>
      <c r="HB654" s="13"/>
      <c r="HC654" s="42"/>
      <c r="HD654" s="43"/>
      <c r="HE654" s="45"/>
      <c r="HF654" s="12"/>
      <c r="JA654" s="13"/>
      <c r="JC654" s="13"/>
      <c r="JI654" s="297"/>
      <c r="KY654" s="13"/>
      <c r="KZ654" s="43"/>
      <c r="LA654" s="43"/>
      <c r="LB654" s="45"/>
      <c r="LN654" s="291"/>
      <c r="SW654" s="13"/>
    </row>
    <row r="655" spans="34:517" ht="10.75" customHeight="1">
      <c r="AH655" s="12"/>
      <c r="AI655" s="12"/>
      <c r="AQ655" s="13"/>
      <c r="AR655" s="42"/>
      <c r="AS655" s="43"/>
      <c r="AT655" s="43"/>
      <c r="AU655" s="12"/>
      <c r="BF655" s="13"/>
      <c r="BG655" s="12"/>
      <c r="BK655" s="12"/>
      <c r="BN655" s="13"/>
      <c r="BS655" s="12"/>
      <c r="BV655" s="13"/>
      <c r="CA655" s="12"/>
      <c r="CD655" s="13"/>
      <c r="EX655" s="13"/>
      <c r="EY655" s="43"/>
      <c r="EZ655" s="43"/>
      <c r="FA655" s="45"/>
      <c r="GK655" s="291"/>
      <c r="GS655" s="12"/>
      <c r="HB655" s="13"/>
      <c r="HC655" s="42"/>
      <c r="HD655" s="43"/>
      <c r="HE655" s="45"/>
      <c r="HF655" s="12"/>
      <c r="JA655" s="13"/>
      <c r="JC655" s="13"/>
      <c r="JI655" s="297"/>
      <c r="KY655" s="13"/>
      <c r="KZ655" s="43"/>
      <c r="LA655" s="43"/>
      <c r="LB655" s="45"/>
      <c r="LN655" s="291"/>
      <c r="SW655" s="13"/>
    </row>
    <row r="656" spans="34:517" ht="10.75" customHeight="1">
      <c r="AH656" s="12"/>
      <c r="AI656" s="14"/>
      <c r="AJ656" s="15"/>
      <c r="AK656" s="15"/>
      <c r="AL656" s="15"/>
      <c r="AM656" s="15"/>
      <c r="AN656" s="15"/>
      <c r="AO656" s="15"/>
      <c r="AP656" s="15"/>
      <c r="AQ656" s="16"/>
      <c r="AR656" s="42"/>
      <c r="AS656" s="43"/>
      <c r="AT656" s="43"/>
      <c r="AU656" s="12"/>
      <c r="BF656" s="13"/>
      <c r="BG656" s="12"/>
      <c r="BK656" s="14"/>
      <c r="BL656" s="15"/>
      <c r="BM656" s="15"/>
      <c r="BN656" s="16"/>
      <c r="BS656" s="14"/>
      <c r="BT656" s="15"/>
      <c r="BU656" s="15"/>
      <c r="BV656" s="16"/>
      <c r="CA656" s="14"/>
      <c r="CB656" s="15"/>
      <c r="CC656" s="15"/>
      <c r="CD656" s="16"/>
      <c r="EX656" s="13"/>
      <c r="EY656" s="43"/>
      <c r="EZ656" s="43"/>
      <c r="FA656" s="45"/>
      <c r="GK656" s="291"/>
      <c r="GS656" s="9"/>
      <c r="GT656" s="10"/>
      <c r="GU656" s="10"/>
      <c r="GV656" s="10"/>
      <c r="GW656" s="10"/>
      <c r="GX656" s="10"/>
      <c r="GY656" s="10"/>
      <c r="GZ656" s="10"/>
      <c r="HA656" s="10"/>
      <c r="HB656" s="11"/>
      <c r="HC656" s="42"/>
      <c r="HD656" s="43"/>
      <c r="HE656" s="45"/>
      <c r="HF656" s="12"/>
      <c r="HN656" s="9"/>
      <c r="HO656" s="10"/>
      <c r="HP656" s="10"/>
      <c r="HQ656" s="10"/>
      <c r="HR656" s="10"/>
      <c r="HS656" s="10"/>
      <c r="HT656" s="10"/>
      <c r="HU656" s="10"/>
      <c r="HV656" s="10"/>
      <c r="HW656" s="10"/>
      <c r="HX656" s="10"/>
      <c r="HY656" s="10"/>
      <c r="HZ656" s="10"/>
      <c r="IA656" s="10"/>
      <c r="IB656" s="10"/>
      <c r="IC656" s="10"/>
      <c r="ID656" s="10"/>
      <c r="IE656" s="10"/>
      <c r="IF656" s="10"/>
      <c r="IG656" s="10"/>
      <c r="IH656" s="10"/>
      <c r="II656" s="10"/>
      <c r="IJ656" s="10"/>
      <c r="IK656" s="10"/>
      <c r="IL656" s="10"/>
      <c r="IM656" s="10"/>
      <c r="IN656" s="10"/>
      <c r="IO656" s="10"/>
      <c r="IP656" s="10"/>
      <c r="IQ656" s="10"/>
      <c r="IR656" s="10"/>
      <c r="IS656" s="11"/>
      <c r="JA656" s="13"/>
      <c r="JC656" s="13"/>
      <c r="JI656" s="297"/>
      <c r="KY656" s="13"/>
      <c r="KZ656" s="43"/>
      <c r="LA656" s="43"/>
      <c r="LB656" s="45"/>
      <c r="LN656" s="291"/>
      <c r="SW656" s="13"/>
    </row>
    <row r="657" spans="34:517" ht="10.75" customHeight="1">
      <c r="AH657" s="14"/>
      <c r="AI657" s="15"/>
      <c r="AJ657" s="15"/>
      <c r="AK657" s="15"/>
      <c r="AL657" s="15"/>
      <c r="AM657" s="15"/>
      <c r="AN657" s="15"/>
      <c r="AO657" s="15"/>
      <c r="AP657" s="15"/>
      <c r="AQ657" s="16"/>
      <c r="AR657" s="42"/>
      <c r="AS657" s="43"/>
      <c r="AT657" s="43"/>
      <c r="AU657" s="20"/>
      <c r="AV657" s="21"/>
      <c r="AW657" s="21"/>
      <c r="AX657" s="21"/>
      <c r="AY657" s="21"/>
      <c r="AZ657" s="21"/>
      <c r="BA657" s="21"/>
      <c r="BB657" s="21"/>
      <c r="BC657" s="21"/>
      <c r="BD657" s="21"/>
      <c r="BE657" s="21"/>
      <c r="BF657" s="22"/>
      <c r="BG657" s="20"/>
      <c r="BH657" s="21"/>
      <c r="BI657" s="21"/>
      <c r="BJ657" s="21"/>
      <c r="BK657" s="21"/>
      <c r="BL657" s="21"/>
      <c r="BM657" s="21"/>
      <c r="BN657" s="21"/>
      <c r="BO657" s="21"/>
      <c r="BP657" s="21"/>
      <c r="BQ657" s="21"/>
      <c r="BR657" s="21"/>
      <c r="BS657" s="21"/>
      <c r="BT657" s="21"/>
      <c r="BU657" s="21"/>
      <c r="BV657" s="21"/>
      <c r="BW657" s="21"/>
      <c r="BX657" s="21"/>
      <c r="BY657" s="21"/>
      <c r="BZ657" s="21"/>
      <c r="CA657" s="21"/>
      <c r="CB657" s="21"/>
      <c r="CC657" s="21"/>
      <c r="CD657" s="22"/>
      <c r="EX657" s="13"/>
      <c r="EY657" s="43"/>
      <c r="EZ657" s="43"/>
      <c r="FA657" s="45"/>
      <c r="GK657" s="291"/>
      <c r="GS657" s="12"/>
      <c r="HB657" s="13"/>
      <c r="HC657" s="42"/>
      <c r="HD657" s="43"/>
      <c r="HE657" s="45"/>
      <c r="HF657" s="12"/>
      <c r="HN657" s="12"/>
      <c r="IS657" s="13"/>
      <c r="JA657" s="13"/>
      <c r="JC657" s="13"/>
      <c r="JI657" s="297"/>
      <c r="KY657" s="13"/>
      <c r="KZ657" s="43"/>
      <c r="LA657" s="43"/>
      <c r="LB657" s="45"/>
      <c r="LN657" s="291"/>
      <c r="SW657" s="13"/>
    </row>
    <row r="658" spans="34:517" ht="10.75" customHeight="1">
      <c r="AR658" s="42"/>
      <c r="AS658" s="43"/>
      <c r="AT658" s="43"/>
      <c r="AU658" s="9"/>
      <c r="AV658" s="10"/>
      <c r="AW658" s="10"/>
      <c r="AX658" s="10"/>
      <c r="AY658" s="10"/>
      <c r="AZ658" s="10"/>
      <c r="BA658" s="10"/>
      <c r="BB658" s="10"/>
      <c r="BC658" s="9"/>
      <c r="BD658" s="10"/>
      <c r="BE658" s="10"/>
      <c r="BF658" s="10"/>
      <c r="BG658" s="10"/>
      <c r="BH658" s="10"/>
      <c r="BI658" s="10"/>
      <c r="BJ658" s="10"/>
      <c r="BK658" s="10"/>
      <c r="BL658" s="10"/>
      <c r="BM658" s="10"/>
      <c r="BN658" s="10"/>
      <c r="BO658" s="10"/>
      <c r="BP658" s="10"/>
      <c r="BQ658" s="10"/>
      <c r="BR658" s="10"/>
      <c r="BS658" s="10"/>
      <c r="BT658" s="10"/>
      <c r="BU658" s="10"/>
      <c r="BV658" s="10"/>
      <c r="BW658" s="10"/>
      <c r="BX658" s="10"/>
      <c r="BY658" s="10"/>
      <c r="BZ658" s="10"/>
      <c r="CA658" s="10"/>
      <c r="CB658" s="10"/>
      <c r="CC658" s="10"/>
      <c r="CD658" s="10"/>
      <c r="EX658" s="13"/>
      <c r="EY658" s="43"/>
      <c r="EZ658" s="43"/>
      <c r="FA658" s="45"/>
      <c r="GK658" s="291"/>
      <c r="GS658" s="12"/>
      <c r="HB658" s="13"/>
      <c r="HC658" s="42"/>
      <c r="HD658" s="43"/>
      <c r="HE658" s="45"/>
      <c r="HF658" s="12"/>
      <c r="HN658" s="12"/>
      <c r="IS658" s="13"/>
      <c r="JA658" s="13"/>
      <c r="JC658" s="13"/>
      <c r="JI658" s="297"/>
      <c r="KY658" s="13"/>
      <c r="KZ658" s="43"/>
      <c r="LA658" s="43"/>
      <c r="LB658" s="45"/>
      <c r="LN658" s="291"/>
      <c r="SW658" s="13"/>
    </row>
    <row r="659" spans="34:517" ht="10.75" customHeight="1">
      <c r="AR659" s="42"/>
      <c r="AS659" s="43"/>
      <c r="AT659" s="43"/>
      <c r="AU659" s="12"/>
      <c r="BC659" s="12"/>
      <c r="EX659" s="13"/>
      <c r="EY659" s="43"/>
      <c r="EZ659" s="43"/>
      <c r="FA659" s="45"/>
      <c r="GK659" s="291"/>
      <c r="GS659" s="14"/>
      <c r="GT659" s="15"/>
      <c r="GU659" s="15"/>
      <c r="GV659" s="15"/>
      <c r="GW659" s="15"/>
      <c r="GX659" s="15"/>
      <c r="GY659" s="15"/>
      <c r="GZ659" s="15"/>
      <c r="HA659" s="15"/>
      <c r="HB659" s="16"/>
      <c r="HC659" s="42"/>
      <c r="HD659" s="43"/>
      <c r="HE659" s="45"/>
      <c r="HF659" s="12"/>
      <c r="HN659" s="12"/>
      <c r="IS659" s="13"/>
      <c r="JA659" s="13"/>
      <c r="JC659" s="13"/>
      <c r="JI659" s="297"/>
      <c r="KY659" s="13"/>
      <c r="KZ659" s="43"/>
      <c r="LA659" s="43"/>
      <c r="LB659" s="45"/>
      <c r="LN659" s="291"/>
      <c r="SW659" s="13"/>
    </row>
    <row r="660" spans="34:517" ht="10.75" customHeight="1">
      <c r="AR660" s="42"/>
      <c r="AS660" s="43"/>
      <c r="AT660" s="43"/>
      <c r="AU660" s="12"/>
      <c r="BC660" s="12"/>
      <c r="EX660" s="13"/>
      <c r="EY660" s="43"/>
      <c r="EZ660" s="43"/>
      <c r="FA660" s="45"/>
      <c r="GK660" s="291"/>
      <c r="GS660" s="12"/>
      <c r="HB660" s="13"/>
      <c r="HC660" s="42"/>
      <c r="HD660" s="43"/>
      <c r="HE660" s="45"/>
      <c r="HF660" s="12"/>
      <c r="HN660" s="12"/>
      <c r="IS660" s="13"/>
      <c r="JA660" s="13"/>
      <c r="JC660" s="13"/>
      <c r="JI660" s="297"/>
      <c r="KY660" s="13"/>
      <c r="KZ660" s="43"/>
      <c r="LA660" s="43"/>
      <c r="LB660" s="45"/>
      <c r="LN660" s="291"/>
      <c r="SW660" s="13"/>
    </row>
    <row r="661" spans="34:517" ht="10.75" customHeight="1">
      <c r="AR661" s="42"/>
      <c r="AS661" s="43"/>
      <c r="AT661" s="43"/>
      <c r="AU661" s="12"/>
      <c r="BC661" s="12"/>
      <c r="EX661" s="13"/>
      <c r="EY661" s="43"/>
      <c r="EZ661" s="43"/>
      <c r="FA661" s="45"/>
      <c r="GK661" s="291"/>
      <c r="GS661" s="12"/>
      <c r="HB661" s="13"/>
      <c r="HC661" s="42"/>
      <c r="HD661" s="43"/>
      <c r="HE661" s="45"/>
      <c r="HF661" s="12"/>
      <c r="HN661" s="12"/>
      <c r="IS661" s="13"/>
      <c r="JA661" s="13"/>
      <c r="JC661" s="13"/>
      <c r="JI661" s="297"/>
      <c r="KY661" s="13"/>
      <c r="KZ661" s="43"/>
      <c r="LA661" s="43"/>
      <c r="LB661" s="45"/>
      <c r="LN661" s="291"/>
      <c r="SW661" s="13"/>
    </row>
    <row r="662" spans="34:517" ht="10.75" customHeight="1">
      <c r="AR662" s="42"/>
      <c r="AS662" s="43"/>
      <c r="AT662" s="43"/>
      <c r="AU662" s="12"/>
      <c r="BC662" s="12"/>
      <c r="EX662" s="13"/>
      <c r="EY662" s="43"/>
      <c r="EZ662" s="43"/>
      <c r="FA662" s="45"/>
      <c r="GK662" s="291"/>
      <c r="GS662" s="12"/>
      <c r="HB662" s="13"/>
      <c r="HC662" s="42"/>
      <c r="HD662" s="43"/>
      <c r="HE662" s="45"/>
      <c r="HF662" s="12"/>
      <c r="HN662" s="12"/>
      <c r="IS662" s="13"/>
      <c r="JA662" s="13"/>
      <c r="JC662" s="13"/>
      <c r="JI662" s="297"/>
      <c r="KY662" s="13"/>
      <c r="KZ662" s="43"/>
      <c r="LA662" s="43"/>
      <c r="LB662" s="45"/>
      <c r="LN662" s="291"/>
      <c r="SK662" s="15"/>
      <c r="SL662" s="15"/>
      <c r="SM662" s="15"/>
      <c r="SN662" s="15"/>
      <c r="SO662" s="15"/>
      <c r="SP662" s="15"/>
      <c r="SQ662" s="15"/>
      <c r="SR662" s="15"/>
      <c r="SS662" s="15"/>
      <c r="ST662" s="15"/>
      <c r="SU662" s="15"/>
      <c r="SV662" s="15"/>
      <c r="SW662" s="16"/>
    </row>
    <row r="663" spans="34:517" ht="10.75" customHeight="1">
      <c r="AR663" s="42"/>
      <c r="AS663" s="43"/>
      <c r="AT663" s="43"/>
      <c r="AU663" s="12"/>
      <c r="BC663" s="12"/>
      <c r="EX663" s="13"/>
      <c r="EY663" s="43"/>
      <c r="EZ663" s="43"/>
      <c r="FA663" s="45"/>
      <c r="GK663" s="291"/>
      <c r="GS663" s="12"/>
      <c r="HB663" s="13"/>
      <c r="HC663" s="42"/>
      <c r="HD663" s="43"/>
      <c r="HE663" s="45"/>
      <c r="HF663" s="12"/>
      <c r="HN663" s="12"/>
      <c r="IS663" s="13"/>
      <c r="JA663" s="13"/>
      <c r="JC663" s="13"/>
      <c r="JI663" s="297"/>
      <c r="KY663" s="13"/>
      <c r="KZ663" s="43"/>
      <c r="LA663" s="43"/>
      <c r="LB663" s="45"/>
      <c r="LN663" s="291"/>
      <c r="SL663" s="10"/>
      <c r="SM663" s="10"/>
      <c r="SN663" s="10"/>
      <c r="SO663" s="10"/>
      <c r="SP663" s="10"/>
      <c r="SQ663" s="10"/>
      <c r="SR663" s="10"/>
      <c r="SS663" s="10"/>
      <c r="ST663" s="10"/>
      <c r="SU663" s="10"/>
      <c r="SV663" s="10"/>
      <c r="SW663" s="13"/>
    </row>
    <row r="664" spans="34:517" ht="10.75" customHeight="1">
      <c r="AR664" s="42"/>
      <c r="AS664" s="43"/>
      <c r="AT664" s="43"/>
      <c r="AU664" s="12"/>
      <c r="BC664" s="12"/>
      <c r="EX664" s="13"/>
      <c r="EY664" s="43"/>
      <c r="EZ664" s="43"/>
      <c r="FA664" s="45"/>
      <c r="GK664" s="291"/>
      <c r="GS664" s="9"/>
      <c r="GT664" s="10"/>
      <c r="GU664" s="10"/>
      <c r="GV664" s="10"/>
      <c r="GW664" s="10"/>
      <c r="GX664" s="10"/>
      <c r="GY664" s="10"/>
      <c r="GZ664" s="10"/>
      <c r="HA664" s="10"/>
      <c r="HB664" s="11"/>
      <c r="HC664" s="42"/>
      <c r="HD664" s="43"/>
      <c r="HE664" s="45"/>
      <c r="HF664" s="12"/>
      <c r="HN664" s="12"/>
      <c r="IS664" s="13"/>
      <c r="JA664" s="13"/>
      <c r="JC664" s="13"/>
      <c r="JI664" s="297"/>
      <c r="KY664" s="13"/>
      <c r="KZ664" s="43"/>
      <c r="LA664" s="43"/>
      <c r="LB664" s="45"/>
      <c r="LN664" s="291"/>
      <c r="SW664" s="13"/>
    </row>
    <row r="665" spans="34:517" ht="10.75" customHeight="1">
      <c r="AR665" s="42"/>
      <c r="AS665" s="43"/>
      <c r="AT665" s="43"/>
      <c r="AU665" s="12"/>
      <c r="BC665" s="12"/>
      <c r="EX665" s="13"/>
      <c r="EY665" s="43"/>
      <c r="EZ665" s="43"/>
      <c r="FA665" s="45"/>
      <c r="GK665" s="291"/>
      <c r="GS665" s="12"/>
      <c r="HB665" s="13"/>
      <c r="HC665" s="42"/>
      <c r="HD665" s="43"/>
      <c r="HE665" s="45"/>
      <c r="HF665" s="12"/>
      <c r="HN665" s="12"/>
      <c r="IS665" s="13"/>
      <c r="JA665" s="13"/>
      <c r="JC665" s="13"/>
      <c r="JI665" s="297"/>
      <c r="KY665" s="13"/>
      <c r="KZ665" s="43"/>
      <c r="LA665" s="43"/>
      <c r="LB665" s="45"/>
      <c r="LN665" s="291"/>
      <c r="SW665" s="13"/>
    </row>
    <row r="666" spans="34:517" ht="10.75" customHeight="1">
      <c r="AR666" s="42"/>
      <c r="AS666" s="43"/>
      <c r="AT666" s="43"/>
      <c r="AU666" s="12"/>
      <c r="BC666" s="12"/>
      <c r="CV666" s="13"/>
      <c r="CW666" s="9"/>
      <c r="CX666" s="11"/>
      <c r="EX666" s="13"/>
      <c r="EY666" s="43"/>
      <c r="EZ666" s="43"/>
      <c r="FA666" s="45"/>
      <c r="GK666" s="291"/>
      <c r="GS666" s="12"/>
      <c r="HB666" s="13"/>
      <c r="HC666" s="42"/>
      <c r="HD666" s="43"/>
      <c r="HE666" s="45"/>
      <c r="HF666" s="12"/>
      <c r="HN666" s="12"/>
      <c r="IS666" s="13"/>
      <c r="JA666" s="13"/>
      <c r="JC666" s="13"/>
      <c r="JI666" s="297"/>
      <c r="KY666" s="13"/>
      <c r="KZ666" s="43"/>
      <c r="LA666" s="43"/>
      <c r="LB666" s="45"/>
      <c r="LN666" s="291"/>
      <c r="SW666" s="13"/>
    </row>
    <row r="667" spans="34:517" ht="10.75" customHeight="1">
      <c r="AR667" s="42"/>
      <c r="AS667" s="43"/>
      <c r="AT667" s="43"/>
      <c r="AU667" s="12"/>
      <c r="BC667" s="12"/>
      <c r="CV667" s="13"/>
      <c r="CW667" s="12"/>
      <c r="CX667" s="13"/>
      <c r="EX667" s="13"/>
      <c r="EY667" s="43"/>
      <c r="EZ667" s="43"/>
      <c r="FA667" s="45"/>
      <c r="GK667" s="291"/>
      <c r="GS667" s="14"/>
      <c r="GT667" s="15"/>
      <c r="GU667" s="15"/>
      <c r="GV667" s="15"/>
      <c r="GW667" s="15"/>
      <c r="GX667" s="15"/>
      <c r="GY667" s="15"/>
      <c r="GZ667" s="15"/>
      <c r="HA667" s="15"/>
      <c r="HB667" s="16"/>
      <c r="HC667" s="42"/>
      <c r="HD667" s="43"/>
      <c r="HE667" s="45"/>
      <c r="HF667" s="12"/>
      <c r="HN667" s="12"/>
      <c r="IS667" s="13"/>
      <c r="JA667" s="13"/>
      <c r="JC667" s="13"/>
      <c r="JI667" s="297"/>
      <c r="KY667" s="13"/>
      <c r="KZ667" s="43"/>
      <c r="LA667" s="43"/>
      <c r="LB667" s="45"/>
      <c r="LN667" s="291"/>
      <c r="SW667" s="13"/>
    </row>
    <row r="668" spans="34:517" ht="10.75" customHeight="1">
      <c r="AR668" s="42"/>
      <c r="AS668" s="43"/>
      <c r="AT668" s="43"/>
      <c r="AU668" s="12"/>
      <c r="BC668" s="12"/>
      <c r="CV668" s="13"/>
      <c r="CW668" s="12"/>
      <c r="CX668" s="13"/>
      <c r="EX668" s="13"/>
      <c r="EY668" s="43"/>
      <c r="EZ668" s="43"/>
      <c r="FA668" s="45"/>
      <c r="GK668" s="291"/>
      <c r="GS668" s="12"/>
      <c r="HB668" s="13"/>
      <c r="HC668" s="42"/>
      <c r="HD668" s="43"/>
      <c r="HE668" s="45"/>
      <c r="HF668" s="12"/>
      <c r="HN668" s="12"/>
      <c r="IS668" s="13"/>
      <c r="JA668" s="13"/>
      <c r="JC668" s="13"/>
      <c r="JI668" s="297"/>
      <c r="KY668" s="13"/>
      <c r="KZ668" s="43"/>
      <c r="LA668" s="43"/>
      <c r="LB668" s="45"/>
      <c r="LN668" s="291"/>
      <c r="SW668" s="13"/>
    </row>
    <row r="669" spans="34:517" ht="10.75" customHeight="1">
      <c r="AR669" s="42"/>
      <c r="AS669" s="43"/>
      <c r="AT669" s="43"/>
      <c r="AU669" s="12"/>
      <c r="BC669" s="12"/>
      <c r="CV669" s="13"/>
      <c r="CW669" s="12"/>
      <c r="CX669" s="13"/>
      <c r="EX669" s="13"/>
      <c r="EY669" s="43"/>
      <c r="EZ669" s="43"/>
      <c r="FA669" s="45"/>
      <c r="GK669" s="291"/>
      <c r="GS669" s="12"/>
      <c r="HB669" s="13"/>
      <c r="HC669" s="42"/>
      <c r="HD669" s="43"/>
      <c r="HE669" s="45"/>
      <c r="HF669" s="12"/>
      <c r="HN669" s="12"/>
      <c r="IS669" s="13"/>
      <c r="JA669" s="13"/>
      <c r="JC669" s="13"/>
      <c r="JI669" s="297"/>
      <c r="KY669" s="13"/>
      <c r="KZ669" s="43"/>
      <c r="LA669" s="43"/>
      <c r="LB669" s="45"/>
      <c r="LN669" s="291"/>
      <c r="SW669" s="13"/>
    </row>
    <row r="670" spans="34:517" ht="10.75" customHeight="1">
      <c r="AR670" s="42"/>
      <c r="AS670" s="43"/>
      <c r="AT670" s="43"/>
      <c r="AU670" s="12"/>
      <c r="BC670" s="12"/>
      <c r="CV670" s="13"/>
      <c r="CW670" s="12"/>
      <c r="CX670" s="13"/>
      <c r="EX670" s="13"/>
      <c r="EY670" s="43"/>
      <c r="EZ670" s="43"/>
      <c r="FA670" s="45"/>
      <c r="GK670" s="291"/>
      <c r="GS670" s="12"/>
      <c r="HB670" s="13"/>
      <c r="HC670" s="42"/>
      <c r="HD670" s="43"/>
      <c r="HE670" s="45"/>
      <c r="HF670" s="12"/>
      <c r="HN670" s="12"/>
      <c r="IS670" s="13"/>
      <c r="JA670" s="13"/>
      <c r="JC670" s="13"/>
      <c r="JI670" s="297"/>
      <c r="KY670" s="13"/>
      <c r="KZ670" s="43"/>
      <c r="LA670" s="43"/>
      <c r="LB670" s="45"/>
      <c r="LN670" s="291"/>
      <c r="SW670" s="13"/>
    </row>
    <row r="671" spans="34:517" ht="10.75" customHeight="1">
      <c r="AR671" s="42"/>
      <c r="AS671" s="43"/>
      <c r="AT671" s="43"/>
      <c r="AU671" s="12"/>
      <c r="BC671" s="12"/>
      <c r="CV671" s="13"/>
      <c r="CW671" s="12"/>
      <c r="CX671" s="13"/>
      <c r="EX671" s="13"/>
      <c r="EY671" s="43"/>
      <c r="EZ671" s="43"/>
      <c r="FA671" s="45"/>
      <c r="GJ671" s="294"/>
      <c r="GK671" s="293"/>
      <c r="GS671" s="14"/>
      <c r="GT671" s="15"/>
      <c r="GU671" s="15"/>
      <c r="GV671" s="15"/>
      <c r="GW671" s="15"/>
      <c r="GX671" s="15"/>
      <c r="GY671" s="15"/>
      <c r="GZ671" s="15"/>
      <c r="HA671" s="15"/>
      <c r="HB671" s="16"/>
      <c r="HC671" s="42"/>
      <c r="HD671" s="43"/>
      <c r="HE671" s="45"/>
      <c r="HF671" s="12"/>
      <c r="HN671" s="12"/>
      <c r="IS671" s="13"/>
      <c r="JA671" s="13"/>
      <c r="JB671" s="15"/>
      <c r="JC671" s="16"/>
      <c r="JI671" s="299"/>
      <c r="JJ671" s="294"/>
      <c r="KY671" s="13"/>
      <c r="KZ671" s="43"/>
      <c r="LA671" s="43"/>
      <c r="LB671" s="45"/>
      <c r="LN671" s="291"/>
      <c r="SW671" s="13"/>
    </row>
    <row r="672" spans="34:517" ht="10.75" customHeight="1">
      <c r="AR672" s="42"/>
      <c r="AS672" s="43"/>
      <c r="AT672" s="43"/>
      <c r="AU672" s="12"/>
      <c r="BC672" s="12"/>
      <c r="CV672" s="13"/>
      <c r="CW672" s="12"/>
      <c r="CX672" s="13"/>
      <c r="EX672" s="13"/>
      <c r="EY672" s="43"/>
      <c r="EZ672" s="43"/>
      <c r="FA672" s="45"/>
      <c r="GS672" s="9"/>
      <c r="GT672" s="10"/>
      <c r="GU672" s="10"/>
      <c r="GV672" s="10"/>
      <c r="GW672" s="10"/>
      <c r="GX672" s="10"/>
      <c r="GY672" s="10"/>
      <c r="GZ672" s="10"/>
      <c r="HA672" s="10"/>
      <c r="HB672" s="11"/>
      <c r="HC672" s="42"/>
      <c r="HD672" s="43"/>
      <c r="HE672" s="45"/>
      <c r="HF672" s="9"/>
      <c r="HG672" s="10"/>
      <c r="HH672" s="10"/>
      <c r="HI672" s="10"/>
      <c r="HJ672" s="10"/>
      <c r="HK672" s="10"/>
      <c r="HL672" s="10"/>
      <c r="HM672" s="10"/>
      <c r="IT672" s="10"/>
      <c r="IU672" s="10"/>
      <c r="IV672" s="10"/>
      <c r="IW672" s="10"/>
      <c r="IX672" s="10"/>
      <c r="IY672" s="10"/>
      <c r="IZ672" s="10"/>
      <c r="JA672" s="10"/>
      <c r="JB672" s="10"/>
      <c r="JI672" s="301"/>
      <c r="JJ672" s="302"/>
      <c r="KY672" s="13"/>
      <c r="KZ672" s="43"/>
      <c r="LA672" s="43"/>
      <c r="LB672" s="45"/>
      <c r="LN672" s="291"/>
      <c r="SW672" s="13"/>
    </row>
    <row r="673" spans="44:517" ht="10.75" customHeight="1">
      <c r="AR673" s="42"/>
      <c r="AS673" s="43"/>
      <c r="AT673" s="43"/>
      <c r="AU673" s="12"/>
      <c r="BC673" s="12"/>
      <c r="CV673" s="13"/>
      <c r="CW673" s="12"/>
      <c r="CX673" s="13"/>
      <c r="EX673" s="13"/>
      <c r="EY673" s="43"/>
      <c r="EZ673" s="43"/>
      <c r="FA673" s="45"/>
      <c r="GS673" s="12"/>
      <c r="HB673" s="13"/>
      <c r="HC673" s="42"/>
      <c r="HD673" s="119"/>
      <c r="HE673" s="45"/>
      <c r="HF673" s="12"/>
      <c r="JJ673" s="291"/>
      <c r="KY673" s="13"/>
      <c r="KZ673" s="43"/>
      <c r="LA673" s="43"/>
      <c r="LB673" s="45"/>
      <c r="LN673" s="291"/>
      <c r="SW673" s="13"/>
    </row>
    <row r="674" spans="44:517" ht="10.75" customHeight="1">
      <c r="AR674" s="42"/>
      <c r="AS674" s="43"/>
      <c r="AT674" s="43"/>
      <c r="AU674" s="12"/>
      <c r="BC674" s="12"/>
      <c r="CV674" s="13"/>
      <c r="CW674" s="12"/>
      <c r="CX674" s="13"/>
      <c r="EX674" s="13"/>
      <c r="EY674" s="43"/>
      <c r="EZ674" s="43"/>
      <c r="FA674" s="45"/>
      <c r="GS674" s="12"/>
      <c r="HB674" s="13"/>
      <c r="HC674" s="42"/>
      <c r="HD674" s="119"/>
      <c r="HE674" s="45"/>
      <c r="HF674" s="12"/>
      <c r="JJ674" s="291"/>
      <c r="KY674" s="13"/>
      <c r="KZ674" s="43"/>
      <c r="LA674" s="43"/>
      <c r="LB674" s="45"/>
      <c r="LN674" s="291"/>
      <c r="SK674" s="15"/>
      <c r="SL674" s="15"/>
      <c r="SM674" s="15"/>
      <c r="SN674" s="15"/>
      <c r="SO674" s="15"/>
      <c r="SP674" s="15"/>
      <c r="SQ674" s="15"/>
      <c r="SR674" s="15"/>
      <c r="SS674" s="15"/>
      <c r="ST674" s="15"/>
      <c r="SU674" s="15"/>
      <c r="SV674" s="15"/>
      <c r="SW674" s="16"/>
    </row>
    <row r="675" spans="44:517" ht="10.75" customHeight="1">
      <c r="AR675" s="42"/>
      <c r="AS675" s="43"/>
      <c r="AT675" s="43"/>
      <c r="AU675" s="12"/>
      <c r="BC675" s="12"/>
      <c r="CV675" s="13"/>
      <c r="CW675" s="12"/>
      <c r="CX675" s="13"/>
      <c r="EX675" s="13"/>
      <c r="EY675" s="43"/>
      <c r="EZ675" s="43"/>
      <c r="FA675" s="45"/>
      <c r="GS675" s="12"/>
      <c r="HB675" s="13"/>
      <c r="HC675" s="42"/>
      <c r="HD675" s="119"/>
      <c r="HE675" s="45"/>
      <c r="HF675" s="12"/>
      <c r="JA675" s="309"/>
      <c r="JC675" s="311"/>
      <c r="JJ675" s="291"/>
      <c r="KY675" s="13"/>
      <c r="KZ675" s="43"/>
      <c r="LA675" s="43"/>
      <c r="LB675" s="45"/>
      <c r="LN675" s="291"/>
      <c r="SL675" s="10"/>
      <c r="SM675" s="10"/>
      <c r="SN675" s="10"/>
      <c r="SO675" s="10"/>
      <c r="SP675" s="10"/>
      <c r="SQ675" s="10"/>
      <c r="SR675" s="10"/>
      <c r="SS675" s="10"/>
      <c r="ST675" s="10"/>
      <c r="SU675" s="10"/>
      <c r="SV675" s="10"/>
      <c r="SW675" s="13"/>
    </row>
    <row r="676" spans="44:517" ht="10.75" customHeight="1">
      <c r="AR676" s="42"/>
      <c r="AS676" s="43"/>
      <c r="AT676" s="43"/>
      <c r="AU676" s="12"/>
      <c r="BC676" s="12"/>
      <c r="CV676" s="13"/>
      <c r="CW676" s="12"/>
      <c r="CX676" s="13"/>
      <c r="EX676" s="13"/>
      <c r="EY676" s="43"/>
      <c r="EZ676" s="43"/>
      <c r="FA676" s="45"/>
      <c r="GS676" s="12"/>
      <c r="HB676" s="13"/>
      <c r="HC676" s="42"/>
      <c r="HD676" s="119"/>
      <c r="HE676" s="45"/>
      <c r="HF676" s="12"/>
      <c r="JA676" s="309"/>
      <c r="JC676" s="311"/>
      <c r="JJ676" s="291"/>
      <c r="KY676" s="13"/>
      <c r="KZ676" s="43"/>
      <c r="LA676" s="43"/>
      <c r="LB676" s="45"/>
      <c r="LN676" s="291"/>
      <c r="SW676" s="13"/>
    </row>
    <row r="677" spans="44:517" ht="10.75" customHeight="1">
      <c r="AR677" s="42"/>
      <c r="AS677" s="43"/>
      <c r="AT677" s="43"/>
      <c r="AU677" s="12"/>
      <c r="BC677" s="12"/>
      <c r="CV677" s="13"/>
      <c r="CW677" s="12"/>
      <c r="CX677" s="13"/>
      <c r="EX677" s="13"/>
      <c r="EY677" s="43"/>
      <c r="EZ677" s="43"/>
      <c r="FA677" s="45"/>
      <c r="GS677" s="12"/>
      <c r="HB677" s="13"/>
      <c r="HC677" s="42"/>
      <c r="HD677" s="119"/>
      <c r="HE677" s="45"/>
      <c r="HF677" s="12"/>
      <c r="JA677" s="309"/>
      <c r="JC677" s="311"/>
      <c r="JJ677" s="291"/>
      <c r="KY677" s="13"/>
      <c r="KZ677" s="43"/>
      <c r="LA677" s="43"/>
      <c r="LB677" s="45"/>
      <c r="LN677" s="291"/>
      <c r="SW677" s="13"/>
    </row>
    <row r="678" spans="44:517" ht="10.75" customHeight="1">
      <c r="AR678" s="42"/>
      <c r="AS678" s="43"/>
      <c r="AT678" s="43"/>
      <c r="AU678" s="12"/>
      <c r="BC678" s="12"/>
      <c r="CV678" s="13"/>
      <c r="CW678" s="12"/>
      <c r="CX678" s="13"/>
      <c r="EX678" s="13"/>
      <c r="EY678" s="43"/>
      <c r="EZ678" s="43"/>
      <c r="FA678" s="45"/>
      <c r="GS678" s="12"/>
      <c r="HB678" s="13"/>
      <c r="HC678" s="42"/>
      <c r="HD678" s="119"/>
      <c r="HE678" s="45"/>
      <c r="HF678" s="12"/>
      <c r="JA678" s="309"/>
      <c r="JC678" s="311"/>
      <c r="JJ678" s="291"/>
      <c r="KY678" s="13"/>
      <c r="KZ678" s="43"/>
      <c r="LA678" s="43"/>
      <c r="LB678" s="45"/>
      <c r="LN678" s="291"/>
      <c r="SW678" s="13"/>
    </row>
    <row r="679" spans="44:517" ht="10.75" customHeight="1">
      <c r="AR679" s="42"/>
      <c r="AS679" s="43"/>
      <c r="AT679" s="43"/>
      <c r="AU679" s="12"/>
      <c r="BC679" s="12"/>
      <c r="CV679" s="13"/>
      <c r="CW679" s="12"/>
      <c r="CX679" s="13"/>
      <c r="EX679" s="13"/>
      <c r="EY679" s="43"/>
      <c r="EZ679" s="43"/>
      <c r="FA679" s="45"/>
      <c r="GS679" s="12"/>
      <c r="HB679" s="13"/>
      <c r="HC679" s="42"/>
      <c r="HD679" s="119"/>
      <c r="HE679" s="45"/>
      <c r="HF679" s="12"/>
      <c r="JA679" s="309"/>
      <c r="JC679" s="311"/>
      <c r="JJ679" s="291"/>
      <c r="KY679" s="13"/>
      <c r="KZ679" s="43"/>
      <c r="LA679" s="43"/>
      <c r="LB679" s="45"/>
      <c r="LN679" s="291"/>
      <c r="SW679" s="13"/>
    </row>
    <row r="680" spans="44:517" ht="10.75" customHeight="1">
      <c r="AR680" s="42"/>
      <c r="AS680" s="43"/>
      <c r="AT680" s="43"/>
      <c r="AU680" s="12"/>
      <c r="BC680" s="12"/>
      <c r="CV680" s="13"/>
      <c r="CW680" s="12"/>
      <c r="CX680" s="13"/>
      <c r="EX680" s="13"/>
      <c r="EY680" s="43"/>
      <c r="EZ680" s="43"/>
      <c r="FA680" s="45"/>
      <c r="GS680" s="12"/>
      <c r="HB680" s="13"/>
      <c r="HC680" s="42"/>
      <c r="HD680" s="119"/>
      <c r="HE680" s="45"/>
      <c r="HF680" s="12"/>
      <c r="JA680" s="309"/>
      <c r="JC680" s="311"/>
      <c r="JJ680" s="291"/>
      <c r="KY680" s="13"/>
      <c r="KZ680" s="43"/>
      <c r="LA680" s="43"/>
      <c r="LB680" s="45"/>
      <c r="LN680" s="291"/>
      <c r="SW680" s="13"/>
    </row>
    <row r="681" spans="44:517" ht="10.75" customHeight="1">
      <c r="AR681" s="42"/>
      <c r="AS681" s="43"/>
      <c r="AT681" s="43"/>
      <c r="AU681" s="12"/>
      <c r="BC681" s="12"/>
      <c r="CV681" s="13"/>
      <c r="CW681" s="12"/>
      <c r="CX681" s="13"/>
      <c r="EX681" s="13"/>
      <c r="EY681" s="43"/>
      <c r="EZ681" s="43"/>
      <c r="FA681" s="45"/>
      <c r="GS681" s="12"/>
      <c r="HB681" s="13"/>
      <c r="HC681" s="42"/>
      <c r="HD681" s="119"/>
      <c r="HE681" s="45"/>
      <c r="HF681" s="12"/>
      <c r="JA681" s="309"/>
      <c r="JC681" s="311"/>
      <c r="JJ681" s="291"/>
      <c r="KY681" s="13"/>
      <c r="KZ681" s="43"/>
      <c r="LA681" s="43"/>
      <c r="LB681" s="45"/>
      <c r="LN681" s="291"/>
      <c r="SW681" s="13"/>
    </row>
    <row r="682" spans="44:517" ht="10.75" customHeight="1">
      <c r="AR682" s="42"/>
      <c r="AS682" s="43"/>
      <c r="AT682" s="43"/>
      <c r="AU682" s="12"/>
      <c r="BC682" s="12"/>
      <c r="CV682" s="13"/>
      <c r="CW682" s="12"/>
      <c r="CX682" s="13"/>
      <c r="EX682" s="13"/>
      <c r="EY682" s="43"/>
      <c r="EZ682" s="43"/>
      <c r="FA682" s="45"/>
      <c r="GS682" s="12"/>
      <c r="HB682" s="13"/>
      <c r="HC682" s="42"/>
      <c r="HD682" s="119"/>
      <c r="HE682" s="45"/>
      <c r="HF682" s="12"/>
      <c r="JA682" s="309"/>
      <c r="JC682" s="311"/>
      <c r="JJ682" s="291"/>
      <c r="KY682" s="13"/>
      <c r="KZ682" s="43"/>
      <c r="LA682" s="43"/>
      <c r="LB682" s="45"/>
      <c r="LN682" s="291"/>
      <c r="SW682" s="13"/>
    </row>
    <row r="683" spans="44:517" ht="10.75" customHeight="1">
      <c r="AR683" s="42"/>
      <c r="AS683" s="43"/>
      <c r="AT683" s="43"/>
      <c r="AU683" s="12"/>
      <c r="BC683" s="14"/>
      <c r="BD683" s="15"/>
      <c r="BE683" s="15"/>
      <c r="BF683" s="15"/>
      <c r="BG683" s="15"/>
      <c r="BH683" s="15"/>
      <c r="BI683" s="15"/>
      <c r="BJ683" s="15"/>
      <c r="BK683" s="15"/>
      <c r="BL683" s="15"/>
      <c r="BM683" s="15"/>
      <c r="BN683" s="15"/>
      <c r="BO683" s="15"/>
      <c r="BP683" s="15"/>
      <c r="BQ683" s="15"/>
      <c r="BR683" s="15"/>
      <c r="BS683" s="15"/>
      <c r="BT683" s="15"/>
      <c r="BU683" s="15"/>
      <c r="BV683" s="15"/>
      <c r="BW683" s="15"/>
      <c r="BX683" s="15"/>
      <c r="BY683" s="15"/>
      <c r="BZ683" s="15"/>
      <c r="CA683" s="15"/>
      <c r="CV683" s="13"/>
      <c r="CW683" s="12"/>
      <c r="CX683" s="13"/>
      <c r="EX683" s="13"/>
      <c r="EY683" s="43"/>
      <c r="EZ683" s="43"/>
      <c r="FA683" s="45"/>
      <c r="GS683" s="12"/>
      <c r="HB683" s="13"/>
      <c r="HC683" s="46"/>
      <c r="HD683" s="47"/>
      <c r="HE683" s="48"/>
      <c r="HF683" s="14"/>
      <c r="HG683" s="15"/>
      <c r="HH683" s="15"/>
      <c r="HI683" s="15"/>
      <c r="HJ683" s="15"/>
      <c r="HK683" s="15"/>
      <c r="HL683" s="15"/>
      <c r="HM683" s="15"/>
      <c r="HN683" s="15"/>
      <c r="HO683" s="15"/>
      <c r="HP683" s="15"/>
      <c r="HQ683" s="15"/>
      <c r="HR683" s="15"/>
      <c r="HS683" s="15"/>
      <c r="HT683" s="15"/>
      <c r="HU683" s="15"/>
      <c r="HV683" s="15"/>
      <c r="HW683" s="15"/>
      <c r="HX683" s="15"/>
      <c r="HY683" s="15"/>
      <c r="HZ683" s="15"/>
      <c r="IA683" s="15"/>
      <c r="IB683" s="15"/>
      <c r="IC683" s="15"/>
      <c r="ID683" s="15"/>
      <c r="IE683" s="15"/>
      <c r="IF683" s="15"/>
      <c r="IG683" s="15"/>
      <c r="IH683" s="15"/>
      <c r="II683" s="15"/>
      <c r="IJ683" s="15"/>
      <c r="IK683" s="15"/>
      <c r="IL683" s="15"/>
      <c r="IM683" s="15"/>
      <c r="IN683" s="15"/>
      <c r="IO683" s="15"/>
      <c r="IP683" s="15"/>
      <c r="IQ683" s="15"/>
      <c r="IR683" s="15"/>
      <c r="IS683" s="15"/>
      <c r="IT683" s="15"/>
      <c r="IU683" s="15"/>
      <c r="IV683" s="15"/>
      <c r="IW683" s="15"/>
      <c r="IX683" s="15"/>
      <c r="IY683" s="15"/>
      <c r="IZ683" s="15"/>
      <c r="JA683" s="310"/>
      <c r="JB683" s="15"/>
      <c r="JC683" s="312"/>
      <c r="JD683" s="15"/>
      <c r="JE683" s="15"/>
      <c r="JF683" s="15"/>
      <c r="JG683" s="15"/>
      <c r="JH683" s="15"/>
      <c r="JI683" s="15"/>
      <c r="JJ683" s="292"/>
      <c r="JK683" s="15"/>
      <c r="JL683" s="15"/>
      <c r="JM683" s="15"/>
      <c r="JN683" s="15"/>
      <c r="JO683" s="15"/>
      <c r="JP683" s="15"/>
      <c r="JQ683" s="15"/>
      <c r="JR683" s="15"/>
      <c r="JS683" s="15"/>
      <c r="JT683" s="15"/>
      <c r="JU683" s="15"/>
      <c r="JV683" s="15"/>
      <c r="JW683" s="15"/>
      <c r="JX683" s="15"/>
      <c r="JY683" s="15"/>
      <c r="JZ683" s="15"/>
      <c r="KA683" s="15"/>
      <c r="KB683" s="15"/>
      <c r="KC683" s="15"/>
      <c r="KD683" s="15"/>
      <c r="KE683" s="15"/>
      <c r="KF683" s="15"/>
      <c r="KG683" s="15"/>
      <c r="KH683" s="15"/>
      <c r="KI683" s="15"/>
      <c r="KJ683" s="15"/>
      <c r="KK683" s="15"/>
      <c r="KL683" s="15"/>
      <c r="KM683" s="15"/>
      <c r="KN683" s="15"/>
      <c r="KO683" s="15"/>
      <c r="KP683" s="15"/>
      <c r="KQ683" s="15"/>
      <c r="KR683" s="15"/>
      <c r="KS683" s="15"/>
      <c r="KT683" s="15"/>
      <c r="KU683" s="15"/>
      <c r="KV683" s="15"/>
      <c r="KW683" s="15"/>
      <c r="KX683" s="15"/>
      <c r="KY683" s="16"/>
      <c r="KZ683" s="56"/>
      <c r="LA683" s="57"/>
      <c r="LB683" s="58"/>
      <c r="LN683" s="291"/>
      <c r="SW683" s="13"/>
    </row>
    <row r="684" spans="44:517" ht="10.75" customHeight="1">
      <c r="AR684" s="42"/>
      <c r="AS684" s="43"/>
      <c r="AT684" s="43"/>
      <c r="AU684" s="12"/>
      <c r="CB684" s="10"/>
      <c r="CC684" s="10"/>
      <c r="CD684" s="10"/>
      <c r="CE684" s="10"/>
      <c r="CF684" s="10"/>
      <c r="CG684" s="10"/>
      <c r="CH684" s="10"/>
      <c r="CI684" s="10"/>
      <c r="CJ684" s="10"/>
      <c r="CK684" s="10"/>
      <c r="CL684" s="10"/>
      <c r="CM684" s="10"/>
      <c r="CN684" s="10"/>
      <c r="CO684" s="10"/>
      <c r="CP684" s="10"/>
      <c r="CQ684" s="10"/>
      <c r="CR684" s="10"/>
      <c r="CS684" s="10"/>
      <c r="CT684" s="10"/>
      <c r="CU684" s="10"/>
      <c r="CV684" s="11"/>
      <c r="CW684" s="12"/>
      <c r="CX684" s="13"/>
      <c r="EX684" s="13"/>
      <c r="EY684" s="43"/>
      <c r="EZ684" s="43"/>
      <c r="FA684" s="45"/>
      <c r="GS684" s="12"/>
      <c r="HB684" s="13"/>
      <c r="HC684" s="56"/>
      <c r="HD684" s="57"/>
      <c r="HE684" s="57"/>
      <c r="HF684" s="98"/>
      <c r="HG684" s="43"/>
      <c r="HH684" s="43"/>
      <c r="HI684" s="43"/>
      <c r="HJ684" s="43"/>
      <c r="HK684" s="43"/>
      <c r="HL684" s="43"/>
      <c r="HM684" s="43"/>
      <c r="HN684" s="43"/>
      <c r="HO684" s="43"/>
      <c r="HP684" s="43"/>
      <c r="HQ684" s="43"/>
      <c r="HR684" s="43"/>
      <c r="HS684" s="43"/>
      <c r="HT684" s="43"/>
      <c r="HU684" s="43"/>
      <c r="HV684" s="43"/>
      <c r="HW684" s="43"/>
      <c r="HX684" s="43"/>
      <c r="HY684" s="43"/>
      <c r="HZ684" s="43"/>
      <c r="IA684" s="43"/>
      <c r="IB684" s="43"/>
      <c r="IC684" s="43"/>
      <c r="ID684" s="43"/>
      <c r="IE684" s="43"/>
      <c r="IF684" s="43"/>
      <c r="IG684" s="43"/>
      <c r="IH684" s="43"/>
      <c r="II684" s="43"/>
      <c r="IJ684" s="43"/>
      <c r="IK684" s="43"/>
      <c r="IL684" s="43"/>
      <c r="IM684" s="43"/>
      <c r="IN684" s="43"/>
      <c r="IO684" s="43"/>
      <c r="IP684" s="43"/>
      <c r="IQ684" s="43"/>
      <c r="IR684" s="43"/>
      <c r="IS684" s="43"/>
      <c r="IT684" s="43"/>
      <c r="IU684" s="43"/>
      <c r="IV684" s="43"/>
      <c r="IW684" s="43"/>
      <c r="IX684" s="43"/>
      <c r="IY684" s="43"/>
      <c r="IZ684" s="43"/>
      <c r="JA684" s="96"/>
      <c r="JB684" s="97"/>
      <c r="JC684" s="97"/>
      <c r="JD684" s="98"/>
      <c r="JE684" s="43"/>
      <c r="JF684" s="43"/>
      <c r="JG684" s="43"/>
      <c r="JH684" s="43"/>
      <c r="JI684" s="43"/>
      <c r="JJ684" s="43"/>
      <c r="JK684" s="43"/>
      <c r="JL684" s="43"/>
      <c r="JM684" s="43"/>
      <c r="JN684" s="43"/>
      <c r="JO684" s="43"/>
      <c r="JP684" s="43"/>
      <c r="JQ684" s="43"/>
      <c r="JR684" s="43"/>
      <c r="JS684" s="43"/>
      <c r="JT684" s="43"/>
      <c r="JU684" s="43"/>
      <c r="JV684" s="43"/>
      <c r="JW684" s="43"/>
      <c r="JX684" s="43"/>
      <c r="JY684" s="43"/>
      <c r="JZ684" s="43"/>
      <c r="KA684" s="43"/>
      <c r="KB684" s="43"/>
      <c r="KC684" s="43"/>
      <c r="KD684" s="43"/>
      <c r="KE684" s="43"/>
      <c r="KF684" s="43"/>
      <c r="KG684" s="43"/>
      <c r="KH684" s="43"/>
      <c r="KI684" s="43"/>
      <c r="KJ684" s="43"/>
      <c r="KK684" s="43"/>
      <c r="KL684" s="43"/>
      <c r="KM684" s="43"/>
      <c r="KN684" s="43"/>
      <c r="KO684" s="43"/>
      <c r="KP684" s="43"/>
      <c r="KQ684" s="43"/>
      <c r="KR684" s="43"/>
      <c r="KS684" s="43"/>
      <c r="KT684" s="43"/>
      <c r="KU684" s="43"/>
      <c r="KV684" s="43"/>
      <c r="KW684" s="43"/>
      <c r="KX684" s="43"/>
      <c r="KY684" s="43"/>
      <c r="KZ684" s="96"/>
      <c r="LA684" s="97"/>
      <c r="LB684" s="98"/>
      <c r="LN684" s="291"/>
      <c r="SW684" s="13"/>
    </row>
    <row r="685" spans="44:517" ht="10.75" customHeight="1">
      <c r="AR685" s="42"/>
      <c r="AS685" s="43"/>
      <c r="AT685" s="43"/>
      <c r="AU685" s="12"/>
      <c r="CV685" s="13"/>
      <c r="CW685" s="12"/>
      <c r="CX685" s="13"/>
      <c r="EX685" s="13"/>
      <c r="EY685" s="43"/>
      <c r="EZ685" s="43"/>
      <c r="FA685" s="45"/>
      <c r="GS685" s="12"/>
      <c r="HB685" s="13"/>
      <c r="HC685" s="96"/>
      <c r="HD685" s="97"/>
      <c r="HE685" s="97"/>
      <c r="HF685" s="98"/>
      <c r="HG685" s="43"/>
      <c r="HH685" s="43"/>
      <c r="HI685" s="43"/>
      <c r="HJ685" s="43"/>
      <c r="HK685" s="43"/>
      <c r="HL685" s="43"/>
      <c r="HM685" s="43"/>
      <c r="HN685" s="43"/>
      <c r="HO685" s="43"/>
      <c r="HP685" s="43"/>
      <c r="HQ685" s="43"/>
      <c r="HR685" s="43"/>
      <c r="HS685" s="43"/>
      <c r="HT685" s="43"/>
      <c r="HU685" s="43"/>
      <c r="HV685" s="43"/>
      <c r="HW685" s="43"/>
      <c r="HX685" s="43"/>
      <c r="HY685" s="43"/>
      <c r="HZ685" s="43"/>
      <c r="IA685" s="43"/>
      <c r="IB685" s="43"/>
      <c r="IC685" s="43"/>
      <c r="ID685" s="43"/>
      <c r="IE685" s="43"/>
      <c r="IF685" s="43"/>
      <c r="IG685" s="43"/>
      <c r="IH685" s="43"/>
      <c r="II685" s="43"/>
      <c r="IJ685" s="43"/>
      <c r="IK685" s="43"/>
      <c r="IL685" s="43"/>
      <c r="IM685" s="43"/>
      <c r="IN685" s="43"/>
      <c r="IO685" s="43"/>
      <c r="IP685" s="43"/>
      <c r="IQ685" s="43"/>
      <c r="IR685" s="43"/>
      <c r="IS685" s="43"/>
      <c r="IT685" s="43"/>
      <c r="IU685" s="43"/>
      <c r="IV685" s="43"/>
      <c r="IW685" s="43"/>
      <c r="IX685" s="43"/>
      <c r="IY685" s="43"/>
      <c r="IZ685" s="43"/>
      <c r="JA685" s="96"/>
      <c r="JB685" s="97"/>
      <c r="JC685" s="97"/>
      <c r="JD685" s="98"/>
      <c r="JE685" s="43"/>
      <c r="JF685" s="43"/>
      <c r="JG685" s="43"/>
      <c r="JH685" s="43"/>
      <c r="JI685" s="43"/>
      <c r="JJ685" s="43"/>
      <c r="JK685" s="43"/>
      <c r="JL685" s="43"/>
      <c r="JM685" s="43"/>
      <c r="JN685" s="43"/>
      <c r="JO685" s="43"/>
      <c r="JP685" s="43"/>
      <c r="JQ685" s="43"/>
      <c r="JR685" s="43"/>
      <c r="JS685" s="43"/>
      <c r="JT685" s="43"/>
      <c r="JU685" s="43"/>
      <c r="JV685" s="43"/>
      <c r="JW685" s="43"/>
      <c r="JX685" s="43"/>
      <c r="JY685" s="43"/>
      <c r="JZ685" s="43"/>
      <c r="KA685" s="43"/>
      <c r="KB685" s="43"/>
      <c r="KC685" s="43"/>
      <c r="KD685" s="43"/>
      <c r="KE685" s="43"/>
      <c r="KF685" s="43"/>
      <c r="KG685" s="43"/>
      <c r="KH685" s="43"/>
      <c r="KI685" s="43"/>
      <c r="KJ685" s="43"/>
      <c r="KK685" s="43"/>
      <c r="KL685" s="119"/>
      <c r="KM685" s="119"/>
      <c r="KN685" s="119"/>
      <c r="KO685" s="119"/>
      <c r="KP685" s="119"/>
      <c r="KQ685" s="119"/>
      <c r="KR685" s="119"/>
      <c r="KS685" s="119"/>
      <c r="KT685" s="119"/>
      <c r="KU685" s="119"/>
      <c r="KV685" s="119"/>
      <c r="KW685" s="119"/>
      <c r="KX685" s="43"/>
      <c r="KY685" s="43"/>
      <c r="KZ685" s="96"/>
      <c r="LA685" s="97"/>
      <c r="LB685" s="98"/>
      <c r="LN685" s="291"/>
      <c r="SW685" s="13"/>
    </row>
    <row r="686" spans="44:517" ht="10.75" customHeight="1">
      <c r="AR686" s="42"/>
      <c r="AS686" s="43"/>
      <c r="AT686" s="43"/>
      <c r="AU686" s="12"/>
      <c r="CV686" s="13"/>
      <c r="CW686" s="12"/>
      <c r="CX686" s="13"/>
      <c r="EX686" s="13"/>
      <c r="EY686" s="43"/>
      <c r="EZ686" s="43"/>
      <c r="FA686" s="45"/>
      <c r="GA686" s="15"/>
      <c r="GB686" s="15"/>
      <c r="GC686" s="15"/>
      <c r="GD686" s="15"/>
      <c r="GE686" s="15"/>
      <c r="GS686" s="14"/>
      <c r="GT686" s="15"/>
      <c r="GU686" s="15"/>
      <c r="GV686" s="15"/>
      <c r="GW686" s="15"/>
      <c r="GX686" s="15"/>
      <c r="GY686" s="15"/>
      <c r="GZ686" s="15"/>
      <c r="HA686" s="15"/>
      <c r="HB686" s="16"/>
      <c r="HC686" s="59"/>
      <c r="HD686" s="60"/>
      <c r="HE686" s="60"/>
      <c r="HF686" s="61"/>
      <c r="HG686" s="47"/>
      <c r="HH686" s="47"/>
      <c r="HI686" s="47"/>
      <c r="HJ686" s="47"/>
      <c r="HK686" s="47"/>
      <c r="HL686" s="47"/>
      <c r="HM686" s="47"/>
      <c r="HN686" s="47"/>
      <c r="HO686" s="47"/>
      <c r="HP686" s="47"/>
      <c r="HQ686" s="47"/>
      <c r="HR686" s="47"/>
      <c r="HS686" s="47"/>
      <c r="HT686" s="47"/>
      <c r="HU686" s="47"/>
      <c r="HV686" s="47"/>
      <c r="HW686" s="47"/>
      <c r="HX686" s="47"/>
      <c r="HY686" s="47"/>
      <c r="HZ686" s="47"/>
      <c r="IA686" s="47"/>
      <c r="IB686" s="47"/>
      <c r="IC686" s="47"/>
      <c r="ID686" s="47"/>
      <c r="IE686" s="47"/>
      <c r="IF686" s="47"/>
      <c r="IG686" s="47"/>
      <c r="IH686" s="47"/>
      <c r="II686" s="47"/>
      <c r="IJ686" s="47"/>
      <c r="IK686" s="47"/>
      <c r="IL686" s="47"/>
      <c r="IM686" s="47"/>
      <c r="IN686" s="47"/>
      <c r="IO686" s="47"/>
      <c r="IP686" s="47"/>
      <c r="IQ686" s="47"/>
      <c r="IR686" s="47"/>
      <c r="IS686" s="47"/>
      <c r="IT686" s="47"/>
      <c r="IU686" s="47"/>
      <c r="IV686" s="47"/>
      <c r="IW686" s="47"/>
      <c r="IX686" s="47"/>
      <c r="IY686" s="47"/>
      <c r="IZ686" s="47"/>
      <c r="JA686" s="59"/>
      <c r="JB686" s="60"/>
      <c r="JC686" s="60"/>
      <c r="JD686" s="61"/>
      <c r="JE686" s="47"/>
      <c r="JF686" s="47"/>
      <c r="JG686" s="47"/>
      <c r="JH686" s="47"/>
      <c r="JI686" s="47"/>
      <c r="JJ686" s="47"/>
      <c r="JK686" s="47"/>
      <c r="JL686" s="47"/>
      <c r="JM686" s="47"/>
      <c r="JN686" s="47"/>
      <c r="JO686" s="47"/>
      <c r="JP686" s="47"/>
      <c r="JQ686" s="47"/>
      <c r="JR686" s="47"/>
      <c r="JS686" s="47"/>
      <c r="JT686" s="47"/>
      <c r="JU686" s="47"/>
      <c r="JV686" s="47"/>
      <c r="JW686" s="47"/>
      <c r="JX686" s="47"/>
      <c r="JY686" s="47"/>
      <c r="JZ686" s="47"/>
      <c r="KA686" s="47"/>
      <c r="KB686" s="47"/>
      <c r="KC686" s="47"/>
      <c r="KD686" s="47"/>
      <c r="KE686" s="47"/>
      <c r="KF686" s="47"/>
      <c r="KG686" s="47"/>
      <c r="KH686" s="47"/>
      <c r="KI686" s="47"/>
      <c r="KJ686" s="47"/>
      <c r="KK686" s="47"/>
      <c r="KL686" s="47"/>
      <c r="KM686" s="47"/>
      <c r="KN686" s="47"/>
      <c r="KO686" s="47"/>
      <c r="KP686" s="47"/>
      <c r="KQ686" s="47"/>
      <c r="KR686" s="47"/>
      <c r="KS686" s="47"/>
      <c r="KT686" s="47"/>
      <c r="KU686" s="47"/>
      <c r="KV686" s="47"/>
      <c r="KW686" s="47"/>
      <c r="KX686" s="47"/>
      <c r="KY686" s="47"/>
      <c r="KZ686" s="59"/>
      <c r="LA686" s="60"/>
      <c r="LB686" s="61"/>
      <c r="LM686" s="294"/>
      <c r="LN686" s="293"/>
      <c r="SK686" s="15"/>
      <c r="SL686" s="15"/>
      <c r="SM686" s="15"/>
      <c r="SN686" s="15"/>
      <c r="SO686" s="15"/>
      <c r="SP686" s="15"/>
      <c r="SQ686" s="15"/>
      <c r="SR686" s="15"/>
      <c r="SS686" s="15"/>
      <c r="ST686" s="15"/>
      <c r="SU686" s="15"/>
      <c r="SV686" s="15"/>
      <c r="SW686" s="16"/>
    </row>
    <row r="687" spans="44:517" ht="10.75" customHeight="1">
      <c r="AR687" s="42"/>
      <c r="AS687" s="43"/>
      <c r="AT687" s="43"/>
      <c r="AU687" s="12"/>
      <c r="CV687" s="13"/>
      <c r="CW687" s="12"/>
      <c r="CX687" s="13"/>
      <c r="EX687" s="13"/>
      <c r="EY687" s="43"/>
      <c r="EZ687" s="43"/>
      <c r="FA687" s="45"/>
      <c r="SL687" s="10"/>
      <c r="SM687" s="10"/>
      <c r="SN687" s="10"/>
      <c r="SO687" s="10"/>
      <c r="SP687" s="10"/>
      <c r="SQ687" s="10"/>
      <c r="SR687" s="10"/>
      <c r="SS687" s="10"/>
      <c r="ST687" s="10"/>
      <c r="SU687" s="10"/>
      <c r="SV687" s="10"/>
      <c r="SW687" s="13"/>
    </row>
    <row r="688" spans="44:517" ht="10.75" customHeight="1">
      <c r="AR688" s="42"/>
      <c r="AS688" s="43"/>
      <c r="AT688" s="43"/>
      <c r="AU688" s="12"/>
      <c r="CV688" s="13"/>
      <c r="CW688" s="12"/>
      <c r="CX688" s="13"/>
      <c r="EX688" s="13"/>
      <c r="EY688" s="43"/>
      <c r="EZ688" s="43"/>
      <c r="FA688" s="45"/>
      <c r="SW688" s="13"/>
    </row>
    <row r="689" spans="44:517" ht="10.75" customHeight="1">
      <c r="AR689" s="42"/>
      <c r="AS689" s="43"/>
      <c r="AT689" s="43"/>
      <c r="AU689" s="12"/>
      <c r="CV689" s="13"/>
      <c r="CW689" s="12"/>
      <c r="CX689" s="13"/>
      <c r="EX689" s="13"/>
      <c r="EY689" s="43"/>
      <c r="EZ689" s="43"/>
      <c r="FA689" s="45"/>
      <c r="SW689" s="13"/>
    </row>
    <row r="690" spans="44:517" ht="10.75" customHeight="1">
      <c r="AR690" s="42"/>
      <c r="AS690" s="43"/>
      <c r="AT690" s="43"/>
      <c r="AU690" s="12"/>
      <c r="CV690" s="13"/>
      <c r="CW690" s="12"/>
      <c r="CX690" s="13"/>
      <c r="EX690" s="13"/>
      <c r="EY690" s="43"/>
      <c r="EZ690" s="43"/>
      <c r="FA690" s="45"/>
      <c r="HC690" s="293"/>
      <c r="HD690" s="294"/>
      <c r="HE690" s="294"/>
      <c r="HF690" s="294"/>
      <c r="HG690" s="294"/>
      <c r="HH690" s="294"/>
      <c r="HI690" s="294"/>
      <c r="HJ690" s="294"/>
      <c r="HK690" s="294"/>
      <c r="HL690" s="294"/>
      <c r="HM690" s="294"/>
      <c r="HN690" s="294"/>
      <c r="HO690" s="294"/>
      <c r="HP690" s="294"/>
      <c r="HQ690" s="294"/>
      <c r="HR690" s="294"/>
      <c r="HS690" s="294"/>
      <c r="HT690" s="294"/>
      <c r="HU690" s="294"/>
      <c r="HV690" s="294"/>
      <c r="HW690" s="294"/>
      <c r="HX690" s="294"/>
      <c r="HY690" s="294"/>
      <c r="HZ690" s="294"/>
      <c r="IA690" s="294"/>
      <c r="IB690" s="294"/>
      <c r="IC690" s="294"/>
      <c r="ID690" s="294"/>
      <c r="IE690" s="294"/>
      <c r="IF690" s="294"/>
      <c r="IG690" s="294"/>
      <c r="IH690" s="294"/>
      <c r="II690" s="294"/>
      <c r="IJ690" s="294"/>
      <c r="IK690" s="294"/>
      <c r="IL690" s="294"/>
      <c r="IM690" s="294"/>
      <c r="IN690" s="294"/>
      <c r="IO690" s="294"/>
      <c r="IP690" s="294"/>
      <c r="IQ690" s="294"/>
      <c r="IR690" s="294"/>
      <c r="IS690" s="294"/>
      <c r="IT690" s="294"/>
      <c r="IU690" s="294"/>
      <c r="IV690" s="294"/>
      <c r="IW690" s="294"/>
      <c r="IX690" s="294"/>
      <c r="IY690" s="294"/>
      <c r="IZ690" s="294"/>
      <c r="JA690" s="294"/>
      <c r="JB690" s="294"/>
      <c r="JC690" s="294"/>
      <c r="JD690" s="294"/>
      <c r="JE690" s="294"/>
      <c r="JF690" s="294"/>
      <c r="JG690" s="294"/>
      <c r="JH690" s="294"/>
      <c r="JI690" s="294"/>
      <c r="JJ690" s="294"/>
      <c r="JK690" s="294"/>
      <c r="JL690" s="294"/>
      <c r="JM690" s="294"/>
      <c r="JN690" s="294"/>
      <c r="JO690" s="294"/>
      <c r="JP690" s="294"/>
      <c r="JQ690" s="294"/>
      <c r="JR690" s="294"/>
      <c r="JS690" s="294"/>
      <c r="JT690" s="294"/>
      <c r="JU690" s="294"/>
      <c r="JV690" s="294"/>
      <c r="JW690" s="294"/>
      <c r="JX690" s="294"/>
      <c r="JY690" s="294"/>
      <c r="JZ690" s="294"/>
      <c r="KA690" s="294"/>
      <c r="KB690" s="294"/>
      <c r="KC690" s="294"/>
      <c r="KD690" s="294"/>
      <c r="KE690" s="294"/>
      <c r="KF690" s="294"/>
      <c r="KG690" s="294"/>
      <c r="KH690" s="294"/>
      <c r="KI690" s="294"/>
      <c r="KJ690" s="294"/>
      <c r="KK690" s="294"/>
      <c r="KL690" s="294"/>
      <c r="KM690" s="294"/>
      <c r="KN690" s="294"/>
      <c r="KO690" s="294"/>
      <c r="KP690" s="294"/>
      <c r="KQ690" s="294"/>
      <c r="KR690" s="294"/>
      <c r="KS690" s="294"/>
      <c r="KT690" s="294"/>
      <c r="KU690" s="294"/>
      <c r="KV690" s="294"/>
      <c r="KW690" s="294"/>
      <c r="KX690" s="294"/>
      <c r="KY690" s="294"/>
      <c r="KZ690" s="294"/>
      <c r="LA690" s="294"/>
      <c r="LB690" s="294"/>
      <c r="LC690" s="291"/>
      <c r="SW690" s="13"/>
    </row>
    <row r="691" spans="44:517" ht="10.75" customHeight="1">
      <c r="AR691" s="42"/>
      <c r="AS691" s="43"/>
      <c r="AT691" s="43"/>
      <c r="AU691" s="14"/>
      <c r="AV691" s="15"/>
      <c r="AW691" s="15"/>
      <c r="AX691" s="15"/>
      <c r="AY691" s="15"/>
      <c r="AZ691" s="15"/>
      <c r="BA691" s="15"/>
      <c r="BB691" s="15"/>
      <c r="BC691" s="15"/>
      <c r="BD691" s="15"/>
      <c r="BE691" s="15"/>
      <c r="BF691" s="15"/>
      <c r="BG691" s="15"/>
      <c r="BH691" s="15"/>
      <c r="BI691" s="15"/>
      <c r="BJ691" s="15"/>
      <c r="BK691" s="15"/>
      <c r="BL691" s="15"/>
      <c r="BM691" s="15"/>
      <c r="BN691" s="15"/>
      <c r="BO691" s="15"/>
      <c r="BP691" s="15"/>
      <c r="BQ691" s="15"/>
      <c r="BR691" s="15"/>
      <c r="BS691" s="15"/>
      <c r="BT691" s="15"/>
      <c r="BU691" s="15"/>
      <c r="BV691" s="15"/>
      <c r="BW691" s="15"/>
      <c r="BX691" s="15"/>
      <c r="BY691" s="15"/>
      <c r="BZ691" s="15"/>
      <c r="CA691" s="15"/>
      <c r="CB691" s="15"/>
      <c r="CC691" s="15"/>
      <c r="CD691" s="15"/>
      <c r="CE691" s="15"/>
      <c r="CF691" s="15"/>
      <c r="CG691" s="15"/>
      <c r="CH691" s="15"/>
      <c r="CI691" s="15"/>
      <c r="CJ691" s="15"/>
      <c r="CK691" s="15"/>
      <c r="CL691" s="15"/>
      <c r="CM691" s="15"/>
      <c r="CN691" s="15"/>
      <c r="CO691" s="15"/>
      <c r="CP691" s="15"/>
      <c r="CQ691" s="15"/>
      <c r="CR691" s="15"/>
      <c r="CS691" s="15"/>
      <c r="CT691" s="15"/>
      <c r="CU691" s="15"/>
      <c r="CV691" s="16"/>
      <c r="CW691" s="14"/>
      <c r="CX691" s="16"/>
      <c r="CY691" s="15"/>
      <c r="CZ691" s="15"/>
      <c r="DA691" s="15"/>
      <c r="DB691" s="15"/>
      <c r="DC691" s="15"/>
      <c r="DD691" s="15"/>
      <c r="DE691" s="15"/>
      <c r="DF691" s="15"/>
      <c r="DG691" s="15"/>
      <c r="DH691" s="15"/>
      <c r="DI691" s="15"/>
      <c r="DJ691" s="15"/>
      <c r="DK691" s="15"/>
      <c r="DL691" s="15"/>
      <c r="DM691" s="15"/>
      <c r="DN691" s="15"/>
      <c r="DO691" s="15"/>
      <c r="DP691" s="15"/>
      <c r="DQ691" s="15"/>
      <c r="DR691" s="15"/>
      <c r="DS691" s="15"/>
      <c r="DT691" s="15"/>
      <c r="DU691" s="15"/>
      <c r="DV691" s="15"/>
      <c r="DW691" s="15"/>
      <c r="DX691" s="15"/>
      <c r="DY691" s="15"/>
      <c r="DZ691" s="15"/>
      <c r="EA691" s="15"/>
      <c r="EB691" s="15"/>
      <c r="EC691" s="15"/>
      <c r="ED691" s="15"/>
      <c r="EE691" s="15"/>
      <c r="EF691" s="15"/>
      <c r="EG691" s="15"/>
      <c r="EH691" s="15"/>
      <c r="EI691" s="15"/>
      <c r="EJ691" s="15"/>
      <c r="EK691" s="15"/>
      <c r="EL691" s="15"/>
      <c r="EM691" s="15"/>
      <c r="EN691" s="15"/>
      <c r="EO691" s="15"/>
      <c r="EP691" s="15"/>
      <c r="EQ691" s="15"/>
      <c r="ER691" s="15"/>
      <c r="ES691" s="15"/>
      <c r="ET691" s="15"/>
      <c r="EU691" s="15"/>
      <c r="EV691" s="15"/>
      <c r="EW691" s="15"/>
      <c r="EX691" s="16"/>
      <c r="EY691" s="97"/>
      <c r="EZ691" s="97"/>
      <c r="FA691" s="98"/>
      <c r="HC691" s="291"/>
      <c r="LC691" s="291"/>
      <c r="SW691" s="13"/>
    </row>
    <row r="692" spans="44:517" ht="10.75" customHeight="1">
      <c r="AR692" s="96"/>
      <c r="AS692" s="97"/>
      <c r="AT692" s="97"/>
      <c r="AU692" s="97"/>
      <c r="AV692" s="43"/>
      <c r="AW692" s="43"/>
      <c r="AX692" s="43"/>
      <c r="AY692" s="43"/>
      <c r="AZ692" s="43"/>
      <c r="BA692" s="43"/>
      <c r="BB692" s="43"/>
      <c r="BC692" s="43"/>
      <c r="BD692" s="43"/>
      <c r="BE692" s="43"/>
      <c r="BF692" s="43"/>
      <c r="BG692" s="43"/>
      <c r="BH692" s="43"/>
      <c r="BI692" s="43"/>
      <c r="BJ692" s="43"/>
      <c r="BK692" s="43"/>
      <c r="BL692" s="43"/>
      <c r="BM692" s="43"/>
      <c r="BN692" s="43"/>
      <c r="BO692" s="43"/>
      <c r="BP692" s="43"/>
      <c r="BQ692" s="43"/>
      <c r="BR692" s="43"/>
      <c r="BS692" s="43"/>
      <c r="BT692" s="43"/>
      <c r="BU692" s="43"/>
      <c r="BV692" s="43"/>
      <c r="BW692" s="43"/>
      <c r="BX692" s="43"/>
      <c r="BY692" s="43"/>
      <c r="BZ692" s="43"/>
      <c r="CA692" s="43"/>
      <c r="CB692" s="43"/>
      <c r="CC692" s="43"/>
      <c r="CD692" s="43"/>
      <c r="CE692" s="43"/>
      <c r="CF692" s="43"/>
      <c r="CG692" s="43"/>
      <c r="CH692" s="43"/>
      <c r="CI692" s="43"/>
      <c r="CJ692" s="43"/>
      <c r="CK692" s="43"/>
      <c r="CL692" s="43"/>
      <c r="CM692" s="43"/>
      <c r="CN692" s="43"/>
      <c r="CO692" s="43"/>
      <c r="CP692" s="43"/>
      <c r="CQ692" s="43"/>
      <c r="CR692" s="43"/>
      <c r="CS692" s="43"/>
      <c r="CT692" s="43"/>
      <c r="CU692" s="97"/>
      <c r="CV692" s="97"/>
      <c r="CW692" s="97"/>
      <c r="CX692" s="97"/>
      <c r="CY692" s="43"/>
      <c r="CZ692" s="43"/>
      <c r="DA692" s="43"/>
      <c r="DB692" s="43"/>
      <c r="DC692" s="43"/>
      <c r="DD692" s="43"/>
      <c r="DE692" s="43"/>
      <c r="DF692" s="43"/>
      <c r="DG692" s="43"/>
      <c r="DH692" s="43"/>
      <c r="DI692" s="43"/>
      <c r="DJ692" s="43"/>
      <c r="DK692" s="43"/>
      <c r="DL692" s="43"/>
      <c r="DM692" s="43"/>
      <c r="DN692" s="43"/>
      <c r="DO692" s="43"/>
      <c r="DP692" s="43"/>
      <c r="DQ692" s="43"/>
      <c r="DR692" s="43"/>
      <c r="DS692" s="43"/>
      <c r="DT692" s="43"/>
      <c r="DU692" s="43"/>
      <c r="DV692" s="43"/>
      <c r="DW692" s="43"/>
      <c r="DX692" s="43"/>
      <c r="DY692" s="43"/>
      <c r="DZ692" s="43"/>
      <c r="EA692" s="43"/>
      <c r="EB692" s="43"/>
      <c r="EC692" s="43"/>
      <c r="ED692" s="43"/>
      <c r="EE692" s="43"/>
      <c r="EF692" s="43"/>
      <c r="EG692" s="43"/>
      <c r="EH692" s="43"/>
      <c r="EI692" s="43"/>
      <c r="EJ692" s="43"/>
      <c r="EK692" s="43"/>
      <c r="EL692" s="43"/>
      <c r="EM692" s="123"/>
      <c r="EN692" s="109"/>
      <c r="EO692" s="109"/>
      <c r="EP692" s="109"/>
      <c r="EQ692" s="109"/>
      <c r="ER692" s="109"/>
      <c r="ES692" s="109"/>
      <c r="ET692" s="109"/>
      <c r="EU692" s="109"/>
      <c r="EV692" s="124"/>
      <c r="EW692" s="43"/>
      <c r="EX692" s="43"/>
      <c r="EY692" s="97"/>
      <c r="EZ692" s="97"/>
      <c r="FA692" s="98"/>
      <c r="SW692" s="13"/>
    </row>
    <row r="693" spans="44:517" ht="10.75" customHeight="1">
      <c r="AR693" s="96"/>
      <c r="AS693" s="97"/>
      <c r="AT693" s="97"/>
      <c r="AU693" s="97"/>
      <c r="AV693" s="43"/>
      <c r="AW693" s="43"/>
      <c r="AX693" s="43"/>
      <c r="AY693" s="43"/>
      <c r="AZ693" s="43"/>
      <c r="BA693" s="43"/>
      <c r="BB693" s="43"/>
      <c r="BC693" s="43"/>
      <c r="BD693" s="43"/>
      <c r="BE693" s="43"/>
      <c r="BF693" s="43"/>
      <c r="BG693" s="43"/>
      <c r="BH693" s="43"/>
      <c r="BI693" s="43"/>
      <c r="BJ693" s="43"/>
      <c r="BK693" s="43"/>
      <c r="BL693" s="43"/>
      <c r="BM693" s="43"/>
      <c r="BN693" s="43"/>
      <c r="BO693" s="43"/>
      <c r="BP693" s="43"/>
      <c r="BQ693" s="43"/>
      <c r="BR693" s="43"/>
      <c r="BS693" s="43"/>
      <c r="BT693" s="43"/>
      <c r="BU693" s="43"/>
      <c r="BV693" s="43"/>
      <c r="BW693" s="43"/>
      <c r="BX693" s="43"/>
      <c r="BY693" s="43"/>
      <c r="BZ693" s="43"/>
      <c r="CA693" s="43"/>
      <c r="CB693" s="43"/>
      <c r="CC693" s="43"/>
      <c r="CD693" s="43"/>
      <c r="CE693" s="43"/>
      <c r="CF693" s="43"/>
      <c r="CG693" s="43"/>
      <c r="CH693" s="43"/>
      <c r="CI693" s="43"/>
      <c r="CJ693" s="43"/>
      <c r="CK693" s="43"/>
      <c r="CL693" s="43"/>
      <c r="CM693" s="43"/>
      <c r="CN693" s="43"/>
      <c r="CO693" s="43"/>
      <c r="CP693" s="43"/>
      <c r="CQ693" s="43"/>
      <c r="CR693" s="43"/>
      <c r="CS693" s="43"/>
      <c r="CT693" s="43"/>
      <c r="CU693" s="97"/>
      <c r="CV693" s="97"/>
      <c r="CW693" s="97"/>
      <c r="CX693" s="97"/>
      <c r="CY693" s="43"/>
      <c r="CZ693" s="43"/>
      <c r="DA693" s="43"/>
      <c r="DB693" s="43"/>
      <c r="DC693" s="43"/>
      <c r="DD693" s="43"/>
      <c r="DE693" s="43"/>
      <c r="DF693" s="43"/>
      <c r="DG693" s="43"/>
      <c r="DH693" s="43"/>
      <c r="DI693" s="43"/>
      <c r="DJ693" s="43"/>
      <c r="DK693" s="43"/>
      <c r="DL693" s="43"/>
      <c r="DM693" s="43"/>
      <c r="DN693" s="43"/>
      <c r="DO693" s="43"/>
      <c r="DP693" s="43"/>
      <c r="DQ693" s="43"/>
      <c r="DR693" s="43"/>
      <c r="DS693" s="43"/>
      <c r="DT693" s="43"/>
      <c r="DU693" s="43"/>
      <c r="DV693" s="43"/>
      <c r="DW693" s="43"/>
      <c r="DX693" s="43"/>
      <c r="DY693" s="43"/>
      <c r="DZ693" s="43"/>
      <c r="EA693" s="43"/>
      <c r="EB693" s="43"/>
      <c r="EC693" s="43"/>
      <c r="ED693" s="43"/>
      <c r="EE693" s="43"/>
      <c r="EF693" s="43"/>
      <c r="EG693" s="43"/>
      <c r="EH693" s="43"/>
      <c r="EI693" s="43"/>
      <c r="EJ693" s="43"/>
      <c r="EK693" s="43"/>
      <c r="EL693" s="43"/>
      <c r="EM693" s="121"/>
      <c r="EN693" s="119"/>
      <c r="EO693" s="119"/>
      <c r="EP693" s="119"/>
      <c r="EQ693" s="119"/>
      <c r="ER693" s="119"/>
      <c r="ES693" s="119"/>
      <c r="ET693" s="119"/>
      <c r="EU693" s="119"/>
      <c r="EV693" s="122"/>
      <c r="EW693" s="43"/>
      <c r="EX693" s="43"/>
      <c r="EY693" s="97"/>
      <c r="EZ693" s="97"/>
      <c r="FA693" s="98"/>
      <c r="SW693" s="13"/>
    </row>
    <row r="694" spans="44:517" ht="10.75" customHeight="1">
      <c r="AR694" s="59"/>
      <c r="AS694" s="60"/>
      <c r="AT694" s="60"/>
      <c r="AU694" s="60"/>
      <c r="AV694" s="47"/>
      <c r="AW694" s="47"/>
      <c r="AX694" s="47"/>
      <c r="AY694" s="47"/>
      <c r="AZ694" s="47"/>
      <c r="BA694" s="47"/>
      <c r="BB694" s="47"/>
      <c r="BC694" s="47"/>
      <c r="BD694" s="47"/>
      <c r="BE694" s="47"/>
      <c r="BF694" s="47"/>
      <c r="BG694" s="47"/>
      <c r="BH694" s="47"/>
      <c r="BI694" s="47"/>
      <c r="BJ694" s="47"/>
      <c r="BK694" s="47"/>
      <c r="BL694" s="47"/>
      <c r="BM694" s="47"/>
      <c r="BN694" s="47"/>
      <c r="BO694" s="47"/>
      <c r="BP694" s="47"/>
      <c r="BQ694" s="47"/>
      <c r="BR694" s="47"/>
      <c r="BS694" s="47"/>
      <c r="BT694" s="47"/>
      <c r="BU694" s="47"/>
      <c r="BV694" s="47"/>
      <c r="BW694" s="47"/>
      <c r="BX694" s="47"/>
      <c r="BY694" s="47"/>
      <c r="BZ694" s="47"/>
      <c r="CA694" s="47"/>
      <c r="CB694" s="47"/>
      <c r="CC694" s="47"/>
      <c r="CD694" s="47"/>
      <c r="CE694" s="47"/>
      <c r="CF694" s="47"/>
      <c r="CG694" s="47"/>
      <c r="CH694" s="47"/>
      <c r="CI694" s="47"/>
      <c r="CJ694" s="47"/>
      <c r="CK694" s="47"/>
      <c r="CL694" s="47"/>
      <c r="CM694" s="47"/>
      <c r="CN694" s="47"/>
      <c r="CO694" s="47"/>
      <c r="CP694" s="47"/>
      <c r="CQ694" s="47"/>
      <c r="CR694" s="47"/>
      <c r="CS694" s="47"/>
      <c r="CT694" s="47"/>
      <c r="CU694" s="60"/>
      <c r="CV694" s="60"/>
      <c r="CW694" s="60"/>
      <c r="CX694" s="60"/>
      <c r="CY694" s="47"/>
      <c r="CZ694" s="47"/>
      <c r="DA694" s="47"/>
      <c r="DB694" s="47"/>
      <c r="DC694" s="47"/>
      <c r="DD694" s="47"/>
      <c r="DE694" s="47"/>
      <c r="DF694" s="47"/>
      <c r="DG694" s="47"/>
      <c r="DH694" s="47"/>
      <c r="DI694" s="47"/>
      <c r="DJ694" s="47"/>
      <c r="DK694" s="47"/>
      <c r="DL694" s="47"/>
      <c r="DM694" s="47"/>
      <c r="DN694" s="47"/>
      <c r="DO694" s="47"/>
      <c r="DP694" s="47"/>
      <c r="DQ694" s="47"/>
      <c r="DR694" s="47"/>
      <c r="DS694" s="47"/>
      <c r="DT694" s="47"/>
      <c r="DU694" s="47"/>
      <c r="DV694" s="47"/>
      <c r="DW694" s="47"/>
      <c r="DX694" s="47"/>
      <c r="DY694" s="47"/>
      <c r="DZ694" s="47"/>
      <c r="EA694" s="47"/>
      <c r="EB694" s="47"/>
      <c r="EC694" s="47"/>
      <c r="ED694" s="47"/>
      <c r="EE694" s="47"/>
      <c r="EF694" s="47"/>
      <c r="EG694" s="47"/>
      <c r="EH694" s="47"/>
      <c r="EI694" s="47"/>
      <c r="EJ694" s="47"/>
      <c r="EK694" s="47"/>
      <c r="EL694" s="47"/>
      <c r="EM694" s="123"/>
      <c r="EN694" s="109"/>
      <c r="EO694" s="109"/>
      <c r="EP694" s="109"/>
      <c r="EQ694" s="109"/>
      <c r="ER694" s="109"/>
      <c r="ES694" s="109"/>
      <c r="ET694" s="109"/>
      <c r="EU694" s="109"/>
      <c r="EV694" s="124"/>
      <c r="EW694" s="47"/>
      <c r="EX694" s="47"/>
      <c r="EY694" s="60"/>
      <c r="EZ694" s="60"/>
      <c r="FA694" s="61"/>
      <c r="SW694" s="13"/>
    </row>
    <row r="695" spans="44:517" ht="10.75" customHeight="1">
      <c r="SW695" s="13"/>
    </row>
    <row r="696" spans="44:517" ht="10.75" customHeight="1">
      <c r="SW696" s="13"/>
    </row>
    <row r="697" spans="44:517" ht="10.75" customHeight="1">
      <c r="SW697" s="13"/>
    </row>
    <row r="698" spans="44:517" ht="10.75" customHeight="1">
      <c r="GI698" s="12"/>
      <c r="GY698" s="12"/>
      <c r="HB698" s="12"/>
      <c r="SK698" s="15"/>
      <c r="SL698" s="15"/>
      <c r="SM698" s="15"/>
      <c r="SN698" s="15"/>
      <c r="SO698" s="15"/>
      <c r="SP698" s="15"/>
      <c r="SQ698" s="15"/>
      <c r="SR698" s="15"/>
      <c r="SS698" s="15"/>
      <c r="ST698" s="15"/>
      <c r="SU698" s="15"/>
      <c r="SV698" s="15"/>
      <c r="SW698" s="16"/>
    </row>
    <row r="699" spans="44:517" ht="10.75" customHeight="1">
      <c r="GI699" s="12"/>
      <c r="GY699" s="12"/>
      <c r="HB699" s="12"/>
      <c r="SL699" s="10"/>
      <c r="SM699" s="10"/>
      <c r="SN699" s="10"/>
      <c r="SO699" s="10"/>
      <c r="SP699" s="10"/>
      <c r="SQ699" s="10"/>
      <c r="SR699" s="10"/>
      <c r="SS699" s="10"/>
      <c r="ST699" s="10"/>
      <c r="SU699" s="10"/>
      <c r="SV699" s="10"/>
      <c r="SW699" s="13"/>
    </row>
    <row r="700" spans="44:517" ht="10.75" customHeight="1">
      <c r="GI700" s="12"/>
      <c r="GY700" s="12"/>
      <c r="HB700" s="12"/>
      <c r="SW700" s="13"/>
    </row>
    <row r="701" spans="44:517" ht="10.75" customHeight="1">
      <c r="GI701" s="12"/>
      <c r="GY701" s="12"/>
      <c r="HB701" s="12"/>
      <c r="SW701" s="13"/>
    </row>
    <row r="702" spans="44:517" ht="10.75" customHeight="1">
      <c r="GI702" s="12"/>
      <c r="GY702" s="12"/>
      <c r="HB702" s="12"/>
      <c r="SW702" s="13"/>
    </row>
    <row r="703" spans="44:517" ht="10.75" customHeight="1">
      <c r="GI703" s="12"/>
      <c r="GY703" s="12"/>
      <c r="HB703" s="12"/>
      <c r="SW703" s="13"/>
    </row>
    <row r="704" spans="44:517" ht="10.75" customHeight="1">
      <c r="GI704" s="12"/>
      <c r="GY704" s="12"/>
      <c r="HB704" s="12"/>
      <c r="SW704" s="13"/>
    </row>
    <row r="705" spans="18:517" ht="10.75" customHeight="1">
      <c r="GI705" s="12"/>
      <c r="GN705" s="9"/>
      <c r="GO705" s="9"/>
      <c r="GP705" s="10"/>
      <c r="GQ705" s="10"/>
      <c r="GR705" s="10"/>
      <c r="GS705" s="10"/>
      <c r="GT705" s="10"/>
      <c r="GU705" s="10"/>
      <c r="GV705" s="10"/>
      <c r="GW705" s="10"/>
      <c r="GX705" s="11"/>
      <c r="GY705" s="12"/>
      <c r="HB705" s="14"/>
      <c r="HC705" s="15"/>
      <c r="HD705" s="15"/>
      <c r="HE705" s="15"/>
      <c r="HF705" s="15"/>
      <c r="HG705" s="15"/>
      <c r="HH705" s="15"/>
      <c r="HI705" s="15"/>
      <c r="HJ705" s="15"/>
      <c r="HK705" s="15"/>
      <c r="HL705" s="15"/>
      <c r="HM705" s="15"/>
      <c r="HN705" s="15"/>
      <c r="HO705" s="15"/>
      <c r="HP705" s="15"/>
      <c r="HQ705" s="15"/>
      <c r="HR705" s="15"/>
      <c r="HS705" s="15"/>
      <c r="HT705" s="15"/>
      <c r="HU705" s="15"/>
      <c r="HV705" s="15"/>
      <c r="HW705" s="15"/>
      <c r="HX705" s="15"/>
      <c r="HY705" s="15"/>
      <c r="HZ705" s="15"/>
      <c r="IA705" s="15"/>
      <c r="IB705" s="15"/>
      <c r="IC705" s="15"/>
      <c r="SW705" s="13"/>
    </row>
    <row r="706" spans="18:517" ht="10.75" customHeight="1">
      <c r="GI706" s="12"/>
      <c r="GN706" s="12"/>
      <c r="GO706" s="12"/>
      <c r="GX706" s="13"/>
      <c r="GY706" s="12"/>
      <c r="SW706" s="13"/>
    </row>
    <row r="707" spans="18:517" ht="10.75" customHeight="1">
      <c r="GI707" s="12"/>
      <c r="GN707" s="12"/>
      <c r="GO707" s="12"/>
      <c r="GX707" s="13"/>
      <c r="GY707" s="12"/>
      <c r="SW707" s="13"/>
    </row>
    <row r="708" spans="18:517" ht="10.75" customHeight="1">
      <c r="GI708" s="12"/>
      <c r="GN708" s="12"/>
      <c r="GO708" s="14"/>
      <c r="GP708" s="15"/>
      <c r="GQ708" s="15"/>
      <c r="GR708" s="15"/>
      <c r="GS708" s="15"/>
      <c r="GT708" s="15"/>
      <c r="GU708" s="15"/>
      <c r="GV708" s="15"/>
      <c r="GW708" s="15"/>
      <c r="GX708" s="16"/>
      <c r="GY708" s="14"/>
      <c r="GZ708" s="15"/>
      <c r="HA708" s="15"/>
      <c r="HB708" s="15"/>
      <c r="HC708" s="15"/>
      <c r="HD708" s="15"/>
      <c r="HE708" s="15"/>
      <c r="HF708" s="15"/>
      <c r="HG708" s="15"/>
      <c r="HH708" s="15"/>
      <c r="HI708" s="15"/>
      <c r="HJ708" s="15"/>
      <c r="HK708" s="15"/>
      <c r="HL708" s="15"/>
      <c r="HM708" s="15"/>
      <c r="HN708" s="15"/>
      <c r="HO708" s="15"/>
      <c r="HP708" s="15"/>
      <c r="HQ708" s="15"/>
      <c r="HR708" s="15"/>
      <c r="HS708" s="15"/>
      <c r="HT708" s="15"/>
      <c r="HU708" s="15"/>
      <c r="HV708" s="15"/>
      <c r="HW708" s="15"/>
      <c r="HX708" s="15"/>
      <c r="HY708" s="15"/>
      <c r="HZ708" s="15"/>
      <c r="IA708" s="15"/>
      <c r="IB708" s="15"/>
      <c r="IC708" s="15"/>
      <c r="SW708" s="13"/>
    </row>
    <row r="709" spans="18:517" ht="10.75" customHeight="1">
      <c r="GI709" s="12"/>
      <c r="GN709" s="12"/>
      <c r="GO709" s="12"/>
      <c r="GX709" s="13"/>
      <c r="GY709" s="17"/>
      <c r="SW709" s="13"/>
    </row>
    <row r="710" spans="18:517" ht="10.75" customHeight="1">
      <c r="GI710" s="12"/>
      <c r="GN710" s="12"/>
      <c r="GO710" s="12"/>
      <c r="GX710" s="13"/>
      <c r="GY710" s="18"/>
      <c r="SK710" s="15"/>
      <c r="SL710" s="15"/>
      <c r="SM710" s="15"/>
      <c r="SN710" s="15"/>
      <c r="SO710" s="15"/>
      <c r="SP710" s="15"/>
      <c r="SQ710" s="15"/>
      <c r="SR710" s="15"/>
      <c r="SS710" s="15"/>
      <c r="ST710" s="15"/>
      <c r="SU710" s="15"/>
      <c r="SV710" s="15"/>
      <c r="SW710" s="16"/>
    </row>
    <row r="711" spans="18:517" ht="10.75" customHeight="1">
      <c r="GI711" s="12"/>
      <c r="GN711" s="12"/>
      <c r="GO711" s="12"/>
      <c r="GX711" s="13"/>
      <c r="GY711" s="18"/>
      <c r="SL711" s="10"/>
      <c r="SM711" s="10"/>
      <c r="SN711" s="10"/>
      <c r="SO711" s="10"/>
      <c r="SP711" s="10"/>
      <c r="SQ711" s="10"/>
      <c r="SR711" s="10"/>
      <c r="SS711" s="10"/>
      <c r="ST711" s="10"/>
      <c r="SU711" s="10"/>
      <c r="SV711" s="10"/>
      <c r="SW711" s="13"/>
    </row>
    <row r="712" spans="18:517" ht="10.75" customHeight="1">
      <c r="GI712" s="12"/>
      <c r="GN712" s="12"/>
      <c r="GO712" s="12"/>
      <c r="GX712" s="13"/>
      <c r="GY712" s="18"/>
      <c r="SW712" s="13"/>
    </row>
    <row r="713" spans="18:517" ht="10.75" customHeight="1">
      <c r="GI713" s="12"/>
      <c r="GN713" s="12"/>
      <c r="GO713" s="9"/>
      <c r="GP713" s="10"/>
      <c r="GQ713" s="10"/>
      <c r="GR713" s="10"/>
      <c r="GS713" s="10"/>
      <c r="GT713" s="10"/>
      <c r="GU713" s="10"/>
      <c r="GV713" s="10"/>
      <c r="GW713" s="10"/>
      <c r="GX713" s="11"/>
      <c r="GY713" s="18"/>
      <c r="GZ713" s="11"/>
      <c r="HA713" s="9"/>
      <c r="HB713" s="10"/>
      <c r="HC713" s="10"/>
      <c r="HD713" s="10"/>
      <c r="HE713" s="10"/>
      <c r="HF713" s="10"/>
      <c r="HG713" s="10"/>
      <c r="HH713" s="10"/>
      <c r="HI713" s="10"/>
      <c r="HJ713" s="11"/>
      <c r="HK713" s="11"/>
      <c r="SW713" s="13"/>
    </row>
    <row r="714" spans="18:517" ht="10.75" customHeight="1">
      <c r="GI714" s="12"/>
      <c r="GN714" s="12"/>
      <c r="GO714" s="12"/>
      <c r="GX714" s="13"/>
      <c r="GY714" s="18"/>
      <c r="GZ714" s="13"/>
      <c r="HA714" s="12"/>
      <c r="HJ714" s="13"/>
      <c r="HK714" s="13"/>
      <c r="SW714" s="13"/>
    </row>
    <row r="715" spans="18:517" ht="10.75" customHeight="1">
      <c r="GI715" s="12"/>
      <c r="GN715" s="12"/>
      <c r="GO715" s="12"/>
      <c r="GX715" s="13"/>
      <c r="GY715" s="18"/>
      <c r="GZ715" s="13"/>
      <c r="HA715" s="12"/>
      <c r="HJ715" s="13"/>
      <c r="HK715" s="13"/>
      <c r="SW715" s="13"/>
    </row>
    <row r="716" spans="18:517" ht="10.75" customHeight="1">
      <c r="R716" s="12"/>
      <c r="AG716" s="13"/>
      <c r="AH716" s="12"/>
      <c r="AK716" s="12"/>
      <c r="CF716" s="13"/>
      <c r="CI716" s="12"/>
      <c r="ED716" s="13"/>
      <c r="EG716" s="13"/>
      <c r="EW716" s="13"/>
      <c r="GI716" s="12"/>
      <c r="GN716" s="12"/>
      <c r="GO716" s="14"/>
      <c r="GP716" s="15"/>
      <c r="GQ716" s="15"/>
      <c r="GR716" s="15"/>
      <c r="GS716" s="15"/>
      <c r="GT716" s="15"/>
      <c r="GU716" s="15"/>
      <c r="GV716" s="15"/>
      <c r="GW716" s="15"/>
      <c r="GX716" s="16"/>
      <c r="GY716" s="18"/>
      <c r="GZ716" s="13"/>
      <c r="HA716" s="14"/>
      <c r="HB716" s="15"/>
      <c r="HC716" s="15"/>
      <c r="HD716" s="15"/>
      <c r="HE716" s="15"/>
      <c r="HF716" s="15"/>
      <c r="HG716" s="15"/>
      <c r="HH716" s="15"/>
      <c r="HI716" s="15"/>
      <c r="HJ716" s="16"/>
      <c r="HK716" s="13"/>
      <c r="SW716" s="13"/>
    </row>
    <row r="717" spans="18:517" ht="10.75" customHeight="1">
      <c r="R717" s="12"/>
      <c r="AG717" s="13"/>
      <c r="AH717" s="12"/>
      <c r="AK717" s="12"/>
      <c r="CF717" s="13"/>
      <c r="CI717" s="12"/>
      <c r="ED717" s="13"/>
      <c r="EG717" s="13"/>
      <c r="EW717" s="13"/>
      <c r="GI717" s="12"/>
      <c r="GN717" s="12"/>
      <c r="GO717" s="12"/>
      <c r="GX717" s="13"/>
      <c r="GY717" s="18"/>
      <c r="GZ717" s="13"/>
      <c r="HA717" s="12"/>
      <c r="HJ717" s="13"/>
      <c r="HK717" s="13"/>
      <c r="SW717" s="13"/>
    </row>
    <row r="718" spans="18:517" ht="10.75" customHeight="1">
      <c r="R718" s="12"/>
      <c r="AG718" s="13"/>
      <c r="AH718" s="12"/>
      <c r="AK718" s="12"/>
      <c r="CF718" s="13"/>
      <c r="CI718" s="12"/>
      <c r="ED718" s="13"/>
      <c r="EG718" s="13"/>
      <c r="EW718" s="13"/>
      <c r="GI718" s="12"/>
      <c r="GN718" s="12"/>
      <c r="GO718" s="12"/>
      <c r="GX718" s="13"/>
      <c r="GY718" s="18"/>
      <c r="GZ718" s="13"/>
      <c r="HA718" s="12"/>
      <c r="HJ718" s="13"/>
      <c r="HK718" s="13"/>
      <c r="SW718" s="13"/>
    </row>
    <row r="719" spans="18:517" ht="10.75" customHeight="1">
      <c r="R719" s="12"/>
      <c r="AG719" s="13"/>
      <c r="AH719" s="12"/>
      <c r="AK719" s="12"/>
      <c r="CF719" s="13"/>
      <c r="CI719" s="12"/>
      <c r="ED719" s="13"/>
      <c r="EG719" s="13"/>
      <c r="EW719" s="13"/>
      <c r="GI719" s="12"/>
      <c r="GN719" s="12"/>
      <c r="GO719" s="12"/>
      <c r="GX719" s="13"/>
      <c r="GY719" s="18"/>
      <c r="GZ719" s="13"/>
      <c r="HA719" s="12"/>
      <c r="HJ719" s="13"/>
      <c r="HK719" s="13"/>
      <c r="SW719" s="13"/>
    </row>
    <row r="720" spans="18:517" ht="10.75" customHeight="1">
      <c r="R720" s="12"/>
      <c r="AG720" s="13"/>
      <c r="AH720" s="12"/>
      <c r="AK720" s="12"/>
      <c r="CF720" s="13"/>
      <c r="CI720" s="12"/>
      <c r="ED720" s="13"/>
      <c r="EG720" s="13"/>
      <c r="EW720" s="13"/>
      <c r="GI720" s="12"/>
      <c r="GN720" s="12"/>
      <c r="GO720" s="14"/>
      <c r="GP720" s="15"/>
      <c r="GQ720" s="15"/>
      <c r="GR720" s="15"/>
      <c r="GS720" s="15"/>
      <c r="GT720" s="15"/>
      <c r="GU720" s="15"/>
      <c r="GV720" s="15"/>
      <c r="GW720" s="15"/>
      <c r="GX720" s="16"/>
      <c r="GY720" s="18"/>
      <c r="GZ720" s="13"/>
      <c r="HA720" s="12"/>
      <c r="HJ720" s="13"/>
      <c r="HK720" s="13"/>
      <c r="SW720" s="13"/>
    </row>
    <row r="721" spans="18:536" ht="10.75" customHeight="1">
      <c r="R721" s="12"/>
      <c r="AG721" s="13"/>
      <c r="AH721" s="12"/>
      <c r="AK721" s="12"/>
      <c r="CF721" s="13"/>
      <c r="CI721" s="12"/>
      <c r="ED721" s="13"/>
      <c r="EG721" s="13"/>
      <c r="EW721" s="13"/>
      <c r="GI721" s="12"/>
      <c r="GN721" s="12"/>
      <c r="GO721" s="9"/>
      <c r="GP721" s="10"/>
      <c r="GQ721" s="10"/>
      <c r="GR721" s="10"/>
      <c r="GS721" s="10"/>
      <c r="GT721" s="10"/>
      <c r="GU721" s="10"/>
      <c r="GV721" s="10"/>
      <c r="GW721" s="10"/>
      <c r="GX721" s="11"/>
      <c r="GY721" s="18"/>
      <c r="GZ721" s="13"/>
      <c r="HA721" s="9"/>
      <c r="HB721" s="10"/>
      <c r="HC721" s="10"/>
      <c r="HD721" s="10"/>
      <c r="HE721" s="10"/>
      <c r="HF721" s="10"/>
      <c r="HG721" s="10"/>
      <c r="HH721" s="10"/>
      <c r="HI721" s="10"/>
      <c r="HJ721" s="11"/>
      <c r="HK721" s="13"/>
      <c r="SW721" s="13"/>
    </row>
    <row r="722" spans="18:536" ht="10.75" customHeight="1">
      <c r="R722" s="12"/>
      <c r="AG722" s="13"/>
      <c r="AH722" s="12"/>
      <c r="AK722" s="12"/>
      <c r="CF722" s="13"/>
      <c r="CI722" s="12"/>
      <c r="ED722" s="13"/>
      <c r="EG722" s="13"/>
      <c r="EW722" s="13"/>
      <c r="GI722" s="12"/>
      <c r="GN722" s="12"/>
      <c r="GO722" s="12"/>
      <c r="GX722" s="13"/>
      <c r="GY722" s="18"/>
      <c r="GZ722" s="13"/>
      <c r="HA722" s="12"/>
      <c r="HJ722" s="13"/>
      <c r="HK722" s="13"/>
      <c r="SK722" s="15"/>
      <c r="SL722" s="15"/>
      <c r="SM722" s="15"/>
      <c r="SN722" s="15"/>
      <c r="SO722" s="15"/>
      <c r="SP722" s="15"/>
      <c r="SQ722" s="15"/>
      <c r="SR722" s="15"/>
      <c r="SS722" s="15"/>
      <c r="ST722" s="15"/>
      <c r="SU722" s="15"/>
      <c r="SV722" s="15"/>
      <c r="SW722" s="16"/>
    </row>
    <row r="723" spans="18:536" ht="10.75" customHeight="1">
      <c r="R723" s="12"/>
      <c r="AG723" s="13"/>
      <c r="AH723" s="12"/>
      <c r="AK723" s="12"/>
      <c r="CF723" s="13"/>
      <c r="CI723" s="12"/>
      <c r="ED723" s="13"/>
      <c r="EG723" s="13"/>
      <c r="EW723" s="13"/>
      <c r="GI723" s="12"/>
      <c r="GN723" s="12"/>
      <c r="GO723" s="12"/>
      <c r="GX723" s="13"/>
      <c r="GY723" s="18"/>
      <c r="GZ723" s="13"/>
      <c r="HA723" s="12"/>
      <c r="HJ723" s="13"/>
      <c r="HK723" s="13"/>
      <c r="QR723" s="10"/>
      <c r="QS723" s="10"/>
      <c r="QT723" s="10"/>
      <c r="QU723" s="10"/>
      <c r="QV723" s="10"/>
      <c r="QW723" s="10"/>
      <c r="QX723" s="10"/>
      <c r="QY723" s="10"/>
      <c r="QZ723" s="10"/>
      <c r="RA723" s="10"/>
      <c r="RB723" s="10"/>
      <c r="RC723" s="10"/>
      <c r="RD723" s="10"/>
      <c r="RE723" s="10"/>
      <c r="RF723" s="10"/>
      <c r="RG723" s="10"/>
      <c r="RH723" s="10"/>
      <c r="RI723" s="10"/>
      <c r="RJ723" s="10"/>
      <c r="RK723" s="10"/>
      <c r="RL723" s="10"/>
      <c r="RM723" s="10"/>
      <c r="RN723" s="10"/>
      <c r="RO723" s="10"/>
      <c r="RP723" s="10"/>
      <c r="RQ723" s="10"/>
      <c r="RR723" s="10"/>
      <c r="RS723" s="10"/>
      <c r="RT723" s="10"/>
      <c r="RU723" s="10"/>
      <c r="RV723" s="10"/>
      <c r="RW723" s="10"/>
      <c r="RX723" s="10"/>
      <c r="RY723" s="10"/>
      <c r="RZ723" s="10"/>
      <c r="SA723" s="10"/>
      <c r="SB723" s="10"/>
      <c r="SC723" s="10"/>
      <c r="SD723" s="10"/>
      <c r="SE723" s="10"/>
      <c r="SF723" s="10"/>
      <c r="SG723" s="10"/>
      <c r="SH723" s="10"/>
      <c r="SI723" s="10"/>
      <c r="SJ723" s="10"/>
      <c r="SK723" s="10"/>
      <c r="SL723" s="10"/>
      <c r="SM723" s="10"/>
      <c r="SN723" s="10"/>
      <c r="SO723" s="10"/>
      <c r="SP723" s="10"/>
      <c r="SQ723" s="10"/>
      <c r="SR723" s="10"/>
      <c r="SS723" s="10"/>
      <c r="ST723" s="10"/>
      <c r="SU723" s="10"/>
      <c r="SV723" s="10"/>
      <c r="SW723" s="10"/>
      <c r="SX723" s="10"/>
      <c r="SY723" s="10"/>
      <c r="SZ723" s="10"/>
      <c r="TA723" s="10"/>
      <c r="TB723" s="10"/>
      <c r="TC723" s="10"/>
      <c r="TD723" s="10"/>
      <c r="TE723" s="10"/>
      <c r="TF723" s="10"/>
      <c r="TG723" s="10"/>
      <c r="TH723" s="10"/>
      <c r="TI723" s="10"/>
      <c r="TJ723" s="10"/>
      <c r="TK723" s="10"/>
      <c r="TL723" s="10"/>
      <c r="TM723" s="10"/>
      <c r="TN723" s="10"/>
      <c r="TO723" s="10"/>
      <c r="TP723" s="10"/>
    </row>
    <row r="724" spans="18:536" ht="10.75" customHeight="1">
      <c r="R724" s="12"/>
      <c r="AG724" s="13"/>
      <c r="AH724" s="12"/>
      <c r="AK724" s="14"/>
      <c r="AL724" s="15"/>
      <c r="AM724" s="15"/>
      <c r="AN724" s="15"/>
      <c r="AO724" s="15"/>
      <c r="AP724" s="15"/>
      <c r="AQ724" s="15"/>
      <c r="AR724" s="15"/>
      <c r="AS724" s="15"/>
      <c r="AT724" s="15"/>
      <c r="AU724" s="15"/>
      <c r="AV724" s="15"/>
      <c r="AW724" s="15"/>
      <c r="AX724" s="15"/>
      <c r="AY724" s="15"/>
      <c r="AZ724" s="15"/>
      <c r="BA724" s="15"/>
      <c r="BB724" s="15"/>
      <c r="BC724" s="15"/>
      <c r="BD724" s="15"/>
      <c r="BE724" s="15"/>
      <c r="BF724" s="15"/>
      <c r="BG724" s="15"/>
      <c r="BH724" s="15"/>
      <c r="BI724" s="15"/>
      <c r="BJ724" s="15"/>
      <c r="BK724" s="15"/>
      <c r="BL724" s="15"/>
      <c r="BM724" s="15"/>
      <c r="BN724" s="15"/>
      <c r="BO724" s="15"/>
      <c r="BP724" s="15"/>
      <c r="BQ724" s="15"/>
      <c r="BR724" s="15"/>
      <c r="BS724" s="15"/>
      <c r="BT724" s="15"/>
      <c r="BU724" s="15"/>
      <c r="BV724" s="15"/>
      <c r="BW724" s="15"/>
      <c r="BX724" s="15"/>
      <c r="BY724" s="15"/>
      <c r="BZ724" s="15"/>
      <c r="CA724" s="15"/>
      <c r="CB724" s="15"/>
      <c r="CC724" s="15"/>
      <c r="CD724" s="15"/>
      <c r="CE724" s="15"/>
      <c r="CF724" s="16"/>
      <c r="CG724" s="15"/>
      <c r="CH724" s="15"/>
      <c r="CI724" s="14"/>
      <c r="CJ724" s="15"/>
      <c r="CK724" s="15"/>
      <c r="CL724" s="15"/>
      <c r="CM724" s="15"/>
      <c r="CN724" s="15"/>
      <c r="CO724" s="15"/>
      <c r="CP724" s="15"/>
      <c r="CQ724" s="15"/>
      <c r="CR724" s="15"/>
      <c r="CS724" s="15"/>
      <c r="CT724" s="15"/>
      <c r="CU724" s="15"/>
      <c r="CV724" s="15"/>
      <c r="CW724" s="15"/>
      <c r="CX724" s="15"/>
      <c r="CY724" s="15"/>
      <c r="CZ724" s="15"/>
      <c r="DA724" s="15"/>
      <c r="DB724" s="15"/>
      <c r="DC724" s="15"/>
      <c r="DD724" s="15"/>
      <c r="DE724" s="15"/>
      <c r="DF724" s="15"/>
      <c r="DG724" s="15"/>
      <c r="DH724" s="15"/>
      <c r="DI724" s="15"/>
      <c r="DJ724" s="15"/>
      <c r="DK724" s="15"/>
      <c r="DL724" s="15"/>
      <c r="DM724" s="15"/>
      <c r="DN724" s="15"/>
      <c r="DO724" s="15"/>
      <c r="DP724" s="15"/>
      <c r="DQ724" s="15"/>
      <c r="DR724" s="15"/>
      <c r="DS724" s="15"/>
      <c r="DT724" s="15"/>
      <c r="DU724" s="15"/>
      <c r="DV724" s="15"/>
      <c r="DW724" s="15"/>
      <c r="DX724" s="15"/>
      <c r="DY724" s="15"/>
      <c r="DZ724" s="15"/>
      <c r="EA724" s="15"/>
      <c r="EB724" s="15"/>
      <c r="EC724" s="15"/>
      <c r="ED724" s="16"/>
      <c r="EG724" s="13"/>
      <c r="EW724" s="13"/>
      <c r="GI724" s="12"/>
      <c r="GN724" s="12"/>
      <c r="GO724" s="14"/>
      <c r="GP724" s="15"/>
      <c r="GQ724" s="15"/>
      <c r="GR724" s="15"/>
      <c r="GS724" s="15"/>
      <c r="GT724" s="15"/>
      <c r="GU724" s="15"/>
      <c r="GV724" s="15"/>
      <c r="GW724" s="15"/>
      <c r="GX724" s="16"/>
      <c r="GY724" s="18"/>
      <c r="GZ724" s="13"/>
      <c r="HA724" s="14"/>
      <c r="HB724" s="15"/>
      <c r="HC724" s="15"/>
      <c r="HD724" s="15"/>
      <c r="HE724" s="15"/>
      <c r="HF724" s="15"/>
      <c r="HG724" s="15"/>
      <c r="HH724" s="15"/>
      <c r="HI724" s="15"/>
      <c r="HJ724" s="16"/>
      <c r="HK724" s="13"/>
    </row>
    <row r="725" spans="18:536" ht="10.75" customHeight="1">
      <c r="R725" s="12"/>
      <c r="AG725" s="13"/>
      <c r="AH725" s="12"/>
      <c r="EG725" s="13"/>
      <c r="EW725" s="13"/>
      <c r="GI725" s="12"/>
      <c r="GN725" s="12"/>
      <c r="GO725" s="12"/>
      <c r="GX725" s="13"/>
      <c r="GY725" s="18"/>
      <c r="GZ725" s="13"/>
      <c r="HA725" s="12"/>
      <c r="HJ725" s="13"/>
      <c r="HK725" s="13"/>
    </row>
    <row r="726" spans="18:536" ht="10.75" customHeight="1">
      <c r="R726" s="12"/>
      <c r="AG726" s="13"/>
      <c r="AH726" s="12"/>
      <c r="DQ726" s="20"/>
      <c r="DR726" s="21"/>
      <c r="DS726" s="21"/>
      <c r="DT726" s="21"/>
      <c r="DU726" s="21"/>
      <c r="DV726" s="21"/>
      <c r="DW726" s="21"/>
      <c r="DX726" s="21"/>
      <c r="DY726" s="21"/>
      <c r="DZ726" s="21"/>
      <c r="EA726" s="21"/>
      <c r="EB726" s="22"/>
      <c r="EG726" s="13"/>
      <c r="EW726" s="13"/>
      <c r="GI726" s="12"/>
      <c r="GN726" s="12"/>
      <c r="GO726" s="12"/>
      <c r="GX726" s="13"/>
      <c r="GY726" s="18"/>
      <c r="GZ726" s="13"/>
      <c r="HA726" s="12"/>
      <c r="HJ726" s="13"/>
      <c r="HK726" s="13"/>
    </row>
    <row r="727" spans="18:536" ht="10.75" customHeight="1">
      <c r="R727" s="14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  <c r="AG727" s="16"/>
      <c r="AH727" s="14"/>
      <c r="AI727" s="15"/>
      <c r="AJ727" s="15"/>
      <c r="AK727" s="15"/>
      <c r="AL727" s="15"/>
      <c r="AM727" s="15"/>
      <c r="AN727" s="15"/>
      <c r="AO727" s="15"/>
      <c r="AP727" s="15"/>
      <c r="AQ727" s="15"/>
      <c r="AR727" s="15"/>
      <c r="AS727" s="15"/>
      <c r="AT727" s="15"/>
      <c r="AU727" s="15"/>
      <c r="AV727" s="15"/>
      <c r="AW727" s="15"/>
      <c r="AX727" s="15"/>
      <c r="AY727" s="15"/>
      <c r="AZ727" s="15"/>
      <c r="BA727" s="15"/>
      <c r="BB727" s="15"/>
      <c r="BC727" s="15"/>
      <c r="BD727" s="15"/>
      <c r="BE727" s="15"/>
      <c r="BF727" s="15"/>
      <c r="BG727" s="15"/>
      <c r="BH727" s="15"/>
      <c r="BI727" s="15"/>
      <c r="BJ727" s="15"/>
      <c r="BK727" s="15"/>
      <c r="BL727" s="15"/>
      <c r="BM727" s="15"/>
      <c r="BN727" s="15"/>
      <c r="BO727" s="15"/>
      <c r="BP727" s="15"/>
      <c r="BQ727" s="15"/>
      <c r="BR727" s="15"/>
      <c r="BS727" s="15"/>
      <c r="BT727" s="15"/>
      <c r="BU727" s="15"/>
      <c r="BV727" s="15"/>
      <c r="BW727" s="15"/>
      <c r="BX727" s="15"/>
      <c r="BY727" s="15"/>
      <c r="BZ727" s="15"/>
      <c r="CA727" s="15"/>
      <c r="CB727" s="15"/>
      <c r="CC727" s="15"/>
      <c r="CD727" s="15"/>
      <c r="CE727" s="15"/>
      <c r="CF727" s="15"/>
      <c r="CG727" s="15"/>
      <c r="CH727" s="15"/>
      <c r="CI727" s="15"/>
      <c r="CJ727" s="15"/>
      <c r="CK727" s="15"/>
      <c r="CL727" s="15"/>
      <c r="CM727" s="15"/>
      <c r="CN727" s="15"/>
      <c r="CO727" s="15"/>
      <c r="CP727" s="15"/>
      <c r="CQ727" s="15"/>
      <c r="CR727" s="15"/>
      <c r="CS727" s="15"/>
      <c r="CT727" s="15"/>
      <c r="CU727" s="15"/>
      <c r="CV727" s="15"/>
      <c r="CW727" s="15"/>
      <c r="CX727" s="15"/>
      <c r="CY727" s="15"/>
      <c r="CZ727" s="15"/>
      <c r="DA727" s="15"/>
      <c r="DB727" s="15"/>
      <c r="DC727" s="15"/>
      <c r="DD727" s="15"/>
      <c r="DE727" s="15"/>
      <c r="DF727" s="15"/>
      <c r="DG727" s="15"/>
      <c r="DH727" s="15"/>
      <c r="DI727" s="15"/>
      <c r="DJ727" s="15"/>
      <c r="DK727" s="15"/>
      <c r="DL727" s="15"/>
      <c r="DM727" s="15"/>
      <c r="DN727" s="15"/>
      <c r="DO727" s="15"/>
      <c r="DP727" s="15"/>
      <c r="DQ727" s="15"/>
      <c r="DR727" s="15"/>
      <c r="DS727" s="15"/>
      <c r="DT727" s="15"/>
      <c r="DU727" s="15"/>
      <c r="DV727" s="15"/>
      <c r="DW727" s="15"/>
      <c r="DX727" s="15"/>
      <c r="DY727" s="15"/>
      <c r="DZ727" s="15"/>
      <c r="EA727" s="15"/>
      <c r="EB727" s="15"/>
      <c r="EC727" s="15"/>
      <c r="ED727" s="15"/>
      <c r="EE727" s="15"/>
      <c r="EF727" s="15"/>
      <c r="EG727" s="16"/>
      <c r="EW727" s="13"/>
      <c r="GI727" s="12"/>
      <c r="GN727" s="12"/>
      <c r="GO727" s="12"/>
      <c r="GX727" s="13"/>
      <c r="GY727" s="18"/>
      <c r="GZ727" s="13"/>
      <c r="HA727" s="12"/>
      <c r="HJ727" s="13"/>
      <c r="HK727" s="13"/>
    </row>
    <row r="728" spans="18:536" ht="10.75" customHeight="1">
      <c r="AK728" s="13"/>
      <c r="AL728" s="12"/>
      <c r="AM728" s="12"/>
      <c r="AV728" s="13"/>
      <c r="AW728" s="13"/>
      <c r="AX728" s="13"/>
      <c r="AY728" s="12"/>
      <c r="BH728" s="13"/>
      <c r="BI728" s="13"/>
      <c r="DO728" s="9"/>
      <c r="DP728" s="10"/>
      <c r="DQ728" s="10"/>
      <c r="DR728" s="10"/>
      <c r="DS728" s="10"/>
      <c r="DT728" s="10"/>
      <c r="DU728" s="10"/>
      <c r="DV728" s="10"/>
      <c r="DW728" s="10"/>
      <c r="DX728" s="10"/>
      <c r="DY728" s="10"/>
      <c r="DZ728" s="10"/>
      <c r="EA728" s="10"/>
      <c r="EB728" s="10"/>
      <c r="EC728" s="10"/>
      <c r="ED728" s="11"/>
      <c r="EW728" s="13"/>
      <c r="GI728" s="12"/>
      <c r="GN728" s="12"/>
      <c r="GO728" s="12"/>
      <c r="GX728" s="13"/>
      <c r="GY728" s="18"/>
      <c r="GZ728" s="13"/>
      <c r="HA728" s="14"/>
      <c r="HB728" s="15"/>
      <c r="HC728" s="15"/>
      <c r="HD728" s="15"/>
      <c r="HE728" s="15"/>
      <c r="HF728" s="15"/>
      <c r="HG728" s="15"/>
      <c r="HH728" s="15"/>
      <c r="HI728" s="15"/>
      <c r="HJ728" s="16"/>
      <c r="HK728" s="13"/>
    </row>
    <row r="729" spans="18:536" ht="10.75" customHeight="1">
      <c r="AL729" s="12"/>
      <c r="AM729" s="12"/>
      <c r="AV729" s="13"/>
      <c r="AW729" s="13"/>
      <c r="AX729" s="13"/>
      <c r="AY729" s="12"/>
      <c r="BH729" s="13"/>
      <c r="BI729" s="13"/>
      <c r="DO729" s="12"/>
      <c r="ED729" s="13"/>
      <c r="EW729" s="13"/>
      <c r="GI729" s="12"/>
      <c r="GN729" s="12"/>
      <c r="GO729" s="9"/>
      <c r="GP729" s="10"/>
      <c r="GQ729" s="10"/>
      <c r="GR729" s="10"/>
      <c r="GS729" s="10"/>
      <c r="GT729" s="10"/>
      <c r="GU729" s="10"/>
      <c r="GV729" s="10"/>
      <c r="GW729" s="10"/>
      <c r="GX729" s="11"/>
      <c r="GY729" s="18"/>
      <c r="GZ729" s="13"/>
      <c r="HA729" s="9"/>
      <c r="HB729" s="10"/>
      <c r="HC729" s="10"/>
      <c r="HD729" s="10"/>
      <c r="HE729" s="10"/>
      <c r="HF729" s="10"/>
      <c r="HG729" s="10"/>
      <c r="HH729" s="10"/>
      <c r="HI729" s="10"/>
      <c r="HJ729" s="11"/>
      <c r="HK729" s="13"/>
    </row>
    <row r="730" spans="18:536" ht="10.75" customHeight="1">
      <c r="AL730" s="12"/>
      <c r="AM730" s="12"/>
      <c r="AV730" s="13"/>
      <c r="AW730" s="13"/>
      <c r="AX730" s="13"/>
      <c r="AY730" s="12"/>
      <c r="BH730" s="13"/>
      <c r="BI730" s="13"/>
      <c r="DO730" s="12"/>
      <c r="ED730" s="13"/>
      <c r="EW730" s="13"/>
      <c r="GI730" s="12"/>
      <c r="GN730" s="12"/>
      <c r="GO730" s="12"/>
      <c r="GX730" s="13"/>
      <c r="GY730" s="18"/>
      <c r="GZ730" s="13"/>
      <c r="HA730" s="12"/>
      <c r="HJ730" s="13"/>
      <c r="HK730" s="13"/>
    </row>
    <row r="731" spans="18:536" ht="10.75" customHeight="1">
      <c r="AL731" s="12"/>
      <c r="AM731" s="12"/>
      <c r="AV731" s="13"/>
      <c r="AW731" s="13"/>
      <c r="AX731" s="13"/>
      <c r="AY731" s="14"/>
      <c r="AZ731" s="15"/>
      <c r="BA731" s="15"/>
      <c r="BB731" s="15"/>
      <c r="BC731" s="15"/>
      <c r="BD731" s="15"/>
      <c r="BE731" s="15"/>
      <c r="BF731" s="15"/>
      <c r="BG731" s="15"/>
      <c r="BH731" s="16"/>
      <c r="BI731" s="13"/>
      <c r="CE731" s="9"/>
      <c r="CF731" s="10"/>
      <c r="CG731" s="10"/>
      <c r="CH731" s="10"/>
      <c r="CI731" s="10"/>
      <c r="CJ731" s="10"/>
      <c r="CK731" s="10"/>
      <c r="CL731" s="10"/>
      <c r="CM731" s="10"/>
      <c r="CN731" s="10"/>
      <c r="CO731" s="10"/>
      <c r="CP731" s="10"/>
      <c r="CQ731" s="10"/>
      <c r="CR731" s="11"/>
      <c r="DO731" s="12"/>
      <c r="ED731" s="13"/>
      <c r="EW731" s="13"/>
      <c r="GI731" s="12"/>
      <c r="GN731" s="12"/>
      <c r="GO731" s="12"/>
      <c r="GX731" s="13"/>
      <c r="GY731" s="18"/>
      <c r="GZ731" s="13"/>
      <c r="HA731" s="12"/>
      <c r="HJ731" s="13"/>
      <c r="HK731" s="13"/>
    </row>
    <row r="732" spans="18:536" ht="10.75" customHeight="1">
      <c r="AL732" s="12"/>
      <c r="AM732" s="12"/>
      <c r="AV732" s="13"/>
      <c r="AW732" s="13"/>
      <c r="AX732" s="13"/>
      <c r="AY732" s="12"/>
      <c r="BH732" s="13"/>
      <c r="BI732" s="13"/>
      <c r="CE732" s="12"/>
      <c r="CR732" s="13"/>
      <c r="DO732" s="12"/>
      <c r="ED732" s="13"/>
      <c r="EW732" s="13"/>
      <c r="GI732" s="12"/>
      <c r="GN732" s="12"/>
      <c r="GO732" s="14"/>
      <c r="GP732" s="15"/>
      <c r="GQ732" s="15"/>
      <c r="GR732" s="15"/>
      <c r="GS732" s="15"/>
      <c r="GT732" s="15"/>
      <c r="GU732" s="15"/>
      <c r="GV732" s="15"/>
      <c r="GW732" s="15"/>
      <c r="GX732" s="16"/>
      <c r="GY732" s="18"/>
      <c r="GZ732" s="13"/>
      <c r="HA732" s="14"/>
      <c r="HB732" s="15"/>
      <c r="HC732" s="15"/>
      <c r="HD732" s="15"/>
      <c r="HE732" s="15"/>
      <c r="HF732" s="15"/>
      <c r="HG732" s="15"/>
      <c r="HH732" s="15"/>
      <c r="HI732" s="15"/>
      <c r="HJ732" s="16"/>
      <c r="HK732" s="13"/>
    </row>
    <row r="733" spans="18:536" ht="10.75" customHeight="1">
      <c r="AL733" s="12"/>
      <c r="AM733" s="12"/>
      <c r="AV733" s="13"/>
      <c r="AW733" s="13"/>
      <c r="AX733" s="13"/>
      <c r="AY733" s="12"/>
      <c r="BH733" s="13"/>
      <c r="BI733" s="13"/>
      <c r="CE733" s="12"/>
      <c r="CR733" s="13"/>
      <c r="DO733" s="14"/>
      <c r="DP733" s="15"/>
      <c r="DQ733" s="15"/>
      <c r="DR733" s="15"/>
      <c r="DS733" s="15"/>
      <c r="DT733" s="15"/>
      <c r="DU733" s="15"/>
      <c r="DV733" s="15"/>
      <c r="DW733" s="15"/>
      <c r="DX733" s="15"/>
      <c r="DY733" s="15"/>
      <c r="DZ733" s="15"/>
      <c r="EA733" s="15"/>
      <c r="EB733" s="15"/>
      <c r="EC733" s="15"/>
      <c r="ED733" s="16"/>
      <c r="EW733" s="13"/>
      <c r="GI733" s="12"/>
      <c r="GN733" s="12"/>
      <c r="GO733" s="12"/>
      <c r="GX733" s="13"/>
      <c r="GY733" s="18"/>
      <c r="GZ733" s="13"/>
      <c r="HA733" s="12"/>
      <c r="HJ733" s="13"/>
      <c r="HK733" s="13"/>
    </row>
    <row r="734" spans="18:536" ht="10.75" customHeight="1">
      <c r="AL734" s="12"/>
      <c r="AM734" s="12"/>
      <c r="AV734" s="13"/>
      <c r="AW734" s="13"/>
      <c r="AX734" s="13"/>
      <c r="AY734" s="12"/>
      <c r="BH734" s="13"/>
      <c r="BI734" s="13"/>
      <c r="CE734" s="12"/>
      <c r="CR734" s="13"/>
      <c r="EW734" s="13"/>
      <c r="GI734" s="12"/>
      <c r="GN734" s="12"/>
      <c r="GO734" s="12"/>
      <c r="GX734" s="13"/>
      <c r="GY734" s="18"/>
      <c r="GZ734" s="13"/>
      <c r="HA734" s="12"/>
      <c r="HJ734" s="13"/>
      <c r="HK734" s="13"/>
    </row>
    <row r="735" spans="18:536" ht="10.75" customHeight="1">
      <c r="AL735" s="12"/>
      <c r="AM735" s="12"/>
      <c r="AV735" s="13"/>
      <c r="AW735" s="13"/>
      <c r="AX735" s="13"/>
      <c r="AY735" s="12"/>
      <c r="BH735" s="13"/>
      <c r="BI735" s="13"/>
      <c r="CE735" s="12"/>
      <c r="CR735" s="13"/>
      <c r="EW735" s="13"/>
      <c r="GI735" s="12"/>
      <c r="GN735" s="12"/>
      <c r="GO735" s="12"/>
      <c r="GX735" s="13"/>
      <c r="GY735" s="18"/>
      <c r="GZ735" s="13"/>
      <c r="HA735" s="12"/>
      <c r="HJ735" s="13"/>
      <c r="HK735" s="13"/>
    </row>
    <row r="736" spans="18:536" ht="10.75" customHeight="1">
      <c r="AL736" s="12"/>
      <c r="AM736" s="9"/>
      <c r="AN736" s="10"/>
      <c r="AO736" s="10"/>
      <c r="AP736" s="10"/>
      <c r="AQ736" s="10"/>
      <c r="AR736" s="10"/>
      <c r="AS736" s="10"/>
      <c r="AT736" s="10"/>
      <c r="AU736" s="10"/>
      <c r="AV736" s="11"/>
      <c r="AW736" s="13"/>
      <c r="AX736" s="13"/>
      <c r="AY736" s="9"/>
      <c r="AZ736" s="10"/>
      <c r="BA736" s="10"/>
      <c r="BB736" s="10"/>
      <c r="BC736" s="10"/>
      <c r="BD736" s="10"/>
      <c r="BE736" s="10"/>
      <c r="BF736" s="10"/>
      <c r="BG736" s="10"/>
      <c r="BH736" s="11"/>
      <c r="BI736" s="13"/>
      <c r="CE736" s="12"/>
      <c r="CR736" s="13"/>
      <c r="EW736" s="13"/>
      <c r="GI736" s="12"/>
      <c r="GN736" s="12"/>
      <c r="GO736" s="14"/>
      <c r="GP736" s="15"/>
      <c r="GQ736" s="15"/>
      <c r="GR736" s="15"/>
      <c r="GS736" s="15"/>
      <c r="GT736" s="15"/>
      <c r="GU736" s="15"/>
      <c r="GV736" s="15"/>
      <c r="GW736" s="15"/>
      <c r="GX736" s="16"/>
      <c r="GY736" s="18"/>
      <c r="GZ736" s="13"/>
      <c r="HA736" s="12"/>
      <c r="HJ736" s="13"/>
      <c r="HK736" s="13"/>
    </row>
    <row r="737" spans="38:236" ht="10.75" customHeight="1">
      <c r="AL737" s="12"/>
      <c r="AM737" s="12"/>
      <c r="AV737" s="13"/>
      <c r="AW737" s="13"/>
      <c r="AX737" s="13"/>
      <c r="AY737" s="12"/>
      <c r="BH737" s="13"/>
      <c r="BI737" s="13"/>
      <c r="CE737" s="12"/>
      <c r="CR737" s="13"/>
      <c r="EW737" s="13"/>
      <c r="GI737" s="12"/>
      <c r="GN737" s="12"/>
      <c r="GO737" s="12"/>
      <c r="GX737" s="13"/>
      <c r="GY737" s="18"/>
      <c r="GZ737" s="13"/>
      <c r="HA737" s="9"/>
      <c r="HB737" s="10"/>
      <c r="HC737" s="10"/>
      <c r="HD737" s="10"/>
      <c r="HE737" s="10"/>
      <c r="HF737" s="10"/>
      <c r="HG737" s="10"/>
      <c r="HH737" s="10"/>
      <c r="HI737" s="10"/>
      <c r="HJ737" s="11"/>
      <c r="HK737" s="13"/>
    </row>
    <row r="738" spans="38:236" ht="10.75" customHeight="1">
      <c r="AL738" s="12"/>
      <c r="AM738" s="12"/>
      <c r="AV738" s="13"/>
      <c r="AW738" s="13"/>
      <c r="AX738" s="13"/>
      <c r="AY738" s="12"/>
      <c r="BH738" s="13"/>
      <c r="BI738" s="13"/>
      <c r="CE738" s="12"/>
      <c r="CR738" s="13"/>
      <c r="EW738" s="13"/>
      <c r="GI738" s="12"/>
      <c r="GN738" s="12"/>
      <c r="GO738" s="12"/>
      <c r="GX738" s="13"/>
      <c r="GY738" s="18"/>
      <c r="GZ738" s="13"/>
      <c r="HA738" s="12"/>
      <c r="HJ738" s="13"/>
      <c r="HK738" s="13"/>
    </row>
    <row r="739" spans="38:236" ht="10.75" customHeight="1">
      <c r="AL739" s="12"/>
      <c r="AM739" s="14"/>
      <c r="AN739" s="15"/>
      <c r="AO739" s="15"/>
      <c r="AP739" s="15"/>
      <c r="AQ739" s="15"/>
      <c r="AR739" s="15"/>
      <c r="AS739" s="15"/>
      <c r="AT739" s="15"/>
      <c r="AU739" s="15"/>
      <c r="AV739" s="16"/>
      <c r="AW739" s="13"/>
      <c r="AX739" s="13"/>
      <c r="AY739" s="14"/>
      <c r="AZ739" s="15"/>
      <c r="BA739" s="15"/>
      <c r="BB739" s="15"/>
      <c r="BC739" s="15"/>
      <c r="BD739" s="15"/>
      <c r="BE739" s="15"/>
      <c r="BF739" s="15"/>
      <c r="BG739" s="15"/>
      <c r="BH739" s="16"/>
      <c r="BI739" s="13"/>
      <c r="CE739" s="12"/>
      <c r="CR739" s="13"/>
      <c r="EW739" s="13"/>
      <c r="GI739" s="12"/>
      <c r="GN739" s="12"/>
      <c r="GO739" s="12"/>
      <c r="GX739" s="13"/>
      <c r="GY739" s="18"/>
      <c r="GZ739" s="13"/>
      <c r="HA739" s="12"/>
      <c r="HJ739" s="13"/>
      <c r="HK739" s="13"/>
    </row>
    <row r="740" spans="38:236" ht="10.75" customHeight="1">
      <c r="AL740" s="12"/>
      <c r="AM740" s="12"/>
      <c r="AV740" s="13"/>
      <c r="AW740" s="13"/>
      <c r="AX740" s="13"/>
      <c r="AY740" s="12"/>
      <c r="BH740" s="13"/>
      <c r="BI740" s="13"/>
      <c r="CE740" s="12"/>
      <c r="CR740" s="13"/>
      <c r="EW740" s="13"/>
      <c r="GI740" s="12"/>
      <c r="GN740" s="12"/>
      <c r="GO740" s="14"/>
      <c r="GP740" s="15"/>
      <c r="GQ740" s="15"/>
      <c r="GR740" s="15"/>
      <c r="GS740" s="15"/>
      <c r="GT740" s="15"/>
      <c r="GU740" s="15"/>
      <c r="GV740" s="15"/>
      <c r="GW740" s="15"/>
      <c r="GX740" s="16"/>
      <c r="GY740" s="18"/>
      <c r="GZ740" s="16"/>
      <c r="HA740" s="14"/>
      <c r="HB740" s="15"/>
      <c r="HC740" s="15"/>
      <c r="HD740" s="15"/>
      <c r="HE740" s="15"/>
      <c r="HF740" s="15"/>
      <c r="HG740" s="15"/>
      <c r="HH740" s="15"/>
      <c r="HI740" s="15"/>
      <c r="HJ740" s="16"/>
      <c r="HK740" s="16"/>
    </row>
    <row r="741" spans="38:236" ht="10.75" customHeight="1">
      <c r="AL741" s="12"/>
      <c r="AM741" s="12"/>
      <c r="AV741" s="13"/>
      <c r="AW741" s="13"/>
      <c r="AX741" s="13"/>
      <c r="AY741" s="12"/>
      <c r="BH741" s="13"/>
      <c r="BI741" s="13"/>
      <c r="CE741" s="12"/>
      <c r="CR741" s="13"/>
      <c r="EW741" s="13"/>
      <c r="GI741" s="12"/>
      <c r="GN741" s="9"/>
      <c r="GO741" s="9"/>
      <c r="GP741" s="10"/>
      <c r="GQ741" s="10"/>
      <c r="GR741" s="10"/>
      <c r="GS741" s="10"/>
      <c r="GT741" s="10"/>
      <c r="GU741" s="10"/>
      <c r="GV741" s="10"/>
      <c r="GW741" s="10"/>
      <c r="GX741" s="10"/>
      <c r="GY741" s="10"/>
      <c r="GZ741" s="10"/>
      <c r="HA741" s="10"/>
      <c r="HJ741" s="13"/>
      <c r="HK741" s="11"/>
    </row>
    <row r="742" spans="38:236" ht="10.75" customHeight="1">
      <c r="AL742" s="12"/>
      <c r="AM742" s="12"/>
      <c r="AV742" s="13"/>
      <c r="AW742" s="13"/>
      <c r="AX742" s="13"/>
      <c r="AY742" s="12"/>
      <c r="BH742" s="13"/>
      <c r="BI742" s="13"/>
      <c r="CE742" s="12"/>
      <c r="CR742" s="13"/>
      <c r="EW742" s="13"/>
      <c r="GI742" s="12"/>
      <c r="GN742" s="12"/>
      <c r="GO742" s="12"/>
      <c r="HJ742" s="13"/>
      <c r="HK742" s="13"/>
    </row>
    <row r="743" spans="38:236" ht="10.75" customHeight="1">
      <c r="AL743" s="12"/>
      <c r="AM743" s="12"/>
      <c r="AV743" s="13"/>
      <c r="AW743" s="13"/>
      <c r="AX743" s="13"/>
      <c r="AY743" s="14"/>
      <c r="AZ743" s="15"/>
      <c r="BA743" s="15"/>
      <c r="BB743" s="15"/>
      <c r="BC743" s="15"/>
      <c r="BD743" s="15"/>
      <c r="BE743" s="15"/>
      <c r="BF743" s="15"/>
      <c r="BG743" s="15"/>
      <c r="BH743" s="16"/>
      <c r="BI743" s="13"/>
      <c r="CE743" s="12"/>
      <c r="CR743" s="13"/>
      <c r="EW743" s="13"/>
      <c r="GI743" s="12"/>
      <c r="GN743" s="12"/>
      <c r="GO743" s="12"/>
      <c r="HJ743" s="13"/>
      <c r="HK743" s="13"/>
    </row>
    <row r="744" spans="38:236" ht="10.75" customHeight="1">
      <c r="AL744" s="12"/>
      <c r="AM744" s="9"/>
      <c r="AN744" s="10"/>
      <c r="AO744" s="10"/>
      <c r="AP744" s="10"/>
      <c r="AQ744" s="10"/>
      <c r="AR744" s="10"/>
      <c r="AS744" s="10"/>
      <c r="AT744" s="10"/>
      <c r="AU744" s="10"/>
      <c r="AV744" s="11"/>
      <c r="AW744" s="13"/>
      <c r="AX744" s="13"/>
      <c r="AY744" s="9"/>
      <c r="AZ744" s="10"/>
      <c r="BA744" s="10"/>
      <c r="BB744" s="10"/>
      <c r="BC744" s="10"/>
      <c r="BD744" s="10"/>
      <c r="BE744" s="10"/>
      <c r="BF744" s="10"/>
      <c r="BG744" s="10"/>
      <c r="BH744" s="11"/>
      <c r="BI744" s="13"/>
      <c r="CE744" s="12"/>
      <c r="CR744" s="13"/>
      <c r="EW744" s="13"/>
      <c r="GI744" s="14"/>
      <c r="GJ744" s="15"/>
      <c r="GK744" s="15"/>
      <c r="GL744" s="15"/>
      <c r="GM744" s="15"/>
      <c r="GN744" s="12"/>
      <c r="GO744" s="12"/>
      <c r="HJ744" s="13"/>
      <c r="HK744" s="13"/>
      <c r="HL744" s="15"/>
      <c r="HM744" s="15"/>
      <c r="HN744" s="15"/>
      <c r="HO744" s="15"/>
      <c r="HP744" s="15"/>
      <c r="HQ744" s="15"/>
      <c r="HR744" s="15"/>
      <c r="HS744" s="15"/>
      <c r="HT744" s="15"/>
      <c r="HU744" s="15"/>
      <c r="HV744" s="15"/>
      <c r="HW744" s="15"/>
      <c r="HX744" s="15"/>
      <c r="HY744" s="15"/>
      <c r="HZ744" s="15"/>
      <c r="IA744" s="15"/>
      <c r="IB744" s="15"/>
    </row>
    <row r="745" spans="38:236" ht="10.75" customHeight="1">
      <c r="AL745" s="12"/>
      <c r="AM745" s="12"/>
      <c r="AV745" s="13"/>
      <c r="AW745" s="13"/>
      <c r="AX745" s="13"/>
      <c r="AY745" s="12"/>
      <c r="BH745" s="13"/>
      <c r="BI745" s="13"/>
      <c r="CE745" s="12"/>
      <c r="CR745" s="13"/>
      <c r="EW745" s="13"/>
      <c r="GN745" s="12"/>
      <c r="GO745" s="12"/>
      <c r="HJ745" s="13"/>
      <c r="HK745" s="13"/>
    </row>
    <row r="746" spans="38:236" ht="10.75" customHeight="1">
      <c r="AL746" s="12"/>
      <c r="AM746" s="12"/>
      <c r="AV746" s="13"/>
      <c r="AW746" s="13"/>
      <c r="AX746" s="13"/>
      <c r="AY746" s="12"/>
      <c r="BH746" s="13"/>
      <c r="BI746" s="13"/>
      <c r="CE746" s="12"/>
      <c r="CR746" s="13"/>
      <c r="EW746" s="13"/>
      <c r="GN746" s="12"/>
      <c r="GO746" s="12"/>
      <c r="HJ746" s="13"/>
      <c r="HK746" s="13"/>
    </row>
    <row r="747" spans="38:236" ht="10.75" customHeight="1">
      <c r="AL747" s="12"/>
      <c r="AM747" s="14"/>
      <c r="AN747" s="15"/>
      <c r="AO747" s="15"/>
      <c r="AP747" s="15"/>
      <c r="AQ747" s="15"/>
      <c r="AR747" s="15"/>
      <c r="AS747" s="15"/>
      <c r="AT747" s="15"/>
      <c r="AU747" s="15"/>
      <c r="AV747" s="16"/>
      <c r="AW747" s="13"/>
      <c r="AX747" s="13"/>
      <c r="AY747" s="14"/>
      <c r="AZ747" s="15"/>
      <c r="BA747" s="15"/>
      <c r="BB747" s="15"/>
      <c r="BC747" s="15"/>
      <c r="BD747" s="15"/>
      <c r="BE747" s="15"/>
      <c r="BF747" s="15"/>
      <c r="BG747" s="15"/>
      <c r="BH747" s="16"/>
      <c r="BI747" s="13"/>
      <c r="CE747" s="12"/>
      <c r="CR747" s="13"/>
      <c r="EW747" s="13"/>
      <c r="GN747" s="12"/>
      <c r="GO747" s="12"/>
      <c r="HJ747" s="13"/>
      <c r="HK747" s="13"/>
    </row>
    <row r="748" spans="38:236" ht="10.75" customHeight="1">
      <c r="AL748" s="12"/>
      <c r="AM748" s="12"/>
      <c r="AV748" s="13"/>
      <c r="AW748" s="13"/>
      <c r="AX748" s="13"/>
      <c r="AY748" s="12"/>
      <c r="BH748" s="13"/>
      <c r="BI748" s="13"/>
      <c r="CE748" s="12"/>
      <c r="CR748" s="13"/>
      <c r="EW748" s="13"/>
      <c r="GN748" s="12"/>
      <c r="GO748" s="12"/>
      <c r="HJ748" s="13"/>
      <c r="HK748" s="13"/>
    </row>
    <row r="749" spans="38:236" ht="10.75" customHeight="1">
      <c r="AL749" s="12"/>
      <c r="AM749" s="12"/>
      <c r="AV749" s="13"/>
      <c r="AW749" s="13"/>
      <c r="AX749" s="13"/>
      <c r="AY749" s="12"/>
      <c r="BH749" s="13"/>
      <c r="BI749" s="13"/>
      <c r="CE749" s="12"/>
      <c r="CR749" s="13"/>
      <c r="EW749" s="13"/>
      <c r="GN749" s="12"/>
      <c r="GO749" s="12"/>
      <c r="HJ749" s="13"/>
      <c r="HK749" s="13"/>
    </row>
    <row r="750" spans="38:236" ht="10.75" customHeight="1">
      <c r="AL750" s="12"/>
      <c r="AM750" s="12"/>
      <c r="AV750" s="13"/>
      <c r="AW750" s="13"/>
      <c r="AX750" s="13"/>
      <c r="AY750" s="12"/>
      <c r="BH750" s="13"/>
      <c r="BI750" s="13"/>
      <c r="CE750" s="12"/>
      <c r="CR750" s="13"/>
      <c r="EW750" s="13"/>
      <c r="GN750" s="12"/>
      <c r="GO750" s="12"/>
      <c r="HJ750" s="13"/>
      <c r="HK750" s="13"/>
    </row>
    <row r="751" spans="38:236" ht="10.75" customHeight="1">
      <c r="AL751" s="12"/>
      <c r="AM751" s="14"/>
      <c r="AN751" s="15"/>
      <c r="AO751" s="15"/>
      <c r="AP751" s="15"/>
      <c r="AQ751" s="15"/>
      <c r="AR751" s="15"/>
      <c r="AS751" s="15"/>
      <c r="AT751" s="15"/>
      <c r="AU751" s="15"/>
      <c r="AV751" s="16"/>
      <c r="AW751" s="13"/>
      <c r="AX751" s="13"/>
      <c r="AY751" s="12"/>
      <c r="BH751" s="13"/>
      <c r="BI751" s="13"/>
      <c r="CE751" s="12"/>
      <c r="CR751" s="13"/>
      <c r="EW751" s="13"/>
      <c r="GN751" s="12"/>
      <c r="GO751" s="12"/>
      <c r="HJ751" s="13"/>
      <c r="HK751" s="13"/>
    </row>
    <row r="752" spans="38:236" ht="10.75" customHeight="1">
      <c r="AL752" s="12"/>
      <c r="AM752" s="9"/>
      <c r="AN752" s="10"/>
      <c r="AO752" s="10"/>
      <c r="AP752" s="10"/>
      <c r="AQ752" s="10"/>
      <c r="AR752" s="10"/>
      <c r="AS752" s="10"/>
      <c r="AT752" s="10"/>
      <c r="AU752" s="10"/>
      <c r="AV752" s="11"/>
      <c r="AW752" s="13"/>
      <c r="AX752" s="13"/>
      <c r="AY752" s="9"/>
      <c r="AZ752" s="10"/>
      <c r="BA752" s="10"/>
      <c r="BB752" s="10"/>
      <c r="BC752" s="10"/>
      <c r="BD752" s="10"/>
      <c r="BE752" s="10"/>
      <c r="BF752" s="10"/>
      <c r="BG752" s="10"/>
      <c r="BH752" s="11"/>
      <c r="BI752" s="13"/>
      <c r="CE752" s="12"/>
      <c r="CR752" s="13"/>
      <c r="EW752" s="13"/>
      <c r="GN752" s="20"/>
      <c r="GO752" s="20"/>
      <c r="GP752" s="21"/>
      <c r="GQ752" s="21"/>
      <c r="GR752" s="21"/>
      <c r="GS752" s="21"/>
      <c r="GT752" s="21"/>
      <c r="GU752" s="21"/>
      <c r="GV752" s="21"/>
      <c r="GW752" s="21"/>
      <c r="GX752" s="21"/>
      <c r="GY752" s="21"/>
      <c r="GZ752" s="21"/>
      <c r="HA752" s="21"/>
      <c r="HB752" s="21"/>
      <c r="HC752" s="21"/>
      <c r="HD752" s="21"/>
      <c r="HE752" s="21"/>
      <c r="HF752" s="21"/>
      <c r="HG752" s="21"/>
      <c r="HH752" s="21"/>
      <c r="HI752" s="21"/>
      <c r="HJ752" s="22"/>
      <c r="HK752" s="22"/>
    </row>
    <row r="753" spans="38:153" ht="10.75" customHeight="1">
      <c r="AL753" s="12"/>
      <c r="AM753" s="12"/>
      <c r="AV753" s="13"/>
      <c r="AW753" s="13"/>
      <c r="AX753" s="13"/>
      <c r="AY753" s="12"/>
      <c r="BH753" s="13"/>
      <c r="BI753" s="13"/>
      <c r="CE753" s="12"/>
      <c r="CR753" s="13"/>
      <c r="EW753" s="13"/>
    </row>
    <row r="754" spans="38:153" ht="10.75" customHeight="1">
      <c r="AL754" s="12"/>
      <c r="AM754" s="12"/>
      <c r="AV754" s="13"/>
      <c r="AW754" s="13"/>
      <c r="AX754" s="13"/>
      <c r="AY754" s="12"/>
      <c r="BH754" s="13"/>
      <c r="BI754" s="13"/>
      <c r="CE754" s="14"/>
      <c r="CF754" s="15"/>
      <c r="CG754" s="15"/>
      <c r="CH754" s="15"/>
      <c r="CI754" s="15"/>
      <c r="CJ754" s="15"/>
      <c r="CK754" s="15"/>
      <c r="CL754" s="15"/>
      <c r="CM754" s="15"/>
      <c r="CN754" s="15"/>
      <c r="CO754" s="15"/>
      <c r="CP754" s="15"/>
      <c r="CQ754" s="15"/>
      <c r="CR754" s="16"/>
      <c r="EW754" s="13"/>
    </row>
    <row r="755" spans="38:153" ht="10.75" customHeight="1">
      <c r="AL755" s="12"/>
      <c r="AM755" s="14"/>
      <c r="AN755" s="15"/>
      <c r="AO755" s="15"/>
      <c r="AP755" s="15"/>
      <c r="AQ755" s="15"/>
      <c r="AR755" s="15"/>
      <c r="AS755" s="15"/>
      <c r="AT755" s="15"/>
      <c r="AU755" s="15"/>
      <c r="AV755" s="16"/>
      <c r="AW755" s="13"/>
      <c r="AX755" s="13"/>
      <c r="AY755" s="14"/>
      <c r="AZ755" s="15"/>
      <c r="BA755" s="15"/>
      <c r="BB755" s="15"/>
      <c r="BC755" s="15"/>
      <c r="BD755" s="15"/>
      <c r="BE755" s="15"/>
      <c r="BF755" s="15"/>
      <c r="BG755" s="15"/>
      <c r="BH755" s="16"/>
      <c r="BI755" s="13"/>
      <c r="EW755" s="13"/>
    </row>
    <row r="756" spans="38:153" ht="10.75" customHeight="1">
      <c r="AL756" s="12"/>
      <c r="AM756" s="12"/>
      <c r="AV756" s="13"/>
      <c r="AW756" s="13"/>
      <c r="AX756" s="13"/>
      <c r="AY756" s="12"/>
      <c r="BH756" s="13"/>
      <c r="BI756" s="13"/>
      <c r="EW756" s="13"/>
    </row>
    <row r="757" spans="38:153" ht="10.75" customHeight="1">
      <c r="AL757" s="12"/>
      <c r="AM757" s="12"/>
      <c r="AV757" s="13"/>
      <c r="AW757" s="13"/>
      <c r="AX757" s="13"/>
      <c r="AY757" s="12"/>
      <c r="BH757" s="13"/>
      <c r="BI757" s="13"/>
      <c r="EW757" s="13"/>
    </row>
    <row r="758" spans="38:153" ht="10.75" customHeight="1">
      <c r="AL758" s="12"/>
      <c r="AM758" s="12"/>
      <c r="AV758" s="13"/>
      <c r="AW758" s="13"/>
      <c r="AX758" s="13"/>
      <c r="AY758" s="12"/>
      <c r="BH758" s="13"/>
      <c r="BI758" s="13"/>
      <c r="EW758" s="13"/>
    </row>
    <row r="759" spans="38:153" ht="10.75" customHeight="1">
      <c r="AL759" s="12"/>
      <c r="AM759" s="14"/>
      <c r="AN759" s="15"/>
      <c r="AO759" s="15"/>
      <c r="AP759" s="15"/>
      <c r="AQ759" s="15"/>
      <c r="AR759" s="15"/>
      <c r="AS759" s="15"/>
      <c r="AT759" s="15"/>
      <c r="AU759" s="15"/>
      <c r="AV759" s="16"/>
      <c r="AW759" s="13"/>
      <c r="AX759" s="13"/>
      <c r="AY759" s="14"/>
      <c r="AZ759" s="15"/>
      <c r="BA759" s="15"/>
      <c r="BB759" s="15"/>
      <c r="BC759" s="15"/>
      <c r="BD759" s="15"/>
      <c r="BE759" s="15"/>
      <c r="BF759" s="15"/>
      <c r="BG759" s="15"/>
      <c r="BH759" s="16"/>
      <c r="BI759" s="13"/>
      <c r="EW759" s="13"/>
    </row>
    <row r="760" spans="38:153" ht="10.75" customHeight="1">
      <c r="AL760" s="12"/>
      <c r="AM760" s="12"/>
      <c r="AV760" s="13"/>
      <c r="AW760" s="13"/>
      <c r="AX760" s="13"/>
      <c r="AY760" s="12"/>
      <c r="BH760" s="13"/>
      <c r="BI760" s="13"/>
      <c r="EW760" s="13"/>
    </row>
    <row r="761" spans="38:153" ht="10.75" customHeight="1">
      <c r="AL761" s="12"/>
      <c r="AM761" s="12"/>
      <c r="AV761" s="13"/>
      <c r="AW761" s="13"/>
      <c r="AX761" s="13"/>
      <c r="AY761" s="12"/>
      <c r="BH761" s="13"/>
      <c r="BI761" s="13"/>
      <c r="EW761" s="13"/>
    </row>
    <row r="762" spans="38:153" ht="10.75" customHeight="1">
      <c r="AL762" s="12"/>
      <c r="AM762" s="12"/>
      <c r="AV762" s="13"/>
      <c r="AW762" s="13"/>
      <c r="AX762" s="13"/>
      <c r="AY762" s="12"/>
      <c r="BH762" s="13"/>
      <c r="BI762" s="13"/>
      <c r="EW762" s="13"/>
    </row>
    <row r="763" spans="38:153" ht="10.75" customHeight="1">
      <c r="AL763" s="14"/>
      <c r="AM763" s="14"/>
      <c r="AN763" s="15"/>
      <c r="AO763" s="15"/>
      <c r="AP763" s="15"/>
      <c r="AQ763" s="15"/>
      <c r="AR763" s="15"/>
      <c r="AS763" s="15"/>
      <c r="AT763" s="15"/>
      <c r="AU763" s="15"/>
      <c r="AV763" s="16"/>
      <c r="AW763" s="16"/>
      <c r="AX763" s="16"/>
      <c r="AY763" s="14"/>
      <c r="AZ763" s="15"/>
      <c r="BA763" s="15"/>
      <c r="BB763" s="15"/>
      <c r="BC763" s="15"/>
      <c r="BD763" s="15"/>
      <c r="BE763" s="15"/>
      <c r="BF763" s="15"/>
      <c r="BG763" s="15"/>
      <c r="BH763" s="16"/>
      <c r="BI763" s="16"/>
      <c r="BJ763" s="15"/>
      <c r="BK763" s="15"/>
      <c r="BL763" s="15"/>
      <c r="BM763" s="15"/>
      <c r="BN763" s="15"/>
      <c r="BO763" s="15"/>
      <c r="BP763" s="15"/>
      <c r="BQ763" s="15"/>
      <c r="BR763" s="15"/>
      <c r="BS763" s="15"/>
      <c r="BT763" s="15"/>
      <c r="BU763" s="15"/>
      <c r="BV763" s="15"/>
      <c r="BW763" s="15"/>
      <c r="BX763" s="15"/>
      <c r="BY763" s="15"/>
      <c r="BZ763" s="15"/>
      <c r="CA763" s="15"/>
      <c r="CB763" s="15"/>
      <c r="CC763" s="15"/>
      <c r="CD763" s="15"/>
      <c r="CE763" s="15"/>
      <c r="CF763" s="15"/>
      <c r="CG763" s="15"/>
      <c r="CH763" s="15"/>
      <c r="CI763" s="15"/>
      <c r="CJ763" s="15"/>
      <c r="CK763" s="15"/>
      <c r="CL763" s="15"/>
      <c r="CM763" s="15"/>
      <c r="CN763" s="15"/>
      <c r="CO763" s="15"/>
      <c r="CP763" s="15"/>
      <c r="CQ763" s="15"/>
      <c r="CR763" s="15"/>
      <c r="CS763" s="15"/>
      <c r="CT763" s="15"/>
      <c r="CU763" s="15"/>
      <c r="CV763" s="15"/>
      <c r="CW763" s="15"/>
      <c r="CX763" s="15"/>
      <c r="CY763" s="15"/>
      <c r="CZ763" s="15"/>
      <c r="DA763" s="15"/>
      <c r="DB763" s="15"/>
      <c r="DC763" s="15"/>
      <c r="DD763" s="15"/>
      <c r="DE763" s="15"/>
      <c r="DF763" s="15"/>
      <c r="DG763" s="15"/>
      <c r="DH763" s="15"/>
      <c r="DI763" s="15"/>
      <c r="DJ763" s="15"/>
      <c r="DK763" s="15"/>
      <c r="DL763" s="15"/>
      <c r="DM763" s="15"/>
      <c r="DN763" s="15"/>
      <c r="DO763" s="15"/>
      <c r="DP763" s="15"/>
      <c r="DQ763" s="15"/>
      <c r="DR763" s="15"/>
      <c r="DS763" s="15"/>
      <c r="DT763" s="15"/>
      <c r="DU763" s="15"/>
      <c r="DV763" s="15"/>
      <c r="DW763" s="15"/>
      <c r="DX763" s="15"/>
      <c r="DY763" s="15"/>
      <c r="DZ763" s="15"/>
      <c r="EA763" s="15"/>
      <c r="EB763" s="15"/>
      <c r="EC763" s="15"/>
      <c r="ED763" s="15"/>
      <c r="EE763" s="15"/>
      <c r="EF763" s="15"/>
      <c r="EG763" s="15"/>
      <c r="EH763" s="15"/>
      <c r="EI763" s="15"/>
      <c r="EJ763" s="15"/>
      <c r="EK763" s="15"/>
      <c r="EL763" s="15"/>
      <c r="EM763" s="15"/>
      <c r="EN763" s="15"/>
      <c r="EO763" s="15"/>
      <c r="EP763" s="15"/>
      <c r="EQ763" s="15"/>
      <c r="ER763" s="15"/>
      <c r="ES763" s="15"/>
      <c r="ET763" s="15"/>
      <c r="EU763" s="15"/>
      <c r="EV763" s="15"/>
      <c r="EW763" s="16"/>
    </row>
    <row r="764" spans="38:153" ht="10.75" customHeight="1">
      <c r="AL764" s="12"/>
      <c r="AM764" s="12"/>
      <c r="BH764" s="13"/>
      <c r="BI764" s="13"/>
    </row>
    <row r="765" spans="38:153" ht="10.75" customHeight="1">
      <c r="AL765" s="12"/>
      <c r="AM765" s="12"/>
      <c r="BH765" s="13"/>
      <c r="BI765" s="13"/>
    </row>
    <row r="766" spans="38:153" ht="10.75" customHeight="1">
      <c r="AL766" s="12"/>
      <c r="AM766" s="12"/>
      <c r="BH766" s="13"/>
      <c r="BI766" s="13"/>
    </row>
    <row r="767" spans="38:153" ht="10.75" customHeight="1">
      <c r="AL767" s="12"/>
      <c r="AM767" s="12"/>
      <c r="BH767" s="13"/>
      <c r="BI767" s="13"/>
    </row>
    <row r="768" spans="38:153" ht="10.75" customHeight="1">
      <c r="AL768" s="12"/>
      <c r="AM768" s="12"/>
      <c r="BH768" s="13"/>
      <c r="BI768" s="13"/>
    </row>
    <row r="769" spans="38:61" ht="10.75" customHeight="1">
      <c r="AL769" s="12"/>
      <c r="AM769" s="12"/>
      <c r="BH769" s="13"/>
      <c r="BI769" s="13"/>
    </row>
    <row r="770" spans="38:61" ht="10.75" customHeight="1">
      <c r="AL770" s="12"/>
      <c r="AM770" s="12"/>
      <c r="BH770" s="13"/>
      <c r="BI770" s="13"/>
    </row>
    <row r="771" spans="38:61" ht="10.75" customHeight="1">
      <c r="AL771" s="12"/>
      <c r="AM771" s="12"/>
      <c r="BH771" s="13"/>
      <c r="BI771" s="13"/>
    </row>
    <row r="772" spans="38:61" ht="10.75" customHeight="1">
      <c r="AL772" s="12"/>
      <c r="AM772" s="12"/>
      <c r="BH772" s="13"/>
      <c r="BI772" s="13"/>
    </row>
    <row r="773" spans="38:61" ht="10.75" customHeight="1">
      <c r="AL773" s="12"/>
      <c r="AM773" s="12"/>
      <c r="BH773" s="13"/>
      <c r="BI773" s="13"/>
    </row>
    <row r="774" spans="38:61" ht="10.75" customHeight="1">
      <c r="AL774" s="12"/>
      <c r="AM774" s="12"/>
      <c r="BH774" s="13"/>
      <c r="BI774" s="13"/>
    </row>
    <row r="775" spans="38:61" ht="10.75" customHeight="1">
      <c r="AL775" s="20"/>
      <c r="AM775" s="20"/>
      <c r="AN775" s="21"/>
      <c r="AO775" s="21"/>
      <c r="AP775" s="21"/>
      <c r="AQ775" s="21"/>
      <c r="AR775" s="21"/>
      <c r="AS775" s="21"/>
      <c r="AT775" s="21"/>
      <c r="AU775" s="21"/>
      <c r="AV775" s="21"/>
      <c r="AW775" s="21"/>
      <c r="AX775" s="21"/>
      <c r="AY775" s="21"/>
      <c r="AZ775" s="21"/>
      <c r="BA775" s="21"/>
      <c r="BB775" s="21"/>
      <c r="BC775" s="21"/>
      <c r="BD775" s="21"/>
      <c r="BE775" s="21"/>
      <c r="BF775" s="21"/>
      <c r="BG775" s="21"/>
      <c r="BH775" s="22"/>
      <c r="BI775" s="22"/>
    </row>
    <row r="806" spans="82:634" ht="10.75" customHeight="1">
      <c r="JO806" s="9"/>
      <c r="JP806" s="10"/>
      <c r="JQ806" s="10"/>
      <c r="JR806" s="10"/>
      <c r="JS806" s="10"/>
      <c r="JT806" s="10"/>
      <c r="JU806" s="10"/>
      <c r="JV806" s="10"/>
      <c r="JW806" s="10"/>
      <c r="JX806" s="10"/>
      <c r="JY806" s="10"/>
      <c r="JZ806" s="10"/>
      <c r="KA806" s="10"/>
      <c r="KB806" s="10"/>
      <c r="KC806" s="10"/>
      <c r="KD806" s="10"/>
      <c r="KE806" s="10"/>
      <c r="KF806" s="10"/>
      <c r="KG806" s="10"/>
      <c r="KH806" s="10"/>
      <c r="KI806" s="10"/>
      <c r="KJ806" s="10"/>
      <c r="KK806" s="10"/>
      <c r="KL806" s="10"/>
      <c r="KM806" s="10"/>
      <c r="KN806" s="10"/>
      <c r="KO806" s="10"/>
      <c r="KP806" s="10"/>
      <c r="KQ806" s="10"/>
      <c r="KR806" s="10"/>
      <c r="KS806" s="10"/>
      <c r="KT806" s="10"/>
      <c r="KU806" s="10"/>
      <c r="KV806" s="10"/>
      <c r="KW806" s="10"/>
      <c r="KX806" s="10"/>
      <c r="KY806" s="10"/>
      <c r="KZ806" s="10"/>
      <c r="LA806" s="10"/>
      <c r="LB806" s="10"/>
      <c r="LC806" s="10"/>
      <c r="LD806" s="10"/>
      <c r="LE806" s="10"/>
      <c r="LF806" s="10"/>
      <c r="LG806" s="10"/>
      <c r="LH806" s="10"/>
      <c r="LI806" s="10"/>
      <c r="LJ806" s="10"/>
      <c r="LK806" s="10"/>
      <c r="LL806" s="10"/>
      <c r="LM806" s="10"/>
      <c r="LN806" s="10"/>
      <c r="LO806" s="10"/>
      <c r="LP806" s="10"/>
      <c r="LQ806" s="10"/>
      <c r="LR806" s="10"/>
      <c r="LS806" s="10"/>
      <c r="LT806" s="10"/>
      <c r="LU806" s="10"/>
      <c r="LV806" s="10"/>
      <c r="LW806" s="10"/>
      <c r="LX806" s="10"/>
      <c r="LY806" s="11"/>
      <c r="LZ806" s="10"/>
      <c r="MA806" s="10"/>
      <c r="MB806" s="10"/>
      <c r="MC806" s="10"/>
      <c r="MD806" s="10"/>
      <c r="ME806" s="10"/>
      <c r="MF806" s="10"/>
      <c r="MG806" s="10"/>
      <c r="MH806" s="10"/>
      <c r="MI806" s="10"/>
      <c r="MJ806" s="10"/>
      <c r="MK806" s="10"/>
      <c r="ML806" s="10"/>
      <c r="MM806" s="10"/>
      <c r="MN806" s="10"/>
      <c r="MO806" s="10"/>
      <c r="MP806" s="10"/>
      <c r="MQ806" s="10"/>
      <c r="MR806" s="10"/>
      <c r="MS806" s="10"/>
      <c r="MT806" s="10"/>
      <c r="MU806" s="10"/>
      <c r="MV806" s="10"/>
      <c r="MW806" s="10"/>
      <c r="MX806" s="10"/>
      <c r="MY806" s="10"/>
      <c r="MZ806" s="10"/>
      <c r="NA806" s="10"/>
      <c r="NB806" s="10"/>
      <c r="NC806" s="10"/>
      <c r="ND806" s="10"/>
      <c r="NE806" s="10"/>
      <c r="NF806" s="10"/>
      <c r="NG806" s="10"/>
      <c r="NH806" s="10"/>
      <c r="NI806" s="10"/>
      <c r="NJ806" s="10"/>
      <c r="NK806" s="10"/>
      <c r="NL806" s="10"/>
      <c r="NM806" s="10"/>
      <c r="NN806" s="10"/>
      <c r="NO806" s="10"/>
      <c r="NP806" s="10"/>
      <c r="NQ806" s="10"/>
      <c r="NR806" s="10"/>
      <c r="NS806" s="10"/>
      <c r="NT806" s="10"/>
      <c r="NU806" s="10"/>
      <c r="NV806" s="10"/>
      <c r="NW806" s="10"/>
      <c r="NX806" s="10"/>
      <c r="NY806" s="10"/>
      <c r="NZ806" s="10"/>
      <c r="OA806" s="10"/>
      <c r="OB806" s="10"/>
      <c r="OC806" s="10"/>
      <c r="OD806" s="10"/>
      <c r="OE806" s="10"/>
      <c r="OF806" s="10"/>
      <c r="OG806" s="10"/>
      <c r="OH806" s="10"/>
      <c r="OI806" s="10"/>
      <c r="OJ806" s="10"/>
      <c r="OK806" s="10"/>
      <c r="OL806" s="10"/>
      <c r="OM806" s="10"/>
      <c r="ON806" s="10"/>
      <c r="OO806" s="10"/>
      <c r="OP806" s="10"/>
      <c r="OQ806" s="10"/>
      <c r="OR806" s="10"/>
      <c r="OS806" s="10"/>
      <c r="OT806" s="10"/>
      <c r="OU806" s="10"/>
      <c r="OV806" s="10"/>
      <c r="OW806" s="10"/>
      <c r="OX806" s="10"/>
      <c r="OY806" s="10"/>
      <c r="OZ806" s="10"/>
      <c r="PA806" s="10"/>
      <c r="PB806" s="10"/>
      <c r="PC806" s="10"/>
      <c r="PD806" s="10"/>
      <c r="PE806" s="10"/>
      <c r="PF806" s="10"/>
      <c r="PG806" s="10"/>
      <c r="PH806" s="10"/>
      <c r="PI806" s="10"/>
      <c r="PJ806" s="10"/>
      <c r="PK806" s="10"/>
      <c r="PL806" s="10"/>
      <c r="PM806" s="10"/>
      <c r="PN806" s="10"/>
      <c r="PO806" s="10"/>
      <c r="PP806" s="10"/>
      <c r="PQ806" s="10"/>
      <c r="PR806" s="10"/>
      <c r="PS806" s="10"/>
      <c r="PT806" s="10"/>
      <c r="PU806" s="10"/>
      <c r="PV806" s="10"/>
      <c r="PW806" s="10"/>
      <c r="PX806" s="10"/>
      <c r="PY806" s="10"/>
      <c r="PZ806" s="10"/>
      <c r="QA806" s="10"/>
      <c r="QB806" s="10"/>
      <c r="QC806" s="10"/>
      <c r="QD806" s="10"/>
      <c r="QE806" s="10"/>
      <c r="QF806" s="10"/>
      <c r="QG806" s="10"/>
      <c r="QH806" s="10"/>
      <c r="QI806" s="10"/>
      <c r="QJ806" s="10"/>
      <c r="QK806" s="10"/>
      <c r="QL806" s="10"/>
      <c r="QM806" s="10"/>
      <c r="QN806" s="10"/>
      <c r="QO806" s="10"/>
      <c r="QP806" s="10"/>
      <c r="QQ806" s="10"/>
      <c r="QR806" s="10"/>
      <c r="QS806" s="10"/>
      <c r="QT806" s="10"/>
      <c r="QU806" s="10"/>
      <c r="QV806" s="10"/>
      <c r="QW806" s="10"/>
      <c r="QX806" s="10"/>
      <c r="QY806" s="10"/>
      <c r="QZ806" s="10"/>
      <c r="RA806" s="10"/>
      <c r="RB806" s="10"/>
      <c r="RC806" s="10"/>
      <c r="RD806" s="10"/>
      <c r="RE806" s="10"/>
      <c r="RF806" s="10"/>
      <c r="RG806" s="10"/>
      <c r="RH806" s="10"/>
      <c r="RI806" s="10"/>
      <c r="RJ806" s="10"/>
      <c r="RK806" s="10"/>
      <c r="RL806" s="10"/>
      <c r="RM806" s="11"/>
      <c r="RN806" s="10"/>
      <c r="RO806" s="10"/>
      <c r="RP806" s="10"/>
      <c r="RQ806" s="10"/>
      <c r="RR806" s="10"/>
      <c r="RS806" s="10"/>
      <c r="RT806" s="10"/>
      <c r="RU806" s="10"/>
      <c r="RV806" s="10"/>
      <c r="RW806" s="10"/>
      <c r="RX806" s="10"/>
      <c r="RY806" s="10"/>
      <c r="RZ806" s="10"/>
      <c r="SA806" s="10"/>
      <c r="SB806" s="10"/>
      <c r="SC806" s="10"/>
      <c r="SD806" s="10"/>
      <c r="SE806" s="10"/>
      <c r="SF806" s="10"/>
      <c r="SG806" s="10"/>
      <c r="SH806" s="10"/>
      <c r="SI806" s="10"/>
      <c r="SJ806" s="10"/>
      <c r="SK806" s="10"/>
      <c r="SL806" s="10"/>
      <c r="SM806" s="10"/>
      <c r="SN806" s="10"/>
      <c r="SO806" s="10"/>
      <c r="SP806" s="10"/>
      <c r="SQ806" s="10"/>
      <c r="SR806" s="10"/>
      <c r="SS806" s="10"/>
      <c r="ST806" s="10"/>
      <c r="SU806" s="10"/>
      <c r="SV806" s="10"/>
      <c r="SW806" s="10"/>
      <c r="SX806" s="10"/>
      <c r="SY806" s="10"/>
      <c r="SZ806" s="10"/>
      <c r="TA806" s="10"/>
      <c r="TB806" s="10"/>
      <c r="TC806" s="10"/>
      <c r="TD806" s="10"/>
      <c r="TE806" s="10"/>
      <c r="TF806" s="10"/>
      <c r="TG806" s="10"/>
      <c r="TH806" s="10"/>
      <c r="TI806" s="10"/>
      <c r="TJ806" s="10"/>
      <c r="TK806" s="10"/>
      <c r="TL806" s="10"/>
      <c r="TM806" s="10"/>
      <c r="TN806" s="10"/>
      <c r="TO806" s="10"/>
      <c r="TP806" s="10"/>
      <c r="TQ806" s="10"/>
      <c r="TR806" s="10"/>
      <c r="TS806" s="10"/>
      <c r="TT806" s="10"/>
      <c r="TU806" s="10"/>
      <c r="TV806" s="10"/>
      <c r="TW806" s="10"/>
      <c r="TX806" s="10"/>
      <c r="TY806" s="10"/>
      <c r="TZ806" s="10"/>
      <c r="UA806" s="10"/>
      <c r="UB806" s="10"/>
      <c r="UC806" s="10"/>
      <c r="UD806" s="10"/>
      <c r="UE806" s="10"/>
      <c r="UF806" s="10"/>
      <c r="UG806" s="10"/>
      <c r="UH806" s="10"/>
      <c r="UI806" s="10"/>
      <c r="UJ806" s="10"/>
      <c r="UK806" s="10"/>
      <c r="UL806" s="10"/>
      <c r="UM806" s="10"/>
      <c r="UN806" s="10"/>
      <c r="UO806" s="10"/>
      <c r="UP806" s="10"/>
      <c r="UQ806" s="10"/>
      <c r="UR806" s="10"/>
      <c r="US806" s="10"/>
      <c r="UT806" s="10"/>
      <c r="UU806" s="10"/>
      <c r="UV806" s="10"/>
      <c r="UW806" s="10"/>
      <c r="UX806" s="10"/>
      <c r="UY806" s="10"/>
      <c r="UZ806" s="10"/>
      <c r="VA806" s="10"/>
      <c r="VB806" s="10"/>
      <c r="VC806" s="10"/>
      <c r="VD806" s="10"/>
      <c r="VE806" s="10"/>
      <c r="VF806" s="10"/>
      <c r="VG806" s="10"/>
      <c r="VH806" s="10"/>
      <c r="VI806" s="10"/>
      <c r="VJ806" s="10"/>
      <c r="VK806" s="10"/>
      <c r="VL806" s="10"/>
      <c r="VM806" s="10"/>
      <c r="VN806" s="10"/>
      <c r="VO806" s="10"/>
      <c r="VP806" s="10"/>
      <c r="VQ806" s="10"/>
      <c r="VR806" s="10"/>
      <c r="VS806" s="10"/>
      <c r="VT806" s="10"/>
      <c r="VU806" s="10"/>
      <c r="VV806" s="10"/>
      <c r="VW806" s="10"/>
      <c r="VX806" s="10"/>
      <c r="VY806" s="10"/>
      <c r="VZ806" s="10"/>
      <c r="WA806" s="10"/>
      <c r="WB806" s="10"/>
      <c r="WC806" s="10"/>
      <c r="WD806" s="10"/>
      <c r="WE806" s="10"/>
      <c r="WF806" s="10"/>
      <c r="WG806" s="10"/>
      <c r="WH806" s="10"/>
      <c r="WI806" s="10"/>
      <c r="WJ806" s="10"/>
      <c r="WK806" s="10"/>
      <c r="WL806" s="10"/>
      <c r="WM806" s="10"/>
      <c r="WN806" s="10"/>
      <c r="WO806" s="10"/>
      <c r="WP806" s="10"/>
      <c r="WQ806" s="10"/>
      <c r="WR806" s="10"/>
      <c r="WS806" s="10"/>
      <c r="WT806" s="10"/>
      <c r="WU806" s="10"/>
      <c r="WV806" s="10"/>
      <c r="WW806" s="10"/>
      <c r="WX806" s="10"/>
      <c r="WY806" s="10"/>
      <c r="WZ806" s="10"/>
      <c r="XA806" s="10"/>
      <c r="XB806" s="10"/>
      <c r="XC806" s="10"/>
      <c r="XD806" s="10"/>
      <c r="XE806" s="10"/>
      <c r="XF806" s="10"/>
      <c r="XG806" s="10"/>
      <c r="XH806" s="10"/>
      <c r="XI806" s="10"/>
      <c r="XJ806" s="11"/>
    </row>
    <row r="807" spans="82:634" ht="10.75" customHeight="1">
      <c r="CD807" s="226"/>
      <c r="CE807" s="227"/>
      <c r="CF807" s="227"/>
      <c r="CG807" s="227"/>
      <c r="CH807" s="227"/>
      <c r="CI807" s="227"/>
      <c r="CJ807" s="227"/>
      <c r="CK807" s="227"/>
      <c r="CL807" s="227"/>
      <c r="CM807" s="227"/>
      <c r="CN807" s="227"/>
      <c r="CO807" s="227"/>
      <c r="CP807" s="227"/>
      <c r="CQ807" s="227"/>
      <c r="CR807" s="227"/>
      <c r="CS807" s="227"/>
      <c r="CT807" s="227"/>
      <c r="CU807" s="227"/>
      <c r="CV807" s="227"/>
      <c r="CW807" s="227"/>
      <c r="CX807" s="227"/>
      <c r="CY807" s="227"/>
      <c r="CZ807" s="227"/>
      <c r="DA807" s="227"/>
      <c r="DB807" s="227"/>
      <c r="DC807" s="227"/>
      <c r="DD807" s="227"/>
      <c r="DE807" s="227"/>
      <c r="DF807" s="227"/>
      <c r="DG807" s="227"/>
      <c r="DH807" s="227"/>
      <c r="DI807" s="227"/>
      <c r="DJ807" s="227"/>
      <c r="DK807" s="227"/>
      <c r="DL807" s="227"/>
      <c r="DM807" s="227"/>
      <c r="DN807" s="227"/>
      <c r="DO807" s="227"/>
      <c r="DP807" s="227"/>
      <c r="DQ807" s="227"/>
      <c r="DR807" s="227"/>
      <c r="DS807" s="227"/>
      <c r="DT807" s="227"/>
      <c r="DU807" s="227"/>
      <c r="DV807" s="227"/>
      <c r="DW807" s="227"/>
      <c r="DX807" s="227"/>
      <c r="DY807" s="227"/>
      <c r="DZ807" s="227"/>
      <c r="EA807" s="227"/>
      <c r="EB807" s="227"/>
      <c r="EC807" s="227"/>
      <c r="ED807" s="227"/>
      <c r="EE807" s="227"/>
      <c r="EF807" s="227"/>
      <c r="EG807" s="227"/>
      <c r="EH807" s="227"/>
      <c r="EI807" s="227"/>
      <c r="EJ807" s="227"/>
      <c r="EK807" s="227"/>
      <c r="EL807" s="227"/>
      <c r="EM807" s="227"/>
      <c r="EN807" s="227"/>
      <c r="EO807" s="227"/>
      <c r="EP807" s="227"/>
      <c r="EQ807" s="227"/>
      <c r="ER807" s="227"/>
      <c r="ES807" s="227"/>
      <c r="ET807" s="227"/>
      <c r="EU807" s="227"/>
      <c r="EV807" s="227"/>
      <c r="EW807" s="227"/>
      <c r="EX807" s="227"/>
      <c r="EY807" s="227"/>
      <c r="EZ807" s="227"/>
      <c r="FA807" s="227"/>
      <c r="FB807" s="227"/>
      <c r="FC807" s="227"/>
      <c r="FD807" s="227"/>
      <c r="FE807" s="227"/>
      <c r="FF807" s="227"/>
      <c r="FG807" s="227"/>
      <c r="FH807" s="227"/>
      <c r="FI807" s="227"/>
      <c r="FJ807" s="227"/>
      <c r="FK807" s="227"/>
      <c r="FL807" s="227"/>
      <c r="FM807" s="227"/>
      <c r="FN807" s="227"/>
      <c r="FO807" s="227"/>
      <c r="FP807" s="227"/>
      <c r="FQ807" s="227"/>
      <c r="FR807" s="227"/>
      <c r="FS807" s="227"/>
      <c r="FT807" s="227"/>
      <c r="FU807" s="227"/>
      <c r="FV807" s="227"/>
      <c r="FW807" s="227"/>
      <c r="FX807" s="227"/>
      <c r="FY807" s="227"/>
      <c r="FZ807" s="227"/>
      <c r="GA807" s="227"/>
      <c r="GB807" s="227"/>
      <c r="GC807" s="227"/>
      <c r="GD807" s="227"/>
      <c r="GE807" s="227"/>
      <c r="GF807" s="227"/>
      <c r="GG807" s="227"/>
      <c r="GH807" s="227"/>
      <c r="GI807" s="227"/>
      <c r="GJ807" s="227"/>
      <c r="GK807" s="227"/>
      <c r="GL807" s="227"/>
      <c r="GM807" s="227"/>
      <c r="GN807" s="227"/>
      <c r="GO807" s="227"/>
      <c r="GP807" s="227"/>
      <c r="GQ807" s="227"/>
      <c r="GR807" s="227"/>
      <c r="GS807" s="227"/>
      <c r="GT807" s="227"/>
      <c r="GU807" s="227"/>
      <c r="GV807" s="227"/>
      <c r="GW807" s="227"/>
      <c r="GX807" s="227"/>
      <c r="GY807" s="227"/>
      <c r="GZ807" s="227"/>
      <c r="HA807" s="227"/>
      <c r="HB807" s="227"/>
      <c r="HC807" s="227"/>
      <c r="HD807" s="227"/>
      <c r="HE807" s="227"/>
      <c r="HF807" s="227"/>
      <c r="HG807" s="227"/>
      <c r="HH807" s="227"/>
      <c r="HI807" s="228"/>
      <c r="JO807" s="12"/>
      <c r="LY807" s="13"/>
      <c r="RM807" s="13"/>
      <c r="XJ807" s="13"/>
    </row>
    <row r="808" spans="82:634" ht="10.75" customHeight="1">
      <c r="CD808" s="229"/>
      <c r="CE808" s="231"/>
      <c r="CF808" s="231"/>
      <c r="CG808" s="231"/>
      <c r="CH808" s="231"/>
      <c r="CI808" s="231"/>
      <c r="CJ808" s="231"/>
      <c r="CK808" s="231"/>
      <c r="CL808" s="231"/>
      <c r="CM808" s="231"/>
      <c r="CN808" s="231"/>
      <c r="CO808" s="231"/>
      <c r="CP808" s="231"/>
      <c r="CQ808" s="231"/>
      <c r="CR808" s="231"/>
      <c r="CS808" s="231"/>
      <c r="CT808" s="231"/>
      <c r="CU808" s="231"/>
      <c r="CV808" s="231"/>
      <c r="CW808" s="231"/>
      <c r="CX808" s="231"/>
      <c r="CY808" s="231"/>
      <c r="CZ808" s="231"/>
      <c r="DA808" s="231"/>
      <c r="DB808" s="231"/>
      <c r="DC808" s="231"/>
      <c r="DD808" s="231"/>
      <c r="DE808" s="231"/>
      <c r="DF808" s="231"/>
      <c r="DG808" s="231"/>
      <c r="DH808" s="231"/>
      <c r="DI808" s="231"/>
      <c r="DJ808" s="231"/>
      <c r="DK808" s="231"/>
      <c r="DL808" s="231"/>
      <c r="DM808" s="231"/>
      <c r="DN808" s="231"/>
      <c r="DO808" s="231"/>
      <c r="DP808" s="231"/>
      <c r="DQ808" s="231"/>
      <c r="DR808" s="231"/>
      <c r="DS808" s="231"/>
      <c r="DT808" s="231"/>
      <c r="DU808" s="231"/>
      <c r="DV808" s="231"/>
      <c r="DW808" s="231"/>
      <c r="DX808" s="231"/>
      <c r="DY808" s="231"/>
      <c r="DZ808" s="231"/>
      <c r="EA808" s="231"/>
      <c r="EB808" s="231"/>
      <c r="EC808" s="231"/>
      <c r="ED808" s="231"/>
      <c r="EE808" s="231"/>
      <c r="EF808" s="231"/>
      <c r="EG808" s="231"/>
      <c r="EH808" s="231"/>
      <c r="EI808" s="231"/>
      <c r="EJ808" s="231"/>
      <c r="EK808" s="231"/>
      <c r="EL808" s="231"/>
      <c r="EM808" s="231"/>
      <c r="EN808" s="231"/>
      <c r="EO808" s="231"/>
      <c r="EP808" s="231"/>
      <c r="EQ808" s="231"/>
      <c r="ER808" s="231"/>
      <c r="ES808" s="231"/>
      <c r="ET808" s="231"/>
      <c r="EU808" s="231"/>
      <c r="EV808" s="231"/>
      <c r="EW808" s="231"/>
      <c r="EX808" s="231"/>
      <c r="EY808" s="231"/>
      <c r="EZ808" s="231"/>
      <c r="FA808" s="231"/>
      <c r="FB808" s="231"/>
      <c r="FC808" s="231"/>
      <c r="FD808" s="231"/>
      <c r="FE808" s="231"/>
      <c r="FF808" s="231"/>
      <c r="FG808" s="231"/>
      <c r="FH808" s="231"/>
      <c r="FI808" s="231"/>
      <c r="FJ808" s="231"/>
      <c r="FK808" s="231"/>
      <c r="FL808" s="231"/>
      <c r="FM808" s="231"/>
      <c r="FN808" s="231"/>
      <c r="FO808" s="231"/>
      <c r="FP808" s="231"/>
      <c r="FQ808" s="231"/>
      <c r="FR808" s="231"/>
      <c r="FS808" s="231"/>
      <c r="FT808" s="231"/>
      <c r="FU808" s="231"/>
      <c r="FV808" s="231"/>
      <c r="FW808" s="231"/>
      <c r="FX808" s="231"/>
      <c r="FY808" s="231"/>
      <c r="FZ808" s="231"/>
      <c r="GA808" s="231"/>
      <c r="GB808" s="231"/>
      <c r="GC808" s="231"/>
      <c r="GD808" s="231"/>
      <c r="GE808" s="231"/>
      <c r="GF808" s="231"/>
      <c r="GG808" s="231"/>
      <c r="GH808" s="231"/>
      <c r="GI808" s="231"/>
      <c r="GJ808" s="231"/>
      <c r="GK808" s="231"/>
      <c r="GL808" s="231"/>
      <c r="GM808" s="231"/>
      <c r="GN808" s="231"/>
      <c r="GO808" s="231"/>
      <c r="GP808" s="231"/>
      <c r="GQ808" s="231"/>
      <c r="GR808" s="231"/>
      <c r="GS808" s="231"/>
      <c r="GT808" s="231"/>
      <c r="GU808" s="231"/>
      <c r="GV808" s="231"/>
      <c r="GW808" s="231"/>
      <c r="GX808" s="231"/>
      <c r="GY808" s="231"/>
      <c r="GZ808" s="231"/>
      <c r="HA808" s="231"/>
      <c r="HB808" s="231"/>
      <c r="HC808" s="231"/>
      <c r="HD808" s="231"/>
      <c r="HE808" s="231"/>
      <c r="HF808" s="231"/>
      <c r="HG808" s="231"/>
      <c r="HH808" s="231"/>
      <c r="HI808" s="232"/>
      <c r="JO808" s="12"/>
      <c r="LY808" s="13"/>
      <c r="RM808" s="13"/>
      <c r="XJ808" s="13"/>
    </row>
    <row r="809" spans="82:634" ht="10.75" customHeight="1">
      <c r="CD809" s="229"/>
      <c r="CE809" s="231"/>
      <c r="CF809" s="231"/>
      <c r="CG809" s="231"/>
      <c r="CH809" s="231"/>
      <c r="CI809" s="231"/>
      <c r="CJ809" s="231"/>
      <c r="CK809" s="231"/>
      <c r="CL809" s="231"/>
      <c r="CM809" s="231"/>
      <c r="CN809" s="231"/>
      <c r="CO809" s="231"/>
      <c r="CP809" s="231"/>
      <c r="CQ809" s="231"/>
      <c r="CR809" s="231"/>
      <c r="CS809" s="231"/>
      <c r="CT809" s="231"/>
      <c r="CU809" s="231"/>
      <c r="CV809" s="231"/>
      <c r="CW809" s="231"/>
      <c r="CX809" s="231"/>
      <c r="CY809" s="231"/>
      <c r="CZ809" s="231"/>
      <c r="DA809" s="231"/>
      <c r="DB809" s="231"/>
      <c r="DC809" s="231"/>
      <c r="DD809" s="231"/>
      <c r="DE809" s="231"/>
      <c r="DF809" s="231"/>
      <c r="DG809" s="231"/>
      <c r="DH809" s="231"/>
      <c r="DI809" s="231"/>
      <c r="DJ809" s="231"/>
      <c r="DK809" s="231"/>
      <c r="DL809" s="231"/>
      <c r="DM809" s="231"/>
      <c r="DN809" s="231"/>
      <c r="DO809" s="231"/>
      <c r="DP809" s="231"/>
      <c r="DQ809" s="231"/>
      <c r="DR809" s="231"/>
      <c r="DS809" s="231"/>
      <c r="DT809" s="231"/>
      <c r="DU809" s="231"/>
      <c r="DV809" s="231"/>
      <c r="DW809" s="231"/>
      <c r="DX809" s="231"/>
      <c r="DY809" s="231"/>
      <c r="DZ809" s="231"/>
      <c r="EA809" s="231"/>
      <c r="EB809" s="231"/>
      <c r="EC809" s="231"/>
      <c r="ED809" s="231"/>
      <c r="EE809" s="231"/>
      <c r="EF809" s="231"/>
      <c r="EG809" s="231"/>
      <c r="EH809" s="231"/>
      <c r="EI809" s="231"/>
      <c r="EJ809" s="231"/>
      <c r="EK809" s="231"/>
      <c r="EL809" s="231"/>
      <c r="EM809" s="231"/>
      <c r="EN809" s="231"/>
      <c r="EO809" s="231"/>
      <c r="EP809" s="231"/>
      <c r="EQ809" s="231"/>
      <c r="ER809" s="231"/>
      <c r="ES809" s="231"/>
      <c r="ET809" s="231"/>
      <c r="EU809" s="231"/>
      <c r="EV809" s="231"/>
      <c r="EW809" s="231"/>
      <c r="EX809" s="231"/>
      <c r="EY809" s="231"/>
      <c r="EZ809" s="231"/>
      <c r="FA809" s="231"/>
      <c r="FB809" s="231"/>
      <c r="FC809" s="231"/>
      <c r="FD809" s="231"/>
      <c r="FE809" s="231"/>
      <c r="FF809" s="231"/>
      <c r="FG809" s="231"/>
      <c r="FH809" s="231"/>
      <c r="FI809" s="231"/>
      <c r="FJ809" s="231"/>
      <c r="FK809" s="231"/>
      <c r="FL809" s="231"/>
      <c r="FM809" s="231"/>
      <c r="FN809" s="231"/>
      <c r="FO809" s="231"/>
      <c r="FP809" s="231"/>
      <c r="FQ809" s="231"/>
      <c r="FR809" s="231"/>
      <c r="FS809" s="231"/>
      <c r="FT809" s="231"/>
      <c r="FU809" s="231"/>
      <c r="FV809" s="231"/>
      <c r="FW809" s="231"/>
      <c r="FX809" s="231"/>
      <c r="FY809" s="231"/>
      <c r="FZ809" s="231"/>
      <c r="GA809" s="231"/>
      <c r="GB809" s="231"/>
      <c r="GC809" s="231"/>
      <c r="GD809" s="231"/>
      <c r="GE809" s="231"/>
      <c r="GF809" s="231"/>
      <c r="GG809" s="231"/>
      <c r="GH809" s="231"/>
      <c r="GI809" s="231"/>
      <c r="GJ809" s="231"/>
      <c r="GK809" s="231"/>
      <c r="GL809" s="231"/>
      <c r="GM809" s="231"/>
      <c r="GN809" s="231"/>
      <c r="GO809" s="231"/>
      <c r="GP809" s="231"/>
      <c r="GQ809" s="231"/>
      <c r="GR809" s="231"/>
      <c r="GS809" s="231"/>
      <c r="GT809" s="231"/>
      <c r="GU809" s="231"/>
      <c r="GV809" s="231"/>
      <c r="GW809" s="231"/>
      <c r="GX809" s="231"/>
      <c r="GY809" s="231"/>
      <c r="GZ809" s="231"/>
      <c r="HA809" s="231"/>
      <c r="HB809" s="231"/>
      <c r="HC809" s="231"/>
      <c r="HD809" s="231"/>
      <c r="HE809" s="231"/>
      <c r="HF809" s="231"/>
      <c r="HG809" s="231"/>
      <c r="HH809" s="231"/>
      <c r="HI809" s="232"/>
      <c r="JO809" s="12"/>
      <c r="LY809" s="13"/>
      <c r="RM809" s="13"/>
      <c r="XJ809" s="13"/>
    </row>
    <row r="810" spans="82:634" ht="10.75" customHeight="1">
      <c r="CD810" s="229"/>
      <c r="CE810" s="231"/>
      <c r="CF810" s="231"/>
      <c r="CG810" s="231"/>
      <c r="CH810" s="231"/>
      <c r="CI810" s="231"/>
      <c r="CJ810" s="231"/>
      <c r="CK810" s="231"/>
      <c r="CL810" s="231"/>
      <c r="CM810" s="231"/>
      <c r="CN810" s="231"/>
      <c r="CO810" s="231"/>
      <c r="CP810" s="231"/>
      <c r="CQ810" s="231"/>
      <c r="CR810" s="231"/>
      <c r="CS810" s="231"/>
      <c r="CT810" s="231"/>
      <c r="CU810" s="231"/>
      <c r="CV810" s="231"/>
      <c r="CW810" s="231"/>
      <c r="CX810" s="231"/>
      <c r="CY810" s="231"/>
      <c r="CZ810" s="231"/>
      <c r="DA810" s="231"/>
      <c r="DB810" s="231"/>
      <c r="DC810" s="231"/>
      <c r="DD810" s="231"/>
      <c r="DE810" s="231"/>
      <c r="DF810" s="231"/>
      <c r="DG810" s="231"/>
      <c r="DH810" s="231"/>
      <c r="DI810" s="231"/>
      <c r="DJ810" s="231"/>
      <c r="DK810" s="231"/>
      <c r="DL810" s="231"/>
      <c r="DM810" s="231"/>
      <c r="DN810" s="231"/>
      <c r="DO810" s="231"/>
      <c r="DP810" s="231"/>
      <c r="DQ810" s="231"/>
      <c r="DR810" s="231"/>
      <c r="DS810" s="231"/>
      <c r="DT810" s="231"/>
      <c r="DU810" s="231"/>
      <c r="DV810" s="231"/>
      <c r="DW810" s="231"/>
      <c r="DX810" s="231"/>
      <c r="DY810" s="231"/>
      <c r="DZ810" s="231"/>
      <c r="EA810" s="231"/>
      <c r="EB810" s="231"/>
      <c r="EC810" s="231"/>
      <c r="ED810" s="231"/>
      <c r="EE810" s="231"/>
      <c r="EF810" s="231"/>
      <c r="EG810" s="231"/>
      <c r="EH810" s="231"/>
      <c r="EI810" s="231"/>
      <c r="EJ810" s="231"/>
      <c r="EK810" s="231"/>
      <c r="EL810" s="231"/>
      <c r="EM810" s="231"/>
      <c r="EN810" s="231"/>
      <c r="EO810" s="231"/>
      <c r="EP810" s="231"/>
      <c r="EQ810" s="231"/>
      <c r="ER810" s="231"/>
      <c r="ES810" s="231"/>
      <c r="ET810" s="231"/>
      <c r="EU810" s="231"/>
      <c r="EV810" s="231"/>
      <c r="EW810" s="231"/>
      <c r="EX810" s="231"/>
      <c r="EY810" s="231"/>
      <c r="EZ810" s="231"/>
      <c r="FA810" s="231"/>
      <c r="FB810" s="231"/>
      <c r="FC810" s="231"/>
      <c r="FD810" s="231"/>
      <c r="FE810" s="231"/>
      <c r="FF810" s="231"/>
      <c r="FG810" s="231"/>
      <c r="FH810" s="231"/>
      <c r="FI810" s="231"/>
      <c r="FJ810" s="231"/>
      <c r="FK810" s="231"/>
      <c r="FL810" s="231"/>
      <c r="FM810" s="231"/>
      <c r="FN810" s="231"/>
      <c r="FO810" s="231"/>
      <c r="FP810" s="231"/>
      <c r="FQ810" s="231"/>
      <c r="FR810" s="231"/>
      <c r="FS810" s="231"/>
      <c r="FT810" s="231"/>
      <c r="FU810" s="231"/>
      <c r="FV810" s="231"/>
      <c r="FW810" s="231"/>
      <c r="FX810" s="231"/>
      <c r="FY810" s="231"/>
      <c r="FZ810" s="231"/>
      <c r="GA810" s="231"/>
      <c r="GB810" s="231"/>
      <c r="GC810" s="231"/>
      <c r="GD810" s="231"/>
      <c r="GE810" s="231"/>
      <c r="GF810" s="231"/>
      <c r="GG810" s="231"/>
      <c r="GH810" s="231"/>
      <c r="GI810" s="231"/>
      <c r="GJ810" s="231"/>
      <c r="GK810" s="231"/>
      <c r="GL810" s="231"/>
      <c r="GM810" s="231"/>
      <c r="GN810" s="231"/>
      <c r="GO810" s="231"/>
      <c r="GP810" s="231"/>
      <c r="GQ810" s="231"/>
      <c r="GR810" s="231"/>
      <c r="GS810" s="231"/>
      <c r="GT810" s="231"/>
      <c r="GU810" s="231"/>
      <c r="GV810" s="231"/>
      <c r="GW810" s="231"/>
      <c r="GX810" s="231"/>
      <c r="GY810" s="231"/>
      <c r="GZ810" s="231"/>
      <c r="HA810" s="231"/>
      <c r="HB810" s="231"/>
      <c r="HC810" s="231"/>
      <c r="HD810" s="231"/>
      <c r="HE810" s="231"/>
      <c r="HF810" s="231"/>
      <c r="HG810" s="231"/>
      <c r="HH810" s="231"/>
      <c r="HI810" s="232"/>
      <c r="JO810" s="12"/>
      <c r="LY810" s="13"/>
      <c r="RM810" s="13"/>
      <c r="XJ810" s="13"/>
    </row>
    <row r="811" spans="82:634" ht="10.75" customHeight="1">
      <c r="CD811" s="229"/>
      <c r="CE811" s="231"/>
      <c r="CF811" s="231"/>
      <c r="CG811" s="231"/>
      <c r="CH811" s="231"/>
      <c r="CI811" s="231"/>
      <c r="CJ811" s="231"/>
      <c r="CK811" s="231"/>
      <c r="CL811" s="231"/>
      <c r="CM811" s="231"/>
      <c r="CN811" s="231"/>
      <c r="CO811" s="231"/>
      <c r="CP811" s="231"/>
      <c r="CQ811" s="231"/>
      <c r="CR811" s="231"/>
      <c r="CS811" s="231"/>
      <c r="CT811" s="231"/>
      <c r="CU811" s="231"/>
      <c r="CV811" s="231"/>
      <c r="CW811" s="231"/>
      <c r="CX811" s="231"/>
      <c r="CY811" s="231"/>
      <c r="CZ811" s="231"/>
      <c r="DA811" s="231"/>
      <c r="DB811" s="231"/>
      <c r="DC811" s="231"/>
      <c r="DD811" s="231"/>
      <c r="DE811" s="231"/>
      <c r="DF811" s="231"/>
      <c r="DG811" s="231"/>
      <c r="DH811" s="231"/>
      <c r="DI811" s="231"/>
      <c r="DJ811" s="231"/>
      <c r="DK811" s="231"/>
      <c r="DL811" s="231"/>
      <c r="DM811" s="231"/>
      <c r="DN811" s="231"/>
      <c r="DO811" s="231"/>
      <c r="DP811" s="231"/>
      <c r="DQ811" s="231"/>
      <c r="DR811" s="231"/>
      <c r="DS811" s="231"/>
      <c r="DT811" s="231"/>
      <c r="DU811" s="231"/>
      <c r="DV811" s="231"/>
      <c r="DW811" s="231"/>
      <c r="DX811" s="231"/>
      <c r="DY811" s="231"/>
      <c r="DZ811" s="231"/>
      <c r="EA811" s="231"/>
      <c r="EB811" s="231"/>
      <c r="EC811" s="231"/>
      <c r="ED811" s="231"/>
      <c r="EE811" s="231"/>
      <c r="EF811" s="231"/>
      <c r="EG811" s="231"/>
      <c r="EH811" s="231"/>
      <c r="EI811" s="231"/>
      <c r="EJ811" s="231"/>
      <c r="EK811" s="231"/>
      <c r="EL811" s="231"/>
      <c r="EM811" s="231"/>
      <c r="EN811" s="231"/>
      <c r="EO811" s="231"/>
      <c r="EP811" s="231"/>
      <c r="EQ811" s="231"/>
      <c r="ER811" s="231"/>
      <c r="ES811" s="231"/>
      <c r="ET811" s="231"/>
      <c r="EU811" s="231"/>
      <c r="EV811" s="231"/>
      <c r="EW811" s="231"/>
      <c r="EX811" s="231"/>
      <c r="EY811" s="231"/>
      <c r="EZ811" s="231"/>
      <c r="FA811" s="231"/>
      <c r="FB811" s="231"/>
      <c r="FC811" s="231"/>
      <c r="FD811" s="231"/>
      <c r="FE811" s="231"/>
      <c r="FF811" s="231"/>
      <c r="FG811" s="231"/>
      <c r="FH811" s="231"/>
      <c r="FI811" s="231"/>
      <c r="FJ811" s="231"/>
      <c r="FK811" s="231"/>
      <c r="FL811" s="231"/>
      <c r="FM811" s="231"/>
      <c r="FN811" s="231"/>
      <c r="FO811" s="231"/>
      <c r="FP811" s="231"/>
      <c r="FQ811" s="231"/>
      <c r="FR811" s="231"/>
      <c r="FS811" s="231"/>
      <c r="FT811" s="231"/>
      <c r="FU811" s="231"/>
      <c r="FV811" s="231"/>
      <c r="FW811" s="231"/>
      <c r="FX811" s="231"/>
      <c r="FY811" s="231"/>
      <c r="FZ811" s="231"/>
      <c r="GA811" s="231"/>
      <c r="GB811" s="231"/>
      <c r="GC811" s="231"/>
      <c r="GD811" s="231"/>
      <c r="GE811" s="231"/>
      <c r="GF811" s="231"/>
      <c r="GG811" s="231"/>
      <c r="GH811" s="231"/>
      <c r="GI811" s="231"/>
      <c r="GJ811" s="231"/>
      <c r="GK811" s="231"/>
      <c r="GL811" s="231"/>
      <c r="GM811" s="231"/>
      <c r="GN811" s="231"/>
      <c r="GO811" s="231"/>
      <c r="GP811" s="231"/>
      <c r="GQ811" s="231"/>
      <c r="GR811" s="231"/>
      <c r="GS811" s="231"/>
      <c r="GT811" s="231"/>
      <c r="GU811" s="231"/>
      <c r="GV811" s="231"/>
      <c r="GW811" s="231"/>
      <c r="GX811" s="231"/>
      <c r="GY811" s="231"/>
      <c r="GZ811" s="231"/>
      <c r="HA811" s="231"/>
      <c r="HB811" s="231"/>
      <c r="HC811" s="231"/>
      <c r="HD811" s="231"/>
      <c r="HE811" s="231"/>
      <c r="HF811" s="231"/>
      <c r="HG811" s="231"/>
      <c r="HH811" s="231"/>
      <c r="HI811" s="232"/>
      <c r="JO811" s="14"/>
      <c r="JP811" s="15"/>
      <c r="JQ811" s="15"/>
      <c r="JR811" s="15"/>
      <c r="JS811" s="15"/>
      <c r="JT811" s="15"/>
      <c r="JU811" s="15"/>
      <c r="JV811" s="15"/>
      <c r="JW811" s="15"/>
      <c r="JX811" s="15"/>
      <c r="JY811" s="15"/>
      <c r="JZ811" s="15"/>
      <c r="KA811" s="15"/>
      <c r="KB811" s="15"/>
      <c r="KC811" s="15"/>
      <c r="KD811" s="15"/>
      <c r="KE811" s="15"/>
      <c r="KF811" s="15"/>
      <c r="KG811" s="15"/>
      <c r="KH811" s="15"/>
      <c r="KI811" s="15"/>
      <c r="KJ811" s="15"/>
      <c r="KK811" s="15"/>
      <c r="KL811" s="15"/>
      <c r="KM811" s="15"/>
      <c r="KN811" s="15"/>
      <c r="KO811" s="15"/>
      <c r="KP811" s="15"/>
      <c r="KQ811" s="15"/>
      <c r="KR811" s="15"/>
      <c r="KS811" s="15"/>
      <c r="KT811" s="15"/>
      <c r="KU811" s="15"/>
      <c r="KV811" s="15"/>
      <c r="KW811" s="15"/>
      <c r="KX811" s="15"/>
      <c r="KY811" s="15"/>
      <c r="KZ811" s="15"/>
      <c r="LA811" s="15"/>
      <c r="LB811" s="15"/>
      <c r="LC811" s="15"/>
      <c r="LD811" s="15"/>
      <c r="LE811" s="15"/>
      <c r="LF811" s="15"/>
      <c r="LG811" s="15"/>
      <c r="LH811" s="15"/>
      <c r="LI811" s="15"/>
      <c r="LJ811" s="15"/>
      <c r="LK811" s="15"/>
      <c r="LL811" s="15"/>
      <c r="LM811" s="15"/>
      <c r="LN811" s="15"/>
      <c r="LO811" s="15"/>
      <c r="LP811" s="15"/>
      <c r="LQ811" s="15"/>
      <c r="LR811" s="15"/>
      <c r="LS811" s="15"/>
      <c r="LT811" s="15"/>
      <c r="LU811" s="15"/>
      <c r="LV811" s="15"/>
      <c r="LW811" s="15"/>
      <c r="LX811" s="15"/>
      <c r="LY811" s="16"/>
      <c r="LZ811" s="15"/>
      <c r="MA811" s="15"/>
      <c r="MB811" s="15"/>
      <c r="MC811" s="15"/>
      <c r="MD811" s="15"/>
      <c r="ME811" s="15"/>
      <c r="MF811" s="15"/>
      <c r="MG811" s="15"/>
      <c r="MH811" s="15"/>
      <c r="MI811" s="15"/>
      <c r="MJ811" s="15"/>
      <c r="MK811" s="15"/>
      <c r="ML811" s="15"/>
      <c r="MM811" s="15"/>
      <c r="MN811" s="15"/>
      <c r="MO811" s="15"/>
      <c r="MP811" s="15"/>
      <c r="MQ811" s="15"/>
      <c r="MR811" s="15"/>
      <c r="MS811" s="15"/>
      <c r="MT811" s="15"/>
      <c r="MU811" s="15"/>
      <c r="MV811" s="15"/>
      <c r="MW811" s="15"/>
      <c r="MX811" s="15"/>
      <c r="MY811" s="15"/>
      <c r="MZ811" s="15"/>
      <c r="NA811" s="15"/>
      <c r="NB811" s="15"/>
      <c r="NC811" s="15"/>
      <c r="ND811" s="15"/>
      <c r="NE811" s="15"/>
      <c r="NF811" s="15"/>
      <c r="NG811" s="15"/>
      <c r="NH811" s="15"/>
      <c r="NI811" s="15"/>
      <c r="NJ811" s="15"/>
      <c r="NK811" s="15"/>
      <c r="NL811" s="15"/>
      <c r="NM811" s="15"/>
      <c r="NN811" s="15"/>
      <c r="NO811" s="15"/>
      <c r="NP811" s="15"/>
      <c r="NQ811" s="15"/>
      <c r="NR811" s="15"/>
      <c r="NS811" s="15"/>
      <c r="NT811" s="15"/>
      <c r="NU811" s="15"/>
      <c r="NV811" s="15"/>
      <c r="NW811" s="15"/>
      <c r="NX811" s="15"/>
      <c r="NY811" s="15"/>
      <c r="NZ811" s="15"/>
      <c r="OA811" s="15"/>
      <c r="OB811" s="15"/>
      <c r="OC811" s="15"/>
      <c r="OD811" s="15"/>
      <c r="OE811" s="15"/>
      <c r="OF811" s="15"/>
      <c r="OG811" s="15"/>
      <c r="OH811" s="15"/>
      <c r="OI811" s="15"/>
      <c r="OJ811" s="15"/>
      <c r="OK811" s="15"/>
      <c r="OL811" s="15"/>
      <c r="OM811" s="15"/>
      <c r="ON811" s="15"/>
      <c r="OO811" s="15"/>
      <c r="OP811" s="15"/>
      <c r="OQ811" s="15"/>
      <c r="OR811" s="15"/>
      <c r="OS811" s="15"/>
      <c r="OT811" s="15"/>
      <c r="OU811" s="15"/>
      <c r="OV811" s="15"/>
      <c r="OW811" s="15"/>
      <c r="OX811" s="15"/>
      <c r="OY811" s="15"/>
      <c r="OZ811" s="15"/>
      <c r="PA811" s="15"/>
      <c r="PB811" s="15"/>
      <c r="PC811" s="15"/>
      <c r="PD811" s="15"/>
      <c r="PE811" s="15"/>
      <c r="PF811" s="15"/>
      <c r="PG811" s="15"/>
      <c r="PH811" s="15"/>
      <c r="PI811" s="15"/>
      <c r="PJ811" s="15"/>
      <c r="PK811" s="15"/>
      <c r="PL811" s="15"/>
      <c r="PM811" s="15"/>
      <c r="PN811" s="15"/>
      <c r="PO811" s="15"/>
      <c r="PP811" s="15"/>
      <c r="PQ811" s="15"/>
      <c r="PR811" s="15"/>
      <c r="PS811" s="15"/>
      <c r="PT811" s="15"/>
      <c r="PU811" s="15"/>
      <c r="PV811" s="15"/>
      <c r="PW811" s="15"/>
      <c r="PX811" s="15"/>
      <c r="PY811" s="15"/>
      <c r="PZ811" s="15"/>
      <c r="QA811" s="15"/>
      <c r="QB811" s="15"/>
      <c r="QC811" s="15"/>
      <c r="QD811" s="15"/>
      <c r="QE811" s="15"/>
      <c r="QF811" s="15"/>
      <c r="QG811" s="15"/>
      <c r="QH811" s="15"/>
      <c r="QI811" s="15"/>
      <c r="QJ811" s="15"/>
      <c r="QK811" s="15"/>
      <c r="QL811" s="15"/>
      <c r="QM811" s="15"/>
      <c r="QN811" s="15"/>
      <c r="QO811" s="15"/>
      <c r="QP811" s="15"/>
      <c r="QQ811" s="15"/>
      <c r="QR811" s="15"/>
      <c r="QS811" s="15"/>
      <c r="QT811" s="15"/>
      <c r="QU811" s="15"/>
      <c r="QV811" s="15"/>
      <c r="QW811" s="15"/>
      <c r="QX811" s="15"/>
      <c r="QY811" s="15"/>
      <c r="QZ811" s="15"/>
      <c r="RA811" s="15"/>
      <c r="RB811" s="15"/>
      <c r="RC811" s="15"/>
      <c r="RD811" s="15"/>
      <c r="RE811" s="15"/>
      <c r="RF811" s="15"/>
      <c r="RG811" s="15"/>
      <c r="RH811" s="15"/>
      <c r="RI811" s="15"/>
      <c r="RJ811" s="15"/>
      <c r="RK811" s="15"/>
      <c r="RL811" s="15"/>
      <c r="RM811" s="16"/>
      <c r="RN811" s="15"/>
      <c r="RO811" s="15"/>
      <c r="RP811" s="15"/>
      <c r="RQ811" s="15"/>
      <c r="RR811" s="15"/>
      <c r="RS811" s="15"/>
      <c r="RT811" s="15"/>
      <c r="RU811" s="15"/>
      <c r="RV811" s="15"/>
      <c r="RW811" s="15"/>
      <c r="RX811" s="15"/>
      <c r="RY811" s="15"/>
      <c r="RZ811" s="15"/>
      <c r="SA811" s="15"/>
      <c r="SB811" s="15"/>
      <c r="SC811" s="15"/>
      <c r="SD811" s="15"/>
      <c r="SE811" s="15"/>
      <c r="SF811" s="15"/>
      <c r="SG811" s="15"/>
      <c r="SH811" s="15"/>
      <c r="SI811" s="15"/>
      <c r="SJ811" s="15"/>
      <c r="SK811" s="15"/>
      <c r="SL811" s="15"/>
      <c r="SM811" s="15"/>
      <c r="SN811" s="15"/>
      <c r="SO811" s="15"/>
      <c r="SP811" s="15"/>
      <c r="SQ811" s="15"/>
      <c r="SR811" s="15"/>
      <c r="SS811" s="15"/>
      <c r="ST811" s="15"/>
      <c r="SU811" s="15"/>
      <c r="SV811" s="15"/>
      <c r="SW811" s="15"/>
      <c r="SX811" s="15"/>
      <c r="SY811" s="15"/>
      <c r="SZ811" s="15"/>
      <c r="TA811" s="15"/>
      <c r="TB811" s="15"/>
      <c r="TC811" s="15"/>
      <c r="TD811" s="15"/>
      <c r="TE811" s="15"/>
      <c r="TF811" s="15"/>
      <c r="TG811" s="15"/>
      <c r="TH811" s="15"/>
      <c r="TI811" s="15"/>
      <c r="TJ811" s="15"/>
      <c r="TK811" s="15"/>
      <c r="TL811" s="15"/>
      <c r="TM811" s="15"/>
      <c r="TN811" s="15"/>
      <c r="TO811" s="15"/>
      <c r="TP811" s="15"/>
      <c r="TQ811" s="15"/>
      <c r="TR811" s="15"/>
      <c r="TS811" s="15"/>
      <c r="TT811" s="15"/>
      <c r="TU811" s="15"/>
      <c r="TV811" s="15"/>
      <c r="TW811" s="15"/>
      <c r="TX811" s="15"/>
      <c r="TY811" s="15"/>
      <c r="TZ811" s="15"/>
      <c r="UA811" s="15"/>
      <c r="UB811" s="15"/>
      <c r="UC811" s="15"/>
      <c r="UD811" s="15"/>
      <c r="UE811" s="15"/>
      <c r="UF811" s="15"/>
      <c r="UG811" s="15"/>
      <c r="UH811" s="15"/>
      <c r="UI811" s="15"/>
      <c r="UJ811" s="15"/>
      <c r="UK811" s="15"/>
      <c r="UL811" s="15"/>
      <c r="UM811" s="15"/>
      <c r="UN811" s="15"/>
      <c r="UO811" s="15"/>
      <c r="UP811" s="15"/>
      <c r="UQ811" s="15"/>
      <c r="UR811" s="15"/>
      <c r="US811" s="15"/>
      <c r="UT811" s="15"/>
      <c r="UU811" s="15"/>
      <c r="UV811" s="15"/>
      <c r="UW811" s="15"/>
      <c r="UX811" s="15"/>
      <c r="UY811" s="15"/>
      <c r="UZ811" s="15"/>
      <c r="VA811" s="15"/>
      <c r="VB811" s="15"/>
      <c r="VC811" s="15"/>
      <c r="VD811" s="15"/>
      <c r="VE811" s="15"/>
      <c r="VF811" s="15"/>
      <c r="VG811" s="15"/>
      <c r="VH811" s="15"/>
      <c r="VI811" s="15"/>
      <c r="VJ811" s="15"/>
      <c r="VK811" s="15"/>
      <c r="VL811" s="15"/>
      <c r="VM811" s="15"/>
      <c r="VN811" s="15"/>
      <c r="VO811" s="15"/>
      <c r="VP811" s="15"/>
      <c r="VQ811" s="15"/>
      <c r="VR811" s="15"/>
      <c r="VS811" s="15"/>
      <c r="VT811" s="15"/>
      <c r="VU811" s="15"/>
      <c r="VV811" s="15"/>
      <c r="VW811" s="15"/>
      <c r="VX811" s="15"/>
      <c r="VY811" s="15"/>
      <c r="VZ811" s="15"/>
      <c r="WA811" s="15"/>
      <c r="WB811" s="15"/>
      <c r="WC811" s="15"/>
      <c r="WD811" s="15"/>
      <c r="WE811" s="15"/>
      <c r="WF811" s="15"/>
      <c r="WG811" s="15"/>
      <c r="WH811" s="15"/>
      <c r="WI811" s="15"/>
      <c r="WJ811" s="15"/>
      <c r="WK811" s="15"/>
      <c r="WL811" s="15"/>
      <c r="WM811" s="15"/>
      <c r="WN811" s="15"/>
      <c r="WO811" s="15"/>
      <c r="WP811" s="15"/>
      <c r="WQ811" s="15"/>
      <c r="WR811" s="15"/>
      <c r="WS811" s="15"/>
      <c r="WT811" s="15"/>
      <c r="WU811" s="15"/>
      <c r="WV811" s="15"/>
      <c r="WW811" s="15"/>
      <c r="WX811" s="15"/>
      <c r="WY811" s="15"/>
      <c r="WZ811" s="15"/>
      <c r="XA811" s="15"/>
      <c r="XB811" s="15"/>
      <c r="XC811" s="15"/>
      <c r="XD811" s="15"/>
      <c r="XE811" s="15"/>
      <c r="XF811" s="15"/>
      <c r="XG811" s="15"/>
      <c r="XH811" s="15"/>
      <c r="XI811" s="15"/>
      <c r="XJ811" s="16"/>
    </row>
    <row r="812" spans="82:634" ht="10.75" customHeight="1">
      <c r="CD812" s="229"/>
      <c r="CE812" s="231"/>
      <c r="CF812" s="231"/>
      <c r="CG812" s="231"/>
      <c r="CH812" s="231"/>
      <c r="CI812" s="231"/>
      <c r="CJ812" s="231"/>
      <c r="CK812" s="231"/>
      <c r="CL812" s="231"/>
      <c r="CM812" s="231"/>
      <c r="CN812" s="231"/>
      <c r="CO812" s="231"/>
      <c r="CP812" s="231"/>
      <c r="CQ812" s="231"/>
      <c r="CR812" s="231"/>
      <c r="CS812" s="231"/>
      <c r="CT812" s="231"/>
      <c r="CU812" s="231"/>
      <c r="CV812" s="231"/>
      <c r="CW812" s="231"/>
      <c r="CX812" s="231"/>
      <c r="CY812" s="231"/>
      <c r="CZ812" s="231"/>
      <c r="DA812" s="231"/>
      <c r="DB812" s="231"/>
      <c r="DC812" s="231"/>
      <c r="DD812" s="231"/>
      <c r="DE812" s="231"/>
      <c r="DF812" s="231"/>
      <c r="DG812" s="231"/>
      <c r="DH812" s="231"/>
      <c r="DI812" s="231"/>
      <c r="DJ812" s="231"/>
      <c r="DK812" s="231"/>
      <c r="DL812" s="231"/>
      <c r="DM812" s="231"/>
      <c r="DN812" s="231"/>
      <c r="DO812" s="231"/>
      <c r="DP812" s="231"/>
      <c r="DQ812" s="231"/>
      <c r="DR812" s="231"/>
      <c r="DS812" s="231"/>
      <c r="DT812" s="231"/>
      <c r="DU812" s="231"/>
      <c r="DV812" s="231"/>
      <c r="DW812" s="231"/>
      <c r="DX812" s="231"/>
      <c r="DY812" s="231"/>
      <c r="DZ812" s="231"/>
      <c r="EA812" s="231"/>
      <c r="EB812" s="231"/>
      <c r="EC812" s="231"/>
      <c r="ED812" s="231"/>
      <c r="EE812" s="231"/>
      <c r="EF812" s="231"/>
      <c r="EG812" s="231"/>
      <c r="EH812" s="231"/>
      <c r="EI812" s="231"/>
      <c r="EJ812" s="231"/>
      <c r="EK812" s="231"/>
      <c r="EL812" s="231"/>
      <c r="EM812" s="231"/>
      <c r="EN812" s="231"/>
      <c r="EO812" s="231"/>
      <c r="EP812" s="231"/>
      <c r="EQ812" s="231"/>
      <c r="ER812" s="231"/>
      <c r="ES812" s="231"/>
      <c r="ET812" s="231"/>
      <c r="EU812" s="231"/>
      <c r="EV812" s="231"/>
      <c r="EW812" s="231"/>
      <c r="EX812" s="231"/>
      <c r="EY812" s="231"/>
      <c r="EZ812" s="231"/>
      <c r="FA812" s="231"/>
      <c r="FB812" s="231"/>
      <c r="FC812" s="231"/>
      <c r="FD812" s="231"/>
      <c r="FE812" s="231"/>
      <c r="FF812" s="231"/>
      <c r="FG812" s="231"/>
      <c r="FH812" s="231"/>
      <c r="FI812" s="231"/>
      <c r="FJ812" s="231"/>
      <c r="FK812" s="231"/>
      <c r="FL812" s="231"/>
      <c r="FM812" s="231"/>
      <c r="FN812" s="231"/>
      <c r="FO812" s="231"/>
      <c r="FP812" s="231"/>
      <c r="FQ812" s="231"/>
      <c r="FR812" s="231"/>
      <c r="FS812" s="231"/>
      <c r="FT812" s="231"/>
      <c r="FU812" s="231"/>
      <c r="FV812" s="231"/>
      <c r="FW812" s="231"/>
      <c r="FX812" s="231"/>
      <c r="FY812" s="231"/>
      <c r="FZ812" s="231"/>
      <c r="GA812" s="231"/>
      <c r="GB812" s="231"/>
      <c r="GC812" s="231"/>
      <c r="GD812" s="231"/>
      <c r="GE812" s="231"/>
      <c r="GF812" s="231"/>
      <c r="GG812" s="231"/>
      <c r="GH812" s="231"/>
      <c r="GI812" s="231"/>
      <c r="GJ812" s="231"/>
      <c r="GK812" s="231"/>
      <c r="GL812" s="231"/>
      <c r="GM812" s="231"/>
      <c r="GN812" s="231"/>
      <c r="GO812" s="231"/>
      <c r="GP812" s="231"/>
      <c r="GQ812" s="231"/>
      <c r="GR812" s="231"/>
      <c r="GS812" s="231"/>
      <c r="GT812" s="231"/>
      <c r="GU812" s="231"/>
      <c r="GV812" s="231"/>
      <c r="GW812" s="231"/>
      <c r="GX812" s="231"/>
      <c r="GY812" s="231"/>
      <c r="GZ812" s="231"/>
      <c r="HA812" s="231"/>
      <c r="HB812" s="231"/>
      <c r="HC812" s="231"/>
      <c r="HD812" s="231"/>
      <c r="HE812" s="231"/>
      <c r="HF812" s="231"/>
      <c r="HG812" s="231"/>
      <c r="HH812" s="231"/>
      <c r="HI812" s="232"/>
      <c r="KM812" s="9"/>
      <c r="KN812" s="10"/>
      <c r="KO812" s="10"/>
      <c r="KP812" s="10"/>
      <c r="KQ812" s="10"/>
      <c r="KR812" s="10"/>
      <c r="KS812" s="10"/>
      <c r="KT812" s="10"/>
      <c r="KU812" s="10"/>
      <c r="KV812" s="10"/>
      <c r="KW812" s="10"/>
      <c r="KX812" s="10"/>
      <c r="KY812" s="10"/>
      <c r="KZ812" s="10"/>
      <c r="LA812" s="10"/>
      <c r="LB812" s="10"/>
      <c r="LC812" s="10"/>
      <c r="LD812" s="10"/>
      <c r="LE812" s="10"/>
      <c r="LF812" s="10"/>
      <c r="LG812" s="10"/>
      <c r="LH812" s="10"/>
      <c r="LI812" s="10"/>
      <c r="LJ812" s="10"/>
      <c r="LK812" s="10"/>
      <c r="LL812" s="10"/>
      <c r="LM812" s="10"/>
      <c r="LN812" s="10"/>
      <c r="LO812" s="10"/>
      <c r="LP812" s="10"/>
      <c r="LQ812" s="10"/>
      <c r="LR812" s="10"/>
      <c r="LS812" s="10"/>
      <c r="LT812" s="10"/>
      <c r="LU812" s="10"/>
      <c r="LV812" s="10"/>
      <c r="LW812" s="10"/>
      <c r="LX812" s="10"/>
      <c r="LY812" s="11"/>
      <c r="LZ812" s="10"/>
      <c r="MA812" s="10"/>
      <c r="MB812" s="10"/>
      <c r="MC812" s="10"/>
      <c r="MD812" s="10"/>
      <c r="ME812" s="10"/>
      <c r="MF812" s="10"/>
      <c r="MG812" s="10"/>
      <c r="MH812" s="10"/>
      <c r="MI812" s="10"/>
      <c r="MJ812" s="10"/>
      <c r="MK812" s="10"/>
      <c r="ML812" s="10"/>
      <c r="MM812" s="10"/>
      <c r="MN812" s="10"/>
      <c r="MO812" s="10"/>
      <c r="MP812" s="10"/>
      <c r="MQ812" s="10"/>
      <c r="MR812" s="10"/>
      <c r="MS812" s="10"/>
      <c r="MT812" s="11"/>
      <c r="MU812" s="10"/>
      <c r="MV812" s="10"/>
      <c r="MW812" s="10"/>
      <c r="MX812" s="10"/>
      <c r="MY812" s="10"/>
      <c r="MZ812" s="11"/>
      <c r="NA812" s="9"/>
      <c r="NB812" s="10"/>
      <c r="NC812" s="10"/>
      <c r="ND812" s="10"/>
      <c r="NE812" s="10"/>
      <c r="NF812" s="10"/>
      <c r="NG812" s="10"/>
      <c r="NH812" s="10"/>
      <c r="NI812" s="10"/>
      <c r="NJ812" s="10"/>
      <c r="NK812" s="10"/>
      <c r="NL812" s="10"/>
      <c r="NM812" s="10"/>
      <c r="NN812" s="10"/>
      <c r="NO812" s="10"/>
      <c r="NP812" s="10"/>
      <c r="NQ812" s="10"/>
      <c r="NR812" s="10"/>
      <c r="NS812" s="10"/>
      <c r="NT812" s="10"/>
      <c r="NU812" s="10"/>
      <c r="NV812" s="10"/>
      <c r="NW812" s="10"/>
      <c r="NX812" s="10"/>
      <c r="NY812" s="10"/>
      <c r="NZ812" s="10"/>
      <c r="OA812" s="10"/>
      <c r="OB812" s="10"/>
      <c r="OC812" s="10"/>
      <c r="OD812" s="10"/>
      <c r="OE812" s="10"/>
      <c r="OF812" s="10"/>
      <c r="OG812" s="10"/>
      <c r="OH812" s="10"/>
      <c r="OI812" s="10"/>
      <c r="OJ812" s="10"/>
      <c r="OK812" s="10"/>
      <c r="OL812" s="10"/>
      <c r="OM812" s="10"/>
      <c r="ON812" s="10"/>
      <c r="OO812" s="10"/>
      <c r="OP812" s="10"/>
      <c r="OQ812" s="10"/>
      <c r="OR812" s="10"/>
      <c r="OS812" s="10"/>
      <c r="OT812" s="10"/>
      <c r="OU812" s="10"/>
      <c r="OV812" s="10"/>
      <c r="OW812" s="10"/>
      <c r="OX812" s="10"/>
      <c r="OY812" s="10"/>
      <c r="OZ812" s="10"/>
      <c r="PA812" s="10"/>
      <c r="PB812" s="10"/>
      <c r="PC812" s="10"/>
      <c r="PD812" s="10"/>
      <c r="PE812" s="10"/>
      <c r="PF812" s="10"/>
      <c r="PG812" s="10"/>
      <c r="PH812" s="10"/>
      <c r="PI812" s="10"/>
      <c r="PJ812" s="10"/>
      <c r="PK812" s="10"/>
      <c r="PL812" s="10"/>
      <c r="PM812" s="10"/>
      <c r="PN812" s="10"/>
      <c r="PO812" s="10"/>
      <c r="PP812" s="10"/>
      <c r="PQ812" s="10"/>
      <c r="PR812" s="10"/>
      <c r="PS812" s="10"/>
      <c r="PT812" s="10"/>
      <c r="PU812" s="10"/>
      <c r="PV812" s="10"/>
      <c r="PW812" s="10"/>
      <c r="PX812" s="10"/>
      <c r="PY812" s="10"/>
      <c r="PZ812" s="10"/>
      <c r="QA812" s="10"/>
      <c r="QB812" s="10"/>
      <c r="QC812" s="10"/>
      <c r="QD812" s="10"/>
      <c r="QE812" s="10"/>
      <c r="QF812" s="10"/>
      <c r="QG812" s="10"/>
      <c r="QH812" s="10"/>
      <c r="QI812" s="10"/>
      <c r="QJ812" s="10"/>
      <c r="QK812" s="10"/>
      <c r="QL812" s="10"/>
      <c r="QM812" s="10"/>
      <c r="QN812" s="10"/>
      <c r="QO812" s="10"/>
      <c r="QP812" s="10"/>
      <c r="QQ812" s="10"/>
      <c r="QR812" s="10"/>
      <c r="QS812" s="10"/>
      <c r="QT812" s="10"/>
      <c r="QU812" s="10"/>
      <c r="QV812" s="10"/>
      <c r="QW812" s="10"/>
      <c r="QX812" s="10"/>
      <c r="QY812" s="10"/>
      <c r="QZ812" s="10"/>
      <c r="RA812" s="10"/>
      <c r="RB812" s="10"/>
      <c r="RC812" s="10"/>
      <c r="RD812" s="10"/>
      <c r="RE812" s="10"/>
      <c r="RF812" s="10"/>
      <c r="RG812" s="10"/>
      <c r="RH812" s="10"/>
      <c r="RI812" s="10"/>
      <c r="RJ812" s="10"/>
      <c r="RK812" s="10"/>
      <c r="RL812" s="10"/>
      <c r="RM812" s="11"/>
      <c r="RN812" s="10"/>
      <c r="RO812" s="10"/>
      <c r="RP812" s="11"/>
      <c r="RQ812" s="10"/>
      <c r="RR812" s="10"/>
      <c r="RS812" s="10"/>
      <c r="RT812" s="10"/>
      <c r="RU812" s="10"/>
      <c r="RV812" s="11"/>
      <c r="RW812" s="10"/>
      <c r="RX812" s="10"/>
      <c r="RY812" s="10"/>
      <c r="RZ812" s="10"/>
      <c r="SA812" s="10"/>
      <c r="SB812" s="10"/>
      <c r="SC812" s="10"/>
      <c r="SD812" s="10"/>
      <c r="SE812" s="10"/>
      <c r="SF812" s="10"/>
      <c r="SG812" s="10"/>
      <c r="SH812" s="10"/>
      <c r="SI812" s="10"/>
      <c r="SJ812" s="10"/>
      <c r="SK812" s="10"/>
      <c r="SL812" s="10"/>
      <c r="SM812" s="10"/>
      <c r="SN812" s="10"/>
      <c r="SO812" s="10"/>
      <c r="SP812" s="10"/>
      <c r="SQ812" s="10"/>
      <c r="SR812" s="10"/>
      <c r="SS812" s="10"/>
      <c r="ST812" s="10"/>
      <c r="SU812" s="10"/>
      <c r="SV812" s="10"/>
      <c r="SW812" s="10"/>
      <c r="SX812" s="10"/>
      <c r="SY812" s="10"/>
      <c r="SZ812" s="10"/>
      <c r="TA812" s="10"/>
      <c r="TB812" s="10"/>
      <c r="TC812" s="10"/>
      <c r="TD812" s="10"/>
      <c r="TE812" s="10"/>
      <c r="TF812" s="10"/>
      <c r="TG812" s="10"/>
      <c r="TH812" s="10"/>
      <c r="TI812" s="10"/>
      <c r="TJ812" s="10"/>
      <c r="TK812" s="10"/>
      <c r="TL812" s="10"/>
      <c r="TM812" s="10"/>
      <c r="TN812" s="10"/>
      <c r="TO812" s="10"/>
      <c r="TP812" s="10"/>
      <c r="TQ812" s="10"/>
      <c r="TR812" s="10"/>
      <c r="TS812" s="10"/>
      <c r="TT812" s="10"/>
      <c r="TU812" s="10"/>
      <c r="TV812" s="10"/>
      <c r="TW812" s="10"/>
      <c r="TX812" s="10"/>
      <c r="TY812" s="10"/>
      <c r="TZ812" s="10"/>
      <c r="UA812" s="10"/>
      <c r="UB812" s="10"/>
      <c r="UC812" s="10"/>
      <c r="UD812" s="10"/>
      <c r="UE812" s="10"/>
      <c r="UF812" s="10"/>
      <c r="UG812" s="10"/>
      <c r="UH812" s="10"/>
      <c r="UI812" s="10"/>
      <c r="UJ812" s="10"/>
      <c r="UK812" s="10"/>
      <c r="UL812" s="10"/>
      <c r="UM812" s="10"/>
      <c r="UN812" s="10"/>
      <c r="UO812" s="10"/>
      <c r="UP812" s="10"/>
      <c r="UQ812" s="10"/>
      <c r="UR812" s="10"/>
      <c r="US812" s="10"/>
      <c r="UT812" s="10"/>
      <c r="UU812" s="10"/>
      <c r="UV812" s="10"/>
      <c r="UW812" s="10"/>
      <c r="UX812" s="10"/>
      <c r="UY812" s="10"/>
      <c r="UZ812" s="10"/>
      <c r="VA812" s="10"/>
      <c r="VB812" s="10"/>
      <c r="VC812" s="10"/>
      <c r="VD812" s="10"/>
      <c r="VE812" s="10"/>
      <c r="VF812" s="10"/>
      <c r="VG812" s="10"/>
      <c r="VH812" s="10"/>
      <c r="VI812" s="10"/>
      <c r="VJ812" s="10"/>
      <c r="VK812" s="10"/>
      <c r="VL812" s="10"/>
      <c r="VM812" s="10"/>
      <c r="VN812" s="10"/>
      <c r="VO812" s="10"/>
      <c r="VP812" s="10"/>
      <c r="VQ812" s="10"/>
      <c r="VR812" s="10"/>
      <c r="VS812" s="10"/>
      <c r="VT812" s="10"/>
      <c r="VU812" s="10"/>
      <c r="VV812" s="10"/>
      <c r="VW812" s="10"/>
      <c r="VX812" s="10"/>
      <c r="VY812" s="10"/>
      <c r="VZ812" s="10"/>
      <c r="WA812" s="10"/>
      <c r="WB812" s="10"/>
      <c r="WC812" s="10"/>
      <c r="WD812" s="10"/>
      <c r="WE812" s="10"/>
      <c r="WF812" s="10"/>
      <c r="WG812" s="10"/>
      <c r="WH812" s="10"/>
      <c r="WI812" s="10"/>
      <c r="WJ812" s="10"/>
      <c r="WK812" s="10"/>
      <c r="WL812" s="11"/>
    </row>
    <row r="813" spans="82:634" ht="10.75" customHeight="1">
      <c r="CD813" s="229"/>
      <c r="CE813" s="231"/>
      <c r="CF813" s="231"/>
      <c r="CG813" s="231"/>
      <c r="CH813" s="231"/>
      <c r="CI813" s="231"/>
      <c r="CJ813" s="231"/>
      <c r="CK813" s="231"/>
      <c r="CL813" s="231"/>
      <c r="CM813" s="231"/>
      <c r="CN813" s="231"/>
      <c r="CO813" s="231"/>
      <c r="CP813" s="231"/>
      <c r="CQ813" s="231"/>
      <c r="CR813" s="231"/>
      <c r="CS813" s="231"/>
      <c r="CT813" s="231"/>
      <c r="CU813" s="231"/>
      <c r="CV813" s="231"/>
      <c r="CW813" s="231"/>
      <c r="CX813" s="231"/>
      <c r="CY813" s="231"/>
      <c r="CZ813" s="231"/>
      <c r="DA813" s="231"/>
      <c r="DB813" s="231"/>
      <c r="DC813" s="231"/>
      <c r="DD813" s="231"/>
      <c r="DE813" s="231"/>
      <c r="DF813" s="231"/>
      <c r="DG813" s="231"/>
      <c r="DH813" s="231"/>
      <c r="DI813" s="231"/>
      <c r="DJ813" s="231"/>
      <c r="DK813" s="231"/>
      <c r="DL813" s="231"/>
      <c r="DM813" s="231"/>
      <c r="DN813" s="231"/>
      <c r="DO813" s="231"/>
      <c r="DP813" s="231"/>
      <c r="DQ813" s="231"/>
      <c r="DR813" s="231"/>
      <c r="DS813" s="231"/>
      <c r="DT813" s="231"/>
      <c r="DU813" s="231"/>
      <c r="DV813" s="231"/>
      <c r="DW813" s="231"/>
      <c r="DX813" s="231"/>
      <c r="DY813" s="231"/>
      <c r="DZ813" s="231"/>
      <c r="EA813" s="231"/>
      <c r="EB813" s="231"/>
      <c r="EC813" s="231"/>
      <c r="ED813" s="231"/>
      <c r="EE813" s="231"/>
      <c r="EF813" s="231"/>
      <c r="EG813" s="231"/>
      <c r="EH813" s="231"/>
      <c r="EI813" s="231"/>
      <c r="EJ813" s="231"/>
      <c r="EK813" s="231"/>
      <c r="EL813" s="231"/>
      <c r="EM813" s="231"/>
      <c r="EN813" s="231"/>
      <c r="EO813" s="231"/>
      <c r="EP813" s="231"/>
      <c r="EQ813" s="231"/>
      <c r="ER813" s="231"/>
      <c r="ES813" s="231"/>
      <c r="ET813" s="231"/>
      <c r="EU813" s="231"/>
      <c r="EV813" s="231"/>
      <c r="EW813" s="231"/>
      <c r="EX813" s="231"/>
      <c r="EY813" s="231"/>
      <c r="EZ813" s="231"/>
      <c r="FA813" s="231"/>
      <c r="FB813" s="231"/>
      <c r="FC813" s="231"/>
      <c r="FD813" s="231"/>
      <c r="FE813" s="231"/>
      <c r="FF813" s="231"/>
      <c r="FG813" s="231"/>
      <c r="FH813" s="231"/>
      <c r="FI813" s="231"/>
      <c r="FJ813" s="231"/>
      <c r="FK813" s="231"/>
      <c r="FL813" s="231"/>
      <c r="FM813" s="231"/>
      <c r="FN813" s="231"/>
      <c r="FO813" s="231"/>
      <c r="FP813" s="231"/>
      <c r="FQ813" s="231"/>
      <c r="FR813" s="231"/>
      <c r="FS813" s="231"/>
      <c r="FT813" s="231"/>
      <c r="FU813" s="231"/>
      <c r="FV813" s="231"/>
      <c r="FW813" s="231"/>
      <c r="FX813" s="231"/>
      <c r="FY813" s="231"/>
      <c r="FZ813" s="231"/>
      <c r="GA813" s="231"/>
      <c r="GB813" s="231"/>
      <c r="GC813" s="231"/>
      <c r="GD813" s="231"/>
      <c r="GE813" s="231"/>
      <c r="GF813" s="231"/>
      <c r="GG813" s="231"/>
      <c r="GH813" s="231"/>
      <c r="GI813" s="231"/>
      <c r="GJ813" s="231"/>
      <c r="GK813" s="231"/>
      <c r="GL813" s="231"/>
      <c r="GM813" s="231"/>
      <c r="GN813" s="231"/>
      <c r="GO813" s="231"/>
      <c r="GP813" s="231"/>
      <c r="GQ813" s="231"/>
      <c r="GR813" s="231"/>
      <c r="GS813" s="231"/>
      <c r="GT813" s="231"/>
      <c r="GU813" s="231"/>
      <c r="GV813" s="231"/>
      <c r="GW813" s="231"/>
      <c r="GX813" s="231"/>
      <c r="GY813" s="231"/>
      <c r="GZ813" s="231"/>
      <c r="HA813" s="231"/>
      <c r="HB813" s="231"/>
      <c r="HC813" s="231"/>
      <c r="HD813" s="231"/>
      <c r="HE813" s="231"/>
      <c r="HF813" s="231"/>
      <c r="HG813" s="231"/>
      <c r="HH813" s="231"/>
      <c r="HI813" s="232"/>
      <c r="KM813" s="12"/>
      <c r="KN813" s="317"/>
      <c r="KO813" s="317"/>
      <c r="KP813" s="317"/>
      <c r="KQ813" s="317"/>
      <c r="KR813" s="317"/>
      <c r="KS813" s="317"/>
      <c r="KT813" s="317"/>
      <c r="KU813" s="317"/>
      <c r="KV813" s="317"/>
      <c r="KW813" s="317"/>
      <c r="KX813" s="317"/>
      <c r="KY813" s="317"/>
      <c r="KZ813" s="317"/>
      <c r="LA813" s="317"/>
      <c r="LB813" s="317"/>
      <c r="LC813" s="317"/>
      <c r="LD813" s="317"/>
      <c r="LE813" s="317"/>
      <c r="LF813" s="317"/>
      <c r="LG813" s="317"/>
      <c r="LH813" s="317"/>
      <c r="LI813" s="317"/>
      <c r="LJ813" s="317"/>
      <c r="LK813" s="317"/>
      <c r="LL813" s="317"/>
      <c r="LM813" s="317"/>
      <c r="LN813" s="317"/>
      <c r="LO813" s="317"/>
      <c r="LP813" s="317"/>
      <c r="LQ813" s="317"/>
      <c r="LR813" s="317"/>
      <c r="LS813" s="317"/>
      <c r="LT813" s="317"/>
      <c r="LU813" s="317"/>
      <c r="LV813" s="317"/>
      <c r="LW813" s="317"/>
      <c r="LX813" s="317"/>
      <c r="LY813" s="13"/>
      <c r="LZ813" s="10"/>
      <c r="MA813" s="10"/>
      <c r="MB813" s="10"/>
      <c r="MC813" s="10"/>
      <c r="MD813" s="10"/>
      <c r="ME813" s="10"/>
      <c r="MF813" s="10"/>
      <c r="MG813" s="10"/>
      <c r="MH813" s="10"/>
      <c r="MI813" s="10"/>
      <c r="MJ813" s="10"/>
      <c r="MK813" s="11"/>
      <c r="ML813" s="317"/>
      <c r="MM813" s="317"/>
      <c r="MN813" s="317"/>
      <c r="MO813" s="317"/>
      <c r="MP813" s="317"/>
      <c r="MQ813" s="317"/>
      <c r="MR813" s="317"/>
      <c r="MS813" s="317"/>
      <c r="MT813" s="13"/>
      <c r="MU813" s="317"/>
      <c r="MV813" s="317"/>
      <c r="MW813" s="317"/>
      <c r="MX813" s="317"/>
      <c r="MY813" s="317"/>
      <c r="MZ813" s="13"/>
      <c r="NA813" s="12"/>
      <c r="NB813" s="317"/>
      <c r="NC813" s="317"/>
      <c r="ND813" s="317"/>
      <c r="NE813" s="317"/>
      <c r="NF813" s="317"/>
      <c r="NG813" s="317"/>
      <c r="NH813" s="317"/>
      <c r="NI813" s="317"/>
      <c r="NJ813" s="317"/>
      <c r="NK813" s="317"/>
      <c r="NL813" s="317"/>
      <c r="NM813" s="317"/>
      <c r="NN813" s="317"/>
      <c r="NO813" s="317"/>
      <c r="NP813" s="317"/>
      <c r="NQ813" s="317"/>
      <c r="NR813" s="317"/>
      <c r="NS813" s="317"/>
      <c r="NT813" s="317"/>
      <c r="NU813" s="317"/>
      <c r="NV813" s="317"/>
      <c r="NW813" s="317"/>
      <c r="NX813" s="317"/>
      <c r="NY813" s="317"/>
      <c r="NZ813" s="317"/>
      <c r="OA813" s="317"/>
      <c r="OB813" s="317"/>
      <c r="OC813" s="317"/>
      <c r="OD813" s="317"/>
      <c r="OE813" s="317"/>
      <c r="OF813" s="317"/>
      <c r="OG813" s="317"/>
      <c r="OH813" s="317"/>
      <c r="OI813" s="317"/>
      <c r="OJ813" s="317"/>
      <c r="OK813" s="317"/>
      <c r="OL813" s="317"/>
      <c r="OM813" s="317"/>
      <c r="ON813" s="317"/>
      <c r="OO813" s="317"/>
      <c r="OP813" s="317"/>
      <c r="OQ813" s="317"/>
      <c r="OR813" s="317"/>
      <c r="OS813" s="317"/>
      <c r="OT813" s="317"/>
      <c r="OU813" s="317"/>
      <c r="OV813" s="317"/>
      <c r="OW813" s="317"/>
      <c r="OX813" s="317"/>
      <c r="OY813" s="317"/>
      <c r="OZ813" s="317"/>
      <c r="PA813" s="317"/>
      <c r="PB813" s="317"/>
      <c r="PC813" s="317"/>
      <c r="PD813" s="317"/>
      <c r="PE813" s="317"/>
      <c r="PF813" s="317"/>
      <c r="PG813" s="317"/>
      <c r="PH813" s="317"/>
      <c r="PI813" s="317"/>
      <c r="PJ813" s="317"/>
      <c r="PK813" s="317"/>
      <c r="PL813" s="317"/>
      <c r="PM813" s="317"/>
      <c r="PN813" s="317"/>
      <c r="PO813" s="317"/>
      <c r="PP813" s="317"/>
      <c r="PQ813" s="317"/>
      <c r="PR813" s="317"/>
      <c r="PS813" s="317"/>
      <c r="PT813" s="317"/>
      <c r="PU813" s="317"/>
      <c r="PV813" s="317"/>
      <c r="PW813" s="317"/>
      <c r="PX813" s="317"/>
      <c r="PY813" s="317"/>
      <c r="PZ813" s="317"/>
      <c r="QA813" s="317"/>
      <c r="QB813" s="317"/>
      <c r="QC813" s="317"/>
      <c r="QD813" s="317"/>
      <c r="QE813" s="317"/>
      <c r="QF813" s="317"/>
      <c r="QG813" s="317"/>
      <c r="QH813" s="317"/>
      <c r="QI813" s="317"/>
      <c r="QJ813" s="317"/>
      <c r="QK813" s="317"/>
      <c r="QL813" s="317"/>
      <c r="QM813" s="317"/>
      <c r="QN813" s="317"/>
      <c r="QO813" s="317"/>
      <c r="QP813" s="317"/>
      <c r="QQ813" s="317"/>
      <c r="QR813" s="317"/>
      <c r="QS813" s="317"/>
      <c r="QT813" s="317"/>
      <c r="QU813" s="317"/>
      <c r="QV813" s="317"/>
      <c r="QW813" s="317"/>
      <c r="QX813" s="317"/>
      <c r="QY813" s="317"/>
      <c r="QZ813" s="317"/>
      <c r="RA813" s="317"/>
      <c r="RB813" s="317"/>
      <c r="RC813" s="317"/>
      <c r="RD813" s="317"/>
      <c r="RE813" s="317"/>
      <c r="RF813" s="317"/>
      <c r="RG813" s="317"/>
      <c r="RH813" s="317"/>
      <c r="RI813" s="317"/>
      <c r="RJ813" s="317"/>
      <c r="RK813" s="317"/>
      <c r="RL813" s="317"/>
      <c r="RM813" s="13"/>
      <c r="RN813" s="317"/>
      <c r="RO813" s="317"/>
      <c r="RP813" s="13"/>
      <c r="RQ813" s="317"/>
      <c r="RR813" s="317"/>
      <c r="RS813" s="317"/>
      <c r="RT813" s="317"/>
      <c r="RU813" s="317"/>
      <c r="RV813" s="13"/>
      <c r="WL813" s="13"/>
    </row>
    <row r="814" spans="82:634" ht="10.75" customHeight="1">
      <c r="CD814" s="229"/>
      <c r="CE814" s="231"/>
      <c r="CF814" s="231"/>
      <c r="CG814" s="231"/>
      <c r="CH814" s="231"/>
      <c r="CI814" s="231"/>
      <c r="CJ814" s="231"/>
      <c r="CK814" s="231"/>
      <c r="CL814" s="231"/>
      <c r="CM814" s="231"/>
      <c r="CN814" s="231"/>
      <c r="CO814" s="231"/>
      <c r="CP814" s="231"/>
      <c r="CQ814" s="231"/>
      <c r="CR814" s="231"/>
      <c r="CS814" s="231"/>
      <c r="CT814" s="231"/>
      <c r="CU814" s="231"/>
      <c r="CV814" s="231"/>
      <c r="CW814" s="231"/>
      <c r="CX814" s="231"/>
      <c r="CY814" s="231"/>
      <c r="CZ814" s="231"/>
      <c r="DA814" s="231"/>
      <c r="DB814" s="231"/>
      <c r="DC814" s="231"/>
      <c r="DD814" s="231"/>
      <c r="DE814" s="231"/>
      <c r="DF814" s="231"/>
      <c r="DG814" s="231"/>
      <c r="DH814" s="231"/>
      <c r="DI814" s="231"/>
      <c r="DJ814" s="231"/>
      <c r="DK814" s="231"/>
      <c r="DL814" s="231"/>
      <c r="DM814" s="231"/>
      <c r="DN814" s="231"/>
      <c r="DO814" s="231"/>
      <c r="DP814" s="231"/>
      <c r="DQ814" s="231"/>
      <c r="DR814" s="231"/>
      <c r="DS814" s="231"/>
      <c r="DT814" s="231"/>
      <c r="DU814" s="231"/>
      <c r="DV814" s="231"/>
      <c r="DW814" s="231"/>
      <c r="DX814" s="231"/>
      <c r="DY814" s="231"/>
      <c r="DZ814" s="231"/>
      <c r="EA814" s="231"/>
      <c r="EB814" s="231"/>
      <c r="EC814" s="231"/>
      <c r="ED814" s="231"/>
      <c r="EE814" s="231"/>
      <c r="EF814" s="231"/>
      <c r="EG814" s="231"/>
      <c r="EH814" s="231"/>
      <c r="EI814" s="231"/>
      <c r="EJ814" s="231"/>
      <c r="EK814" s="231"/>
      <c r="EL814" s="231"/>
      <c r="EM814" s="231"/>
      <c r="EN814" s="231"/>
      <c r="EO814" s="231"/>
      <c r="EP814" s="231"/>
      <c r="EQ814" s="231"/>
      <c r="ER814" s="231"/>
      <c r="ES814" s="231"/>
      <c r="ET814" s="231"/>
      <c r="EU814" s="231"/>
      <c r="EV814" s="231"/>
      <c r="EW814" s="231"/>
      <c r="EX814" s="231"/>
      <c r="EY814" s="231"/>
      <c r="EZ814" s="231"/>
      <c r="FA814" s="231"/>
      <c r="FB814" s="231"/>
      <c r="FC814" s="231"/>
      <c r="FD814" s="231"/>
      <c r="FE814" s="231"/>
      <c r="FF814" s="231"/>
      <c r="FG814" s="231"/>
      <c r="FH814" s="231"/>
      <c r="FI814" s="231"/>
      <c r="FJ814" s="231"/>
      <c r="FK814" s="231"/>
      <c r="FL814" s="231"/>
      <c r="FM814" s="231"/>
      <c r="FN814" s="231"/>
      <c r="FO814" s="231"/>
      <c r="FP814" s="231"/>
      <c r="FQ814" s="231"/>
      <c r="FR814" s="231"/>
      <c r="FS814" s="231"/>
      <c r="FT814" s="231"/>
      <c r="FU814" s="231"/>
      <c r="FV814" s="231"/>
      <c r="FW814" s="231"/>
      <c r="FX814" s="231"/>
      <c r="FY814" s="231"/>
      <c r="FZ814" s="231"/>
      <c r="GA814" s="231"/>
      <c r="GB814" s="231"/>
      <c r="GC814" s="231"/>
      <c r="GD814" s="231"/>
      <c r="GE814" s="231"/>
      <c r="GF814" s="231"/>
      <c r="GG814" s="231"/>
      <c r="GH814" s="231"/>
      <c r="GI814" s="231"/>
      <c r="GJ814" s="231"/>
      <c r="GK814" s="231"/>
      <c r="GL814" s="231"/>
      <c r="GM814" s="231"/>
      <c r="GN814" s="231"/>
      <c r="GO814" s="231"/>
      <c r="GP814" s="231"/>
      <c r="GQ814" s="231"/>
      <c r="GR814" s="231"/>
      <c r="GS814" s="231"/>
      <c r="GT814" s="231"/>
      <c r="GU814" s="231"/>
      <c r="GV814" s="231"/>
      <c r="GW814" s="231"/>
      <c r="GX814" s="231"/>
      <c r="GY814" s="231"/>
      <c r="GZ814" s="231"/>
      <c r="HA814" s="231"/>
      <c r="HB814" s="231"/>
      <c r="HC814" s="231"/>
      <c r="HD814" s="231"/>
      <c r="HE814" s="231"/>
      <c r="HF814" s="231"/>
      <c r="HG814" s="231"/>
      <c r="HH814" s="231"/>
      <c r="HI814" s="232"/>
      <c r="KM814" s="12"/>
      <c r="KN814" s="317"/>
      <c r="KO814" s="317"/>
      <c r="KP814" s="317"/>
      <c r="KQ814" s="317"/>
      <c r="KR814" s="317"/>
      <c r="KS814" s="317"/>
      <c r="KT814" s="317"/>
      <c r="KU814" s="317"/>
      <c r="KV814" s="317"/>
      <c r="KW814" s="317"/>
      <c r="KX814" s="317"/>
      <c r="KY814" s="317"/>
      <c r="KZ814" s="317"/>
      <c r="LA814" s="317"/>
      <c r="LB814" s="317"/>
      <c r="LC814" s="317"/>
      <c r="LD814" s="317"/>
      <c r="LE814" s="317"/>
      <c r="LF814" s="317"/>
      <c r="LG814" s="317"/>
      <c r="LH814" s="317"/>
      <c r="LI814" s="317"/>
      <c r="LJ814" s="317"/>
      <c r="LK814" s="317"/>
      <c r="LL814" s="317"/>
      <c r="LM814" s="317"/>
      <c r="LN814" s="317"/>
      <c r="LO814" s="317"/>
      <c r="LP814" s="317"/>
      <c r="LQ814" s="317"/>
      <c r="LR814" s="317"/>
      <c r="LS814" s="317"/>
      <c r="LT814" s="317"/>
      <c r="LU814" s="317"/>
      <c r="LV814" s="317"/>
      <c r="LW814" s="317"/>
      <c r="LX814" s="317"/>
      <c r="LY814" s="13"/>
      <c r="LZ814" s="317"/>
      <c r="MA814" s="317"/>
      <c r="MB814" s="317"/>
      <c r="MC814" s="317"/>
      <c r="MD814" s="317"/>
      <c r="ME814" s="317"/>
      <c r="MF814" s="317"/>
      <c r="MG814" s="317"/>
      <c r="MH814" s="317"/>
      <c r="MI814" s="317"/>
      <c r="MJ814" s="317"/>
      <c r="MK814" s="13"/>
      <c r="ML814" s="317"/>
      <c r="MM814" s="317"/>
      <c r="MN814" s="317"/>
      <c r="MO814" s="317"/>
      <c r="MP814" s="317"/>
      <c r="MQ814" s="317"/>
      <c r="MR814" s="317"/>
      <c r="MS814" s="317"/>
      <c r="MT814" s="13"/>
      <c r="MU814" s="317"/>
      <c r="MV814" s="317"/>
      <c r="MW814" s="317"/>
      <c r="MX814" s="317"/>
      <c r="MY814" s="317"/>
      <c r="MZ814" s="13"/>
      <c r="NA814" s="12"/>
      <c r="NB814" s="317"/>
      <c r="NC814" s="317"/>
      <c r="ND814" s="317"/>
      <c r="NE814" s="317"/>
      <c r="NF814" s="317"/>
      <c r="NG814" s="317"/>
      <c r="NH814" s="317"/>
      <c r="NI814" s="317"/>
      <c r="NJ814" s="317"/>
      <c r="NK814" s="317"/>
      <c r="NL814" s="317"/>
      <c r="NM814" s="317"/>
      <c r="NN814" s="317"/>
      <c r="NO814" s="317"/>
      <c r="NP814" s="317"/>
      <c r="NQ814" s="317"/>
      <c r="NR814" s="317"/>
      <c r="NS814" s="317"/>
      <c r="NT814" s="317"/>
      <c r="NU814" s="317"/>
      <c r="NV814" s="317"/>
      <c r="NW814" s="317"/>
      <c r="NX814" s="317"/>
      <c r="NY814" s="317"/>
      <c r="NZ814" s="317"/>
      <c r="OA814" s="317"/>
      <c r="OB814" s="317"/>
      <c r="OC814" s="317"/>
      <c r="OD814" s="317"/>
      <c r="OE814" s="317"/>
      <c r="OF814" s="317"/>
      <c r="OG814" s="317"/>
      <c r="OH814" s="317"/>
      <c r="OI814" s="317"/>
      <c r="OJ814" s="317"/>
      <c r="OK814" s="317"/>
      <c r="OL814" s="317"/>
      <c r="OM814" s="317"/>
      <c r="ON814" s="317"/>
      <c r="OO814" s="317"/>
      <c r="OP814" s="317"/>
      <c r="OQ814" s="317"/>
      <c r="OR814" s="317"/>
      <c r="OS814" s="317"/>
      <c r="OT814" s="317"/>
      <c r="OU814" s="317"/>
      <c r="OV814" s="317"/>
      <c r="OW814" s="317"/>
      <c r="OX814" s="317"/>
      <c r="OY814" s="317"/>
      <c r="OZ814" s="317"/>
      <c r="PA814" s="317"/>
      <c r="PB814" s="317"/>
      <c r="PC814" s="317"/>
      <c r="PD814" s="317"/>
      <c r="PE814" s="317"/>
      <c r="PF814" s="317"/>
      <c r="PG814" s="317"/>
      <c r="PH814" s="317"/>
      <c r="PI814" s="317"/>
      <c r="PJ814" s="317"/>
      <c r="PK814" s="317"/>
      <c r="PL814" s="317"/>
      <c r="PM814" s="317"/>
      <c r="PN814" s="317"/>
      <c r="PO814" s="317"/>
      <c r="PP814" s="317"/>
      <c r="PQ814" s="317"/>
      <c r="PR814" s="317"/>
      <c r="PS814" s="317"/>
      <c r="PT814" s="317"/>
      <c r="PU814" s="317"/>
      <c r="PV814" s="317"/>
      <c r="PW814" s="317"/>
      <c r="PX814" s="317"/>
      <c r="PY814" s="317"/>
      <c r="PZ814" s="317"/>
      <c r="QA814" s="317"/>
      <c r="QB814" s="317"/>
      <c r="QC814" s="317"/>
      <c r="QD814" s="317"/>
      <c r="QE814" s="317"/>
      <c r="QF814" s="317"/>
      <c r="QG814" s="317"/>
      <c r="QH814" s="317"/>
      <c r="QI814" s="317"/>
      <c r="QJ814" s="317"/>
      <c r="QK814" s="317"/>
      <c r="QL814" s="317"/>
      <c r="QM814" s="317"/>
      <c r="QN814" s="317"/>
      <c r="QO814" s="317"/>
      <c r="QP814" s="317"/>
      <c r="QQ814" s="317"/>
      <c r="QR814" s="317"/>
      <c r="QS814" s="317"/>
      <c r="QT814" s="317"/>
      <c r="QU814" s="317"/>
      <c r="QV814" s="317"/>
      <c r="QW814" s="317"/>
      <c r="QX814" s="317"/>
      <c r="QY814" s="317"/>
      <c r="QZ814" s="317"/>
      <c r="RA814" s="317"/>
      <c r="RB814" s="317"/>
      <c r="RC814" s="317"/>
      <c r="RD814" s="317"/>
      <c r="RE814" s="317"/>
      <c r="RF814" s="317"/>
      <c r="RG814" s="317"/>
      <c r="RH814" s="317"/>
      <c r="RI814" s="317"/>
      <c r="RJ814" s="317"/>
      <c r="RK814" s="317"/>
      <c r="RL814" s="317"/>
      <c r="RM814" s="13"/>
      <c r="RN814" s="317"/>
      <c r="RO814" s="317"/>
      <c r="RP814" s="13"/>
      <c r="RQ814" s="317"/>
      <c r="RR814" s="317"/>
      <c r="RS814" s="317"/>
      <c r="RT814" s="317"/>
      <c r="RU814" s="317"/>
      <c r="RV814" s="13"/>
      <c r="WL814" s="13"/>
    </row>
    <row r="815" spans="82:634" ht="10.75" customHeight="1">
      <c r="CD815" s="229"/>
      <c r="CE815" s="231"/>
      <c r="CF815" s="231"/>
      <c r="CG815" s="231"/>
      <c r="CH815" s="231"/>
      <c r="CI815" s="231"/>
      <c r="CJ815" s="259"/>
      <c r="CK815" s="141"/>
      <c r="CL815" s="141"/>
      <c r="CM815" s="141"/>
      <c r="CN815" s="141"/>
      <c r="CO815" s="141"/>
      <c r="CP815" s="141"/>
      <c r="CQ815" s="141"/>
      <c r="CR815" s="141"/>
      <c r="CS815" s="141"/>
      <c r="CT815" s="141"/>
      <c r="CU815" s="141"/>
      <c r="CV815" s="141"/>
      <c r="CW815" s="141"/>
      <c r="CX815" s="141"/>
      <c r="CY815" s="141"/>
      <c r="CZ815" s="141"/>
      <c r="DA815" s="141"/>
      <c r="DB815" s="141"/>
      <c r="DC815" s="141"/>
      <c r="DD815" s="141"/>
      <c r="DE815" s="141"/>
      <c r="DF815" s="141"/>
      <c r="DG815" s="141"/>
      <c r="DH815" s="141"/>
      <c r="DI815" s="141"/>
      <c r="DJ815" s="141"/>
      <c r="DK815" s="141"/>
      <c r="DL815" s="141"/>
      <c r="DM815" s="141"/>
      <c r="DN815" s="141"/>
      <c r="DO815" s="141"/>
      <c r="DP815" s="141"/>
      <c r="DQ815" s="141"/>
      <c r="DR815" s="141"/>
      <c r="DS815" s="141"/>
      <c r="DT815" s="141"/>
      <c r="DU815" s="141"/>
      <c r="DV815" s="141"/>
      <c r="DW815" s="141"/>
      <c r="DX815" s="141"/>
      <c r="DY815" s="141"/>
      <c r="DZ815" s="141"/>
      <c r="EA815" s="141"/>
      <c r="EB815" s="141"/>
      <c r="EC815" s="141"/>
      <c r="ED815" s="141"/>
      <c r="EE815" s="141"/>
      <c r="EF815" s="141"/>
      <c r="EG815" s="141"/>
      <c r="EH815" s="141"/>
      <c r="EI815" s="141"/>
      <c r="EJ815" s="141"/>
      <c r="EK815" s="141"/>
      <c r="EL815" s="141"/>
      <c r="EM815" s="141"/>
      <c r="EN815" s="141"/>
      <c r="EO815" s="141"/>
      <c r="EP815" s="141"/>
      <c r="EQ815" s="141"/>
      <c r="ER815" s="141"/>
      <c r="ES815" s="141"/>
      <c r="ET815" s="141"/>
      <c r="EU815" s="141"/>
      <c r="EV815" s="141"/>
      <c r="EW815" s="141"/>
      <c r="EX815" s="141"/>
      <c r="EY815" s="141"/>
      <c r="EZ815" s="141"/>
      <c r="FA815" s="141"/>
      <c r="FB815" s="141"/>
      <c r="FC815" s="141"/>
      <c r="FD815" s="141"/>
      <c r="FE815" s="141"/>
      <c r="FF815" s="141"/>
      <c r="FG815" s="141"/>
      <c r="FH815" s="141"/>
      <c r="FI815" s="141"/>
      <c r="FJ815" s="141"/>
      <c r="FK815" s="141"/>
      <c r="FL815" s="141"/>
      <c r="FM815" s="141"/>
      <c r="FN815" s="141"/>
      <c r="FO815" s="141"/>
      <c r="FP815" s="141"/>
      <c r="FQ815" s="141"/>
      <c r="FR815" s="141"/>
      <c r="FS815" s="141"/>
      <c r="FT815" s="141"/>
      <c r="FU815" s="141"/>
      <c r="FV815" s="141"/>
      <c r="FW815" s="141"/>
      <c r="FX815" s="141"/>
      <c r="FY815" s="141"/>
      <c r="FZ815" s="141"/>
      <c r="GA815" s="141"/>
      <c r="GB815" s="141"/>
      <c r="GC815" s="141"/>
      <c r="GD815" s="141"/>
      <c r="GE815" s="141"/>
      <c r="GF815" s="141"/>
      <c r="GG815" s="141"/>
      <c r="GH815" s="141"/>
      <c r="GI815" s="141"/>
      <c r="GJ815" s="141"/>
      <c r="GK815" s="141"/>
      <c r="GL815" s="141"/>
      <c r="GM815" s="141"/>
      <c r="GN815" s="141"/>
      <c r="GO815" s="141"/>
      <c r="GP815" s="141"/>
      <c r="GQ815" s="141"/>
      <c r="GR815" s="141"/>
      <c r="GS815" s="141"/>
      <c r="GT815" s="141"/>
      <c r="GU815" s="141"/>
      <c r="GV815" s="141"/>
      <c r="GW815" s="141"/>
      <c r="GX815" s="141"/>
      <c r="GY815" s="141"/>
      <c r="GZ815" s="141"/>
      <c r="HA815" s="235"/>
      <c r="HB815" s="231"/>
      <c r="HC815" s="231"/>
      <c r="HD815" s="231"/>
      <c r="HE815" s="231"/>
      <c r="HF815" s="231"/>
      <c r="HG815" s="231"/>
      <c r="HH815" s="231"/>
      <c r="HI815" s="232"/>
      <c r="KM815" s="12"/>
      <c r="KN815" s="317"/>
      <c r="KO815" s="317"/>
      <c r="KP815" s="317"/>
      <c r="KQ815" s="317"/>
      <c r="KR815" s="317"/>
      <c r="KS815" s="317"/>
      <c r="KT815" s="317"/>
      <c r="KU815" s="317"/>
      <c r="KV815" s="317"/>
      <c r="KW815" s="317"/>
      <c r="KX815" s="317"/>
      <c r="KY815" s="317"/>
      <c r="KZ815" s="317"/>
      <c r="LA815" s="317"/>
      <c r="LB815" s="317"/>
      <c r="LC815" s="317"/>
      <c r="LD815" s="317"/>
      <c r="LE815" s="317"/>
      <c r="LF815" s="317"/>
      <c r="LG815" s="317"/>
      <c r="LH815" s="317"/>
      <c r="LI815" s="317"/>
      <c r="LJ815" s="317"/>
      <c r="LK815" s="317"/>
      <c r="LL815" s="317"/>
      <c r="LM815" s="317"/>
      <c r="LN815" s="317"/>
      <c r="LO815" s="317"/>
      <c r="LP815" s="317"/>
      <c r="LQ815" s="317"/>
      <c r="LR815" s="317"/>
      <c r="LS815" s="317"/>
      <c r="LT815" s="317"/>
      <c r="LU815" s="317"/>
      <c r="LV815" s="317"/>
      <c r="LW815" s="317"/>
      <c r="LX815" s="317"/>
      <c r="LY815" s="13"/>
      <c r="LZ815" s="317"/>
      <c r="MA815" s="317"/>
      <c r="MB815" s="317"/>
      <c r="MC815" s="317"/>
      <c r="MD815" s="317"/>
      <c r="ME815" s="317"/>
      <c r="MF815" s="317"/>
      <c r="MG815" s="317"/>
      <c r="MH815" s="317"/>
      <c r="MI815" s="317"/>
      <c r="MJ815" s="317"/>
      <c r="MK815" s="13"/>
      <c r="ML815" s="317"/>
      <c r="MM815" s="317"/>
      <c r="MN815" s="317"/>
      <c r="MO815" s="317"/>
      <c r="MP815" s="317"/>
      <c r="MQ815" s="317"/>
      <c r="MR815" s="317"/>
      <c r="MS815" s="317"/>
      <c r="MT815" s="13"/>
      <c r="MU815" s="317"/>
      <c r="MV815" s="317"/>
      <c r="MW815" s="317"/>
      <c r="MX815" s="317"/>
      <c r="MY815" s="317"/>
      <c r="MZ815" s="13"/>
      <c r="NA815" s="12"/>
      <c r="NB815" s="317"/>
      <c r="NC815" s="317"/>
      <c r="ND815" s="317"/>
      <c r="NE815" s="317"/>
      <c r="NF815" s="317"/>
      <c r="NG815" s="317"/>
      <c r="NH815" s="317"/>
      <c r="NI815" s="317"/>
      <c r="NJ815" s="317"/>
      <c r="NK815" s="317"/>
      <c r="NL815" s="317"/>
      <c r="NM815" s="317"/>
      <c r="NN815" s="317"/>
      <c r="NO815" s="317"/>
      <c r="NP815" s="317"/>
      <c r="NQ815" s="317"/>
      <c r="NR815" s="317"/>
      <c r="NS815" s="317"/>
      <c r="NT815" s="317"/>
      <c r="NU815" s="317"/>
      <c r="NV815" s="317"/>
      <c r="NW815" s="317"/>
      <c r="NX815" s="317"/>
      <c r="NY815" s="317"/>
      <c r="NZ815" s="317"/>
      <c r="OA815" s="317"/>
      <c r="OB815" s="317"/>
      <c r="OC815" s="317"/>
      <c r="OD815" s="317"/>
      <c r="OE815" s="317"/>
      <c r="OF815" s="317"/>
      <c r="OG815" s="317"/>
      <c r="OH815" s="317"/>
      <c r="OI815" s="317"/>
      <c r="OJ815" s="317"/>
      <c r="OK815" s="317"/>
      <c r="OL815" s="317"/>
      <c r="OM815" s="317"/>
      <c r="ON815" s="317"/>
      <c r="OO815" s="317"/>
      <c r="OP815" s="317"/>
      <c r="OQ815" s="317"/>
      <c r="OR815" s="317"/>
      <c r="OS815" s="317"/>
      <c r="OT815" s="317"/>
      <c r="OU815" s="317"/>
      <c r="OV815" s="317"/>
      <c r="OW815" s="317"/>
      <c r="OX815" s="317"/>
      <c r="OY815" s="317"/>
      <c r="OZ815" s="317"/>
      <c r="PA815" s="317"/>
      <c r="PB815" s="317"/>
      <c r="PC815" s="317"/>
      <c r="PD815" s="317"/>
      <c r="PE815" s="317"/>
      <c r="PF815" s="317"/>
      <c r="PG815" s="317"/>
      <c r="PH815" s="317"/>
      <c r="PI815" s="317"/>
      <c r="PJ815" s="317"/>
      <c r="PK815" s="317"/>
      <c r="PL815" s="317"/>
      <c r="PM815" s="317"/>
      <c r="PN815" s="317"/>
      <c r="PO815" s="317"/>
      <c r="PP815" s="317"/>
      <c r="PQ815" s="317"/>
      <c r="PR815" s="317"/>
      <c r="PS815" s="317"/>
      <c r="PT815" s="317"/>
      <c r="PU815" s="317"/>
      <c r="PV815" s="317"/>
      <c r="PW815" s="317"/>
      <c r="PX815" s="317"/>
      <c r="PY815" s="317"/>
      <c r="PZ815" s="317"/>
      <c r="QA815" s="317"/>
      <c r="QB815" s="317"/>
      <c r="QC815" s="317"/>
      <c r="QD815" s="317"/>
      <c r="QE815" s="317"/>
      <c r="QF815" s="317"/>
      <c r="QG815" s="317"/>
      <c r="QH815" s="317"/>
      <c r="QI815" s="317"/>
      <c r="QJ815" s="317"/>
      <c r="QK815" s="317"/>
      <c r="QL815" s="317"/>
      <c r="QM815" s="317"/>
      <c r="QN815" s="317"/>
      <c r="QO815" s="317"/>
      <c r="QP815" s="317"/>
      <c r="QQ815" s="317"/>
      <c r="QR815" s="317"/>
      <c r="QS815" s="317"/>
      <c r="QT815" s="317"/>
      <c r="QU815" s="317"/>
      <c r="QV815" s="317"/>
      <c r="QW815" s="317"/>
      <c r="QX815" s="317"/>
      <c r="QY815" s="317"/>
      <c r="QZ815" s="317"/>
      <c r="RA815" s="317"/>
      <c r="RB815" s="317"/>
      <c r="RC815" s="317"/>
      <c r="RD815" s="317"/>
      <c r="RE815" s="317"/>
      <c r="RF815" s="317"/>
      <c r="RG815" s="317"/>
      <c r="RH815" s="317"/>
      <c r="RI815" s="317"/>
      <c r="RJ815" s="317"/>
      <c r="RK815" s="317"/>
      <c r="RL815" s="317"/>
      <c r="RM815" s="13"/>
      <c r="RN815" s="317"/>
      <c r="RO815" s="317"/>
      <c r="RP815" s="13"/>
      <c r="RQ815" s="317"/>
      <c r="RR815" s="317"/>
      <c r="RS815" s="317"/>
      <c r="RT815" s="317"/>
      <c r="RU815" s="317"/>
      <c r="RV815" s="13"/>
      <c r="WL815" s="13"/>
    </row>
    <row r="816" spans="82:634" ht="10.75" customHeight="1">
      <c r="CD816" s="229"/>
      <c r="CE816" s="231"/>
      <c r="CF816" s="231"/>
      <c r="CG816" s="231"/>
      <c r="CH816" s="231"/>
      <c r="CI816" s="231"/>
      <c r="CJ816" s="214"/>
      <c r="CK816" s="49"/>
      <c r="CL816" s="49"/>
      <c r="CM816" s="49"/>
      <c r="CN816" s="49"/>
      <c r="CO816" s="49"/>
      <c r="CP816" s="49"/>
      <c r="CQ816" s="49"/>
      <c r="CR816" s="49"/>
      <c r="CS816" s="49"/>
      <c r="CT816" s="49"/>
      <c r="CU816" s="49"/>
      <c r="CV816" s="49"/>
      <c r="CW816" s="49"/>
      <c r="CX816" s="49"/>
      <c r="CY816" s="49"/>
      <c r="CZ816" s="49"/>
      <c r="DA816" s="49"/>
      <c r="DB816" s="49"/>
      <c r="DC816" s="49"/>
      <c r="DD816" s="49"/>
      <c r="DE816" s="49"/>
      <c r="DF816" s="49"/>
      <c r="DG816" s="49"/>
      <c r="DH816" s="49"/>
      <c r="DI816" s="49"/>
      <c r="DJ816" s="49"/>
      <c r="DK816" s="49"/>
      <c r="DL816" s="49"/>
      <c r="DM816" s="49"/>
      <c r="DN816" s="49"/>
      <c r="DO816" s="49"/>
      <c r="DP816" s="49"/>
      <c r="DQ816" s="49"/>
      <c r="DR816" s="49"/>
      <c r="DS816" s="49"/>
      <c r="DT816" s="49"/>
      <c r="DU816" s="49"/>
      <c r="DV816" s="49"/>
      <c r="DW816" s="49"/>
      <c r="DX816" s="49"/>
      <c r="DY816" s="49"/>
      <c r="DZ816" s="49"/>
      <c r="EA816" s="49"/>
      <c r="EB816" s="49"/>
      <c r="EC816" s="49"/>
      <c r="ED816" s="49"/>
      <c r="EE816" s="49"/>
      <c r="EF816" s="49"/>
      <c r="EG816" s="49"/>
      <c r="EH816" s="49"/>
      <c r="EI816" s="49"/>
      <c r="EJ816" s="49"/>
      <c r="EK816" s="49"/>
      <c r="EL816" s="49"/>
      <c r="EM816" s="49"/>
      <c r="EN816" s="49"/>
      <c r="EO816" s="49"/>
      <c r="EP816" s="49"/>
      <c r="EQ816" s="49"/>
      <c r="ER816" s="49"/>
      <c r="ES816" s="49"/>
      <c r="ET816" s="49"/>
      <c r="EU816" s="49"/>
      <c r="EV816" s="49"/>
      <c r="EW816" s="49"/>
      <c r="EX816" s="49"/>
      <c r="EY816" s="49"/>
      <c r="EZ816" s="49"/>
      <c r="FA816" s="49"/>
      <c r="FB816" s="49"/>
      <c r="FC816" s="49"/>
      <c r="FD816" s="49"/>
      <c r="FE816" s="49"/>
      <c r="FF816" s="49"/>
      <c r="FG816" s="49"/>
      <c r="FH816" s="49"/>
      <c r="FI816" s="49"/>
      <c r="FJ816" s="49"/>
      <c r="FK816" s="49"/>
      <c r="FL816" s="49"/>
      <c r="FM816" s="49"/>
      <c r="FN816" s="49"/>
      <c r="FO816" s="49"/>
      <c r="FP816" s="49"/>
      <c r="FQ816" s="49"/>
      <c r="FR816" s="49"/>
      <c r="FS816" s="49"/>
      <c r="FT816" s="49"/>
      <c r="FU816" s="49"/>
      <c r="FV816" s="49"/>
      <c r="FW816" s="49"/>
      <c r="FX816" s="49"/>
      <c r="FY816" s="49"/>
      <c r="FZ816" s="49"/>
      <c r="GA816" s="49"/>
      <c r="GB816" s="49"/>
      <c r="GC816" s="49"/>
      <c r="GD816" s="49"/>
      <c r="GE816" s="49"/>
      <c r="GF816" s="49"/>
      <c r="GG816" s="49"/>
      <c r="GH816" s="49"/>
      <c r="GI816" s="49"/>
      <c r="GJ816" s="49"/>
      <c r="GK816" s="49"/>
      <c r="GL816" s="49"/>
      <c r="GM816" s="49"/>
      <c r="GN816" s="49"/>
      <c r="GO816" s="49"/>
      <c r="GP816" s="49"/>
      <c r="GQ816" s="49"/>
      <c r="GR816" s="49"/>
      <c r="GS816" s="49"/>
      <c r="GT816" s="49"/>
      <c r="GU816" s="49"/>
      <c r="GV816" s="49"/>
      <c r="GW816" s="49"/>
      <c r="GX816" s="49"/>
      <c r="GY816" s="49"/>
      <c r="GZ816" s="49"/>
      <c r="HA816" s="208"/>
      <c r="HB816" s="231"/>
      <c r="HC816" s="231"/>
      <c r="HD816" s="231"/>
      <c r="HE816" s="231"/>
      <c r="HF816" s="231"/>
      <c r="HG816" s="231"/>
      <c r="HH816" s="231"/>
      <c r="HI816" s="232"/>
      <c r="KM816" s="12"/>
      <c r="KN816" s="317"/>
      <c r="KO816" s="317"/>
      <c r="KP816" s="317"/>
      <c r="KQ816" s="317"/>
      <c r="KR816" s="317"/>
      <c r="KS816" s="317"/>
      <c r="KT816" s="317"/>
      <c r="KU816" s="317"/>
      <c r="KV816" s="317"/>
      <c r="KW816" s="317"/>
      <c r="KX816" s="317"/>
      <c r="KY816" s="317"/>
      <c r="KZ816" s="317"/>
      <c r="LA816" s="317"/>
      <c r="LB816" s="317"/>
      <c r="LC816" s="317"/>
      <c r="LD816" s="317"/>
      <c r="LE816" s="317"/>
      <c r="LF816" s="317"/>
      <c r="LG816" s="317"/>
      <c r="LH816" s="317"/>
      <c r="LI816" s="317"/>
      <c r="LJ816" s="317"/>
      <c r="LK816" s="317"/>
      <c r="LL816" s="317"/>
      <c r="LM816" s="317"/>
      <c r="LN816" s="317"/>
      <c r="LO816" s="317"/>
      <c r="LP816" s="317"/>
      <c r="LQ816" s="317"/>
      <c r="LR816" s="317"/>
      <c r="LS816" s="317"/>
      <c r="LT816" s="317"/>
      <c r="LU816" s="317"/>
      <c r="LV816" s="317"/>
      <c r="LW816" s="317"/>
      <c r="LX816" s="317"/>
      <c r="LY816" s="13"/>
      <c r="LZ816" s="317"/>
      <c r="MA816" s="317"/>
      <c r="MB816" s="317"/>
      <c r="MC816" s="317"/>
      <c r="MD816" s="317"/>
      <c r="ME816" s="317"/>
      <c r="MF816" s="317"/>
      <c r="MG816" s="317"/>
      <c r="MH816" s="317"/>
      <c r="MI816" s="317"/>
      <c r="MJ816" s="317"/>
      <c r="MK816" s="13"/>
      <c r="ML816" s="317"/>
      <c r="MM816" s="317"/>
      <c r="MN816" s="317"/>
      <c r="MO816" s="317"/>
      <c r="MP816" s="317"/>
      <c r="MQ816" s="317"/>
      <c r="MR816" s="317"/>
      <c r="MS816" s="317"/>
      <c r="MT816" s="13"/>
      <c r="MU816" s="317"/>
      <c r="MV816" s="317"/>
      <c r="MW816" s="317"/>
      <c r="MX816" s="317"/>
      <c r="MY816" s="317"/>
      <c r="MZ816" s="13"/>
      <c r="NA816" s="12"/>
      <c r="NB816" s="317"/>
      <c r="NC816" s="317"/>
      <c r="ND816" s="317"/>
      <c r="NE816" s="317"/>
      <c r="NF816" s="317"/>
      <c r="NG816" s="317"/>
      <c r="NH816" s="317"/>
      <c r="NI816" s="317"/>
      <c r="NJ816" s="317"/>
      <c r="NK816" s="317"/>
      <c r="NL816" s="317"/>
      <c r="NM816" s="317"/>
      <c r="NN816" s="317"/>
      <c r="NO816" s="317"/>
      <c r="NP816" s="317"/>
      <c r="NQ816" s="317"/>
      <c r="NR816" s="317"/>
      <c r="NS816" s="317"/>
      <c r="NT816" s="317"/>
      <c r="NU816" s="317"/>
      <c r="NV816" s="317"/>
      <c r="NW816" s="317"/>
      <c r="NX816" s="317"/>
      <c r="NY816" s="317"/>
      <c r="NZ816" s="317"/>
      <c r="OA816" s="317"/>
      <c r="OB816" s="317"/>
      <c r="OC816" s="317"/>
      <c r="OD816" s="317"/>
      <c r="OE816" s="317"/>
      <c r="OF816" s="317"/>
      <c r="OG816" s="317"/>
      <c r="OH816" s="317"/>
      <c r="OI816" s="317"/>
      <c r="OJ816" s="317"/>
      <c r="OK816" s="317"/>
      <c r="OL816" s="317"/>
      <c r="OM816" s="317"/>
      <c r="ON816" s="317"/>
      <c r="OO816" s="317"/>
      <c r="OP816" s="317"/>
      <c r="OQ816" s="317"/>
      <c r="OR816" s="317"/>
      <c r="OS816" s="317"/>
      <c r="OT816" s="317"/>
      <c r="OU816" s="317"/>
      <c r="OV816" s="317"/>
      <c r="OW816" s="317"/>
      <c r="OX816" s="317"/>
      <c r="OY816" s="317"/>
      <c r="OZ816" s="317"/>
      <c r="PA816" s="317"/>
      <c r="PB816" s="317"/>
      <c r="PC816" s="317"/>
      <c r="PD816" s="317"/>
      <c r="PE816" s="317"/>
      <c r="PF816" s="317"/>
      <c r="PG816" s="317"/>
      <c r="PH816" s="317"/>
      <c r="PI816" s="317"/>
      <c r="PJ816" s="317"/>
      <c r="PK816" s="317"/>
      <c r="PL816" s="317"/>
      <c r="PM816" s="317"/>
      <c r="PN816" s="317"/>
      <c r="PO816" s="317"/>
      <c r="PP816" s="317"/>
      <c r="PQ816" s="317"/>
      <c r="PR816" s="317"/>
      <c r="PS816" s="317"/>
      <c r="PT816" s="317"/>
      <c r="PU816" s="317"/>
      <c r="PV816" s="317"/>
      <c r="PW816" s="317"/>
      <c r="PX816" s="317"/>
      <c r="PY816" s="317"/>
      <c r="PZ816" s="317"/>
      <c r="QA816" s="317"/>
      <c r="QB816" s="317"/>
      <c r="QC816" s="317"/>
      <c r="QD816" s="317"/>
      <c r="QE816" s="317"/>
      <c r="QF816" s="317"/>
      <c r="QG816" s="317"/>
      <c r="QH816" s="317"/>
      <c r="QI816" s="317"/>
      <c r="QJ816" s="317"/>
      <c r="QK816" s="317"/>
      <c r="QL816" s="317"/>
      <c r="QM816" s="317"/>
      <c r="QN816" s="317"/>
      <c r="QO816" s="317"/>
      <c r="QP816" s="317"/>
      <c r="QQ816" s="317"/>
      <c r="QR816" s="317"/>
      <c r="QS816" s="317"/>
      <c r="QT816" s="317"/>
      <c r="QU816" s="317"/>
      <c r="QV816" s="317"/>
      <c r="QW816" s="317"/>
      <c r="QX816" s="317"/>
      <c r="QY816" s="317"/>
      <c r="QZ816" s="317"/>
      <c r="RA816" s="317"/>
      <c r="RB816" s="317"/>
      <c r="RC816" s="317"/>
      <c r="RD816" s="317"/>
      <c r="RE816" s="317"/>
      <c r="RF816" s="317"/>
      <c r="RG816" s="317"/>
      <c r="RH816" s="317"/>
      <c r="RI816" s="317"/>
      <c r="RJ816" s="317"/>
      <c r="RK816" s="317"/>
      <c r="RL816" s="317"/>
      <c r="RM816" s="13"/>
      <c r="RN816" s="317"/>
      <c r="RO816" s="317"/>
      <c r="RP816" s="13"/>
      <c r="RQ816" s="317"/>
      <c r="RR816" s="317"/>
      <c r="RS816" s="317"/>
      <c r="RT816" s="317"/>
      <c r="RU816" s="317"/>
      <c r="RV816" s="13"/>
      <c r="WL816" s="13"/>
    </row>
    <row r="817" spans="82:610" ht="10.75" customHeight="1">
      <c r="CD817" s="229"/>
      <c r="CE817" s="231"/>
      <c r="CF817" s="231"/>
      <c r="CG817" s="231"/>
      <c r="CH817" s="231"/>
      <c r="CI817" s="231"/>
      <c r="CJ817" s="214"/>
      <c r="CK817" s="49"/>
      <c r="CL817" s="49"/>
      <c r="CM817" s="49"/>
      <c r="CN817" s="49"/>
      <c r="CO817" s="49"/>
      <c r="CP817" s="49"/>
      <c r="CQ817" s="49"/>
      <c r="CR817" s="49"/>
      <c r="CS817" s="49"/>
      <c r="CT817" s="49"/>
      <c r="CU817" s="49"/>
      <c r="CV817" s="49"/>
      <c r="CW817" s="49"/>
      <c r="CX817" s="49"/>
      <c r="CY817" s="49"/>
      <c r="CZ817" s="49"/>
      <c r="DA817" s="49"/>
      <c r="DB817" s="49"/>
      <c r="DC817" s="49"/>
      <c r="DD817" s="49"/>
      <c r="DE817" s="49"/>
      <c r="DF817" s="49"/>
      <c r="DG817" s="49"/>
      <c r="DH817" s="49"/>
      <c r="DI817" s="49"/>
      <c r="DJ817" s="49"/>
      <c r="DK817" s="49"/>
      <c r="DL817" s="49"/>
      <c r="DM817" s="49"/>
      <c r="DN817" s="49"/>
      <c r="DO817" s="49"/>
      <c r="DP817" s="49"/>
      <c r="DQ817" s="49"/>
      <c r="DR817" s="49"/>
      <c r="DS817" s="49"/>
      <c r="DT817" s="49"/>
      <c r="DU817" s="49"/>
      <c r="DV817" s="49"/>
      <c r="DW817" s="49"/>
      <c r="DX817" s="49"/>
      <c r="DY817" s="49"/>
      <c r="DZ817" s="49"/>
      <c r="EA817" s="49"/>
      <c r="EB817" s="49"/>
      <c r="EC817" s="49"/>
      <c r="ED817" s="49"/>
      <c r="EE817" s="49"/>
      <c r="EF817" s="49"/>
      <c r="EG817" s="49"/>
      <c r="EH817" s="49"/>
      <c r="EI817" s="49"/>
      <c r="EJ817" s="49"/>
      <c r="EK817" s="49"/>
      <c r="EL817" s="49"/>
      <c r="EM817" s="49"/>
      <c r="EN817" s="49"/>
      <c r="EO817" s="49"/>
      <c r="EP817" s="49"/>
      <c r="EQ817" s="49"/>
      <c r="ER817" s="49"/>
      <c r="ES817" s="49"/>
      <c r="ET817" s="49"/>
      <c r="EU817" s="49"/>
      <c r="EV817" s="49"/>
      <c r="EW817" s="49"/>
      <c r="EX817" s="49"/>
      <c r="EY817" s="49"/>
      <c r="EZ817" s="49"/>
      <c r="FA817" s="49"/>
      <c r="FB817" s="49"/>
      <c r="FC817" s="49"/>
      <c r="FD817" s="49"/>
      <c r="FE817" s="49"/>
      <c r="FF817" s="49"/>
      <c r="FG817" s="49"/>
      <c r="FH817" s="49"/>
      <c r="FI817" s="49"/>
      <c r="FJ817" s="49"/>
      <c r="FK817" s="49"/>
      <c r="FL817" s="49"/>
      <c r="FM817" s="49"/>
      <c r="FN817" s="49"/>
      <c r="FO817" s="49"/>
      <c r="FP817" s="49"/>
      <c r="FQ817" s="49"/>
      <c r="FR817" s="49"/>
      <c r="FS817" s="49"/>
      <c r="FT817" s="49"/>
      <c r="FU817" s="49"/>
      <c r="FV817" s="49"/>
      <c r="FW817" s="49"/>
      <c r="FX817" s="49"/>
      <c r="FY817" s="49"/>
      <c r="FZ817" s="49"/>
      <c r="GA817" s="49"/>
      <c r="GB817" s="49"/>
      <c r="GC817" s="49"/>
      <c r="GD817" s="49"/>
      <c r="GE817" s="49"/>
      <c r="GF817" s="49"/>
      <c r="GG817" s="49"/>
      <c r="GH817" s="49"/>
      <c r="GI817" s="49"/>
      <c r="GJ817" s="49"/>
      <c r="GK817" s="49"/>
      <c r="GL817" s="49"/>
      <c r="GM817" s="49"/>
      <c r="GN817" s="49"/>
      <c r="GO817" s="49"/>
      <c r="GP817" s="49"/>
      <c r="GQ817" s="49"/>
      <c r="GR817" s="49"/>
      <c r="GS817" s="49"/>
      <c r="GT817" s="49"/>
      <c r="GU817" s="49"/>
      <c r="GV817" s="49"/>
      <c r="GW817" s="49"/>
      <c r="GX817" s="49"/>
      <c r="GY817" s="49"/>
      <c r="GZ817" s="49"/>
      <c r="HA817" s="208"/>
      <c r="HB817" s="231"/>
      <c r="HC817" s="231"/>
      <c r="HD817" s="231"/>
      <c r="HE817" s="231"/>
      <c r="HF817" s="231"/>
      <c r="HG817" s="231"/>
      <c r="HH817" s="231"/>
      <c r="HI817" s="232"/>
      <c r="KM817" s="12"/>
      <c r="KN817" s="317"/>
      <c r="KO817" s="317"/>
      <c r="KP817" s="317"/>
      <c r="KQ817" s="317"/>
      <c r="KR817" s="317"/>
      <c r="KS817" s="317"/>
      <c r="KT817" s="317"/>
      <c r="KU817" s="317"/>
      <c r="KV817" s="317"/>
      <c r="KW817" s="317"/>
      <c r="KX817" s="317"/>
      <c r="KY817" s="317"/>
      <c r="KZ817" s="317"/>
      <c r="LA817" s="317"/>
      <c r="LB817" s="317"/>
      <c r="LC817" s="317"/>
      <c r="LD817" s="317"/>
      <c r="LE817" s="317"/>
      <c r="LF817" s="317"/>
      <c r="LG817" s="317"/>
      <c r="LH817" s="317"/>
      <c r="LI817" s="317"/>
      <c r="LJ817" s="317"/>
      <c r="LK817" s="317"/>
      <c r="LL817" s="317"/>
      <c r="LM817" s="317"/>
      <c r="LN817" s="317"/>
      <c r="LO817" s="317"/>
      <c r="LP817" s="317"/>
      <c r="LQ817" s="317"/>
      <c r="LR817" s="317"/>
      <c r="LS817" s="317"/>
      <c r="LT817" s="317"/>
      <c r="LU817" s="317"/>
      <c r="LV817" s="317"/>
      <c r="LW817" s="317"/>
      <c r="LX817" s="317"/>
      <c r="LY817" s="13"/>
      <c r="LZ817" s="317"/>
      <c r="MA817" s="317"/>
      <c r="MB817" s="317"/>
      <c r="MC817" s="317"/>
      <c r="MD817" s="317"/>
      <c r="ME817" s="317"/>
      <c r="MF817" s="317"/>
      <c r="MG817" s="317"/>
      <c r="MH817" s="317"/>
      <c r="MI817" s="317"/>
      <c r="MJ817" s="317"/>
      <c r="MK817" s="13"/>
      <c r="ML817" s="317"/>
      <c r="MM817" s="317"/>
      <c r="MN817" s="317"/>
      <c r="MO817" s="317"/>
      <c r="MP817" s="317"/>
      <c r="MQ817" s="317"/>
      <c r="MR817" s="317"/>
      <c r="MS817" s="317"/>
      <c r="MT817" s="13"/>
      <c r="MU817" s="317"/>
      <c r="MV817" s="317"/>
      <c r="MW817" s="317"/>
      <c r="MX817" s="317"/>
      <c r="MY817" s="317"/>
      <c r="MZ817" s="13"/>
      <c r="NA817" s="12"/>
      <c r="NB817" s="317"/>
      <c r="NC817" s="317"/>
      <c r="ND817" s="317"/>
      <c r="NE817" s="317"/>
      <c r="NF817" s="317"/>
      <c r="NG817" s="317"/>
      <c r="NH817" s="317"/>
      <c r="NI817" s="317"/>
      <c r="NJ817" s="317"/>
      <c r="NK817" s="317"/>
      <c r="NL817" s="317"/>
      <c r="NM817" s="317"/>
      <c r="NN817" s="317"/>
      <c r="NO817" s="317"/>
      <c r="NP817" s="317"/>
      <c r="NQ817" s="317"/>
      <c r="NR817" s="317"/>
      <c r="NS817" s="317"/>
      <c r="NT817" s="317"/>
      <c r="NU817" s="317"/>
      <c r="NV817" s="317"/>
      <c r="NW817" s="317"/>
      <c r="NX817" s="317"/>
      <c r="NY817" s="317"/>
      <c r="NZ817" s="317"/>
      <c r="OA817" s="317"/>
      <c r="OB817" s="317"/>
      <c r="OC817" s="317"/>
      <c r="OD817" s="317"/>
      <c r="OE817" s="317"/>
      <c r="OF817" s="317"/>
      <c r="OG817" s="317"/>
      <c r="OH817" s="317"/>
      <c r="OI817" s="317"/>
      <c r="OJ817" s="317"/>
      <c r="OK817" s="317"/>
      <c r="OL817" s="317"/>
      <c r="OM817" s="317"/>
      <c r="ON817" s="317"/>
      <c r="OO817" s="317"/>
      <c r="OP817" s="317"/>
      <c r="OQ817" s="317"/>
      <c r="OR817" s="317"/>
      <c r="OS817" s="317"/>
      <c r="OT817" s="317"/>
      <c r="OU817" s="317"/>
      <c r="OV817" s="317"/>
      <c r="OW817" s="317"/>
      <c r="OX817" s="317"/>
      <c r="OY817" s="317"/>
      <c r="OZ817" s="317"/>
      <c r="PA817" s="317"/>
      <c r="PB817" s="317"/>
      <c r="PC817" s="317"/>
      <c r="PD817" s="317"/>
      <c r="PE817" s="317"/>
      <c r="PF817" s="317"/>
      <c r="PG817" s="317"/>
      <c r="PH817" s="317"/>
      <c r="PI817" s="317"/>
      <c r="PJ817" s="317"/>
      <c r="PK817" s="317"/>
      <c r="PL817" s="317"/>
      <c r="PM817" s="317"/>
      <c r="PN817" s="317"/>
      <c r="PO817" s="317"/>
      <c r="PP817" s="317"/>
      <c r="PQ817" s="317"/>
      <c r="PR817" s="317"/>
      <c r="PS817" s="317"/>
      <c r="PT817" s="317"/>
      <c r="PU817" s="317"/>
      <c r="PV817" s="317"/>
      <c r="PW817" s="317"/>
      <c r="PX817" s="317"/>
      <c r="PY817" s="317"/>
      <c r="PZ817" s="317"/>
      <c r="QA817" s="317"/>
      <c r="QB817" s="317"/>
      <c r="QC817" s="317"/>
      <c r="QD817" s="317"/>
      <c r="QE817" s="317"/>
      <c r="QF817" s="317"/>
      <c r="QG817" s="317"/>
      <c r="QH817" s="317"/>
      <c r="QI817" s="317"/>
      <c r="QJ817" s="317"/>
      <c r="QK817" s="317"/>
      <c r="QL817" s="317"/>
      <c r="QM817" s="317"/>
      <c r="QN817" s="317"/>
      <c r="QO817" s="317"/>
      <c r="QP817" s="317"/>
      <c r="QQ817" s="317"/>
      <c r="QR817" s="317"/>
      <c r="QS817" s="317"/>
      <c r="QT817" s="317"/>
      <c r="QU817" s="317"/>
      <c r="QV817" s="317"/>
      <c r="QW817" s="317"/>
      <c r="QX817" s="317"/>
      <c r="QY817" s="317"/>
      <c r="QZ817" s="317"/>
      <c r="RA817" s="317"/>
      <c r="RB817" s="317"/>
      <c r="RC817" s="317"/>
      <c r="RD817" s="317"/>
      <c r="RE817" s="317"/>
      <c r="RF817" s="317"/>
      <c r="RG817" s="317"/>
      <c r="RH817" s="317"/>
      <c r="RI817" s="317"/>
      <c r="RJ817" s="317"/>
      <c r="RK817" s="317"/>
      <c r="RL817" s="317"/>
      <c r="RM817" s="13"/>
      <c r="RN817" s="317"/>
      <c r="RO817" s="317"/>
      <c r="RP817" s="13"/>
      <c r="RQ817" s="317"/>
      <c r="RR817" s="317"/>
      <c r="RS817" s="317"/>
      <c r="RT817" s="317"/>
      <c r="RU817" s="317"/>
      <c r="RV817" s="13"/>
      <c r="WL817" s="13"/>
    </row>
    <row r="818" spans="82:610" ht="10.75" customHeight="1">
      <c r="CD818" s="229"/>
      <c r="CE818" s="231"/>
      <c r="CF818" s="231"/>
      <c r="CG818" s="231"/>
      <c r="CH818" s="231"/>
      <c r="CI818" s="231"/>
      <c r="CJ818" s="214"/>
      <c r="CK818" s="49"/>
      <c r="CL818" s="49"/>
      <c r="CM818" s="49"/>
      <c r="CN818" s="49"/>
      <c r="CO818" s="49"/>
      <c r="CP818" s="49"/>
      <c r="CQ818" s="49"/>
      <c r="CR818" s="49"/>
      <c r="CS818" s="49"/>
      <c r="CT818" s="49"/>
      <c r="CU818" s="49"/>
      <c r="CV818" s="49"/>
      <c r="CW818" s="49"/>
      <c r="CX818" s="49"/>
      <c r="CY818" s="49"/>
      <c r="CZ818" s="49"/>
      <c r="DA818" s="49"/>
      <c r="DB818" s="49"/>
      <c r="DC818" s="49"/>
      <c r="DD818" s="49"/>
      <c r="DE818" s="49"/>
      <c r="DF818" s="49"/>
      <c r="DG818" s="49"/>
      <c r="DH818" s="49"/>
      <c r="DI818" s="49"/>
      <c r="DJ818" s="49"/>
      <c r="DK818" s="49"/>
      <c r="DL818" s="49"/>
      <c r="DM818" s="49"/>
      <c r="DN818" s="49"/>
      <c r="DO818" s="49"/>
      <c r="DP818" s="49"/>
      <c r="DQ818" s="49"/>
      <c r="DR818" s="49"/>
      <c r="DS818" s="49"/>
      <c r="DT818" s="49"/>
      <c r="DU818" s="49"/>
      <c r="DV818" s="49"/>
      <c r="DW818" s="49"/>
      <c r="DX818" s="49"/>
      <c r="DY818" s="49"/>
      <c r="DZ818" s="49"/>
      <c r="EA818" s="49"/>
      <c r="EB818" s="49"/>
      <c r="EC818" s="49"/>
      <c r="ED818" s="49"/>
      <c r="EE818" s="49"/>
      <c r="EF818" s="49"/>
      <c r="EG818" s="49"/>
      <c r="EH818" s="49"/>
      <c r="EI818" s="49"/>
      <c r="EJ818" s="49"/>
      <c r="EK818" s="49"/>
      <c r="EL818" s="49"/>
      <c r="EM818" s="49"/>
      <c r="EN818" s="49"/>
      <c r="EO818" s="49"/>
      <c r="EP818" s="49"/>
      <c r="EQ818" s="49"/>
      <c r="ER818" s="49"/>
      <c r="ES818" s="49"/>
      <c r="ET818" s="49"/>
      <c r="EU818" s="49"/>
      <c r="EV818" s="49"/>
      <c r="EW818" s="49"/>
      <c r="EX818" s="49"/>
      <c r="EY818" s="49"/>
      <c r="EZ818" s="49"/>
      <c r="FA818" s="49"/>
      <c r="FB818" s="49"/>
      <c r="FC818" s="49"/>
      <c r="FD818" s="49"/>
      <c r="FE818" s="49"/>
      <c r="FF818" s="49"/>
      <c r="FG818" s="49"/>
      <c r="FH818" s="49"/>
      <c r="FI818" s="49"/>
      <c r="FJ818" s="49"/>
      <c r="FK818" s="49"/>
      <c r="FL818" s="49"/>
      <c r="FM818" s="49"/>
      <c r="FN818" s="49"/>
      <c r="FO818" s="49"/>
      <c r="FP818" s="49"/>
      <c r="FQ818" s="49"/>
      <c r="FR818" s="49"/>
      <c r="FS818" s="49"/>
      <c r="FT818" s="49"/>
      <c r="FU818" s="49"/>
      <c r="FV818" s="49"/>
      <c r="FW818" s="49"/>
      <c r="FX818" s="49"/>
      <c r="FY818" s="49"/>
      <c r="FZ818" s="49"/>
      <c r="GA818" s="49"/>
      <c r="GB818" s="49"/>
      <c r="GC818" s="49"/>
      <c r="GD818" s="49"/>
      <c r="GE818" s="49"/>
      <c r="GF818" s="49"/>
      <c r="GG818" s="49"/>
      <c r="GH818" s="49"/>
      <c r="GI818" s="49"/>
      <c r="GJ818" s="49"/>
      <c r="GK818" s="49"/>
      <c r="GL818" s="49"/>
      <c r="GM818" s="49"/>
      <c r="GN818" s="49"/>
      <c r="GO818" s="49"/>
      <c r="GP818" s="49"/>
      <c r="GQ818" s="49"/>
      <c r="GR818" s="49"/>
      <c r="GS818" s="49"/>
      <c r="GT818" s="49"/>
      <c r="GU818" s="49"/>
      <c r="GV818" s="49"/>
      <c r="GW818" s="49"/>
      <c r="GX818" s="49"/>
      <c r="GY818" s="49"/>
      <c r="GZ818" s="49"/>
      <c r="HA818" s="208"/>
      <c r="HB818" s="231"/>
      <c r="HC818" s="231"/>
      <c r="HD818" s="231"/>
      <c r="HE818" s="231"/>
      <c r="HF818" s="231"/>
      <c r="HG818" s="231"/>
      <c r="HH818" s="231"/>
      <c r="HI818" s="232"/>
      <c r="KM818" s="12"/>
      <c r="KN818" s="317"/>
      <c r="KO818" s="317"/>
      <c r="KP818" s="317"/>
      <c r="KQ818" s="317"/>
      <c r="KR818" s="317"/>
      <c r="KS818" s="317"/>
      <c r="KT818" s="317"/>
      <c r="KU818" s="317"/>
      <c r="KV818" s="317"/>
      <c r="KW818" s="317"/>
      <c r="KX818" s="317"/>
      <c r="KY818" s="317"/>
      <c r="KZ818" s="317"/>
      <c r="LA818" s="317"/>
      <c r="LB818" s="317"/>
      <c r="LC818" s="317"/>
      <c r="LD818" s="317"/>
      <c r="LE818" s="317"/>
      <c r="LF818" s="317"/>
      <c r="LG818" s="317"/>
      <c r="LH818" s="317"/>
      <c r="LI818" s="317"/>
      <c r="LJ818" s="317"/>
      <c r="LK818" s="317"/>
      <c r="LL818" s="317"/>
      <c r="LM818" s="317"/>
      <c r="LN818" s="317"/>
      <c r="LO818" s="317"/>
      <c r="LP818" s="317"/>
      <c r="LQ818" s="317"/>
      <c r="LR818" s="317"/>
      <c r="LS818" s="317"/>
      <c r="LT818" s="317"/>
      <c r="LU818" s="317"/>
      <c r="LV818" s="317"/>
      <c r="LW818" s="317"/>
      <c r="LX818" s="317"/>
      <c r="LY818" s="13"/>
      <c r="LZ818" s="317"/>
      <c r="MA818" s="317"/>
      <c r="MB818" s="317"/>
      <c r="MC818" s="317"/>
      <c r="MD818" s="317"/>
      <c r="ME818" s="317"/>
      <c r="MF818" s="317"/>
      <c r="MG818" s="317"/>
      <c r="MH818" s="317"/>
      <c r="MI818" s="317"/>
      <c r="MJ818" s="317"/>
      <c r="MK818" s="13"/>
      <c r="ML818" s="317"/>
      <c r="MM818" s="317"/>
      <c r="MN818" s="317"/>
      <c r="MO818" s="317"/>
      <c r="MP818" s="317"/>
      <c r="MQ818" s="317"/>
      <c r="MR818" s="317"/>
      <c r="MS818" s="317"/>
      <c r="MT818" s="13"/>
      <c r="MU818" s="317"/>
      <c r="MV818" s="317"/>
      <c r="MW818" s="317"/>
      <c r="MX818" s="317"/>
      <c r="MY818" s="317"/>
      <c r="MZ818" s="13"/>
      <c r="NA818" s="12"/>
      <c r="NB818" s="317"/>
      <c r="NC818" s="317"/>
      <c r="ND818" s="317"/>
      <c r="NE818" s="317"/>
      <c r="NF818" s="317"/>
      <c r="NG818" s="317"/>
      <c r="NH818" s="317"/>
      <c r="NI818" s="317"/>
      <c r="NJ818" s="317"/>
      <c r="NK818" s="317"/>
      <c r="NL818" s="317"/>
      <c r="NM818" s="317"/>
      <c r="NN818" s="317"/>
      <c r="NO818" s="317"/>
      <c r="NP818" s="317"/>
      <c r="NQ818" s="317"/>
      <c r="NR818" s="317"/>
      <c r="NS818" s="317"/>
      <c r="NT818" s="317"/>
      <c r="NU818" s="317"/>
      <c r="NV818" s="317"/>
      <c r="NW818" s="317"/>
      <c r="NX818" s="317"/>
      <c r="NY818" s="317"/>
      <c r="NZ818" s="317"/>
      <c r="OA818" s="317"/>
      <c r="OB818" s="317"/>
      <c r="OC818" s="317"/>
      <c r="OD818" s="317"/>
      <c r="OE818" s="317"/>
      <c r="OF818" s="317"/>
      <c r="OG818" s="317"/>
      <c r="OH818" s="317"/>
      <c r="OI818" s="317"/>
      <c r="OJ818" s="317"/>
      <c r="OK818" s="317"/>
      <c r="OL818" s="317"/>
      <c r="OM818" s="317"/>
      <c r="ON818" s="317"/>
      <c r="OO818" s="317"/>
      <c r="OP818" s="317"/>
      <c r="OQ818" s="317"/>
      <c r="OR818" s="317"/>
      <c r="OS818" s="317"/>
      <c r="OT818" s="317"/>
      <c r="OU818" s="317"/>
      <c r="OV818" s="317"/>
      <c r="OW818" s="317"/>
      <c r="OX818" s="317"/>
      <c r="OY818" s="317"/>
      <c r="OZ818" s="317"/>
      <c r="PA818" s="317"/>
      <c r="PB818" s="317"/>
      <c r="PC818" s="317"/>
      <c r="PD818" s="317"/>
      <c r="PE818" s="317"/>
      <c r="PF818" s="317"/>
      <c r="PG818" s="317"/>
      <c r="PH818" s="317"/>
      <c r="PI818" s="317"/>
      <c r="PJ818" s="317"/>
      <c r="PK818" s="317"/>
      <c r="PL818" s="317"/>
      <c r="PM818" s="317"/>
      <c r="PN818" s="317"/>
      <c r="PO818" s="317"/>
      <c r="PP818" s="317"/>
      <c r="PQ818" s="317"/>
      <c r="PR818" s="317"/>
      <c r="PS818" s="317"/>
      <c r="PT818" s="317"/>
      <c r="PU818" s="317"/>
      <c r="PV818" s="317"/>
      <c r="PW818" s="317"/>
      <c r="PX818" s="317"/>
      <c r="PY818" s="317"/>
      <c r="PZ818" s="317"/>
      <c r="QA818" s="317"/>
      <c r="QB818" s="317"/>
      <c r="QC818" s="317"/>
      <c r="QD818" s="317"/>
      <c r="QE818" s="317"/>
      <c r="QF818" s="317"/>
      <c r="QG818" s="317"/>
      <c r="QH818" s="317"/>
      <c r="QI818" s="317"/>
      <c r="QJ818" s="317"/>
      <c r="QK818" s="317"/>
      <c r="QL818" s="317"/>
      <c r="QM818" s="317"/>
      <c r="QN818" s="317"/>
      <c r="QO818" s="317"/>
      <c r="QP818" s="317"/>
      <c r="QQ818" s="317"/>
      <c r="QR818" s="317"/>
      <c r="QS818" s="317"/>
      <c r="QT818" s="317"/>
      <c r="QU818" s="317"/>
      <c r="QV818" s="317"/>
      <c r="QW818" s="317"/>
      <c r="QX818" s="317"/>
      <c r="QY818" s="317"/>
      <c r="QZ818" s="317"/>
      <c r="RA818" s="317"/>
      <c r="RB818" s="317"/>
      <c r="RC818" s="317"/>
      <c r="RD818" s="317"/>
      <c r="RE818" s="317"/>
      <c r="RF818" s="317"/>
      <c r="RG818" s="317"/>
      <c r="RH818" s="317"/>
      <c r="RI818" s="317"/>
      <c r="RJ818" s="317"/>
      <c r="RK818" s="317"/>
      <c r="RL818" s="317"/>
      <c r="RM818" s="13"/>
      <c r="RN818" s="317"/>
      <c r="RO818" s="317"/>
      <c r="RP818" s="13"/>
      <c r="RQ818" s="317"/>
      <c r="RR818" s="317"/>
      <c r="RS818" s="317"/>
      <c r="RT818" s="317"/>
      <c r="RU818" s="317"/>
      <c r="RV818" s="13"/>
      <c r="WL818" s="13"/>
    </row>
    <row r="819" spans="82:610" ht="10.75" customHeight="1">
      <c r="CD819" s="229"/>
      <c r="CE819" s="231"/>
      <c r="CF819" s="231"/>
      <c r="CG819" s="231"/>
      <c r="CH819" s="231"/>
      <c r="CI819" s="231"/>
      <c r="CJ819" s="214"/>
      <c r="CK819" s="49"/>
      <c r="CL819" s="49"/>
      <c r="CM819" s="49"/>
      <c r="CN819" s="49"/>
      <c r="CO819" s="49"/>
      <c r="CP819" s="49"/>
      <c r="CQ819" s="49"/>
      <c r="CR819" s="49"/>
      <c r="CS819" s="49"/>
      <c r="CT819" s="49"/>
      <c r="CU819" s="49"/>
      <c r="CV819" s="49"/>
      <c r="CW819" s="49"/>
      <c r="CX819" s="49"/>
      <c r="CY819" s="49"/>
      <c r="CZ819" s="49"/>
      <c r="DA819" s="49"/>
      <c r="DB819" s="49"/>
      <c r="DC819" s="49"/>
      <c r="DD819" s="49"/>
      <c r="DE819" s="49"/>
      <c r="DF819" s="49"/>
      <c r="DG819" s="49"/>
      <c r="DH819" s="49"/>
      <c r="DI819" s="49"/>
      <c r="DJ819" s="49"/>
      <c r="DK819" s="49"/>
      <c r="DL819" s="49"/>
      <c r="DM819" s="49"/>
      <c r="DN819" s="49"/>
      <c r="DO819" s="49"/>
      <c r="DP819" s="49"/>
      <c r="DQ819" s="49"/>
      <c r="DR819" s="49"/>
      <c r="DS819" s="49"/>
      <c r="DT819" s="49"/>
      <c r="DU819" s="49"/>
      <c r="DV819" s="49"/>
      <c r="DW819" s="49"/>
      <c r="DX819" s="49"/>
      <c r="DY819" s="49"/>
      <c r="DZ819" s="49"/>
      <c r="EA819" s="49"/>
      <c r="EB819" s="49"/>
      <c r="EC819" s="49"/>
      <c r="ED819" s="49"/>
      <c r="EE819" s="49"/>
      <c r="EF819" s="49"/>
      <c r="EG819" s="49"/>
      <c r="EH819" s="49"/>
      <c r="EI819" s="49"/>
      <c r="EJ819" s="49"/>
      <c r="EK819" s="49"/>
      <c r="EL819" s="49"/>
      <c r="EM819" s="49"/>
      <c r="EN819" s="49"/>
      <c r="EO819" s="49"/>
      <c r="EP819" s="49"/>
      <c r="EQ819" s="49"/>
      <c r="ER819" s="49"/>
      <c r="ES819" s="49"/>
      <c r="ET819" s="49"/>
      <c r="EU819" s="49"/>
      <c r="EV819" s="49"/>
      <c r="EW819" s="49"/>
      <c r="EX819" s="49"/>
      <c r="EY819" s="49"/>
      <c r="EZ819" s="49"/>
      <c r="FA819" s="49"/>
      <c r="FB819" s="49"/>
      <c r="FC819" s="49"/>
      <c r="FD819" s="49"/>
      <c r="FE819" s="49"/>
      <c r="FF819" s="49"/>
      <c r="FG819" s="49"/>
      <c r="FH819" s="49"/>
      <c r="FI819" s="49"/>
      <c r="FJ819" s="49"/>
      <c r="FK819" s="49"/>
      <c r="FL819" s="49"/>
      <c r="FM819" s="49"/>
      <c r="FN819" s="49"/>
      <c r="FO819" s="49"/>
      <c r="FP819" s="49"/>
      <c r="FQ819" s="49"/>
      <c r="FR819" s="49"/>
      <c r="FS819" s="49"/>
      <c r="FT819" s="49"/>
      <c r="FU819" s="49"/>
      <c r="FV819" s="49"/>
      <c r="FW819" s="49"/>
      <c r="FX819" s="49"/>
      <c r="FY819" s="49"/>
      <c r="FZ819" s="49"/>
      <c r="GA819" s="49"/>
      <c r="GB819" s="49"/>
      <c r="GC819" s="49"/>
      <c r="GD819" s="49"/>
      <c r="GE819" s="49"/>
      <c r="GF819" s="49"/>
      <c r="GG819" s="49"/>
      <c r="GH819" s="49"/>
      <c r="GI819" s="49"/>
      <c r="GJ819" s="49"/>
      <c r="GK819" s="49"/>
      <c r="GL819" s="49"/>
      <c r="GM819" s="49"/>
      <c r="GN819" s="49"/>
      <c r="GO819" s="49"/>
      <c r="GP819" s="49"/>
      <c r="GQ819" s="49"/>
      <c r="GR819" s="49"/>
      <c r="GS819" s="49"/>
      <c r="GT819" s="49"/>
      <c r="GU819" s="49"/>
      <c r="GV819" s="49"/>
      <c r="GW819" s="49"/>
      <c r="GX819" s="49"/>
      <c r="GY819" s="49"/>
      <c r="GZ819" s="49"/>
      <c r="HA819" s="208"/>
      <c r="HB819" s="231"/>
      <c r="HC819" s="231"/>
      <c r="HD819" s="231"/>
      <c r="HE819" s="231"/>
      <c r="HF819" s="231"/>
      <c r="HG819" s="231"/>
      <c r="HH819" s="231"/>
      <c r="HI819" s="232"/>
      <c r="KM819" s="12"/>
      <c r="KN819" s="317"/>
      <c r="KO819" s="317"/>
      <c r="KP819" s="317"/>
      <c r="KQ819" s="317"/>
      <c r="KR819" s="317"/>
      <c r="KS819" s="317"/>
      <c r="KT819" s="317"/>
      <c r="KU819" s="317"/>
      <c r="KV819" s="317"/>
      <c r="KW819" s="317"/>
      <c r="KX819" s="317"/>
      <c r="KY819" s="317"/>
      <c r="KZ819" s="317"/>
      <c r="LA819" s="317"/>
      <c r="LB819" s="317"/>
      <c r="LC819" s="317"/>
      <c r="LD819" s="317"/>
      <c r="LE819" s="317"/>
      <c r="LF819" s="317"/>
      <c r="LG819" s="317"/>
      <c r="LH819" s="317"/>
      <c r="LI819" s="317"/>
      <c r="LJ819" s="317"/>
      <c r="LK819" s="317"/>
      <c r="LL819" s="317"/>
      <c r="LM819" s="317"/>
      <c r="LN819" s="317"/>
      <c r="LO819" s="317"/>
      <c r="LP819" s="317"/>
      <c r="LQ819" s="317"/>
      <c r="LR819" s="317"/>
      <c r="LS819" s="317"/>
      <c r="LT819" s="317"/>
      <c r="LU819" s="317"/>
      <c r="LV819" s="317"/>
      <c r="LW819" s="317"/>
      <c r="LX819" s="317"/>
      <c r="LY819" s="13"/>
      <c r="LZ819" s="15"/>
      <c r="MA819" s="15"/>
      <c r="MB819" s="15"/>
      <c r="MC819" s="15"/>
      <c r="MD819" s="15"/>
      <c r="ME819" s="15"/>
      <c r="MF819" s="15"/>
      <c r="MG819" s="15"/>
      <c r="MH819" s="15"/>
      <c r="MI819" s="15"/>
      <c r="MJ819" s="15"/>
      <c r="MK819" s="16"/>
      <c r="ML819" s="317"/>
      <c r="MM819" s="317"/>
      <c r="MN819" s="317"/>
      <c r="MO819" s="317"/>
      <c r="MP819" s="317"/>
      <c r="MQ819" s="317"/>
      <c r="MR819" s="317"/>
      <c r="MS819" s="317"/>
      <c r="MT819" s="13"/>
      <c r="MU819" s="317"/>
      <c r="MV819" s="317"/>
      <c r="MW819" s="317"/>
      <c r="MX819" s="317"/>
      <c r="MY819" s="317"/>
      <c r="MZ819" s="13"/>
      <c r="NA819" s="12"/>
      <c r="NB819" s="317"/>
      <c r="NC819" s="317"/>
      <c r="ND819" s="317"/>
      <c r="NE819" s="317"/>
      <c r="NF819" s="317"/>
      <c r="NG819" s="317"/>
      <c r="NH819" s="317"/>
      <c r="NI819" s="317"/>
      <c r="NJ819" s="317"/>
      <c r="NK819" s="317"/>
      <c r="NL819" s="317"/>
      <c r="NM819" s="317"/>
      <c r="NN819" s="317"/>
      <c r="NO819" s="317"/>
      <c r="NP819" s="317"/>
      <c r="NQ819" s="317"/>
      <c r="NR819" s="317"/>
      <c r="NS819" s="317"/>
      <c r="NT819" s="317"/>
      <c r="NU819" s="317"/>
      <c r="NV819" s="317"/>
      <c r="NW819" s="317"/>
      <c r="NX819" s="317"/>
      <c r="NY819" s="317"/>
      <c r="NZ819" s="317"/>
      <c r="OA819" s="317"/>
      <c r="OB819" s="317"/>
      <c r="OC819" s="317"/>
      <c r="OD819" s="317"/>
      <c r="OE819" s="317"/>
      <c r="OF819" s="317"/>
      <c r="OG819" s="317"/>
      <c r="OH819" s="317"/>
      <c r="OI819" s="317"/>
      <c r="OJ819" s="317"/>
      <c r="OK819" s="317"/>
      <c r="OL819" s="317"/>
      <c r="OM819" s="317"/>
      <c r="ON819" s="317"/>
      <c r="OO819" s="317"/>
      <c r="OP819" s="317"/>
      <c r="OQ819" s="317"/>
      <c r="OR819" s="317"/>
      <c r="OS819" s="317"/>
      <c r="OT819" s="317"/>
      <c r="OU819" s="317"/>
      <c r="OV819" s="317"/>
      <c r="OW819" s="317"/>
      <c r="OX819" s="317"/>
      <c r="OY819" s="317"/>
      <c r="OZ819" s="317"/>
      <c r="PA819" s="317"/>
      <c r="PB819" s="317"/>
      <c r="PC819" s="317"/>
      <c r="PD819" s="317"/>
      <c r="PE819" s="317"/>
      <c r="PF819" s="317"/>
      <c r="PG819" s="317"/>
      <c r="PH819" s="317"/>
      <c r="PI819" s="317"/>
      <c r="PJ819" s="317"/>
      <c r="PK819" s="317"/>
      <c r="PL819" s="317"/>
      <c r="PM819" s="317"/>
      <c r="PN819" s="317"/>
      <c r="PO819" s="317"/>
      <c r="PP819" s="317"/>
      <c r="PQ819" s="317"/>
      <c r="PR819" s="317"/>
      <c r="PS819" s="317"/>
      <c r="PT819" s="317"/>
      <c r="PU819" s="317"/>
      <c r="PV819" s="317"/>
      <c r="PW819" s="317"/>
      <c r="PX819" s="317"/>
      <c r="PY819" s="317"/>
      <c r="PZ819" s="317"/>
      <c r="QA819" s="317"/>
      <c r="QB819" s="317"/>
      <c r="QC819" s="317"/>
      <c r="QD819" s="317"/>
      <c r="QE819" s="317"/>
      <c r="QF819" s="317"/>
      <c r="QG819" s="317"/>
      <c r="QH819" s="317"/>
      <c r="QI819" s="317"/>
      <c r="QJ819" s="317"/>
      <c r="QK819" s="317"/>
      <c r="QL819" s="317"/>
      <c r="QM819" s="317"/>
      <c r="QN819" s="317"/>
      <c r="QO819" s="317"/>
      <c r="QP819" s="317"/>
      <c r="QQ819" s="317"/>
      <c r="QR819" s="317"/>
      <c r="QS819" s="317"/>
      <c r="QT819" s="317"/>
      <c r="QU819" s="317"/>
      <c r="QV819" s="317"/>
      <c r="QW819" s="317"/>
      <c r="QX819" s="317"/>
      <c r="QY819" s="317"/>
      <c r="QZ819" s="317"/>
      <c r="RA819" s="317"/>
      <c r="RB819" s="317"/>
      <c r="RC819" s="317"/>
      <c r="RD819" s="317"/>
      <c r="RE819" s="317"/>
      <c r="RF819" s="317"/>
      <c r="RG819" s="317"/>
      <c r="RH819" s="317"/>
      <c r="RI819" s="317"/>
      <c r="RJ819" s="317"/>
      <c r="RK819" s="317"/>
      <c r="RL819" s="317"/>
      <c r="RM819" s="13"/>
      <c r="RN819" s="317"/>
      <c r="RO819" s="317"/>
      <c r="RP819" s="13"/>
      <c r="RQ819" s="317"/>
      <c r="RR819" s="317"/>
      <c r="RS819" s="317"/>
      <c r="RT819" s="317"/>
      <c r="RU819" s="317"/>
      <c r="RV819" s="13"/>
      <c r="WL819" s="13"/>
    </row>
    <row r="820" spans="82:610" ht="10.75" customHeight="1">
      <c r="CD820" s="229"/>
      <c r="CE820" s="231"/>
      <c r="CF820" s="231"/>
      <c r="CG820" s="231"/>
      <c r="CH820" s="231"/>
      <c r="CI820" s="231"/>
      <c r="CJ820" s="214"/>
      <c r="CK820" s="49"/>
      <c r="CL820" s="49"/>
      <c r="CM820" s="49"/>
      <c r="CN820" s="49"/>
      <c r="CO820" s="49"/>
      <c r="CP820" s="49"/>
      <c r="CQ820" s="49"/>
      <c r="CR820" s="49"/>
      <c r="CS820" s="49"/>
      <c r="CT820" s="49"/>
      <c r="CU820" s="49"/>
      <c r="CV820" s="49"/>
      <c r="CW820" s="49"/>
      <c r="CX820" s="49"/>
      <c r="CY820" s="49"/>
      <c r="CZ820" s="49"/>
      <c r="DA820" s="49"/>
      <c r="DB820" s="49"/>
      <c r="DC820" s="49"/>
      <c r="DD820" s="49"/>
      <c r="DE820" s="49"/>
      <c r="DF820" s="49"/>
      <c r="DG820" s="49"/>
      <c r="DH820" s="49"/>
      <c r="DI820" s="49"/>
      <c r="DJ820" s="49"/>
      <c r="DK820" s="49"/>
      <c r="DL820" s="49"/>
      <c r="DM820" s="49"/>
      <c r="DN820" s="49"/>
      <c r="DO820" s="49"/>
      <c r="DP820" s="49"/>
      <c r="DQ820" s="49"/>
      <c r="DR820" s="49"/>
      <c r="DS820" s="49"/>
      <c r="DT820" s="49"/>
      <c r="DU820" s="49"/>
      <c r="DV820" s="49"/>
      <c r="DW820" s="49"/>
      <c r="DX820" s="49"/>
      <c r="DY820" s="49"/>
      <c r="DZ820" s="49"/>
      <c r="EA820" s="49"/>
      <c r="EB820" s="49"/>
      <c r="EC820" s="49"/>
      <c r="ED820" s="49"/>
      <c r="EE820" s="49"/>
      <c r="EF820" s="49"/>
      <c r="EG820" s="49"/>
      <c r="EH820" s="49"/>
      <c r="EI820" s="49"/>
      <c r="EJ820" s="49"/>
      <c r="EK820" s="49"/>
      <c r="EL820" s="49"/>
      <c r="EM820" s="49"/>
      <c r="EN820" s="49"/>
      <c r="EO820" s="49"/>
      <c r="EP820" s="49"/>
      <c r="EQ820" s="49"/>
      <c r="ER820" s="49"/>
      <c r="ES820" s="49"/>
      <c r="ET820" s="49"/>
      <c r="EU820" s="49"/>
      <c r="EV820" s="49"/>
      <c r="EW820" s="49"/>
      <c r="EX820" s="49"/>
      <c r="EY820" s="49"/>
      <c r="EZ820" s="49"/>
      <c r="FA820" s="49"/>
      <c r="FB820" s="49"/>
      <c r="FC820" s="49"/>
      <c r="FD820" s="49"/>
      <c r="FE820" s="49"/>
      <c r="FF820" s="49"/>
      <c r="FG820" s="49"/>
      <c r="FH820" s="49"/>
      <c r="FI820" s="49"/>
      <c r="FJ820" s="49"/>
      <c r="FK820" s="49"/>
      <c r="FL820" s="49"/>
      <c r="FM820" s="49"/>
      <c r="FN820" s="49"/>
      <c r="FO820" s="49"/>
      <c r="FP820" s="49"/>
      <c r="FQ820" s="49"/>
      <c r="FR820" s="49"/>
      <c r="FS820" s="49"/>
      <c r="FT820" s="49"/>
      <c r="FU820" s="49"/>
      <c r="FV820" s="49"/>
      <c r="FW820" s="49"/>
      <c r="FX820" s="49"/>
      <c r="FY820" s="49"/>
      <c r="FZ820" s="49"/>
      <c r="GA820" s="49"/>
      <c r="GB820" s="49"/>
      <c r="GC820" s="49"/>
      <c r="GD820" s="49"/>
      <c r="GE820" s="49"/>
      <c r="GF820" s="49"/>
      <c r="GG820" s="49"/>
      <c r="GH820" s="49"/>
      <c r="GI820" s="49"/>
      <c r="GJ820" s="49"/>
      <c r="GK820" s="49"/>
      <c r="GL820" s="49"/>
      <c r="GM820" s="49"/>
      <c r="GN820" s="49"/>
      <c r="GO820" s="49"/>
      <c r="GP820" s="49"/>
      <c r="GQ820" s="49"/>
      <c r="GR820" s="49"/>
      <c r="GS820" s="49"/>
      <c r="GT820" s="49"/>
      <c r="GU820" s="49"/>
      <c r="GV820" s="49"/>
      <c r="GW820" s="49"/>
      <c r="GX820" s="49"/>
      <c r="GY820" s="49"/>
      <c r="GZ820" s="49"/>
      <c r="HA820" s="208"/>
      <c r="HB820" s="231"/>
      <c r="HC820" s="231"/>
      <c r="HD820" s="231"/>
      <c r="HE820" s="231"/>
      <c r="HF820" s="231"/>
      <c r="HG820" s="231"/>
      <c r="HH820" s="231"/>
      <c r="HI820" s="232"/>
      <c r="KM820" s="12"/>
      <c r="KN820" s="317"/>
      <c r="KO820" s="317"/>
      <c r="KP820" s="317"/>
      <c r="KQ820" s="317"/>
      <c r="KR820" s="317"/>
      <c r="KS820" s="317"/>
      <c r="KT820" s="317"/>
      <c r="KU820" s="317"/>
      <c r="KV820" s="317"/>
      <c r="KW820" s="317"/>
      <c r="KX820" s="317"/>
      <c r="KY820" s="317"/>
      <c r="KZ820" s="317"/>
      <c r="LA820" s="317"/>
      <c r="LB820" s="317"/>
      <c r="LC820" s="317"/>
      <c r="LD820" s="317"/>
      <c r="LE820" s="317"/>
      <c r="LF820" s="317"/>
      <c r="LG820" s="317"/>
      <c r="LH820" s="317"/>
      <c r="LI820" s="317"/>
      <c r="LJ820" s="317"/>
      <c r="LK820" s="317"/>
      <c r="LL820" s="317"/>
      <c r="LM820" s="317"/>
      <c r="LN820" s="317"/>
      <c r="LO820" s="317"/>
      <c r="LP820" s="317"/>
      <c r="LQ820" s="317"/>
      <c r="LR820" s="317"/>
      <c r="LS820" s="317"/>
      <c r="LT820" s="317"/>
      <c r="LU820" s="317"/>
      <c r="LV820" s="317"/>
      <c r="LW820" s="317"/>
      <c r="LX820" s="317"/>
      <c r="LY820" s="13"/>
      <c r="LZ820" s="317"/>
      <c r="MA820" s="317"/>
      <c r="MB820" s="317"/>
      <c r="MC820" s="317"/>
      <c r="MD820" s="317"/>
      <c r="ME820" s="317"/>
      <c r="MF820" s="317"/>
      <c r="MG820" s="317"/>
      <c r="MH820" s="317"/>
      <c r="MI820" s="317"/>
      <c r="MJ820" s="317"/>
      <c r="MK820" s="317"/>
      <c r="ML820" s="9"/>
      <c r="MM820" s="10"/>
      <c r="MN820" s="10"/>
      <c r="MO820" s="10"/>
      <c r="MP820" s="10"/>
      <c r="MQ820" s="10"/>
      <c r="MR820" s="10"/>
      <c r="MS820" s="10"/>
      <c r="MT820" s="11"/>
      <c r="MU820" s="10"/>
      <c r="MV820" s="10"/>
      <c r="MW820" s="11"/>
      <c r="MX820" s="317"/>
      <c r="MY820" s="317"/>
      <c r="MZ820" s="13"/>
      <c r="NA820" s="12"/>
      <c r="NB820" s="317"/>
      <c r="NC820" s="317"/>
      <c r="ND820" s="317"/>
      <c r="NE820" s="317"/>
      <c r="NF820" s="317"/>
      <c r="NG820" s="317"/>
      <c r="NH820" s="317"/>
      <c r="NI820" s="317"/>
      <c r="NJ820" s="317"/>
      <c r="NK820" s="317"/>
      <c r="NL820" s="317"/>
      <c r="NM820" s="317"/>
      <c r="NN820" s="317"/>
      <c r="NO820" s="317"/>
      <c r="NP820" s="317"/>
      <c r="NQ820" s="317"/>
      <c r="NR820" s="317"/>
      <c r="NS820" s="317"/>
      <c r="NT820" s="317"/>
      <c r="NU820" s="317"/>
      <c r="NV820" s="317"/>
      <c r="NW820" s="317"/>
      <c r="NX820" s="317"/>
      <c r="NY820" s="317"/>
      <c r="NZ820" s="317"/>
      <c r="OA820" s="317"/>
      <c r="OB820" s="317"/>
      <c r="OC820" s="317"/>
      <c r="OD820" s="317"/>
      <c r="OE820" s="317"/>
      <c r="OF820" s="317"/>
      <c r="OG820" s="317"/>
      <c r="OH820" s="317"/>
      <c r="OI820" s="317"/>
      <c r="OJ820" s="317"/>
      <c r="OK820" s="317"/>
      <c r="OL820" s="317"/>
      <c r="OM820" s="317"/>
      <c r="ON820" s="317"/>
      <c r="OO820" s="317"/>
      <c r="OP820" s="317"/>
      <c r="OQ820" s="317"/>
      <c r="OR820" s="317"/>
      <c r="OS820" s="317"/>
      <c r="OT820" s="317"/>
      <c r="OU820" s="317"/>
      <c r="OV820" s="317"/>
      <c r="OW820" s="317"/>
      <c r="OX820" s="317"/>
      <c r="OY820" s="317"/>
      <c r="OZ820" s="317"/>
      <c r="PA820" s="317"/>
      <c r="PB820" s="317"/>
      <c r="PC820" s="317"/>
      <c r="PD820" s="317"/>
      <c r="PE820" s="317"/>
      <c r="PF820" s="317"/>
      <c r="PG820" s="317"/>
      <c r="PH820" s="317"/>
      <c r="PI820" s="317"/>
      <c r="PJ820" s="317"/>
      <c r="PK820" s="317"/>
      <c r="PL820" s="317"/>
      <c r="PM820" s="317"/>
      <c r="PN820" s="317"/>
      <c r="PO820" s="317"/>
      <c r="PP820" s="317"/>
      <c r="PQ820" s="317"/>
      <c r="PR820" s="317"/>
      <c r="PS820" s="317"/>
      <c r="PT820" s="317"/>
      <c r="PU820" s="317"/>
      <c r="PV820" s="317"/>
      <c r="PW820" s="317"/>
      <c r="PX820" s="317"/>
      <c r="PY820" s="317"/>
      <c r="PZ820" s="317"/>
      <c r="QA820" s="317"/>
      <c r="QB820" s="317"/>
      <c r="QC820" s="317"/>
      <c r="QD820" s="317"/>
      <c r="QE820" s="317"/>
      <c r="QF820" s="317"/>
      <c r="QG820" s="317"/>
      <c r="QH820" s="317"/>
      <c r="QI820" s="317"/>
      <c r="QJ820" s="317"/>
      <c r="QK820" s="317"/>
      <c r="QL820" s="317"/>
      <c r="QM820" s="317"/>
      <c r="QN820" s="317"/>
      <c r="QO820" s="317"/>
      <c r="QP820" s="317"/>
      <c r="QQ820" s="317"/>
      <c r="QR820" s="317"/>
      <c r="QS820" s="317"/>
      <c r="QT820" s="317"/>
      <c r="QU820" s="317"/>
      <c r="QV820" s="317"/>
      <c r="QW820" s="317"/>
      <c r="QX820" s="317"/>
      <c r="QY820" s="317"/>
      <c r="QZ820" s="317"/>
      <c r="RA820" s="317"/>
      <c r="RB820" s="317"/>
      <c r="RC820" s="317"/>
      <c r="RD820" s="317"/>
      <c r="RE820" s="317"/>
      <c r="RF820" s="317"/>
      <c r="RG820" s="317"/>
      <c r="RH820" s="317"/>
      <c r="RI820" s="317"/>
      <c r="RJ820" s="317"/>
      <c r="RK820" s="317"/>
      <c r="RL820" s="317"/>
      <c r="RM820" s="13"/>
      <c r="RN820" s="317"/>
      <c r="RO820" s="317"/>
      <c r="RP820" s="13"/>
      <c r="RQ820" s="317"/>
      <c r="RR820" s="317"/>
      <c r="RS820" s="317"/>
      <c r="RT820" s="317"/>
      <c r="RU820" s="317"/>
      <c r="RV820" s="13"/>
      <c r="WL820" s="13"/>
    </row>
    <row r="821" spans="82:610" ht="10.75" customHeight="1">
      <c r="CD821" s="229"/>
      <c r="CE821" s="231"/>
      <c r="CF821" s="231"/>
      <c r="CG821" s="231"/>
      <c r="CH821" s="231"/>
      <c r="CI821" s="231"/>
      <c r="CJ821" s="214"/>
      <c r="CK821" s="49"/>
      <c r="CL821" s="49"/>
      <c r="CM821" s="49"/>
      <c r="CN821" s="49"/>
      <c r="CO821" s="49"/>
      <c r="CP821" s="49"/>
      <c r="CQ821" s="49"/>
      <c r="CR821" s="49"/>
      <c r="CS821" s="49"/>
      <c r="CT821" s="49"/>
      <c r="CU821" s="49"/>
      <c r="CV821" s="49"/>
      <c r="CW821" s="49"/>
      <c r="CX821" s="49"/>
      <c r="CY821" s="49"/>
      <c r="CZ821" s="49"/>
      <c r="DA821" s="49"/>
      <c r="DB821" s="49"/>
      <c r="DC821" s="49"/>
      <c r="DD821" s="49"/>
      <c r="DE821" s="49"/>
      <c r="DF821" s="49"/>
      <c r="DG821" s="49"/>
      <c r="DH821" s="49"/>
      <c r="DI821" s="49"/>
      <c r="DJ821" s="49"/>
      <c r="DK821" s="49"/>
      <c r="DL821" s="49"/>
      <c r="DM821" s="49"/>
      <c r="DN821" s="49"/>
      <c r="DO821" s="49"/>
      <c r="DP821" s="49"/>
      <c r="DQ821" s="49"/>
      <c r="DR821" s="49"/>
      <c r="DS821" s="49"/>
      <c r="DT821" s="49"/>
      <c r="DU821" s="49"/>
      <c r="DV821" s="49"/>
      <c r="DW821" s="49"/>
      <c r="DX821" s="49"/>
      <c r="DY821" s="49"/>
      <c r="DZ821" s="49"/>
      <c r="EA821" s="49"/>
      <c r="EB821" s="49"/>
      <c r="EC821" s="49"/>
      <c r="ED821" s="49"/>
      <c r="EE821" s="49"/>
      <c r="EF821" s="49"/>
      <c r="EG821" s="49"/>
      <c r="EH821" s="49"/>
      <c r="EI821" s="49"/>
      <c r="EJ821" s="49"/>
      <c r="EK821" s="49"/>
      <c r="EL821" s="49"/>
      <c r="EM821" s="49"/>
      <c r="EN821" s="49"/>
      <c r="EO821" s="49"/>
      <c r="EP821" s="49"/>
      <c r="EQ821" s="49"/>
      <c r="ER821" s="49"/>
      <c r="ES821" s="49"/>
      <c r="ET821" s="49"/>
      <c r="EU821" s="49"/>
      <c r="EV821" s="49"/>
      <c r="EW821" s="49"/>
      <c r="EX821" s="49"/>
      <c r="EY821" s="49"/>
      <c r="EZ821" s="49"/>
      <c r="FA821" s="49"/>
      <c r="FB821" s="49"/>
      <c r="FC821" s="49"/>
      <c r="FD821" s="49"/>
      <c r="FE821" s="49"/>
      <c r="FF821" s="49"/>
      <c r="FG821" s="49"/>
      <c r="FH821" s="49"/>
      <c r="FI821" s="49"/>
      <c r="FJ821" s="49"/>
      <c r="FK821" s="49"/>
      <c r="FL821" s="49"/>
      <c r="FM821" s="49"/>
      <c r="FN821" s="49"/>
      <c r="FO821" s="49"/>
      <c r="FP821" s="49"/>
      <c r="FQ821" s="49"/>
      <c r="FR821" s="49"/>
      <c r="FS821" s="49"/>
      <c r="FT821" s="49"/>
      <c r="FU821" s="49"/>
      <c r="FV821" s="49"/>
      <c r="FW821" s="49"/>
      <c r="FX821" s="49"/>
      <c r="FY821" s="49"/>
      <c r="FZ821" s="49"/>
      <c r="GA821" s="49"/>
      <c r="GB821" s="49"/>
      <c r="GC821" s="49"/>
      <c r="GD821" s="49"/>
      <c r="GE821" s="49"/>
      <c r="GF821" s="49"/>
      <c r="GG821" s="49"/>
      <c r="GH821" s="49"/>
      <c r="GI821" s="49"/>
      <c r="GJ821" s="49"/>
      <c r="GK821" s="49"/>
      <c r="GL821" s="49"/>
      <c r="GM821" s="49"/>
      <c r="GN821" s="49"/>
      <c r="GO821" s="49"/>
      <c r="GP821" s="49"/>
      <c r="GQ821" s="49"/>
      <c r="GR821" s="49"/>
      <c r="GS821" s="49"/>
      <c r="GT821" s="49"/>
      <c r="GU821" s="49"/>
      <c r="GV821" s="49"/>
      <c r="GW821" s="49"/>
      <c r="GX821" s="49"/>
      <c r="GY821" s="49"/>
      <c r="GZ821" s="49"/>
      <c r="HA821" s="208"/>
      <c r="HB821" s="231"/>
      <c r="HC821" s="231"/>
      <c r="HD821" s="231"/>
      <c r="HE821" s="231"/>
      <c r="HF821" s="231"/>
      <c r="HG821" s="231"/>
      <c r="HH821" s="231"/>
      <c r="HI821" s="232"/>
      <c r="KM821" s="12"/>
      <c r="KN821" s="317"/>
      <c r="KO821" s="317"/>
      <c r="KP821" s="317"/>
      <c r="KQ821" s="317"/>
      <c r="KR821" s="317"/>
      <c r="KS821" s="317"/>
      <c r="KT821" s="317"/>
      <c r="KU821" s="317"/>
      <c r="KV821" s="317"/>
      <c r="KW821" s="317"/>
      <c r="KX821" s="317"/>
      <c r="KY821" s="317"/>
      <c r="KZ821" s="317"/>
      <c r="LA821" s="317"/>
      <c r="LB821" s="317"/>
      <c r="LC821" s="317"/>
      <c r="LD821" s="317"/>
      <c r="LE821" s="317"/>
      <c r="LF821" s="317"/>
      <c r="LG821" s="317"/>
      <c r="LH821" s="317"/>
      <c r="LI821" s="317"/>
      <c r="LJ821" s="317"/>
      <c r="LK821" s="317"/>
      <c r="LL821" s="317"/>
      <c r="LM821" s="317"/>
      <c r="LN821" s="317"/>
      <c r="LO821" s="317"/>
      <c r="LP821" s="317"/>
      <c r="LQ821" s="317"/>
      <c r="LR821" s="317"/>
      <c r="LS821" s="317"/>
      <c r="LT821" s="317"/>
      <c r="LU821" s="317"/>
      <c r="LV821" s="317"/>
      <c r="LW821" s="317"/>
      <c r="LX821" s="317"/>
      <c r="LY821" s="13"/>
      <c r="LZ821" s="317"/>
      <c r="MA821" s="317"/>
      <c r="MB821" s="317"/>
      <c r="MC821" s="317"/>
      <c r="MD821" s="317"/>
      <c r="ME821" s="317"/>
      <c r="MF821" s="317"/>
      <c r="MG821" s="317"/>
      <c r="MH821" s="317"/>
      <c r="MI821" s="317"/>
      <c r="MJ821" s="317"/>
      <c r="MK821" s="317"/>
      <c r="ML821" s="12"/>
      <c r="MM821" s="317"/>
      <c r="MN821" s="317"/>
      <c r="MO821" s="317"/>
      <c r="MP821" s="317"/>
      <c r="MQ821" s="317"/>
      <c r="MR821" s="317"/>
      <c r="MS821" s="317"/>
      <c r="MT821" s="13"/>
      <c r="MU821" s="317"/>
      <c r="MV821" s="317"/>
      <c r="MW821" s="13"/>
      <c r="MX821" s="317"/>
      <c r="MY821" s="317"/>
      <c r="MZ821" s="13"/>
      <c r="NA821" s="12"/>
      <c r="NB821" s="317"/>
      <c r="NC821" s="317"/>
      <c r="ND821" s="317"/>
      <c r="NE821" s="317"/>
      <c r="NF821" s="317"/>
      <c r="NG821" s="317"/>
      <c r="NH821" s="317"/>
      <c r="NI821" s="317"/>
      <c r="NJ821" s="317"/>
      <c r="NK821" s="317"/>
      <c r="NL821" s="317"/>
      <c r="NM821" s="317"/>
      <c r="NN821" s="317"/>
      <c r="NO821" s="317"/>
      <c r="NP821" s="317"/>
      <c r="NQ821" s="317"/>
      <c r="NR821" s="317"/>
      <c r="NS821" s="317"/>
      <c r="NT821" s="317"/>
      <c r="NU821" s="317"/>
      <c r="NV821" s="317"/>
      <c r="NW821" s="317"/>
      <c r="NX821" s="317"/>
      <c r="NY821" s="317"/>
      <c r="NZ821" s="317"/>
      <c r="OA821" s="317"/>
      <c r="OB821" s="317"/>
      <c r="OC821" s="317"/>
      <c r="OD821" s="317"/>
      <c r="OE821" s="317"/>
      <c r="OF821" s="317"/>
      <c r="OG821" s="317"/>
      <c r="OH821" s="317"/>
      <c r="OI821" s="317"/>
      <c r="OJ821" s="317"/>
      <c r="OK821" s="317"/>
      <c r="OL821" s="317"/>
      <c r="OM821" s="317"/>
      <c r="ON821" s="317"/>
      <c r="OO821" s="317"/>
      <c r="OP821" s="317"/>
      <c r="OQ821" s="317"/>
      <c r="OR821" s="317"/>
      <c r="OS821" s="317"/>
      <c r="OT821" s="317"/>
      <c r="OU821" s="317"/>
      <c r="OV821" s="317"/>
      <c r="OW821" s="317"/>
      <c r="OX821" s="317"/>
      <c r="OY821" s="317"/>
      <c r="OZ821" s="317"/>
      <c r="PA821" s="317"/>
      <c r="PB821" s="317"/>
      <c r="PC821" s="317"/>
      <c r="PD821" s="317"/>
      <c r="PE821" s="317"/>
      <c r="PF821" s="317"/>
      <c r="PG821" s="317"/>
      <c r="PH821" s="317"/>
      <c r="PI821" s="317"/>
      <c r="PJ821" s="317"/>
      <c r="PK821" s="317"/>
      <c r="PL821" s="317"/>
      <c r="PM821" s="317"/>
      <c r="PN821" s="317"/>
      <c r="PO821" s="317"/>
      <c r="PP821" s="317"/>
      <c r="PQ821" s="317"/>
      <c r="PR821" s="317"/>
      <c r="PS821" s="317"/>
      <c r="PT821" s="317"/>
      <c r="PU821" s="317"/>
      <c r="PV821" s="317"/>
      <c r="PW821" s="317"/>
      <c r="PX821" s="317"/>
      <c r="PY821" s="317"/>
      <c r="PZ821" s="317"/>
      <c r="QA821" s="317"/>
      <c r="QB821" s="317"/>
      <c r="QC821" s="317"/>
      <c r="QD821" s="317"/>
      <c r="QE821" s="317"/>
      <c r="QF821" s="317"/>
      <c r="QG821" s="317"/>
      <c r="QH821" s="317"/>
      <c r="QI821" s="317"/>
      <c r="QJ821" s="317"/>
      <c r="QK821" s="317"/>
      <c r="QL821" s="317"/>
      <c r="QM821" s="317"/>
      <c r="QN821" s="317"/>
      <c r="QO821" s="317"/>
      <c r="QP821" s="317"/>
      <c r="QQ821" s="317"/>
      <c r="QR821" s="317"/>
      <c r="QS821" s="317"/>
      <c r="QT821" s="317"/>
      <c r="QU821" s="317"/>
      <c r="QV821" s="317"/>
      <c r="QW821" s="317"/>
      <c r="QX821" s="317"/>
      <c r="QY821" s="317"/>
      <c r="QZ821" s="317"/>
      <c r="RA821" s="317"/>
      <c r="RB821" s="317"/>
      <c r="RC821" s="317"/>
      <c r="RD821" s="317"/>
      <c r="RE821" s="317"/>
      <c r="RF821" s="317"/>
      <c r="RG821" s="317"/>
      <c r="RH821" s="317"/>
      <c r="RI821" s="317"/>
      <c r="RJ821" s="317"/>
      <c r="RK821" s="317"/>
      <c r="RL821" s="317"/>
      <c r="RM821" s="13"/>
      <c r="RN821" s="317"/>
      <c r="RO821" s="317"/>
      <c r="RP821" s="13"/>
      <c r="RQ821" s="317"/>
      <c r="RR821" s="317"/>
      <c r="RS821" s="317"/>
      <c r="RT821" s="317"/>
      <c r="RU821" s="317"/>
      <c r="RV821" s="13"/>
      <c r="WL821" s="13"/>
    </row>
    <row r="822" spans="82:610" ht="10.75" customHeight="1">
      <c r="CD822" s="229"/>
      <c r="CE822" s="231"/>
      <c r="CF822" s="231"/>
      <c r="CG822" s="231"/>
      <c r="CH822" s="231"/>
      <c r="CI822" s="231"/>
      <c r="CJ822" s="214"/>
      <c r="CK822" s="49"/>
      <c r="CL822" s="49"/>
      <c r="CM822" s="49"/>
      <c r="CN822" s="49"/>
      <c r="CO822" s="49"/>
      <c r="CP822" s="49"/>
      <c r="CQ822" s="49"/>
      <c r="CR822" s="49"/>
      <c r="CS822" s="49"/>
      <c r="CT822" s="49"/>
      <c r="CU822" s="49"/>
      <c r="CV822" s="49"/>
      <c r="CW822" s="49"/>
      <c r="CX822" s="49"/>
      <c r="CY822" s="49"/>
      <c r="CZ822" s="49"/>
      <c r="DA822" s="49"/>
      <c r="DB822" s="49"/>
      <c r="DC822" s="49"/>
      <c r="DD822" s="49"/>
      <c r="DE822" s="49"/>
      <c r="DF822" s="49"/>
      <c r="DG822" s="49"/>
      <c r="DH822" s="49"/>
      <c r="DI822" s="49"/>
      <c r="DJ822" s="49"/>
      <c r="DK822" s="49"/>
      <c r="DL822" s="49"/>
      <c r="DM822" s="49"/>
      <c r="DN822" s="49"/>
      <c r="DO822" s="49"/>
      <c r="DP822" s="49"/>
      <c r="DQ822" s="49"/>
      <c r="DR822" s="49"/>
      <c r="DS822" s="49"/>
      <c r="DT822" s="49"/>
      <c r="DU822" s="49"/>
      <c r="DV822" s="49"/>
      <c r="DW822" s="49"/>
      <c r="DX822" s="49"/>
      <c r="DY822" s="49"/>
      <c r="DZ822" s="49"/>
      <c r="EA822" s="49"/>
      <c r="EB822" s="49"/>
      <c r="EC822" s="49"/>
      <c r="ED822" s="49"/>
      <c r="EE822" s="49"/>
      <c r="EF822" s="49"/>
      <c r="EG822" s="49"/>
      <c r="EH822" s="49"/>
      <c r="EI822" s="49"/>
      <c r="EJ822" s="49"/>
      <c r="EK822" s="49"/>
      <c r="EL822" s="49"/>
      <c r="EM822" s="49"/>
      <c r="EN822" s="49"/>
      <c r="EO822" s="49"/>
      <c r="EP822" s="49"/>
      <c r="EQ822" s="49"/>
      <c r="ER822" s="49"/>
      <c r="ES822" s="49"/>
      <c r="ET822" s="49"/>
      <c r="EU822" s="49"/>
      <c r="EV822" s="49"/>
      <c r="EW822" s="49"/>
      <c r="EX822" s="49"/>
      <c r="EY822" s="49"/>
      <c r="EZ822" s="49"/>
      <c r="FA822" s="49"/>
      <c r="FB822" s="49"/>
      <c r="FC822" s="49"/>
      <c r="FD822" s="49"/>
      <c r="FE822" s="49"/>
      <c r="FF822" s="49"/>
      <c r="FG822" s="49"/>
      <c r="FH822" s="49"/>
      <c r="FI822" s="49"/>
      <c r="FJ822" s="49"/>
      <c r="FK822" s="49"/>
      <c r="FL822" s="49"/>
      <c r="FM822" s="49"/>
      <c r="FN822" s="49"/>
      <c r="FO822" s="49"/>
      <c r="FP822" s="49"/>
      <c r="FQ822" s="49"/>
      <c r="FR822" s="49"/>
      <c r="FS822" s="49"/>
      <c r="FT822" s="49"/>
      <c r="FU822" s="49"/>
      <c r="FV822" s="49"/>
      <c r="FW822" s="49"/>
      <c r="FX822" s="49"/>
      <c r="FY822" s="49"/>
      <c r="FZ822" s="49"/>
      <c r="GA822" s="49"/>
      <c r="GB822" s="49"/>
      <c r="GC822" s="49"/>
      <c r="GD822" s="49"/>
      <c r="GE822" s="49"/>
      <c r="GF822" s="49"/>
      <c r="GG822" s="49"/>
      <c r="GH822" s="49"/>
      <c r="GI822" s="49"/>
      <c r="GJ822" s="49"/>
      <c r="GK822" s="49"/>
      <c r="GL822" s="49"/>
      <c r="GM822" s="49"/>
      <c r="GN822" s="49"/>
      <c r="GO822" s="49"/>
      <c r="GP822" s="49"/>
      <c r="GQ822" s="49"/>
      <c r="GR822" s="49"/>
      <c r="GS822" s="49"/>
      <c r="GT822" s="49"/>
      <c r="GU822" s="49"/>
      <c r="GV822" s="49"/>
      <c r="GW822" s="49"/>
      <c r="GX822" s="49"/>
      <c r="GY822" s="49"/>
      <c r="GZ822" s="49"/>
      <c r="HA822" s="208"/>
      <c r="HB822" s="231"/>
      <c r="HC822" s="231"/>
      <c r="HD822" s="231"/>
      <c r="HE822" s="231"/>
      <c r="HF822" s="231"/>
      <c r="HG822" s="231"/>
      <c r="HH822" s="231"/>
      <c r="HI822" s="232"/>
      <c r="KM822" s="12"/>
      <c r="KN822" s="317"/>
      <c r="KO822" s="317"/>
      <c r="KP822" s="317"/>
      <c r="KQ822" s="317"/>
      <c r="KR822" s="317"/>
      <c r="KS822" s="317"/>
      <c r="KT822" s="317"/>
      <c r="KU822" s="317"/>
      <c r="KV822" s="317"/>
      <c r="KW822" s="317"/>
      <c r="KX822" s="317"/>
      <c r="KY822" s="317"/>
      <c r="KZ822" s="317"/>
      <c r="LA822" s="317"/>
      <c r="LB822" s="317"/>
      <c r="LC822" s="317"/>
      <c r="LD822" s="317"/>
      <c r="LE822" s="317"/>
      <c r="LF822" s="317"/>
      <c r="LG822" s="317"/>
      <c r="LH822" s="317"/>
      <c r="LI822" s="317"/>
      <c r="LJ822" s="317"/>
      <c r="LK822" s="317"/>
      <c r="LL822" s="317"/>
      <c r="LM822" s="317"/>
      <c r="LN822" s="317"/>
      <c r="LO822" s="317"/>
      <c r="LP822" s="317"/>
      <c r="LQ822" s="317"/>
      <c r="LR822" s="317"/>
      <c r="LS822" s="317"/>
      <c r="LT822" s="317"/>
      <c r="LU822" s="317"/>
      <c r="LV822" s="317"/>
      <c r="LW822" s="317"/>
      <c r="LX822" s="317"/>
      <c r="LY822" s="13"/>
      <c r="LZ822" s="317"/>
      <c r="MA822" s="317"/>
      <c r="MB822" s="317"/>
      <c r="MC822" s="317"/>
      <c r="MD822" s="317"/>
      <c r="ME822" s="317"/>
      <c r="MF822" s="317"/>
      <c r="MG822" s="317"/>
      <c r="MH822" s="317"/>
      <c r="MI822" s="317"/>
      <c r="MJ822" s="317"/>
      <c r="MK822" s="317"/>
      <c r="ML822" s="12"/>
      <c r="MM822" s="317"/>
      <c r="MN822" s="317"/>
      <c r="MO822" s="317"/>
      <c r="MP822" s="317"/>
      <c r="MQ822" s="317"/>
      <c r="MR822" s="317"/>
      <c r="MS822" s="317"/>
      <c r="MT822" s="13"/>
      <c r="MU822" s="317"/>
      <c r="MV822" s="317"/>
      <c r="MW822" s="13"/>
      <c r="MX822" s="317"/>
      <c r="MY822" s="317"/>
      <c r="MZ822" s="13"/>
      <c r="NA822" s="12"/>
      <c r="NB822" s="317"/>
      <c r="NC822" s="317"/>
      <c r="ND822" s="317"/>
      <c r="NE822" s="317"/>
      <c r="NF822" s="317"/>
      <c r="NG822" s="317"/>
      <c r="NH822" s="317"/>
      <c r="NI822" s="317"/>
      <c r="NJ822" s="317"/>
      <c r="NK822" s="317"/>
      <c r="NL822" s="317"/>
      <c r="NM822" s="317"/>
      <c r="NN822" s="317"/>
      <c r="NO822" s="317"/>
      <c r="NP822" s="317"/>
      <c r="NQ822" s="317"/>
      <c r="NR822" s="317"/>
      <c r="NS822" s="317"/>
      <c r="NT822" s="317"/>
      <c r="NU822" s="317"/>
      <c r="NV822" s="317"/>
      <c r="NW822" s="317"/>
      <c r="NX822" s="317"/>
      <c r="NY822" s="317"/>
      <c r="NZ822" s="317"/>
      <c r="OA822" s="317"/>
      <c r="OB822" s="317"/>
      <c r="OC822" s="317"/>
      <c r="OD822" s="317"/>
      <c r="OE822" s="317"/>
      <c r="OF822" s="317"/>
      <c r="OG822" s="317"/>
      <c r="OH822" s="317"/>
      <c r="OI822" s="317"/>
      <c r="OJ822" s="317"/>
      <c r="OK822" s="317"/>
      <c r="OL822" s="317"/>
      <c r="OM822" s="317"/>
      <c r="ON822" s="317"/>
      <c r="OO822" s="317"/>
      <c r="OP822" s="317"/>
      <c r="OQ822" s="317"/>
      <c r="OR822" s="317"/>
      <c r="OS822" s="317"/>
      <c r="OT822" s="317"/>
      <c r="OU822" s="317"/>
      <c r="OV822" s="317"/>
      <c r="OW822" s="317"/>
      <c r="OX822" s="317"/>
      <c r="OY822" s="317"/>
      <c r="OZ822" s="317"/>
      <c r="PA822" s="317"/>
      <c r="PB822" s="317"/>
      <c r="PC822" s="317"/>
      <c r="PD822" s="317"/>
      <c r="PE822" s="317"/>
      <c r="PF822" s="317"/>
      <c r="PG822" s="317"/>
      <c r="PH822" s="317"/>
      <c r="PI822" s="317"/>
      <c r="PJ822" s="317"/>
      <c r="PK822" s="317"/>
      <c r="PL822" s="317"/>
      <c r="PM822" s="317"/>
      <c r="PN822" s="317"/>
      <c r="PO822" s="317"/>
      <c r="PP822" s="317"/>
      <c r="PQ822" s="317"/>
      <c r="PR822" s="317"/>
      <c r="PS822" s="317"/>
      <c r="PT822" s="317"/>
      <c r="PU822" s="317"/>
      <c r="PV822" s="317"/>
      <c r="PW822" s="317"/>
      <c r="PX822" s="317"/>
      <c r="PY822" s="317"/>
      <c r="PZ822" s="317"/>
      <c r="QA822" s="317"/>
      <c r="QB822" s="317"/>
      <c r="QC822" s="317"/>
      <c r="QD822" s="317"/>
      <c r="QE822" s="317"/>
      <c r="QF822" s="317"/>
      <c r="QG822" s="317"/>
      <c r="QH822" s="317"/>
      <c r="QI822" s="317"/>
      <c r="QJ822" s="317"/>
      <c r="QK822" s="317"/>
      <c r="QL822" s="317"/>
      <c r="QM822" s="317"/>
      <c r="QN822" s="317"/>
      <c r="QO822" s="317"/>
      <c r="QP822" s="317"/>
      <c r="QQ822" s="317"/>
      <c r="QR822" s="317"/>
      <c r="QS822" s="317"/>
      <c r="QT822" s="317"/>
      <c r="QU822" s="317"/>
      <c r="QV822" s="317"/>
      <c r="QW822" s="317"/>
      <c r="QX822" s="317"/>
      <c r="QY822" s="317"/>
      <c r="QZ822" s="317"/>
      <c r="RA822" s="317"/>
      <c r="RB822" s="317"/>
      <c r="RC822" s="317"/>
      <c r="RD822" s="317"/>
      <c r="RE822" s="317"/>
      <c r="RF822" s="317"/>
      <c r="RG822" s="317"/>
      <c r="RH822" s="317"/>
      <c r="RI822" s="317"/>
      <c r="RJ822" s="317"/>
      <c r="RK822" s="317"/>
      <c r="RL822" s="317"/>
      <c r="RM822" s="13"/>
      <c r="RN822" s="317"/>
      <c r="RO822" s="317"/>
      <c r="RP822" s="13"/>
      <c r="RQ822" s="317"/>
      <c r="RR822" s="317"/>
      <c r="RS822" s="317"/>
      <c r="RT822" s="317"/>
      <c r="RU822" s="317"/>
      <c r="RV822" s="13"/>
      <c r="WL822" s="13"/>
    </row>
    <row r="823" spans="82:610" ht="10.75" customHeight="1">
      <c r="CD823" s="229"/>
      <c r="CE823" s="231"/>
      <c r="CF823" s="231"/>
      <c r="CG823" s="231"/>
      <c r="CH823" s="231"/>
      <c r="CI823" s="231"/>
      <c r="CJ823" s="214"/>
      <c r="CK823" s="49"/>
      <c r="CL823" s="49"/>
      <c r="CM823" s="49"/>
      <c r="CN823" s="49"/>
      <c r="CO823" s="49"/>
      <c r="CP823" s="49"/>
      <c r="CQ823" s="49"/>
      <c r="CR823" s="49"/>
      <c r="CS823" s="49"/>
      <c r="CT823" s="56"/>
      <c r="CU823" s="57"/>
      <c r="CV823" s="57"/>
      <c r="CW823" s="58"/>
      <c r="CX823" s="41"/>
      <c r="CY823" s="41"/>
      <c r="CZ823" s="41"/>
      <c r="DA823" s="41"/>
      <c r="DB823" s="41"/>
      <c r="DC823" s="41"/>
      <c r="DD823" s="41"/>
      <c r="DE823" s="41"/>
      <c r="DF823" s="41"/>
      <c r="DG823" s="41"/>
      <c r="DH823" s="41"/>
      <c r="DI823" s="41"/>
      <c r="DJ823" s="41"/>
      <c r="DK823" s="41"/>
      <c r="DL823" s="41"/>
      <c r="DM823" s="41"/>
      <c r="DN823" s="41"/>
      <c r="DO823" s="41"/>
      <c r="DP823" s="41"/>
      <c r="DQ823" s="41"/>
      <c r="DR823" s="41"/>
      <c r="DS823" s="41"/>
      <c r="DT823" s="41"/>
      <c r="DU823" s="41"/>
      <c r="DV823" s="41"/>
      <c r="DW823" s="41"/>
      <c r="DX823" s="41"/>
      <c r="DY823" s="41"/>
      <c r="DZ823" s="41"/>
      <c r="EA823" s="41"/>
      <c r="EB823" s="41"/>
      <c r="EC823" s="41"/>
      <c r="ED823" s="41"/>
      <c r="EE823" s="41"/>
      <c r="EF823" s="41"/>
      <c r="EG823" s="41"/>
      <c r="EH823" s="41"/>
      <c r="EI823" s="41"/>
      <c r="EJ823" s="41"/>
      <c r="EK823" s="41"/>
      <c r="EL823" s="41"/>
      <c r="EM823" s="41"/>
      <c r="EN823" s="41"/>
      <c r="EO823" s="41"/>
      <c r="EP823" s="41"/>
      <c r="EQ823" s="41"/>
      <c r="ER823" s="56"/>
      <c r="ES823" s="57"/>
      <c r="ET823" s="57"/>
      <c r="EU823" s="58"/>
      <c r="EV823" s="41"/>
      <c r="EW823" s="41"/>
      <c r="EX823" s="41"/>
      <c r="EY823" s="41"/>
      <c r="EZ823" s="41"/>
      <c r="FA823" s="41"/>
      <c r="FB823" s="41"/>
      <c r="FC823" s="41"/>
      <c r="FD823" s="41"/>
      <c r="FE823" s="41"/>
      <c r="FF823" s="41"/>
      <c r="FG823" s="41"/>
      <c r="FH823" s="41"/>
      <c r="FI823" s="41"/>
      <c r="FJ823" s="41"/>
      <c r="FK823" s="41"/>
      <c r="FL823" s="41"/>
      <c r="FM823" s="41"/>
      <c r="FN823" s="41"/>
      <c r="FO823" s="41"/>
      <c r="FP823" s="41"/>
      <c r="FQ823" s="41"/>
      <c r="FR823" s="41"/>
      <c r="FS823" s="41"/>
      <c r="FT823" s="41"/>
      <c r="FU823" s="41"/>
      <c r="FV823" s="41"/>
      <c r="FW823" s="41"/>
      <c r="FX823" s="41"/>
      <c r="FY823" s="41"/>
      <c r="FZ823" s="41"/>
      <c r="GA823" s="41"/>
      <c r="GB823" s="41"/>
      <c r="GC823" s="41"/>
      <c r="GD823" s="41"/>
      <c r="GE823" s="41"/>
      <c r="GF823" s="41"/>
      <c r="GG823" s="41"/>
      <c r="GH823" s="41"/>
      <c r="GI823" s="41"/>
      <c r="GJ823" s="41"/>
      <c r="GK823" s="41"/>
      <c r="GL823" s="41"/>
      <c r="GM823" s="41"/>
      <c r="GN823" s="41"/>
      <c r="GO823" s="41"/>
      <c r="GP823" s="41"/>
      <c r="GQ823" s="56"/>
      <c r="GR823" s="57"/>
      <c r="GS823" s="58"/>
      <c r="GT823" s="49"/>
      <c r="GU823" s="49"/>
      <c r="GV823" s="49"/>
      <c r="GW823" s="49"/>
      <c r="GX823" s="49"/>
      <c r="GY823" s="49"/>
      <c r="GZ823" s="49"/>
      <c r="HA823" s="208"/>
      <c r="HB823" s="231"/>
      <c r="HC823" s="231"/>
      <c r="HD823" s="231"/>
      <c r="HE823" s="231"/>
      <c r="HF823" s="231"/>
      <c r="HG823" s="231"/>
      <c r="HH823" s="231"/>
      <c r="HI823" s="232"/>
      <c r="KM823" s="12"/>
      <c r="KN823" s="317"/>
      <c r="KO823" s="317"/>
      <c r="KP823" s="317"/>
      <c r="KQ823" s="317"/>
      <c r="KR823" s="317"/>
      <c r="KS823" s="317"/>
      <c r="KT823" s="317"/>
      <c r="KU823" s="317"/>
      <c r="KV823" s="317"/>
      <c r="KW823" s="317"/>
      <c r="KX823" s="317"/>
      <c r="KY823" s="317"/>
      <c r="KZ823" s="317"/>
      <c r="LA823" s="317"/>
      <c r="LB823" s="317"/>
      <c r="LC823" s="317"/>
      <c r="LD823" s="317"/>
      <c r="LE823" s="317"/>
      <c r="LF823" s="317"/>
      <c r="LG823" s="317"/>
      <c r="LH823" s="317"/>
      <c r="LI823" s="317"/>
      <c r="LJ823" s="317"/>
      <c r="LK823" s="317"/>
      <c r="LL823" s="317"/>
      <c r="LM823" s="317"/>
      <c r="LN823" s="317"/>
      <c r="LO823" s="317"/>
      <c r="LP823" s="317"/>
      <c r="LQ823" s="317"/>
      <c r="LR823" s="317"/>
      <c r="LS823" s="317"/>
      <c r="LT823" s="317"/>
      <c r="LU823" s="317"/>
      <c r="LV823" s="317"/>
      <c r="LW823" s="317"/>
      <c r="LX823" s="317"/>
      <c r="LY823" s="13"/>
      <c r="LZ823" s="317"/>
      <c r="MA823" s="317"/>
      <c r="MB823" s="317"/>
      <c r="MC823" s="317"/>
      <c r="MD823" s="317"/>
      <c r="ME823" s="317"/>
      <c r="MF823" s="317"/>
      <c r="MG823" s="317"/>
      <c r="MH823" s="317"/>
      <c r="MI823" s="317"/>
      <c r="MJ823" s="317"/>
      <c r="MK823" s="317"/>
      <c r="ML823" s="12"/>
      <c r="MM823" s="317"/>
      <c r="MN823" s="317"/>
      <c r="MO823" s="317"/>
      <c r="MP823" s="317"/>
      <c r="MQ823" s="317"/>
      <c r="MR823" s="317"/>
      <c r="MS823" s="317"/>
      <c r="MT823" s="13"/>
      <c r="MU823" s="317"/>
      <c r="MV823" s="317"/>
      <c r="MW823" s="13"/>
      <c r="MX823" s="317"/>
      <c r="MY823" s="317"/>
      <c r="MZ823" s="13"/>
      <c r="NA823" s="12"/>
      <c r="NB823" s="317"/>
      <c r="NC823" s="317"/>
      <c r="ND823" s="317"/>
      <c r="NE823" s="317"/>
      <c r="NF823" s="317"/>
      <c r="NG823" s="317"/>
      <c r="NH823" s="317"/>
      <c r="NI823" s="317"/>
      <c r="NJ823" s="317"/>
      <c r="NK823" s="317"/>
      <c r="NL823" s="317"/>
      <c r="NM823" s="317"/>
      <c r="NN823" s="317"/>
      <c r="NO823" s="317"/>
      <c r="NP823" s="317"/>
      <c r="NQ823" s="317"/>
      <c r="NR823" s="317"/>
      <c r="NS823" s="317"/>
      <c r="NT823" s="317"/>
      <c r="NU823" s="317"/>
      <c r="NV823" s="317"/>
      <c r="NW823" s="317"/>
      <c r="NX823" s="317"/>
      <c r="NY823" s="317"/>
      <c r="NZ823" s="317"/>
      <c r="OA823" s="317"/>
      <c r="OB823" s="317"/>
      <c r="OC823" s="317"/>
      <c r="OD823" s="317"/>
      <c r="OE823" s="317"/>
      <c r="OF823" s="317"/>
      <c r="OG823" s="317"/>
      <c r="OH823" s="317"/>
      <c r="OI823" s="317"/>
      <c r="OJ823" s="317"/>
      <c r="OK823" s="317"/>
      <c r="OL823" s="317"/>
      <c r="OM823" s="317"/>
      <c r="ON823" s="317"/>
      <c r="OO823" s="317"/>
      <c r="OP823" s="317"/>
      <c r="OQ823" s="317"/>
      <c r="OR823" s="317"/>
      <c r="OS823" s="317"/>
      <c r="OT823" s="317"/>
      <c r="OU823" s="317"/>
      <c r="OV823" s="317"/>
      <c r="OW823" s="317"/>
      <c r="OX823" s="317"/>
      <c r="OY823" s="317"/>
      <c r="OZ823" s="317"/>
      <c r="PA823" s="317"/>
      <c r="PB823" s="317"/>
      <c r="PC823" s="317"/>
      <c r="PD823" s="317"/>
      <c r="PE823" s="317"/>
      <c r="PF823" s="317"/>
      <c r="PG823" s="317"/>
      <c r="PH823" s="317"/>
      <c r="PI823" s="317"/>
      <c r="PJ823" s="317"/>
      <c r="PK823" s="317"/>
      <c r="PL823" s="317"/>
      <c r="PM823" s="317"/>
      <c r="PN823" s="317"/>
      <c r="PO823" s="317"/>
      <c r="PP823" s="317"/>
      <c r="PQ823" s="317"/>
      <c r="PR823" s="317"/>
      <c r="PS823" s="317"/>
      <c r="PT823" s="317"/>
      <c r="PU823" s="317"/>
      <c r="PV823" s="317"/>
      <c r="PW823" s="317"/>
      <c r="PX823" s="317"/>
      <c r="PY823" s="317"/>
      <c r="PZ823" s="317"/>
      <c r="QA823" s="317"/>
      <c r="QB823" s="317"/>
      <c r="QC823" s="317"/>
      <c r="QD823" s="317"/>
      <c r="QE823" s="317"/>
      <c r="QF823" s="317"/>
      <c r="QG823" s="317"/>
      <c r="QH823" s="317"/>
      <c r="QI823" s="317"/>
      <c r="QJ823" s="317"/>
      <c r="QK823" s="317"/>
      <c r="QL823" s="317"/>
      <c r="QM823" s="317"/>
      <c r="QN823" s="317"/>
      <c r="QO823" s="317"/>
      <c r="QP823" s="317"/>
      <c r="QQ823" s="317"/>
      <c r="QR823" s="317"/>
      <c r="QS823" s="317"/>
      <c r="QT823" s="317"/>
      <c r="QU823" s="317"/>
      <c r="QV823" s="317"/>
      <c r="QW823" s="317"/>
      <c r="QX823" s="317"/>
      <c r="QY823" s="317"/>
      <c r="QZ823" s="317"/>
      <c r="RA823" s="317"/>
      <c r="RB823" s="317"/>
      <c r="RC823" s="317"/>
      <c r="RD823" s="317"/>
      <c r="RE823" s="317"/>
      <c r="RF823" s="317"/>
      <c r="RG823" s="317"/>
      <c r="RH823" s="317"/>
      <c r="RI823" s="317"/>
      <c r="RJ823" s="317"/>
      <c r="RK823" s="317"/>
      <c r="RL823" s="317"/>
      <c r="RM823" s="13"/>
      <c r="RN823" s="317"/>
      <c r="RO823" s="317"/>
      <c r="RP823" s="13"/>
      <c r="RQ823" s="317"/>
      <c r="RR823" s="317"/>
      <c r="RS823" s="317"/>
      <c r="RT823" s="317"/>
      <c r="RU823" s="317"/>
      <c r="RV823" s="13"/>
      <c r="WL823" s="13"/>
    </row>
    <row r="824" spans="82:610" ht="10.75" customHeight="1">
      <c r="CD824" s="229"/>
      <c r="CE824" s="231"/>
      <c r="CF824" s="231"/>
      <c r="CG824" s="231"/>
      <c r="CH824" s="231"/>
      <c r="CI824" s="231"/>
      <c r="CJ824" s="214"/>
      <c r="CK824" s="49"/>
      <c r="CL824" s="49"/>
      <c r="CM824" s="49"/>
      <c r="CN824" s="49"/>
      <c r="CO824" s="49"/>
      <c r="CP824" s="49"/>
      <c r="CQ824" s="49"/>
      <c r="CR824" s="49"/>
      <c r="CS824" s="49"/>
      <c r="CT824" s="96"/>
      <c r="CU824" s="97"/>
      <c r="CV824" s="97"/>
      <c r="CW824" s="98"/>
      <c r="CX824" s="43"/>
      <c r="CY824" s="43"/>
      <c r="CZ824" s="43"/>
      <c r="DA824" s="43"/>
      <c r="DB824" s="43"/>
      <c r="DC824" s="43"/>
      <c r="DD824" s="43"/>
      <c r="DE824" s="43"/>
      <c r="DF824" s="43"/>
      <c r="DG824" s="43"/>
      <c r="DH824" s="43"/>
      <c r="DI824" s="43"/>
      <c r="DJ824" s="43"/>
      <c r="DK824" s="43"/>
      <c r="DL824" s="43"/>
      <c r="DM824" s="43"/>
      <c r="DN824" s="43"/>
      <c r="DO824" s="43"/>
      <c r="DP824" s="43"/>
      <c r="DQ824" s="43"/>
      <c r="DR824" s="43"/>
      <c r="DS824" s="43"/>
      <c r="DT824" s="43"/>
      <c r="DU824" s="43"/>
      <c r="DV824" s="43"/>
      <c r="DW824" s="43"/>
      <c r="DX824" s="43"/>
      <c r="DY824" s="43"/>
      <c r="DZ824" s="43"/>
      <c r="EA824" s="43"/>
      <c r="EB824" s="43"/>
      <c r="EC824" s="43"/>
      <c r="ED824" s="43"/>
      <c r="EE824" s="43"/>
      <c r="EF824" s="43"/>
      <c r="EG824" s="43"/>
      <c r="EH824" s="43"/>
      <c r="EI824" s="43"/>
      <c r="EJ824" s="43"/>
      <c r="EK824" s="43"/>
      <c r="EL824" s="43"/>
      <c r="EM824" s="43"/>
      <c r="EN824" s="43"/>
      <c r="EO824" s="43"/>
      <c r="EP824" s="43"/>
      <c r="EQ824" s="43"/>
      <c r="ER824" s="96"/>
      <c r="ES824" s="97"/>
      <c r="ET824" s="97"/>
      <c r="EU824" s="98"/>
      <c r="EV824" s="43"/>
      <c r="EW824" s="43"/>
      <c r="EX824" s="43"/>
      <c r="EY824" s="43"/>
      <c r="EZ824" s="43"/>
      <c r="FA824" s="43"/>
      <c r="FB824" s="43"/>
      <c r="FC824" s="43"/>
      <c r="FD824" s="43"/>
      <c r="FE824" s="43"/>
      <c r="FF824" s="43"/>
      <c r="FG824" s="43"/>
      <c r="FH824" s="43"/>
      <c r="FI824" s="43"/>
      <c r="FJ824" s="43"/>
      <c r="FK824" s="43"/>
      <c r="FL824" s="43"/>
      <c r="FM824" s="43"/>
      <c r="FN824" s="43"/>
      <c r="FO824" s="43"/>
      <c r="FP824" s="43"/>
      <c r="FQ824" s="43"/>
      <c r="FR824" s="43"/>
      <c r="FS824" s="43"/>
      <c r="FT824" s="43"/>
      <c r="FU824" s="43"/>
      <c r="FV824" s="43"/>
      <c r="FW824" s="43"/>
      <c r="FX824" s="43"/>
      <c r="FY824" s="43"/>
      <c r="FZ824" s="43"/>
      <c r="GA824" s="43"/>
      <c r="GB824" s="43"/>
      <c r="GC824" s="43"/>
      <c r="GD824" s="43"/>
      <c r="GE824" s="43"/>
      <c r="GF824" s="43"/>
      <c r="GG824" s="43"/>
      <c r="GH824" s="43"/>
      <c r="GI824" s="43"/>
      <c r="GJ824" s="43"/>
      <c r="GK824" s="43"/>
      <c r="GL824" s="43"/>
      <c r="GM824" s="43"/>
      <c r="GN824" s="43"/>
      <c r="GO824" s="43"/>
      <c r="GP824" s="43"/>
      <c r="GQ824" s="96"/>
      <c r="GR824" s="97"/>
      <c r="GS824" s="98"/>
      <c r="GT824" s="49"/>
      <c r="GU824" s="49"/>
      <c r="GV824" s="49"/>
      <c r="GW824" s="49"/>
      <c r="GX824" s="49"/>
      <c r="GY824" s="49"/>
      <c r="GZ824" s="49"/>
      <c r="HA824" s="208"/>
      <c r="HB824" s="231"/>
      <c r="HC824" s="231"/>
      <c r="HD824" s="231"/>
      <c r="HE824" s="231"/>
      <c r="HF824" s="231"/>
      <c r="HG824" s="231"/>
      <c r="HH824" s="231"/>
      <c r="HI824" s="232"/>
      <c r="KM824" s="12"/>
      <c r="KN824" s="317"/>
      <c r="KO824" s="317"/>
      <c r="KP824" s="317"/>
      <c r="KQ824" s="317"/>
      <c r="KR824" s="317"/>
      <c r="KS824" s="317"/>
      <c r="KT824" s="317"/>
      <c r="KU824" s="317"/>
      <c r="KV824" s="317"/>
      <c r="KW824" s="317"/>
      <c r="KX824" s="317"/>
      <c r="KY824" s="317"/>
      <c r="KZ824" s="317"/>
      <c r="LA824" s="317"/>
      <c r="LB824" s="317"/>
      <c r="LC824" s="317"/>
      <c r="LD824" s="317"/>
      <c r="LE824" s="317"/>
      <c r="LF824" s="317"/>
      <c r="LG824" s="317"/>
      <c r="LH824" s="317"/>
      <c r="LI824" s="317"/>
      <c r="LJ824" s="317"/>
      <c r="LK824" s="317"/>
      <c r="LL824" s="317"/>
      <c r="LM824" s="317"/>
      <c r="LN824" s="317"/>
      <c r="LO824" s="317"/>
      <c r="LP824" s="317"/>
      <c r="LQ824" s="317"/>
      <c r="LR824" s="317"/>
      <c r="LS824" s="317"/>
      <c r="LT824" s="317"/>
      <c r="LU824" s="317"/>
      <c r="LV824" s="317"/>
      <c r="LW824" s="317"/>
      <c r="LX824" s="317"/>
      <c r="LY824" s="13"/>
      <c r="LZ824" s="317"/>
      <c r="MA824" s="317"/>
      <c r="MB824" s="317"/>
      <c r="MC824" s="317"/>
      <c r="MD824" s="317"/>
      <c r="ME824" s="317"/>
      <c r="MF824" s="317"/>
      <c r="MG824" s="317"/>
      <c r="MH824" s="317"/>
      <c r="MI824" s="317"/>
      <c r="MJ824" s="317"/>
      <c r="MK824" s="317"/>
      <c r="ML824" s="12"/>
      <c r="MM824" s="317"/>
      <c r="MN824" s="317"/>
      <c r="MO824" s="317"/>
      <c r="MP824" s="317"/>
      <c r="MQ824" s="317"/>
      <c r="MR824" s="317"/>
      <c r="MS824" s="317"/>
      <c r="MT824" s="13"/>
      <c r="MU824" s="317"/>
      <c r="MV824" s="317"/>
      <c r="MW824" s="13"/>
      <c r="MX824" s="317"/>
      <c r="MY824" s="317"/>
      <c r="MZ824" s="13"/>
      <c r="NA824" s="12"/>
      <c r="NB824" s="317"/>
      <c r="NC824" s="317"/>
      <c r="ND824" s="317"/>
      <c r="NE824" s="317"/>
      <c r="NF824" s="317"/>
      <c r="NG824" s="317"/>
      <c r="NH824" s="317"/>
      <c r="NI824" s="317"/>
      <c r="NJ824" s="317"/>
      <c r="NK824" s="317"/>
      <c r="NL824" s="317"/>
      <c r="NM824" s="317"/>
      <c r="NN824" s="317"/>
      <c r="NO824" s="317"/>
      <c r="NP824" s="317"/>
      <c r="NQ824" s="317"/>
      <c r="NR824" s="317"/>
      <c r="NS824" s="317"/>
      <c r="NT824" s="317"/>
      <c r="NU824" s="317"/>
      <c r="NV824" s="317"/>
      <c r="NW824" s="317"/>
      <c r="NX824" s="317"/>
      <c r="NY824" s="317"/>
      <c r="NZ824" s="317"/>
      <c r="OA824" s="317"/>
      <c r="OB824" s="317"/>
      <c r="OC824" s="317"/>
      <c r="OD824" s="317"/>
      <c r="OE824" s="317"/>
      <c r="OF824" s="317"/>
      <c r="OG824" s="317"/>
      <c r="OH824" s="317"/>
      <c r="OI824" s="317"/>
      <c r="OJ824" s="317"/>
      <c r="OK824" s="317"/>
      <c r="OL824" s="317"/>
      <c r="OM824" s="317"/>
      <c r="ON824" s="317"/>
      <c r="OO824" s="317"/>
      <c r="OP824" s="317"/>
      <c r="OQ824" s="317"/>
      <c r="OR824" s="317"/>
      <c r="OS824" s="317"/>
      <c r="OT824" s="317"/>
      <c r="OU824" s="317"/>
      <c r="OV824" s="317"/>
      <c r="OW824" s="317"/>
      <c r="OX824" s="317"/>
      <c r="OY824" s="317"/>
      <c r="OZ824" s="317"/>
      <c r="PA824" s="317"/>
      <c r="PB824" s="317"/>
      <c r="PC824" s="317"/>
      <c r="PD824" s="317"/>
      <c r="PE824" s="317"/>
      <c r="PF824" s="317"/>
      <c r="PG824" s="317"/>
      <c r="PH824" s="317"/>
      <c r="PI824" s="317"/>
      <c r="PJ824" s="317"/>
      <c r="PK824" s="317"/>
      <c r="PL824" s="317"/>
      <c r="PM824" s="317"/>
      <c r="PN824" s="317"/>
      <c r="PO824" s="317"/>
      <c r="PP824" s="317"/>
      <c r="PQ824" s="317"/>
      <c r="PR824" s="317"/>
      <c r="PS824" s="317"/>
      <c r="PT824" s="317"/>
      <c r="PU824" s="317"/>
      <c r="PV824" s="317"/>
      <c r="PW824" s="317"/>
      <c r="PX824" s="317"/>
      <c r="PY824" s="317"/>
      <c r="PZ824" s="317"/>
      <c r="QA824" s="317"/>
      <c r="QB824" s="317"/>
      <c r="QC824" s="317"/>
      <c r="QD824" s="317"/>
      <c r="QE824" s="317"/>
      <c r="QF824" s="317"/>
      <c r="QG824" s="317"/>
      <c r="QH824" s="317"/>
      <c r="QI824" s="317"/>
      <c r="QJ824" s="317"/>
      <c r="QK824" s="317"/>
      <c r="QL824" s="317"/>
      <c r="QM824" s="317"/>
      <c r="QN824" s="317"/>
      <c r="QO824" s="317"/>
      <c r="QP824" s="317"/>
      <c r="QQ824" s="317"/>
      <c r="QR824" s="317"/>
      <c r="QS824" s="317"/>
      <c r="QT824" s="317"/>
      <c r="QU824" s="317"/>
      <c r="QV824" s="317"/>
      <c r="QW824" s="317"/>
      <c r="QX824" s="317"/>
      <c r="QY824" s="317"/>
      <c r="QZ824" s="317"/>
      <c r="RA824" s="317"/>
      <c r="RB824" s="317"/>
      <c r="RC824" s="317"/>
      <c r="RD824" s="317"/>
      <c r="RE824" s="317"/>
      <c r="RF824" s="317"/>
      <c r="RG824" s="317"/>
      <c r="RH824" s="317"/>
      <c r="RI824" s="317"/>
      <c r="RJ824" s="317"/>
      <c r="RK824" s="317"/>
      <c r="RL824" s="317"/>
      <c r="RM824" s="13"/>
      <c r="RN824" s="317"/>
      <c r="RO824" s="317"/>
      <c r="RP824" s="13"/>
      <c r="RQ824" s="317"/>
      <c r="RR824" s="317"/>
      <c r="RS824" s="317"/>
      <c r="RT824" s="317"/>
      <c r="RU824" s="317"/>
      <c r="RV824" s="13"/>
      <c r="WL824" s="13"/>
    </row>
    <row r="825" spans="82:610" ht="10.75" customHeight="1">
      <c r="CD825" s="229"/>
      <c r="CE825" s="231"/>
      <c r="CF825" s="231"/>
      <c r="CG825" s="231"/>
      <c r="CH825" s="231"/>
      <c r="CI825" s="231"/>
      <c r="CJ825" s="214"/>
      <c r="CK825" s="49"/>
      <c r="CL825" s="49"/>
      <c r="CM825" s="49"/>
      <c r="CN825" s="49"/>
      <c r="CO825" s="49"/>
      <c r="CP825" s="49"/>
      <c r="CQ825" s="49"/>
      <c r="CR825" s="49"/>
      <c r="CS825" s="49"/>
      <c r="CT825" s="59"/>
      <c r="CU825" s="60"/>
      <c r="CV825" s="60"/>
      <c r="CW825" s="61"/>
      <c r="CX825" s="43"/>
      <c r="CY825" s="43"/>
      <c r="CZ825" s="47"/>
      <c r="DA825" s="47"/>
      <c r="DB825" s="47"/>
      <c r="DC825" s="47"/>
      <c r="DD825" s="47"/>
      <c r="DE825" s="47"/>
      <c r="DF825" s="47"/>
      <c r="DG825" s="47"/>
      <c r="DH825" s="47"/>
      <c r="DI825" s="47"/>
      <c r="DJ825" s="47"/>
      <c r="DK825" s="47"/>
      <c r="DL825" s="47"/>
      <c r="DM825" s="47"/>
      <c r="DN825" s="47"/>
      <c r="DO825" s="47"/>
      <c r="DP825" s="47"/>
      <c r="DQ825" s="47"/>
      <c r="DR825" s="47"/>
      <c r="DS825" s="47"/>
      <c r="DT825" s="47"/>
      <c r="DU825" s="47"/>
      <c r="DV825" s="47"/>
      <c r="DW825" s="47"/>
      <c r="DX825" s="47"/>
      <c r="DY825" s="47"/>
      <c r="DZ825" s="47"/>
      <c r="EA825" s="47"/>
      <c r="EB825" s="47"/>
      <c r="EC825" s="47"/>
      <c r="ED825" s="47"/>
      <c r="EE825" s="47"/>
      <c r="EF825" s="47"/>
      <c r="EG825" s="47"/>
      <c r="EH825" s="47"/>
      <c r="EI825" s="47"/>
      <c r="EJ825" s="47"/>
      <c r="EK825" s="47"/>
      <c r="EL825" s="47"/>
      <c r="EM825" s="47"/>
      <c r="EN825" s="47"/>
      <c r="EO825" s="47"/>
      <c r="EP825" s="47"/>
      <c r="EQ825" s="47"/>
      <c r="ER825" s="59"/>
      <c r="ES825" s="60"/>
      <c r="ET825" s="60"/>
      <c r="EU825" s="61"/>
      <c r="EV825" s="47"/>
      <c r="EW825" s="47"/>
      <c r="EX825" s="47"/>
      <c r="EY825" s="47"/>
      <c r="EZ825" s="47"/>
      <c r="FA825" s="47"/>
      <c r="FB825" s="47"/>
      <c r="FC825" s="47"/>
      <c r="FD825" s="47"/>
      <c r="FE825" s="47"/>
      <c r="FF825" s="47"/>
      <c r="FG825" s="47"/>
      <c r="FH825" s="47"/>
      <c r="FI825" s="47"/>
      <c r="FJ825" s="47"/>
      <c r="FK825" s="47"/>
      <c r="FL825" s="47"/>
      <c r="FM825" s="47"/>
      <c r="FN825" s="47"/>
      <c r="FO825" s="47"/>
      <c r="FP825" s="47"/>
      <c r="FQ825" s="47"/>
      <c r="FR825" s="47"/>
      <c r="FS825" s="47"/>
      <c r="FT825" s="47"/>
      <c r="FU825" s="47"/>
      <c r="FV825" s="47"/>
      <c r="FW825" s="47"/>
      <c r="FX825" s="47"/>
      <c r="FY825" s="47"/>
      <c r="FZ825" s="47"/>
      <c r="GA825" s="47"/>
      <c r="GB825" s="47"/>
      <c r="GC825" s="47"/>
      <c r="GD825" s="47"/>
      <c r="GE825" s="47"/>
      <c r="GF825" s="47"/>
      <c r="GG825" s="47"/>
      <c r="GH825" s="47"/>
      <c r="GI825" s="47"/>
      <c r="GJ825" s="47"/>
      <c r="GK825" s="47"/>
      <c r="GL825" s="47"/>
      <c r="GM825" s="47"/>
      <c r="GN825" s="47"/>
      <c r="GO825" s="47"/>
      <c r="GP825" s="47"/>
      <c r="GQ825" s="96"/>
      <c r="GR825" s="97"/>
      <c r="GS825" s="98"/>
      <c r="GT825" s="49"/>
      <c r="GU825" s="49"/>
      <c r="GV825" s="49"/>
      <c r="GW825" s="49"/>
      <c r="GX825" s="49"/>
      <c r="GY825" s="49"/>
      <c r="GZ825" s="49"/>
      <c r="HA825" s="208"/>
      <c r="HB825" s="231"/>
      <c r="HC825" s="231"/>
      <c r="HD825" s="231"/>
      <c r="HE825" s="231"/>
      <c r="HF825" s="231"/>
      <c r="HG825" s="231"/>
      <c r="HH825" s="231"/>
      <c r="HI825" s="232"/>
      <c r="KM825" s="12"/>
      <c r="KN825" s="317"/>
      <c r="KO825" s="317"/>
      <c r="KP825" s="317"/>
      <c r="KQ825" s="317"/>
      <c r="KR825" s="317"/>
      <c r="KS825" s="317"/>
      <c r="KT825" s="317"/>
      <c r="KU825" s="317"/>
      <c r="KV825" s="317"/>
      <c r="KW825" s="317"/>
      <c r="KX825" s="317"/>
      <c r="KY825" s="317"/>
      <c r="KZ825" s="317"/>
      <c r="LA825" s="317"/>
      <c r="LB825" s="317"/>
      <c r="LC825" s="317"/>
      <c r="LD825" s="317"/>
      <c r="LE825" s="317"/>
      <c r="LF825" s="317"/>
      <c r="LG825" s="317"/>
      <c r="LH825" s="317"/>
      <c r="LI825" s="317"/>
      <c r="LJ825" s="317"/>
      <c r="LK825" s="317"/>
      <c r="LL825" s="317"/>
      <c r="LM825" s="317"/>
      <c r="LN825" s="317"/>
      <c r="LO825" s="317"/>
      <c r="LP825" s="317"/>
      <c r="LQ825" s="317"/>
      <c r="LR825" s="317"/>
      <c r="LS825" s="317"/>
      <c r="LT825" s="317"/>
      <c r="LU825" s="317"/>
      <c r="LV825" s="317"/>
      <c r="LW825" s="317"/>
      <c r="LX825" s="317"/>
      <c r="LY825" s="13"/>
      <c r="LZ825" s="317"/>
      <c r="MA825" s="317"/>
      <c r="MB825" s="317"/>
      <c r="MC825" s="317"/>
      <c r="MD825" s="317"/>
      <c r="ME825" s="317"/>
      <c r="MF825" s="317"/>
      <c r="MG825" s="317"/>
      <c r="MH825" s="317"/>
      <c r="MI825" s="317"/>
      <c r="MJ825" s="317"/>
      <c r="MK825" s="317"/>
      <c r="ML825" s="12"/>
      <c r="MM825" s="317"/>
      <c r="MN825" s="317"/>
      <c r="MO825" s="317"/>
      <c r="MP825" s="317"/>
      <c r="MQ825" s="317"/>
      <c r="MR825" s="317"/>
      <c r="MS825" s="317"/>
      <c r="MT825" s="13"/>
      <c r="MU825" s="317"/>
      <c r="MV825" s="317"/>
      <c r="MW825" s="13"/>
      <c r="MX825" s="317"/>
      <c r="MY825" s="317"/>
      <c r="MZ825" s="13"/>
      <c r="NA825" s="12"/>
      <c r="NB825" s="317"/>
      <c r="NC825" s="317"/>
      <c r="ND825" s="317"/>
      <c r="NE825" s="317"/>
      <c r="NF825" s="317"/>
      <c r="NG825" s="317"/>
      <c r="NH825" s="317"/>
      <c r="NI825" s="317"/>
      <c r="NJ825" s="317"/>
      <c r="NK825" s="317"/>
      <c r="NL825" s="317"/>
      <c r="NM825" s="317"/>
      <c r="NN825" s="317"/>
      <c r="NO825" s="317"/>
      <c r="NP825" s="317"/>
      <c r="NQ825" s="317"/>
      <c r="NR825" s="317"/>
      <c r="NS825" s="317"/>
      <c r="NT825" s="317"/>
      <c r="NU825" s="317"/>
      <c r="NV825" s="317"/>
      <c r="NW825" s="317"/>
      <c r="NX825" s="317"/>
      <c r="NY825" s="317"/>
      <c r="NZ825" s="317"/>
      <c r="OA825" s="317"/>
      <c r="OB825" s="317"/>
      <c r="OC825" s="317"/>
      <c r="OD825" s="317"/>
      <c r="OE825" s="317"/>
      <c r="OF825" s="317"/>
      <c r="OG825" s="317"/>
      <c r="OH825" s="317"/>
      <c r="OI825" s="317"/>
      <c r="OJ825" s="317"/>
      <c r="OK825" s="317"/>
      <c r="OL825" s="317"/>
      <c r="OM825" s="317"/>
      <c r="ON825" s="317"/>
      <c r="OO825" s="317"/>
      <c r="OP825" s="317"/>
      <c r="OQ825" s="317"/>
      <c r="OR825" s="317"/>
      <c r="OS825" s="317"/>
      <c r="OT825" s="317"/>
      <c r="OU825" s="317"/>
      <c r="OV825" s="317"/>
      <c r="OW825" s="317"/>
      <c r="OX825" s="317"/>
      <c r="OY825" s="317"/>
      <c r="OZ825" s="317"/>
      <c r="PA825" s="317"/>
      <c r="PB825" s="317"/>
      <c r="PC825" s="317"/>
      <c r="PD825" s="317"/>
      <c r="PE825" s="317"/>
      <c r="PF825" s="317"/>
      <c r="PG825" s="317"/>
      <c r="PH825" s="317"/>
      <c r="PI825" s="317"/>
      <c r="PJ825" s="317"/>
      <c r="PK825" s="317"/>
      <c r="PL825" s="317"/>
      <c r="PM825" s="317"/>
      <c r="PN825" s="317"/>
      <c r="PO825" s="317"/>
      <c r="PP825" s="317"/>
      <c r="PQ825" s="317"/>
      <c r="PR825" s="317"/>
      <c r="PS825" s="317"/>
      <c r="PT825" s="317"/>
      <c r="PU825" s="317"/>
      <c r="PV825" s="317"/>
      <c r="PW825" s="317"/>
      <c r="PX825" s="317"/>
      <c r="PY825" s="317"/>
      <c r="PZ825" s="317"/>
      <c r="QA825" s="317"/>
      <c r="QB825" s="317"/>
      <c r="QC825" s="317"/>
      <c r="QD825" s="317"/>
      <c r="QE825" s="317"/>
      <c r="QF825" s="317"/>
      <c r="QG825" s="317"/>
      <c r="QH825" s="317"/>
      <c r="QI825" s="317"/>
      <c r="QJ825" s="317"/>
      <c r="QK825" s="317"/>
      <c r="QL825" s="317"/>
      <c r="QM825" s="317"/>
      <c r="QN825" s="317"/>
      <c r="QO825" s="317"/>
      <c r="QP825" s="317"/>
      <c r="QQ825" s="317"/>
      <c r="QR825" s="317"/>
      <c r="QS825" s="317"/>
      <c r="QT825" s="317"/>
      <c r="QU825" s="317"/>
      <c r="QV825" s="317"/>
      <c r="QW825" s="317"/>
      <c r="QX825" s="317"/>
      <c r="QY825" s="317"/>
      <c r="QZ825" s="317"/>
      <c r="RA825" s="317"/>
      <c r="RB825" s="317"/>
      <c r="RC825" s="317"/>
      <c r="RD825" s="317"/>
      <c r="RE825" s="317"/>
      <c r="RF825" s="317"/>
      <c r="RG825" s="317"/>
      <c r="RH825" s="317"/>
      <c r="RI825" s="317"/>
      <c r="RJ825" s="317"/>
      <c r="RK825" s="317"/>
      <c r="RL825" s="317"/>
      <c r="RM825" s="13"/>
      <c r="RN825" s="317"/>
      <c r="RO825" s="317"/>
      <c r="RP825" s="13"/>
      <c r="RQ825" s="317"/>
      <c r="RR825" s="317"/>
      <c r="RS825" s="317"/>
      <c r="RT825" s="317"/>
      <c r="RU825" s="317"/>
      <c r="RV825" s="13"/>
      <c r="WL825" s="13"/>
    </row>
    <row r="826" spans="82:610" ht="10.75" customHeight="1">
      <c r="CD826" s="229"/>
      <c r="CE826" s="231"/>
      <c r="CF826" s="231"/>
      <c r="CG826" s="231"/>
      <c r="CH826" s="231"/>
      <c r="CI826" s="231"/>
      <c r="CJ826" s="214"/>
      <c r="CK826" s="49"/>
      <c r="CL826" s="49"/>
      <c r="CM826" s="49"/>
      <c r="CN826" s="49"/>
      <c r="CO826" s="49"/>
      <c r="CP826" s="49"/>
      <c r="CQ826" s="49"/>
      <c r="CR826" s="49"/>
      <c r="CS826" s="49"/>
      <c r="CT826" s="42"/>
      <c r="CU826" s="43"/>
      <c r="CV826" s="43"/>
      <c r="CW826" s="9"/>
      <c r="CX826" s="10"/>
      <c r="CY826" s="10"/>
      <c r="CZ826" s="10"/>
      <c r="DA826" s="10"/>
      <c r="DB826" s="10"/>
      <c r="DC826" s="10"/>
      <c r="DD826" s="10"/>
      <c r="DE826" s="10"/>
      <c r="DF826" s="10"/>
      <c r="DG826" s="10"/>
      <c r="DH826" s="10"/>
      <c r="DI826" s="10"/>
      <c r="DJ826" s="10"/>
      <c r="DK826" s="10"/>
      <c r="DL826" s="10"/>
      <c r="DM826" s="10"/>
      <c r="DN826" s="10"/>
      <c r="DO826" s="10"/>
      <c r="DP826" s="10"/>
      <c r="DQ826" s="10"/>
      <c r="DR826" s="10"/>
      <c r="DS826" s="10"/>
      <c r="DT826" s="10"/>
      <c r="DU826" s="10"/>
      <c r="DV826" s="10"/>
      <c r="DW826" s="10"/>
      <c r="DX826" s="11"/>
      <c r="DY826" s="158"/>
      <c r="DZ826" s="159"/>
      <c r="EA826" s="10"/>
      <c r="EB826" s="10"/>
      <c r="EC826" s="10"/>
      <c r="ED826" s="10"/>
      <c r="EE826" s="10"/>
      <c r="EF826" s="10"/>
      <c r="EG826" s="10"/>
      <c r="EH826" s="10"/>
      <c r="EI826" s="10"/>
      <c r="EJ826" s="10"/>
      <c r="EK826" s="10"/>
      <c r="EL826" s="10"/>
      <c r="EM826" s="10"/>
      <c r="EN826" s="10"/>
      <c r="EO826" s="10"/>
      <c r="EP826" s="10"/>
      <c r="EQ826" s="10"/>
      <c r="ER826" s="10"/>
      <c r="ES826" s="9"/>
      <c r="ET826" s="11"/>
      <c r="EU826" s="10"/>
      <c r="EV826" s="10"/>
      <c r="EW826" s="10"/>
      <c r="EX826" s="10"/>
      <c r="EY826" s="10"/>
      <c r="EZ826" s="298"/>
      <c r="FA826" s="10"/>
      <c r="FB826" s="10"/>
      <c r="FC826" s="10"/>
      <c r="FD826" s="10"/>
      <c r="FE826" s="10"/>
      <c r="FF826" s="10"/>
      <c r="FG826" s="10"/>
      <c r="FH826" s="10"/>
      <c r="FI826" s="10"/>
      <c r="FJ826" s="10"/>
      <c r="FK826" s="10"/>
      <c r="FL826" s="10"/>
      <c r="FM826" s="10"/>
      <c r="FN826" s="10"/>
      <c r="FO826" s="10"/>
      <c r="FP826" s="10"/>
      <c r="FQ826" s="10"/>
      <c r="FR826" s="10"/>
      <c r="FS826" s="10"/>
      <c r="FT826" s="10"/>
      <c r="FU826" s="10"/>
      <c r="FV826" s="10"/>
      <c r="FW826" s="10"/>
      <c r="FX826" s="10"/>
      <c r="FY826" s="10"/>
      <c r="FZ826" s="10"/>
      <c r="GA826" s="10"/>
      <c r="GB826" s="10"/>
      <c r="GC826" s="10"/>
      <c r="GD826" s="10"/>
      <c r="GE826" s="10"/>
      <c r="GF826" s="10"/>
      <c r="GG826" s="10"/>
      <c r="GH826" s="10"/>
      <c r="GI826" s="10"/>
      <c r="GJ826" s="10"/>
      <c r="GK826" s="10"/>
      <c r="GL826" s="10"/>
      <c r="GM826" s="10"/>
      <c r="GN826" s="10"/>
      <c r="GO826" s="10"/>
      <c r="GP826" s="11"/>
      <c r="GQ826" s="59"/>
      <c r="GR826" s="60"/>
      <c r="GS826" s="61"/>
      <c r="GT826" s="49"/>
      <c r="GU826" s="49"/>
      <c r="GV826" s="49"/>
      <c r="GW826" s="49"/>
      <c r="GX826" s="49"/>
      <c r="GY826" s="49"/>
      <c r="GZ826" s="49"/>
      <c r="HA826" s="208"/>
      <c r="HB826" s="231"/>
      <c r="HC826" s="231"/>
      <c r="HD826" s="231"/>
      <c r="HE826" s="231"/>
      <c r="HF826" s="231"/>
      <c r="HG826" s="231"/>
      <c r="HH826" s="231"/>
      <c r="HI826" s="232"/>
      <c r="KM826" s="12"/>
      <c r="KN826" s="317"/>
      <c r="KO826" s="317"/>
      <c r="KP826" s="317"/>
      <c r="KQ826" s="317"/>
      <c r="KR826" s="317"/>
      <c r="KS826" s="317"/>
      <c r="KT826" s="317"/>
      <c r="KU826" s="317"/>
      <c r="KV826" s="317"/>
      <c r="KW826" s="317"/>
      <c r="KX826" s="317"/>
      <c r="KY826" s="317"/>
      <c r="KZ826" s="317"/>
      <c r="LA826" s="317"/>
      <c r="LB826" s="317"/>
      <c r="LC826" s="317"/>
      <c r="LD826" s="317"/>
      <c r="LE826" s="317"/>
      <c r="LF826" s="317"/>
      <c r="LG826" s="317"/>
      <c r="LH826" s="317"/>
      <c r="LI826" s="317"/>
      <c r="LJ826" s="317"/>
      <c r="LK826" s="317"/>
      <c r="LL826" s="317"/>
      <c r="LM826" s="317"/>
      <c r="LN826" s="317"/>
      <c r="LO826" s="317"/>
      <c r="LP826" s="317"/>
      <c r="LQ826" s="317"/>
      <c r="LR826" s="317"/>
      <c r="LS826" s="317"/>
      <c r="LT826" s="317"/>
      <c r="LU826" s="317"/>
      <c r="LV826" s="317"/>
      <c r="LW826" s="317"/>
      <c r="LX826" s="317"/>
      <c r="LY826" s="13"/>
      <c r="LZ826" s="317"/>
      <c r="MA826" s="317"/>
      <c r="MB826" s="317"/>
      <c r="MC826" s="317"/>
      <c r="MD826" s="317"/>
      <c r="ME826" s="317"/>
      <c r="MF826" s="317"/>
      <c r="MG826" s="317"/>
      <c r="MH826" s="317"/>
      <c r="MI826" s="317"/>
      <c r="MJ826" s="317"/>
      <c r="MK826" s="317"/>
      <c r="ML826" s="14"/>
      <c r="MM826" s="15"/>
      <c r="MN826" s="15"/>
      <c r="MO826" s="15"/>
      <c r="MP826" s="15"/>
      <c r="MQ826" s="15"/>
      <c r="MR826" s="15"/>
      <c r="MS826" s="15"/>
      <c r="MT826" s="16"/>
      <c r="MU826" s="15"/>
      <c r="MV826" s="15"/>
      <c r="MW826" s="16"/>
      <c r="MX826" s="317"/>
      <c r="MY826" s="317"/>
      <c r="MZ826" s="13"/>
      <c r="NA826" s="12"/>
      <c r="NB826" s="317"/>
      <c r="NC826" s="317"/>
      <c r="ND826" s="317"/>
      <c r="NE826" s="317"/>
      <c r="NF826" s="317"/>
      <c r="NG826" s="317"/>
      <c r="NH826" s="317"/>
      <c r="NI826" s="317"/>
      <c r="NJ826" s="317"/>
      <c r="NK826" s="317"/>
      <c r="NL826" s="317"/>
      <c r="NM826" s="317"/>
      <c r="NN826" s="317"/>
      <c r="NO826" s="317"/>
      <c r="NP826" s="317"/>
      <c r="NQ826" s="317"/>
      <c r="NR826" s="317"/>
      <c r="NS826" s="317"/>
      <c r="NT826" s="317"/>
      <c r="NU826" s="317"/>
      <c r="NV826" s="317"/>
      <c r="NW826" s="317"/>
      <c r="NX826" s="317"/>
      <c r="NY826" s="317"/>
      <c r="NZ826" s="317"/>
      <c r="OA826" s="317"/>
      <c r="OB826" s="317"/>
      <c r="OC826" s="317"/>
      <c r="OD826" s="317"/>
      <c r="OE826" s="317"/>
      <c r="OF826" s="317"/>
      <c r="OG826" s="317"/>
      <c r="OH826" s="317"/>
      <c r="OI826" s="317"/>
      <c r="OJ826" s="317"/>
      <c r="OK826" s="317"/>
      <c r="OL826" s="317"/>
      <c r="OM826" s="317"/>
      <c r="ON826" s="317"/>
      <c r="OO826" s="317"/>
      <c r="OP826" s="317"/>
      <c r="OQ826" s="317"/>
      <c r="OR826" s="317"/>
      <c r="OS826" s="317"/>
      <c r="OT826" s="317"/>
      <c r="OU826" s="317"/>
      <c r="OV826" s="317"/>
      <c r="OW826" s="317"/>
      <c r="OX826" s="317"/>
      <c r="OY826" s="317"/>
      <c r="OZ826" s="317"/>
      <c r="PA826" s="317"/>
      <c r="PB826" s="317"/>
      <c r="PC826" s="317"/>
      <c r="PD826" s="317"/>
      <c r="PE826" s="317"/>
      <c r="PF826" s="317"/>
      <c r="PG826" s="317"/>
      <c r="PH826" s="317"/>
      <c r="PI826" s="317"/>
      <c r="PJ826" s="317"/>
      <c r="PK826" s="317"/>
      <c r="PL826" s="317"/>
      <c r="PM826" s="317"/>
      <c r="PN826" s="317"/>
      <c r="PO826" s="317"/>
      <c r="PP826" s="317"/>
      <c r="PQ826" s="317"/>
      <c r="PR826" s="317"/>
      <c r="PS826" s="317"/>
      <c r="PT826" s="317"/>
      <c r="PU826" s="317"/>
      <c r="PV826" s="317"/>
      <c r="PW826" s="317"/>
      <c r="PX826" s="317"/>
      <c r="PY826" s="317"/>
      <c r="PZ826" s="317"/>
      <c r="QA826" s="317"/>
      <c r="QB826" s="317"/>
      <c r="QC826" s="317"/>
      <c r="QD826" s="317"/>
      <c r="QE826" s="317"/>
      <c r="QF826" s="317"/>
      <c r="QG826" s="317"/>
      <c r="QH826" s="317"/>
      <c r="QI826" s="317"/>
      <c r="QJ826" s="317"/>
      <c r="QK826" s="317"/>
      <c r="QL826" s="317"/>
      <c r="QM826" s="317"/>
      <c r="QN826" s="317"/>
      <c r="QO826" s="317"/>
      <c r="QP826" s="317"/>
      <c r="QQ826" s="317"/>
      <c r="QR826" s="317"/>
      <c r="QS826" s="317"/>
      <c r="QT826" s="317"/>
      <c r="QU826" s="317"/>
      <c r="QV826" s="317"/>
      <c r="QW826" s="317"/>
      <c r="QX826" s="317"/>
      <c r="QY826" s="317"/>
      <c r="QZ826" s="317"/>
      <c r="RA826" s="317"/>
      <c r="RB826" s="317"/>
      <c r="RC826" s="317"/>
      <c r="RD826" s="317"/>
      <c r="RE826" s="317"/>
      <c r="RF826" s="317"/>
      <c r="RG826" s="317"/>
      <c r="RH826" s="317"/>
      <c r="RI826" s="317"/>
      <c r="RJ826" s="317"/>
      <c r="RK826" s="317"/>
      <c r="RL826" s="317"/>
      <c r="RM826" s="13"/>
      <c r="RN826" s="317"/>
      <c r="RO826" s="317"/>
      <c r="RP826" s="13"/>
      <c r="RQ826" s="317"/>
      <c r="RR826" s="317"/>
      <c r="RS826" s="317"/>
      <c r="RT826" s="317"/>
      <c r="RU826" s="317"/>
      <c r="RV826" s="13"/>
      <c r="WL826" s="13"/>
    </row>
    <row r="827" spans="82:610" ht="10.75" customHeight="1">
      <c r="CD827" s="229"/>
      <c r="CE827" s="231"/>
      <c r="CF827" s="231"/>
      <c r="CG827" s="231"/>
      <c r="CH827" s="231"/>
      <c r="CI827" s="231"/>
      <c r="CJ827" s="214"/>
      <c r="CK827" s="49"/>
      <c r="CL827" s="49"/>
      <c r="CM827" s="49"/>
      <c r="CN827" s="49"/>
      <c r="CO827" s="49"/>
      <c r="CP827" s="49"/>
      <c r="CQ827" s="49"/>
      <c r="CR827" s="49"/>
      <c r="CS827" s="49"/>
      <c r="CT827" s="42"/>
      <c r="CU827" s="43"/>
      <c r="CV827" s="43"/>
      <c r="CW827" s="12"/>
      <c r="DX827" s="13"/>
      <c r="DY827" s="162"/>
      <c r="DZ827" s="161"/>
      <c r="ES827" s="12"/>
      <c r="ET827" s="13"/>
      <c r="EZ827" s="297"/>
      <c r="GP827" s="13"/>
      <c r="GQ827" s="43"/>
      <c r="GR827" s="43"/>
      <c r="GS827" s="45"/>
      <c r="GT827" s="49"/>
      <c r="GU827" s="49"/>
      <c r="GV827" s="49"/>
      <c r="GW827" s="49"/>
      <c r="GX827" s="49"/>
      <c r="GY827" s="49"/>
      <c r="GZ827" s="49"/>
      <c r="HA827" s="208"/>
      <c r="HB827" s="231"/>
      <c r="HC827" s="231"/>
      <c r="HD827" s="231"/>
      <c r="HE827" s="231"/>
      <c r="HF827" s="231"/>
      <c r="HG827" s="231"/>
      <c r="HH827" s="231"/>
      <c r="HI827" s="232"/>
      <c r="KM827" s="12"/>
      <c r="KN827" s="317"/>
      <c r="KO827" s="317"/>
      <c r="KP827" s="317"/>
      <c r="KQ827" s="317"/>
      <c r="KR827" s="317"/>
      <c r="KS827" s="317"/>
      <c r="KT827" s="317"/>
      <c r="KU827" s="317"/>
      <c r="KV827" s="317"/>
      <c r="KW827" s="317"/>
      <c r="KX827" s="317"/>
      <c r="KY827" s="317"/>
      <c r="KZ827" s="317"/>
      <c r="LA827" s="317"/>
      <c r="LB827" s="317"/>
      <c r="LC827" s="317"/>
      <c r="LD827" s="317"/>
      <c r="LE827" s="317"/>
      <c r="LF827" s="317"/>
      <c r="LG827" s="317"/>
      <c r="LH827" s="317"/>
      <c r="LI827" s="317"/>
      <c r="LJ827" s="317"/>
      <c r="LK827" s="317"/>
      <c r="LL827" s="317"/>
      <c r="LM827" s="317"/>
      <c r="LN827" s="317"/>
      <c r="LO827" s="317"/>
      <c r="LP827" s="317"/>
      <c r="LQ827" s="317"/>
      <c r="LR827" s="317"/>
      <c r="LS827" s="317"/>
      <c r="LT827" s="317"/>
      <c r="LU827" s="317"/>
      <c r="LV827" s="317"/>
      <c r="LW827" s="317"/>
      <c r="LX827" s="317"/>
      <c r="LY827" s="13"/>
      <c r="LZ827" s="317"/>
      <c r="MA827" s="317"/>
      <c r="MB827" s="317"/>
      <c r="MC827" s="317"/>
      <c r="MD827" s="317"/>
      <c r="ME827" s="317"/>
      <c r="MF827" s="317"/>
      <c r="MG827" s="317"/>
      <c r="MH827" s="317"/>
      <c r="MI827" s="317"/>
      <c r="MJ827" s="317"/>
      <c r="MK827" s="317"/>
      <c r="ML827" s="317"/>
      <c r="MM827" s="317"/>
      <c r="MN827" s="317"/>
      <c r="MO827" s="317"/>
      <c r="MP827" s="317"/>
      <c r="MQ827" s="317"/>
      <c r="MR827" s="317"/>
      <c r="MS827" s="317"/>
      <c r="MT827" s="13"/>
      <c r="MU827" s="317"/>
      <c r="MV827" s="317"/>
      <c r="MW827" s="317"/>
      <c r="MX827" s="9"/>
      <c r="MY827" s="10"/>
      <c r="MZ827" s="11"/>
      <c r="NA827" s="9"/>
      <c r="NB827" s="10"/>
      <c r="NC827" s="10"/>
      <c r="ND827" s="10"/>
      <c r="NE827" s="10"/>
      <c r="NF827" s="10"/>
      <c r="NG827" s="10"/>
      <c r="NH827" s="10"/>
      <c r="NI827" s="11"/>
      <c r="NJ827" s="317"/>
      <c r="NK827" s="317"/>
      <c r="NL827" s="317"/>
      <c r="NM827" s="317"/>
      <c r="NN827" s="317"/>
      <c r="NO827" s="317"/>
      <c r="NP827" s="317"/>
      <c r="NQ827" s="317"/>
      <c r="NR827" s="317"/>
      <c r="NS827" s="317"/>
      <c r="NT827" s="317"/>
      <c r="NU827" s="317"/>
      <c r="NV827" s="317"/>
      <c r="NW827" s="317"/>
      <c r="NX827" s="317"/>
      <c r="NY827" s="317"/>
      <c r="NZ827" s="317"/>
      <c r="OA827" s="317"/>
      <c r="OB827" s="317"/>
      <c r="OC827" s="317"/>
      <c r="OD827" s="317"/>
      <c r="OE827" s="317"/>
      <c r="OF827" s="317"/>
      <c r="OG827" s="317"/>
      <c r="OH827" s="317"/>
      <c r="OI827" s="317"/>
      <c r="OJ827" s="317"/>
      <c r="OK827" s="317"/>
      <c r="OL827" s="317"/>
      <c r="OM827" s="317"/>
      <c r="ON827" s="317"/>
      <c r="OO827" s="317"/>
      <c r="OP827" s="317"/>
      <c r="OQ827" s="317"/>
      <c r="OR827" s="317"/>
      <c r="OS827" s="317"/>
      <c r="OT827" s="317"/>
      <c r="OU827" s="317"/>
      <c r="OV827" s="317"/>
      <c r="OW827" s="317"/>
      <c r="OX827" s="317"/>
      <c r="OY827" s="317"/>
      <c r="OZ827" s="317"/>
      <c r="PA827" s="317"/>
      <c r="PB827" s="317"/>
      <c r="PC827" s="317"/>
      <c r="PD827" s="317"/>
      <c r="PE827" s="317"/>
      <c r="PF827" s="317"/>
      <c r="PG827" s="317"/>
      <c r="PH827" s="317"/>
      <c r="PI827" s="317"/>
      <c r="PJ827" s="317"/>
      <c r="PK827" s="317"/>
      <c r="PL827" s="317"/>
      <c r="PM827" s="317"/>
      <c r="PN827" s="317"/>
      <c r="PO827" s="317"/>
      <c r="PP827" s="317"/>
      <c r="PQ827" s="317"/>
      <c r="PR827" s="317"/>
      <c r="PS827" s="317"/>
      <c r="PT827" s="317"/>
      <c r="PU827" s="317"/>
      <c r="PV827" s="317"/>
      <c r="PW827" s="317"/>
      <c r="PX827" s="317"/>
      <c r="PY827" s="317"/>
      <c r="PZ827" s="317"/>
      <c r="QA827" s="317"/>
      <c r="QB827" s="317"/>
      <c r="QC827" s="317"/>
      <c r="QD827" s="317"/>
      <c r="QE827" s="317"/>
      <c r="QF827" s="317"/>
      <c r="QG827" s="317"/>
      <c r="QH827" s="317"/>
      <c r="QI827" s="317"/>
      <c r="QJ827" s="317"/>
      <c r="QK827" s="317"/>
      <c r="QL827" s="317"/>
      <c r="QM827" s="317"/>
      <c r="QN827" s="317"/>
      <c r="QO827" s="317"/>
      <c r="QP827" s="317"/>
      <c r="QQ827" s="317"/>
      <c r="QR827" s="317"/>
      <c r="QS827" s="317"/>
      <c r="QT827" s="317"/>
      <c r="QU827" s="317"/>
      <c r="QV827" s="317"/>
      <c r="QW827" s="317"/>
      <c r="QX827" s="317"/>
      <c r="QY827" s="317"/>
      <c r="QZ827" s="317"/>
      <c r="RA827" s="317"/>
      <c r="RB827" s="317"/>
      <c r="RC827" s="317"/>
      <c r="RD827" s="317"/>
      <c r="RE827" s="317"/>
      <c r="RF827" s="317"/>
      <c r="RG827" s="317"/>
      <c r="RH827" s="317"/>
      <c r="RI827" s="317"/>
      <c r="RJ827" s="317"/>
      <c r="RK827" s="317"/>
      <c r="RL827" s="317"/>
      <c r="RM827" s="13"/>
      <c r="RN827" s="317"/>
      <c r="RO827" s="317"/>
      <c r="RP827" s="13"/>
      <c r="RQ827" s="317"/>
      <c r="RR827" s="317"/>
      <c r="RS827" s="317"/>
      <c r="RT827" s="317"/>
      <c r="RU827" s="317"/>
      <c r="RV827" s="13"/>
      <c r="WL827" s="13"/>
    </row>
    <row r="828" spans="82:610" ht="10.75" customHeight="1">
      <c r="CD828" s="229"/>
      <c r="CE828" s="231"/>
      <c r="CF828" s="231"/>
      <c r="CG828" s="231"/>
      <c r="CH828" s="231"/>
      <c r="CI828" s="231"/>
      <c r="CJ828" s="214"/>
      <c r="CK828" s="49"/>
      <c r="CL828" s="49"/>
      <c r="CM828" s="49"/>
      <c r="CN828" s="49"/>
      <c r="CO828" s="49"/>
      <c r="CP828" s="49"/>
      <c r="CQ828" s="49"/>
      <c r="CR828" s="49"/>
      <c r="CS828" s="49"/>
      <c r="CT828" s="42"/>
      <c r="CU828" s="43"/>
      <c r="CV828" s="43"/>
      <c r="CW828" s="12"/>
      <c r="DX828" s="13"/>
      <c r="DY828" s="162"/>
      <c r="DZ828" s="161"/>
      <c r="EA828" s="12"/>
      <c r="ES828" s="12"/>
      <c r="ET828" s="13"/>
      <c r="EZ828" s="297"/>
      <c r="GP828" s="13"/>
      <c r="GQ828" s="43"/>
      <c r="GR828" s="43"/>
      <c r="GS828" s="45"/>
      <c r="GT828" s="49"/>
      <c r="GU828" s="49"/>
      <c r="GV828" s="49"/>
      <c r="GW828" s="49"/>
      <c r="GX828" s="49"/>
      <c r="GY828" s="49"/>
      <c r="GZ828" s="49"/>
      <c r="HA828" s="208"/>
      <c r="HB828" s="231"/>
      <c r="HC828" s="231"/>
      <c r="HD828" s="231"/>
      <c r="HE828" s="231"/>
      <c r="HF828" s="231"/>
      <c r="HG828" s="231"/>
      <c r="HH828" s="231"/>
      <c r="HI828" s="232"/>
      <c r="KM828" s="12"/>
      <c r="KN828" s="317"/>
      <c r="KO828" s="317"/>
      <c r="KP828" s="317"/>
      <c r="KQ828" s="317"/>
      <c r="KR828" s="317"/>
      <c r="KS828" s="317"/>
      <c r="KT828" s="317"/>
      <c r="KU828" s="317"/>
      <c r="KV828" s="317"/>
      <c r="KW828" s="317"/>
      <c r="KX828" s="317"/>
      <c r="KY828" s="317"/>
      <c r="KZ828" s="317"/>
      <c r="LA828" s="317"/>
      <c r="LB828" s="317"/>
      <c r="LC828" s="317"/>
      <c r="LD828" s="317"/>
      <c r="LE828" s="317"/>
      <c r="LF828" s="317"/>
      <c r="LG828" s="317"/>
      <c r="LH828" s="317"/>
      <c r="LI828" s="317"/>
      <c r="LJ828" s="317"/>
      <c r="LK828" s="317"/>
      <c r="LL828" s="317"/>
      <c r="LM828" s="317"/>
      <c r="LN828" s="317"/>
      <c r="LO828" s="317"/>
      <c r="LP828" s="317"/>
      <c r="LQ828" s="317"/>
      <c r="LR828" s="317"/>
      <c r="LS828" s="317"/>
      <c r="LT828" s="317"/>
      <c r="LU828" s="317"/>
      <c r="LV828" s="317"/>
      <c r="LW828" s="317"/>
      <c r="LX828" s="317"/>
      <c r="LY828" s="13"/>
      <c r="LZ828" s="317"/>
      <c r="MA828" s="317"/>
      <c r="MB828" s="317"/>
      <c r="MC828" s="317"/>
      <c r="MD828" s="317"/>
      <c r="ME828" s="317"/>
      <c r="MF828" s="317"/>
      <c r="MG828" s="317"/>
      <c r="MH828" s="317"/>
      <c r="MI828" s="317"/>
      <c r="MJ828" s="317"/>
      <c r="MK828" s="317"/>
      <c r="ML828" s="317"/>
      <c r="MM828" s="317"/>
      <c r="MN828" s="317"/>
      <c r="MO828" s="317"/>
      <c r="MP828" s="317"/>
      <c r="MQ828" s="317"/>
      <c r="MR828" s="317"/>
      <c r="MS828" s="317"/>
      <c r="MT828" s="13"/>
      <c r="MU828" s="317"/>
      <c r="MV828" s="317"/>
      <c r="MW828" s="317"/>
      <c r="MX828" s="12"/>
      <c r="MY828" s="317"/>
      <c r="MZ828" s="13"/>
      <c r="NA828" s="12"/>
      <c r="NB828" s="317"/>
      <c r="NC828" s="317"/>
      <c r="ND828" s="317"/>
      <c r="NE828" s="317"/>
      <c r="NF828" s="317"/>
      <c r="NG828" s="317"/>
      <c r="NH828" s="317"/>
      <c r="NI828" s="13"/>
      <c r="NJ828" s="317"/>
      <c r="NK828" s="317"/>
      <c r="NL828" s="317"/>
      <c r="NM828" s="317"/>
      <c r="NN828" s="317"/>
      <c r="NO828" s="317"/>
      <c r="NP828" s="317"/>
      <c r="NQ828" s="317"/>
      <c r="NR828" s="317"/>
      <c r="NS828" s="317"/>
      <c r="NT828" s="317"/>
      <c r="NU828" s="317"/>
      <c r="NV828" s="317"/>
      <c r="NW828" s="317"/>
      <c r="NX828" s="317"/>
      <c r="NY828" s="317"/>
      <c r="NZ828" s="317"/>
      <c r="OA828" s="317"/>
      <c r="OB828" s="317"/>
      <c r="OC828" s="317"/>
      <c r="OD828" s="317"/>
      <c r="OE828" s="317"/>
      <c r="OF828" s="317"/>
      <c r="OG828" s="317"/>
      <c r="OH828" s="317"/>
      <c r="OI828" s="317"/>
      <c r="OJ828" s="317"/>
      <c r="OK828" s="317"/>
      <c r="OL828" s="317"/>
      <c r="OM828" s="317"/>
      <c r="ON828" s="317"/>
      <c r="OO828" s="317"/>
      <c r="OP828" s="317"/>
      <c r="OQ828" s="317"/>
      <c r="OR828" s="317"/>
      <c r="OS828" s="317"/>
      <c r="OT828" s="317"/>
      <c r="OU828" s="317"/>
      <c r="OV828" s="317"/>
      <c r="OW828" s="317"/>
      <c r="OX828" s="317"/>
      <c r="OY828" s="317"/>
      <c r="OZ828" s="317"/>
      <c r="PA828" s="317"/>
      <c r="PB828" s="317"/>
      <c r="PC828" s="317"/>
      <c r="PD828" s="317"/>
      <c r="PE828" s="317"/>
      <c r="PF828" s="317"/>
      <c r="PG828" s="317"/>
      <c r="PH828" s="317"/>
      <c r="PI828" s="317"/>
      <c r="PJ828" s="317"/>
      <c r="PK828" s="317"/>
      <c r="PL828" s="317"/>
      <c r="PM828" s="317"/>
      <c r="PN828" s="317"/>
      <c r="PO828" s="317"/>
      <c r="PP828" s="317"/>
      <c r="PQ828" s="317"/>
      <c r="PR828" s="317"/>
      <c r="PS828" s="317"/>
      <c r="PT828" s="317"/>
      <c r="PU828" s="317"/>
      <c r="PV828" s="317"/>
      <c r="PW828" s="317"/>
      <c r="PX828" s="317"/>
      <c r="PY828" s="317"/>
      <c r="PZ828" s="317"/>
      <c r="QA828" s="317"/>
      <c r="QB828" s="317"/>
      <c r="QC828" s="317"/>
      <c r="QD828" s="317"/>
      <c r="QE828" s="317"/>
      <c r="QF828" s="317"/>
      <c r="QG828" s="317"/>
      <c r="QH828" s="317"/>
      <c r="QI828" s="317"/>
      <c r="QJ828" s="317"/>
      <c r="QK828" s="317"/>
      <c r="QL828" s="317"/>
      <c r="QM828" s="317"/>
      <c r="QN828" s="317"/>
      <c r="QO828" s="317"/>
      <c r="QP828" s="317"/>
      <c r="QQ828" s="317"/>
      <c r="QR828" s="317"/>
      <c r="QS828" s="317"/>
      <c r="QT828" s="317"/>
      <c r="QU828" s="317"/>
      <c r="QV828" s="317"/>
      <c r="QW828" s="317"/>
      <c r="QX828" s="317"/>
      <c r="QY828" s="317"/>
      <c r="QZ828" s="317"/>
      <c r="RA828" s="317"/>
      <c r="RB828" s="317"/>
      <c r="RC828" s="317"/>
      <c r="RD828" s="317"/>
      <c r="RE828" s="317"/>
      <c r="RF828" s="317"/>
      <c r="RG828" s="317"/>
      <c r="RH828" s="317"/>
      <c r="RI828" s="317"/>
      <c r="RJ828" s="317"/>
      <c r="RK828" s="317"/>
      <c r="RL828" s="317"/>
      <c r="RM828" s="13"/>
      <c r="RN828" s="317"/>
      <c r="RO828" s="317"/>
      <c r="RP828" s="13"/>
      <c r="RQ828" s="317"/>
      <c r="RR828" s="317"/>
      <c r="RS828" s="317"/>
      <c r="RT828" s="317"/>
      <c r="RU828" s="317"/>
      <c r="RV828" s="13"/>
      <c r="WL828" s="13"/>
    </row>
    <row r="829" spans="82:610" ht="10.75" customHeight="1">
      <c r="CD829" s="229"/>
      <c r="CE829" s="231"/>
      <c r="CF829" s="231"/>
      <c r="CG829" s="231"/>
      <c r="CH829" s="231"/>
      <c r="CI829" s="231"/>
      <c r="CJ829" s="214"/>
      <c r="CK829" s="49"/>
      <c r="CL829" s="49"/>
      <c r="CM829" s="49"/>
      <c r="CN829" s="49"/>
      <c r="CO829" s="49"/>
      <c r="CP829" s="49"/>
      <c r="CQ829" s="49"/>
      <c r="CR829" s="49"/>
      <c r="CS829" s="49"/>
      <c r="CT829" s="42"/>
      <c r="CU829" s="43"/>
      <c r="CV829" s="43"/>
      <c r="CW829" s="9"/>
      <c r="CX829" s="11"/>
      <c r="CY829" s="10"/>
      <c r="CZ829" s="10"/>
      <c r="DA829" s="10"/>
      <c r="DB829" s="10"/>
      <c r="DC829" s="10"/>
      <c r="DD829" s="10"/>
      <c r="DE829" s="11"/>
      <c r="DX829" s="13"/>
      <c r="DY829" s="162"/>
      <c r="DZ829" s="161"/>
      <c r="EA829" s="9"/>
      <c r="EB829" s="11"/>
      <c r="EC829" s="10"/>
      <c r="ED829" s="10"/>
      <c r="EE829" s="10"/>
      <c r="EF829" s="10"/>
      <c r="EG829" s="10"/>
      <c r="EH829" s="10"/>
      <c r="EI829" s="11"/>
      <c r="ES829" s="12"/>
      <c r="ET829" s="13"/>
      <c r="EZ829" s="297"/>
      <c r="GP829" s="13"/>
      <c r="GQ829" s="43"/>
      <c r="GR829" s="43"/>
      <c r="GS829" s="45"/>
      <c r="GT829" s="49"/>
      <c r="GU829" s="49"/>
      <c r="GV829" s="49"/>
      <c r="GW829" s="49"/>
      <c r="GX829" s="49"/>
      <c r="GY829" s="49"/>
      <c r="GZ829" s="49"/>
      <c r="HA829" s="208"/>
      <c r="HB829" s="231"/>
      <c r="HC829" s="231"/>
      <c r="HD829" s="231"/>
      <c r="HE829" s="231"/>
      <c r="HF829" s="231"/>
      <c r="HG829" s="231"/>
      <c r="HH829" s="231"/>
      <c r="HI829" s="232"/>
      <c r="KM829" s="12"/>
      <c r="KN829" s="317"/>
      <c r="KO829" s="317"/>
      <c r="KP829" s="317"/>
      <c r="KQ829" s="317"/>
      <c r="KR829" s="317"/>
      <c r="KS829" s="317"/>
      <c r="KT829" s="317"/>
      <c r="KU829" s="317"/>
      <c r="KV829" s="317"/>
      <c r="KW829" s="317"/>
      <c r="KX829" s="317"/>
      <c r="KY829" s="317"/>
      <c r="KZ829" s="317"/>
      <c r="LA829" s="317"/>
      <c r="LB829" s="317"/>
      <c r="LC829" s="317"/>
      <c r="LD829" s="317"/>
      <c r="LE829" s="317"/>
      <c r="LF829" s="317"/>
      <c r="LG829" s="317"/>
      <c r="LH829" s="317"/>
      <c r="LI829" s="317"/>
      <c r="LJ829" s="317"/>
      <c r="LK829" s="317"/>
      <c r="LL829" s="317"/>
      <c r="LM829" s="317"/>
      <c r="LN829" s="317"/>
      <c r="LO829" s="317"/>
      <c r="LP829" s="317"/>
      <c r="LQ829" s="317"/>
      <c r="LR829" s="317"/>
      <c r="LS829" s="317"/>
      <c r="LT829" s="317"/>
      <c r="LU829" s="317"/>
      <c r="LV829" s="317"/>
      <c r="LW829" s="317"/>
      <c r="LX829" s="317"/>
      <c r="LY829" s="13"/>
      <c r="LZ829" s="317"/>
      <c r="MA829" s="317"/>
      <c r="MB829" s="317"/>
      <c r="MC829" s="317"/>
      <c r="MD829" s="317"/>
      <c r="ME829" s="317"/>
      <c r="MF829" s="317"/>
      <c r="MG829" s="317"/>
      <c r="MH829" s="317"/>
      <c r="MI829" s="317"/>
      <c r="MJ829" s="317"/>
      <c r="MK829" s="317"/>
      <c r="ML829" s="317"/>
      <c r="MM829" s="317"/>
      <c r="MN829" s="317"/>
      <c r="MO829" s="317"/>
      <c r="MP829" s="317"/>
      <c r="MQ829" s="317"/>
      <c r="MR829" s="317"/>
      <c r="MS829" s="317"/>
      <c r="MT829" s="13"/>
      <c r="MU829" s="317"/>
      <c r="MV829" s="317"/>
      <c r="MW829" s="317"/>
      <c r="MX829" s="12"/>
      <c r="MY829" s="317"/>
      <c r="MZ829" s="13"/>
      <c r="NA829" s="12"/>
      <c r="NB829" s="317"/>
      <c r="NC829" s="317"/>
      <c r="ND829" s="317"/>
      <c r="NE829" s="317"/>
      <c r="NF829" s="317"/>
      <c r="NG829" s="317"/>
      <c r="NH829" s="317"/>
      <c r="NI829" s="13"/>
      <c r="NJ829" s="317"/>
      <c r="NK829" s="317"/>
      <c r="NL829" s="317"/>
      <c r="NM829" s="317"/>
      <c r="NN829" s="317"/>
      <c r="NO829" s="317"/>
      <c r="NP829" s="317"/>
      <c r="NQ829" s="317"/>
      <c r="NR829" s="317"/>
      <c r="NS829" s="317"/>
      <c r="NT829" s="317"/>
      <c r="NU829" s="317"/>
      <c r="NV829" s="317"/>
      <c r="NW829" s="317"/>
      <c r="NX829" s="317"/>
      <c r="NY829" s="317"/>
      <c r="NZ829" s="317"/>
      <c r="OA829" s="317"/>
      <c r="OB829" s="317"/>
      <c r="OC829" s="317"/>
      <c r="OD829" s="317"/>
      <c r="OE829" s="317"/>
      <c r="OF829" s="317"/>
      <c r="OG829" s="317"/>
      <c r="OH829" s="317"/>
      <c r="OI829" s="317"/>
      <c r="OJ829" s="317"/>
      <c r="OK829" s="317"/>
      <c r="OL829" s="317"/>
      <c r="OM829" s="317"/>
      <c r="ON829" s="317"/>
      <c r="OO829" s="317"/>
      <c r="OP829" s="317"/>
      <c r="OQ829" s="317"/>
      <c r="OR829" s="317"/>
      <c r="OS829" s="317"/>
      <c r="OT829" s="317"/>
      <c r="OU829" s="317"/>
      <c r="OV829" s="317"/>
      <c r="OW829" s="317"/>
      <c r="OX829" s="317"/>
      <c r="OY829" s="317"/>
      <c r="OZ829" s="317"/>
      <c r="PA829" s="317"/>
      <c r="PB829" s="317"/>
      <c r="PC829" s="317"/>
      <c r="PD829" s="317"/>
      <c r="PE829" s="317"/>
      <c r="PF829" s="317"/>
      <c r="PG829" s="317"/>
      <c r="PH829" s="317"/>
      <c r="PI829" s="317"/>
      <c r="PJ829" s="317"/>
      <c r="PK829" s="317"/>
      <c r="PL829" s="317"/>
      <c r="PM829" s="317"/>
      <c r="PN829" s="317"/>
      <c r="PO829" s="317"/>
      <c r="PP829" s="317"/>
      <c r="PQ829" s="317"/>
      <c r="PR829" s="317"/>
      <c r="PS829" s="317"/>
      <c r="PT829" s="317"/>
      <c r="PU829" s="317"/>
      <c r="PV829" s="317"/>
      <c r="PW829" s="317"/>
      <c r="PX829" s="317"/>
      <c r="PY829" s="317"/>
      <c r="PZ829" s="317"/>
      <c r="QA829" s="317"/>
      <c r="QB829" s="317"/>
      <c r="QC829" s="317"/>
      <c r="QD829" s="317"/>
      <c r="QE829" s="317"/>
      <c r="QF829" s="317"/>
      <c r="QG829" s="317"/>
      <c r="QH829" s="317"/>
      <c r="QI829" s="317"/>
      <c r="QJ829" s="317"/>
      <c r="QK829" s="317"/>
      <c r="QL829" s="317"/>
      <c r="QM829" s="317"/>
      <c r="QN829" s="317"/>
      <c r="QO829" s="317"/>
      <c r="QP829" s="317"/>
      <c r="QQ829" s="317"/>
      <c r="QR829" s="317"/>
      <c r="QS829" s="317"/>
      <c r="QT829" s="317"/>
      <c r="QU829" s="317"/>
      <c r="QV829" s="317"/>
      <c r="QW829" s="317"/>
      <c r="QX829" s="317"/>
      <c r="QY829" s="317"/>
      <c r="QZ829" s="317"/>
      <c r="RA829" s="317"/>
      <c r="RB829" s="317"/>
      <c r="RC829" s="317"/>
      <c r="RD829" s="317"/>
      <c r="RE829" s="317"/>
      <c r="RF829" s="317"/>
      <c r="RG829" s="317"/>
      <c r="RH829" s="317"/>
      <c r="RI829" s="317"/>
      <c r="RJ829" s="317"/>
      <c r="RK829" s="317"/>
      <c r="RL829" s="317"/>
      <c r="RM829" s="13"/>
      <c r="RN829" s="317"/>
      <c r="RO829" s="317"/>
      <c r="RP829" s="13"/>
      <c r="RQ829" s="317"/>
      <c r="RR829" s="317"/>
      <c r="RS829" s="317"/>
      <c r="RT829" s="317"/>
      <c r="RU829" s="317"/>
      <c r="RV829" s="13"/>
      <c r="WL829" s="13"/>
    </row>
    <row r="830" spans="82:610" ht="10.75" customHeight="1">
      <c r="CD830" s="229"/>
      <c r="CE830" s="231"/>
      <c r="CF830" s="231"/>
      <c r="CG830" s="231"/>
      <c r="CH830" s="231"/>
      <c r="CI830" s="231"/>
      <c r="CJ830" s="214"/>
      <c r="CK830" s="49"/>
      <c r="CL830" s="49"/>
      <c r="CM830" s="49"/>
      <c r="CN830" s="49"/>
      <c r="CO830" s="49"/>
      <c r="CP830" s="49"/>
      <c r="CQ830" s="49"/>
      <c r="CR830" s="49"/>
      <c r="CS830" s="49"/>
      <c r="CT830" s="42"/>
      <c r="CU830" s="43"/>
      <c r="CV830" s="43"/>
      <c r="CW830" s="12"/>
      <c r="CX830" s="13"/>
      <c r="DE830" s="13"/>
      <c r="DX830" s="13"/>
      <c r="DY830" s="162"/>
      <c r="DZ830" s="161"/>
      <c r="EA830" s="12"/>
      <c r="EB830" s="13"/>
      <c r="EI830" s="13"/>
      <c r="ES830" s="12"/>
      <c r="ET830" s="13"/>
      <c r="EZ830" s="297"/>
      <c r="GP830" s="13"/>
      <c r="GQ830" s="43"/>
      <c r="GR830" s="43"/>
      <c r="GS830" s="45"/>
      <c r="GT830" s="49"/>
      <c r="GU830" s="49"/>
      <c r="GV830" s="49"/>
      <c r="GW830" s="49"/>
      <c r="GX830" s="49"/>
      <c r="GY830" s="49"/>
      <c r="GZ830" s="49"/>
      <c r="HA830" s="208"/>
      <c r="HB830" s="231"/>
      <c r="HC830" s="231"/>
      <c r="HD830" s="231"/>
      <c r="HE830" s="231"/>
      <c r="HF830" s="231"/>
      <c r="HG830" s="231"/>
      <c r="HH830" s="231"/>
      <c r="HI830" s="232"/>
      <c r="KM830" s="12"/>
      <c r="KN830" s="317"/>
      <c r="KO830" s="317"/>
      <c r="KP830" s="317"/>
      <c r="KQ830" s="317"/>
      <c r="KR830" s="317"/>
      <c r="KS830" s="317"/>
      <c r="KT830" s="317"/>
      <c r="KU830" s="317"/>
      <c r="KV830" s="317"/>
      <c r="KW830" s="317"/>
      <c r="KX830" s="317"/>
      <c r="KY830" s="317"/>
      <c r="KZ830" s="317"/>
      <c r="LA830" s="317"/>
      <c r="LB830" s="317"/>
      <c r="LC830" s="317"/>
      <c r="LD830" s="317"/>
      <c r="LE830" s="317"/>
      <c r="LF830" s="317"/>
      <c r="LG830" s="317"/>
      <c r="LH830" s="317"/>
      <c r="LI830" s="317"/>
      <c r="LJ830" s="317"/>
      <c r="LK830" s="317"/>
      <c r="LL830" s="317"/>
      <c r="LM830" s="317"/>
      <c r="LN830" s="317"/>
      <c r="LO830" s="317"/>
      <c r="LP830" s="317"/>
      <c r="LQ830" s="317"/>
      <c r="LR830" s="317"/>
      <c r="LS830" s="317"/>
      <c r="LT830" s="317"/>
      <c r="LU830" s="317"/>
      <c r="LV830" s="317"/>
      <c r="LW830" s="317"/>
      <c r="LX830" s="317"/>
      <c r="LY830" s="13"/>
      <c r="LZ830" s="317"/>
      <c r="MA830" s="317"/>
      <c r="MB830" s="317"/>
      <c r="MC830" s="317"/>
      <c r="MD830" s="317"/>
      <c r="ME830" s="317"/>
      <c r="MF830" s="317"/>
      <c r="MG830" s="317"/>
      <c r="MH830" s="317"/>
      <c r="MI830" s="317"/>
      <c r="MJ830" s="317"/>
      <c r="MK830" s="317"/>
      <c r="ML830" s="317"/>
      <c r="MM830" s="317"/>
      <c r="MN830" s="317"/>
      <c r="MO830" s="317"/>
      <c r="MP830" s="317"/>
      <c r="MQ830" s="317"/>
      <c r="MR830" s="317"/>
      <c r="MS830" s="317"/>
      <c r="MT830" s="13"/>
      <c r="MU830" s="317"/>
      <c r="MV830" s="317"/>
      <c r="MW830" s="317"/>
      <c r="MX830" s="12"/>
      <c r="MY830" s="317"/>
      <c r="MZ830" s="13"/>
      <c r="NA830" s="12"/>
      <c r="NB830" s="317"/>
      <c r="NC830" s="317"/>
      <c r="ND830" s="317"/>
      <c r="NE830" s="317"/>
      <c r="NF830" s="317"/>
      <c r="NG830" s="317"/>
      <c r="NH830" s="317"/>
      <c r="NI830" s="13"/>
      <c r="NJ830" s="317"/>
      <c r="NK830" s="317"/>
      <c r="NL830" s="317"/>
      <c r="NM830" s="317"/>
      <c r="NN830" s="317"/>
      <c r="NO830" s="317"/>
      <c r="NP830" s="317"/>
      <c r="NQ830" s="317"/>
      <c r="NR830" s="317"/>
      <c r="NS830" s="317"/>
      <c r="NT830" s="317"/>
      <c r="NU830" s="317"/>
      <c r="NV830" s="317"/>
      <c r="NW830" s="317"/>
      <c r="NX830" s="317"/>
      <c r="NY830" s="317"/>
      <c r="NZ830" s="317"/>
      <c r="OA830" s="317"/>
      <c r="OB830" s="317"/>
      <c r="OC830" s="317"/>
      <c r="OD830" s="317"/>
      <c r="OE830" s="317"/>
      <c r="OF830" s="317"/>
      <c r="OG830" s="317"/>
      <c r="OH830" s="317"/>
      <c r="OI830" s="317"/>
      <c r="OJ830" s="317"/>
      <c r="OK830" s="317"/>
      <c r="OL830" s="317"/>
      <c r="OM830" s="317"/>
      <c r="ON830" s="317"/>
      <c r="OO830" s="317"/>
      <c r="OP830" s="317"/>
      <c r="OQ830" s="317"/>
      <c r="OR830" s="317"/>
      <c r="OS830" s="317"/>
      <c r="OT830" s="317"/>
      <c r="OU830" s="317"/>
      <c r="OV830" s="317"/>
      <c r="OW830" s="317"/>
      <c r="OX830" s="317"/>
      <c r="OY830" s="317"/>
      <c r="OZ830" s="317"/>
      <c r="PA830" s="317"/>
      <c r="PB830" s="317"/>
      <c r="PC830" s="317"/>
      <c r="PD830" s="317"/>
      <c r="PE830" s="317"/>
      <c r="PF830" s="317"/>
      <c r="PG830" s="317"/>
      <c r="PH830" s="317"/>
      <c r="PI830" s="317"/>
      <c r="PJ830" s="317"/>
      <c r="PK830" s="317"/>
      <c r="PL830" s="317"/>
      <c r="PM830" s="317"/>
      <c r="PN830" s="317"/>
      <c r="PO830" s="317"/>
      <c r="PP830" s="317"/>
      <c r="PQ830" s="317"/>
      <c r="PR830" s="317"/>
      <c r="PS830" s="317"/>
      <c r="PT830" s="317"/>
      <c r="PU830" s="317"/>
      <c r="PV830" s="317"/>
      <c r="PW830" s="317"/>
      <c r="PX830" s="317"/>
      <c r="PY830" s="317"/>
      <c r="PZ830" s="317"/>
      <c r="QA830" s="317"/>
      <c r="QB830" s="317"/>
      <c r="QC830" s="317"/>
      <c r="QD830" s="317"/>
      <c r="QE830" s="317"/>
      <c r="QF830" s="317"/>
      <c r="QG830" s="317"/>
      <c r="QH830" s="317"/>
      <c r="QI830" s="317"/>
      <c r="QJ830" s="317"/>
      <c r="QK830" s="317"/>
      <c r="QL830" s="317"/>
      <c r="QM830" s="317"/>
      <c r="QN830" s="317"/>
      <c r="QO830" s="317"/>
      <c r="QP830" s="317"/>
      <c r="QQ830" s="317"/>
      <c r="QR830" s="317"/>
      <c r="QS830" s="317"/>
      <c r="QT830" s="317"/>
      <c r="QU830" s="317"/>
      <c r="QV830" s="317"/>
      <c r="QW830" s="317"/>
      <c r="QX830" s="317"/>
      <c r="QY830" s="317"/>
      <c r="QZ830" s="317"/>
      <c r="RA830" s="317"/>
      <c r="RB830" s="317"/>
      <c r="RC830" s="317"/>
      <c r="RD830" s="317"/>
      <c r="RE830" s="317"/>
      <c r="RF830" s="317"/>
      <c r="RG830" s="317"/>
      <c r="RH830" s="317"/>
      <c r="RI830" s="317"/>
      <c r="RJ830" s="317"/>
      <c r="RK830" s="317"/>
      <c r="RL830" s="317"/>
      <c r="RM830" s="13"/>
      <c r="RN830" s="317"/>
      <c r="RO830" s="317"/>
      <c r="RP830" s="13"/>
      <c r="RQ830" s="317"/>
      <c r="RR830" s="317"/>
      <c r="RS830" s="317"/>
      <c r="RT830" s="317"/>
      <c r="RU830" s="317"/>
      <c r="RV830" s="13"/>
      <c r="WL830" s="13"/>
    </row>
    <row r="831" spans="82:610" ht="10.75" customHeight="1">
      <c r="CD831" s="229"/>
      <c r="CE831" s="231"/>
      <c r="CF831" s="231"/>
      <c r="CG831" s="231"/>
      <c r="CH831" s="231"/>
      <c r="CI831" s="231"/>
      <c r="CJ831" s="214"/>
      <c r="CK831" s="49"/>
      <c r="CL831" s="49"/>
      <c r="CM831" s="49"/>
      <c r="CN831" s="49"/>
      <c r="CO831" s="49"/>
      <c r="CP831" s="49"/>
      <c r="CQ831" s="49"/>
      <c r="CR831" s="49"/>
      <c r="CS831" s="49"/>
      <c r="CT831" s="42"/>
      <c r="CU831" s="43"/>
      <c r="CV831" s="43"/>
      <c r="CW831" s="12"/>
      <c r="CX831" s="13"/>
      <c r="DE831" s="13"/>
      <c r="DX831" s="13"/>
      <c r="DY831" s="162"/>
      <c r="DZ831" s="161"/>
      <c r="EA831" s="12"/>
      <c r="EB831" s="13"/>
      <c r="EI831" s="13"/>
      <c r="ES831" s="12"/>
      <c r="ET831" s="13"/>
      <c r="EZ831" s="297"/>
      <c r="GP831" s="13"/>
      <c r="GQ831" s="43"/>
      <c r="GR831" s="43"/>
      <c r="GS831" s="45"/>
      <c r="GT831" s="49"/>
      <c r="GU831" s="49"/>
      <c r="GV831" s="49"/>
      <c r="GW831" s="49"/>
      <c r="GX831" s="49"/>
      <c r="GY831" s="49"/>
      <c r="GZ831" s="49"/>
      <c r="HA831" s="208"/>
      <c r="HB831" s="231"/>
      <c r="HC831" s="231"/>
      <c r="HD831" s="231"/>
      <c r="HE831" s="231"/>
      <c r="HF831" s="231"/>
      <c r="HG831" s="231"/>
      <c r="HH831" s="231"/>
      <c r="HI831" s="232"/>
      <c r="KM831" s="12"/>
      <c r="KN831" s="317"/>
      <c r="KO831" s="317"/>
      <c r="KP831" s="317"/>
      <c r="KQ831" s="317"/>
      <c r="KR831" s="317"/>
      <c r="KS831" s="317"/>
      <c r="KT831" s="317"/>
      <c r="KU831" s="317"/>
      <c r="KV831" s="317"/>
      <c r="KW831" s="317"/>
      <c r="KX831" s="317"/>
      <c r="KY831" s="317"/>
      <c r="KZ831" s="317"/>
      <c r="LA831" s="317"/>
      <c r="LB831" s="317"/>
      <c r="LC831" s="317"/>
      <c r="LD831" s="317"/>
      <c r="LE831" s="317"/>
      <c r="LF831" s="317"/>
      <c r="LG831" s="317"/>
      <c r="LH831" s="317"/>
      <c r="LI831" s="317"/>
      <c r="LJ831" s="317"/>
      <c r="LK831" s="317"/>
      <c r="LL831" s="317"/>
      <c r="LM831" s="317"/>
      <c r="LN831" s="317"/>
      <c r="LO831" s="317"/>
      <c r="LP831" s="317"/>
      <c r="LQ831" s="317"/>
      <c r="LR831" s="317"/>
      <c r="LS831" s="317"/>
      <c r="LT831" s="317"/>
      <c r="LU831" s="317"/>
      <c r="LV831" s="317"/>
      <c r="LW831" s="317"/>
      <c r="LX831" s="317"/>
      <c r="LY831" s="13"/>
      <c r="LZ831" s="317"/>
      <c r="MA831" s="317"/>
      <c r="MB831" s="317"/>
      <c r="MC831" s="317"/>
      <c r="MD831" s="317"/>
      <c r="ME831" s="317"/>
      <c r="MF831" s="317"/>
      <c r="MG831" s="317"/>
      <c r="MH831" s="317"/>
      <c r="MI831" s="317"/>
      <c r="MJ831" s="317"/>
      <c r="MK831" s="317"/>
      <c r="ML831" s="317"/>
      <c r="MM831" s="317"/>
      <c r="MN831" s="317"/>
      <c r="MO831" s="317"/>
      <c r="MP831" s="317"/>
      <c r="MQ831" s="317"/>
      <c r="MR831" s="317"/>
      <c r="MS831" s="317"/>
      <c r="MT831" s="13"/>
      <c r="MU831" s="317"/>
      <c r="MV831" s="317"/>
      <c r="MW831" s="317"/>
      <c r="MX831" s="12"/>
      <c r="MY831" s="317"/>
      <c r="MZ831" s="13"/>
      <c r="NA831" s="12"/>
      <c r="NB831" s="317"/>
      <c r="NC831" s="317"/>
      <c r="ND831" s="317"/>
      <c r="NE831" s="317"/>
      <c r="NF831" s="317"/>
      <c r="NG831" s="317"/>
      <c r="NH831" s="317"/>
      <c r="NI831" s="13"/>
      <c r="NJ831" s="317"/>
      <c r="NK831" s="317"/>
      <c r="NL831" s="317"/>
      <c r="NM831" s="317"/>
      <c r="NN831" s="317"/>
      <c r="NO831" s="317"/>
      <c r="NP831" s="317"/>
      <c r="NQ831" s="317"/>
      <c r="NR831" s="317"/>
      <c r="NS831" s="317"/>
      <c r="NT831" s="317"/>
      <c r="NU831" s="317"/>
      <c r="NV831" s="317"/>
      <c r="NW831" s="317"/>
      <c r="NX831" s="317"/>
      <c r="NY831" s="317"/>
      <c r="NZ831" s="317"/>
      <c r="OA831" s="317"/>
      <c r="OB831" s="317"/>
      <c r="OC831" s="317"/>
      <c r="OD831" s="317"/>
      <c r="OE831" s="317"/>
      <c r="OF831" s="317"/>
      <c r="OG831" s="317"/>
      <c r="OH831" s="317"/>
      <c r="OI831" s="317"/>
      <c r="OJ831" s="317"/>
      <c r="OK831" s="317"/>
      <c r="OL831" s="317"/>
      <c r="OM831" s="317"/>
      <c r="ON831" s="317"/>
      <c r="OO831" s="317"/>
      <c r="OP831" s="317"/>
      <c r="OQ831" s="317"/>
      <c r="OR831" s="317"/>
      <c r="OS831" s="317"/>
      <c r="OT831" s="317"/>
      <c r="OU831" s="317"/>
      <c r="OV831" s="317"/>
      <c r="OW831" s="317"/>
      <c r="OX831" s="317"/>
      <c r="OY831" s="317"/>
      <c r="OZ831" s="317"/>
      <c r="PA831" s="317"/>
      <c r="PB831" s="317"/>
      <c r="PC831" s="317"/>
      <c r="PD831" s="317"/>
      <c r="PE831" s="317"/>
      <c r="PF831" s="317"/>
      <c r="PG831" s="317"/>
      <c r="PH831" s="317"/>
      <c r="PI831" s="317"/>
      <c r="PJ831" s="317"/>
      <c r="PK831" s="317"/>
      <c r="PL831" s="317"/>
      <c r="PM831" s="317"/>
      <c r="PN831" s="317"/>
      <c r="PO831" s="317"/>
      <c r="PP831" s="317"/>
      <c r="PQ831" s="317"/>
      <c r="PR831" s="317"/>
      <c r="PS831" s="317"/>
      <c r="PT831" s="317"/>
      <c r="PU831" s="317"/>
      <c r="PV831" s="317"/>
      <c r="PW831" s="317"/>
      <c r="PX831" s="317"/>
      <c r="PY831" s="317"/>
      <c r="PZ831" s="317"/>
      <c r="QA831" s="317"/>
      <c r="QB831" s="317"/>
      <c r="QC831" s="317"/>
      <c r="QD831" s="317"/>
      <c r="QE831" s="317"/>
      <c r="QF831" s="317"/>
      <c r="QG831" s="317"/>
      <c r="QH831" s="317"/>
      <c r="QI831" s="317"/>
      <c r="QJ831" s="317"/>
      <c r="QK831" s="317"/>
      <c r="QL831" s="317"/>
      <c r="QM831" s="317"/>
      <c r="QN831" s="317"/>
      <c r="QO831" s="317"/>
      <c r="QP831" s="317"/>
      <c r="QQ831" s="317"/>
      <c r="QR831" s="317"/>
      <c r="QS831" s="317"/>
      <c r="QT831" s="317"/>
      <c r="QU831" s="317"/>
      <c r="QV831" s="317"/>
      <c r="QW831" s="317"/>
      <c r="QX831" s="317"/>
      <c r="QY831" s="317"/>
      <c r="QZ831" s="317"/>
      <c r="RA831" s="317"/>
      <c r="RB831" s="317"/>
      <c r="RC831" s="317"/>
      <c r="RD831" s="317"/>
      <c r="RE831" s="317"/>
      <c r="RF831" s="317"/>
      <c r="RG831" s="317"/>
      <c r="RH831" s="317"/>
      <c r="RI831" s="317"/>
      <c r="RJ831" s="317"/>
      <c r="RK831" s="317"/>
      <c r="RL831" s="317"/>
      <c r="RM831" s="13"/>
      <c r="RN831" s="317"/>
      <c r="RO831" s="317"/>
      <c r="RP831" s="13"/>
      <c r="RQ831" s="317"/>
      <c r="RR831" s="317"/>
      <c r="RS831" s="317"/>
      <c r="RT831" s="317"/>
      <c r="RU831" s="317"/>
      <c r="RV831" s="13"/>
      <c r="WL831" s="13"/>
    </row>
    <row r="832" spans="82:610" ht="10.75" customHeight="1">
      <c r="CD832" s="229"/>
      <c r="CE832" s="231"/>
      <c r="CF832" s="231"/>
      <c r="CG832" s="231"/>
      <c r="CH832" s="231"/>
      <c r="CI832" s="231"/>
      <c r="CJ832" s="214"/>
      <c r="CK832" s="49"/>
      <c r="CL832" s="49"/>
      <c r="CM832" s="49"/>
      <c r="CN832" s="49"/>
      <c r="CO832" s="49"/>
      <c r="CP832" s="49"/>
      <c r="CQ832" s="49"/>
      <c r="CR832" s="49"/>
      <c r="CS832" s="49"/>
      <c r="CT832" s="42"/>
      <c r="CU832" s="43"/>
      <c r="CV832" s="43"/>
      <c r="CW832" s="12"/>
      <c r="CX832" s="13"/>
      <c r="DE832" s="13"/>
      <c r="DX832" s="13"/>
      <c r="DY832" s="162"/>
      <c r="DZ832" s="161"/>
      <c r="EA832" s="12"/>
      <c r="EB832" s="13"/>
      <c r="EI832" s="13"/>
      <c r="ES832" s="12"/>
      <c r="ET832" s="13"/>
      <c r="EZ832" s="297"/>
      <c r="GP832" s="13"/>
      <c r="GQ832" s="43"/>
      <c r="GR832" s="43"/>
      <c r="GS832" s="45"/>
      <c r="GT832" s="49"/>
      <c r="GU832" s="49"/>
      <c r="GV832" s="49"/>
      <c r="GW832" s="49"/>
      <c r="GX832" s="49"/>
      <c r="GY832" s="49"/>
      <c r="GZ832" s="49"/>
      <c r="HA832" s="208"/>
      <c r="HB832" s="231"/>
      <c r="HC832" s="231"/>
      <c r="HD832" s="231"/>
      <c r="HE832" s="231"/>
      <c r="HF832" s="231"/>
      <c r="HG832" s="231"/>
      <c r="HH832" s="231"/>
      <c r="HI832" s="232"/>
      <c r="KM832" s="12"/>
      <c r="KN832" s="317"/>
      <c r="KO832" s="317"/>
      <c r="KP832" s="317"/>
      <c r="KQ832" s="317"/>
      <c r="KR832" s="317"/>
      <c r="KS832" s="317"/>
      <c r="KT832" s="317"/>
      <c r="KU832" s="317"/>
      <c r="KV832" s="317"/>
      <c r="KW832" s="317"/>
      <c r="KX832" s="317"/>
      <c r="KY832" s="317"/>
      <c r="KZ832" s="317"/>
      <c r="LA832" s="317"/>
      <c r="LB832" s="317"/>
      <c r="LC832" s="317"/>
      <c r="LD832" s="317"/>
      <c r="LE832" s="317"/>
      <c r="LF832" s="317"/>
      <c r="LG832" s="317"/>
      <c r="LH832" s="317"/>
      <c r="LI832" s="317"/>
      <c r="LJ832" s="317"/>
      <c r="LK832" s="317"/>
      <c r="LL832" s="317"/>
      <c r="LM832" s="317"/>
      <c r="LN832" s="317"/>
      <c r="LO832" s="317"/>
      <c r="LP832" s="317"/>
      <c r="LQ832" s="317"/>
      <c r="LR832" s="317"/>
      <c r="LS832" s="317"/>
      <c r="LT832" s="317"/>
      <c r="LU832" s="317"/>
      <c r="LV832" s="317"/>
      <c r="LW832" s="317"/>
      <c r="LX832" s="317"/>
      <c r="LY832" s="13"/>
      <c r="LZ832" s="317"/>
      <c r="MA832" s="317"/>
      <c r="MB832" s="317"/>
      <c r="MC832" s="317"/>
      <c r="MD832" s="317"/>
      <c r="ME832" s="317"/>
      <c r="MF832" s="317"/>
      <c r="MG832" s="317"/>
      <c r="MH832" s="317"/>
      <c r="MI832" s="317"/>
      <c r="MJ832" s="317"/>
      <c r="MK832" s="317"/>
      <c r="ML832" s="317"/>
      <c r="MM832" s="317"/>
      <c r="MN832" s="317"/>
      <c r="MO832" s="317"/>
      <c r="MP832" s="317"/>
      <c r="MQ832" s="317"/>
      <c r="MR832" s="317"/>
      <c r="MS832" s="317"/>
      <c r="MT832" s="13"/>
      <c r="MU832" s="317"/>
      <c r="MV832" s="317"/>
      <c r="MW832" s="317"/>
      <c r="MX832" s="12"/>
      <c r="MY832" s="317"/>
      <c r="MZ832" s="13"/>
      <c r="NA832" s="12"/>
      <c r="NB832" s="317"/>
      <c r="NC832" s="317"/>
      <c r="ND832" s="317"/>
      <c r="NE832" s="317"/>
      <c r="NF832" s="317"/>
      <c r="NG832" s="317"/>
      <c r="NH832" s="317"/>
      <c r="NI832" s="13"/>
      <c r="NJ832" s="317"/>
      <c r="NK832" s="317"/>
      <c r="NL832" s="317"/>
      <c r="NM832" s="317"/>
      <c r="NN832" s="317"/>
      <c r="NO832" s="317"/>
      <c r="NP832" s="317"/>
      <c r="NQ832" s="317"/>
      <c r="NR832" s="317"/>
      <c r="NS832" s="317"/>
      <c r="NT832" s="317"/>
      <c r="NU832" s="317"/>
      <c r="NV832" s="317"/>
      <c r="NW832" s="317"/>
      <c r="NX832" s="317"/>
      <c r="NY832" s="317"/>
      <c r="NZ832" s="317"/>
      <c r="OA832" s="317"/>
      <c r="OB832" s="317"/>
      <c r="OC832" s="317"/>
      <c r="OD832" s="317"/>
      <c r="OE832" s="317"/>
      <c r="OF832" s="317"/>
      <c r="OG832" s="317"/>
      <c r="OH832" s="317"/>
      <c r="OI832" s="317"/>
      <c r="OJ832" s="317"/>
      <c r="OK832" s="317"/>
      <c r="OL832" s="317"/>
      <c r="OM832" s="317"/>
      <c r="ON832" s="317"/>
      <c r="OO832" s="317"/>
      <c r="OP832" s="317"/>
      <c r="OQ832" s="317"/>
      <c r="OR832" s="317"/>
      <c r="OS832" s="317"/>
      <c r="OT832" s="317"/>
      <c r="OU832" s="317"/>
      <c r="OV832" s="317"/>
      <c r="OW832" s="317"/>
      <c r="OX832" s="317"/>
      <c r="OY832" s="317"/>
      <c r="OZ832" s="317"/>
      <c r="PA832" s="317"/>
      <c r="PB832" s="317"/>
      <c r="PC832" s="317"/>
      <c r="PD832" s="317"/>
      <c r="PE832" s="317"/>
      <c r="PF832" s="317"/>
      <c r="PG832" s="317"/>
      <c r="PH832" s="317"/>
      <c r="PI832" s="317"/>
      <c r="PJ832" s="317"/>
      <c r="PK832" s="317"/>
      <c r="PL832" s="317"/>
      <c r="PM832" s="317"/>
      <c r="PN832" s="317"/>
      <c r="PO832" s="317"/>
      <c r="PP832" s="317"/>
      <c r="PQ832" s="317"/>
      <c r="PR832" s="317"/>
      <c r="PS832" s="317"/>
      <c r="PT832" s="317"/>
      <c r="PU832" s="317"/>
      <c r="PV832" s="317"/>
      <c r="PW832" s="317"/>
      <c r="PX832" s="317"/>
      <c r="PY832" s="317"/>
      <c r="PZ832" s="317"/>
      <c r="QA832" s="317"/>
      <c r="QB832" s="317"/>
      <c r="QC832" s="317"/>
      <c r="QD832" s="317"/>
      <c r="QE832" s="317"/>
      <c r="QF832" s="317"/>
      <c r="QG832" s="317"/>
      <c r="QH832" s="317"/>
      <c r="QI832" s="317"/>
      <c r="QJ832" s="317"/>
      <c r="QK832" s="317"/>
      <c r="QL832" s="317"/>
      <c r="QM832" s="317"/>
      <c r="QN832" s="317"/>
      <c r="QO832" s="317"/>
      <c r="QP832" s="317"/>
      <c r="QQ832" s="317"/>
      <c r="QR832" s="317"/>
      <c r="QS832" s="317"/>
      <c r="QT832" s="317"/>
      <c r="QU832" s="317"/>
      <c r="QV832" s="317"/>
      <c r="QW832" s="317"/>
      <c r="QX832" s="317"/>
      <c r="QY832" s="317"/>
      <c r="QZ832" s="317"/>
      <c r="RA832" s="317"/>
      <c r="RB832" s="317"/>
      <c r="RC832" s="317"/>
      <c r="RD832" s="317"/>
      <c r="RE832" s="317"/>
      <c r="RF832" s="317"/>
      <c r="RG832" s="317"/>
      <c r="RH832" s="317"/>
      <c r="RI832" s="317"/>
      <c r="RJ832" s="317"/>
      <c r="RK832" s="317"/>
      <c r="RL832" s="317"/>
      <c r="RM832" s="13"/>
      <c r="RN832" s="317"/>
      <c r="RO832" s="317"/>
      <c r="RP832" s="13"/>
      <c r="RQ832" s="317"/>
      <c r="RR832" s="317"/>
      <c r="RS832" s="317"/>
      <c r="RT832" s="317"/>
      <c r="RU832" s="317"/>
      <c r="RV832" s="13"/>
      <c r="WL832" s="13"/>
    </row>
    <row r="833" spans="82:658" ht="10.75" customHeight="1">
      <c r="CD833" s="229"/>
      <c r="CE833" s="231"/>
      <c r="CF833" s="231"/>
      <c r="CG833" s="231"/>
      <c r="CH833" s="231"/>
      <c r="CI833" s="231"/>
      <c r="CJ833" s="214"/>
      <c r="CK833" s="49"/>
      <c r="CL833" s="49"/>
      <c r="CM833" s="49"/>
      <c r="CN833" s="49"/>
      <c r="CO833" s="49"/>
      <c r="CP833" s="49"/>
      <c r="CQ833" s="49"/>
      <c r="CR833" s="49"/>
      <c r="CS833" s="49"/>
      <c r="CT833" s="42"/>
      <c r="CU833" s="43"/>
      <c r="CV833" s="43"/>
      <c r="CW833" s="14"/>
      <c r="CX833" s="16"/>
      <c r="CY833" s="15"/>
      <c r="CZ833" s="15"/>
      <c r="DA833" s="15"/>
      <c r="DB833" s="15"/>
      <c r="DC833" s="15"/>
      <c r="DD833" s="15"/>
      <c r="DE833" s="16"/>
      <c r="DX833" s="13"/>
      <c r="DY833" s="162"/>
      <c r="DZ833" s="161"/>
      <c r="EA833" s="14"/>
      <c r="EB833" s="16"/>
      <c r="EC833" s="15"/>
      <c r="ED833" s="15"/>
      <c r="EE833" s="15"/>
      <c r="EF833" s="15"/>
      <c r="EG833" s="15"/>
      <c r="EH833" s="15"/>
      <c r="EI833" s="16"/>
      <c r="ES833" s="12"/>
      <c r="ET833" s="13"/>
      <c r="EZ833" s="297"/>
      <c r="GP833" s="13"/>
      <c r="GQ833" s="43"/>
      <c r="GR833" s="43"/>
      <c r="GS833" s="45"/>
      <c r="GT833" s="49"/>
      <c r="GU833" s="49"/>
      <c r="GV833" s="49"/>
      <c r="GW833" s="49"/>
      <c r="GX833" s="49"/>
      <c r="GY833" s="49"/>
      <c r="GZ833" s="49"/>
      <c r="HA833" s="208"/>
      <c r="HB833" s="231"/>
      <c r="HC833" s="231"/>
      <c r="HD833" s="231"/>
      <c r="HE833" s="231"/>
      <c r="HF833" s="231"/>
      <c r="HG833" s="231"/>
      <c r="HH833" s="231"/>
      <c r="HI833" s="232"/>
      <c r="KM833" s="12"/>
      <c r="KN833" s="317"/>
      <c r="KO833" s="317"/>
      <c r="KP833" s="317"/>
      <c r="KQ833" s="317"/>
      <c r="KR833" s="317"/>
      <c r="KS833" s="317"/>
      <c r="KT833" s="317"/>
      <c r="KU833" s="317"/>
      <c r="KV833" s="317"/>
      <c r="KW833" s="317"/>
      <c r="KX833" s="317"/>
      <c r="KY833" s="317"/>
      <c r="KZ833" s="317"/>
      <c r="LA833" s="317"/>
      <c r="LB833" s="317"/>
      <c r="LC833" s="317"/>
      <c r="LD833" s="317"/>
      <c r="LE833" s="317"/>
      <c r="LF833" s="317"/>
      <c r="LG833" s="317"/>
      <c r="LH833" s="317"/>
      <c r="LI833" s="317"/>
      <c r="LJ833" s="317"/>
      <c r="LK833" s="317"/>
      <c r="LL833" s="317"/>
      <c r="LM833" s="317"/>
      <c r="LN833" s="317"/>
      <c r="LO833" s="317"/>
      <c r="LP833" s="317"/>
      <c r="LQ833" s="317"/>
      <c r="LR833" s="317"/>
      <c r="LS833" s="317"/>
      <c r="LT833" s="317"/>
      <c r="LU833" s="317"/>
      <c r="LV833" s="317"/>
      <c r="LW833" s="317"/>
      <c r="LX833" s="317"/>
      <c r="LY833" s="13"/>
      <c r="LZ833" s="317"/>
      <c r="MA833" s="317"/>
      <c r="MB833" s="317"/>
      <c r="MC833" s="317"/>
      <c r="MD833" s="317"/>
      <c r="ME833" s="317"/>
      <c r="MF833" s="317"/>
      <c r="MG833" s="317"/>
      <c r="MH833" s="317"/>
      <c r="MI833" s="317"/>
      <c r="MJ833" s="317"/>
      <c r="MK833" s="317"/>
      <c r="ML833" s="317"/>
      <c r="MM833" s="317"/>
      <c r="MN833" s="317"/>
      <c r="MO833" s="317"/>
      <c r="MP833" s="317"/>
      <c r="MQ833" s="317"/>
      <c r="MR833" s="317"/>
      <c r="MS833" s="317"/>
      <c r="MT833" s="13"/>
      <c r="MU833" s="317"/>
      <c r="MV833" s="317"/>
      <c r="MW833" s="317"/>
      <c r="MX833" s="14"/>
      <c r="MY833" s="15"/>
      <c r="MZ833" s="16"/>
      <c r="NA833" s="14"/>
      <c r="NB833" s="15"/>
      <c r="NC833" s="15"/>
      <c r="ND833" s="15"/>
      <c r="NE833" s="15"/>
      <c r="NF833" s="15"/>
      <c r="NG833" s="15"/>
      <c r="NH833" s="15"/>
      <c r="NI833" s="16"/>
      <c r="NJ833" s="317"/>
      <c r="NK833" s="317"/>
      <c r="NL833" s="317"/>
      <c r="NM833" s="317"/>
      <c r="NN833" s="317"/>
      <c r="NO833" s="317"/>
      <c r="NP833" s="317"/>
      <c r="NQ833" s="317"/>
      <c r="NR833" s="317"/>
      <c r="NS833" s="317"/>
      <c r="NT833" s="317"/>
      <c r="NU833" s="317"/>
      <c r="NV833" s="317"/>
      <c r="NW833" s="317"/>
      <c r="NX833" s="317"/>
      <c r="NY833" s="317"/>
      <c r="NZ833" s="317"/>
      <c r="OA833" s="317"/>
      <c r="OB833" s="317"/>
      <c r="OC833" s="317"/>
      <c r="OD833" s="317"/>
      <c r="OE833" s="317"/>
      <c r="OF833" s="317"/>
      <c r="OG833" s="317"/>
      <c r="OH833" s="317"/>
      <c r="OI833" s="317"/>
      <c r="OJ833" s="317"/>
      <c r="OK833" s="317"/>
      <c r="OL833" s="317"/>
      <c r="OM833" s="317"/>
      <c r="ON833" s="317"/>
      <c r="OO833" s="317"/>
      <c r="OP833" s="317"/>
      <c r="OQ833" s="317"/>
      <c r="OR833" s="317"/>
      <c r="OS833" s="317"/>
      <c r="OT833" s="317"/>
      <c r="OU833" s="317"/>
      <c r="OV833" s="317"/>
      <c r="OW833" s="317"/>
      <c r="OX833" s="317"/>
      <c r="OY833" s="317"/>
      <c r="OZ833" s="317"/>
      <c r="PA833" s="317"/>
      <c r="PB833" s="317"/>
      <c r="PC833" s="317"/>
      <c r="PD833" s="317"/>
      <c r="PE833" s="317"/>
      <c r="PF833" s="317"/>
      <c r="PG833" s="317"/>
      <c r="PH833" s="317"/>
      <c r="PI833" s="317"/>
      <c r="PJ833" s="317"/>
      <c r="PK833" s="317"/>
      <c r="PL833" s="317"/>
      <c r="PM833" s="317"/>
      <c r="PN833" s="317"/>
      <c r="PO833" s="317"/>
      <c r="PP833" s="317"/>
      <c r="PQ833" s="317"/>
      <c r="PR833" s="317"/>
      <c r="PS833" s="317"/>
      <c r="PT833" s="317"/>
      <c r="PU833" s="317"/>
      <c r="PV833" s="317"/>
      <c r="PW833" s="317"/>
      <c r="PX833" s="317"/>
      <c r="PY833" s="317"/>
      <c r="PZ833" s="317"/>
      <c r="QA833" s="317"/>
      <c r="QB833" s="317"/>
      <c r="QC833" s="317"/>
      <c r="QD833" s="317"/>
      <c r="QE833" s="317"/>
      <c r="QF833" s="317"/>
      <c r="QG833" s="317"/>
      <c r="QH833" s="317"/>
      <c r="QI833" s="317"/>
      <c r="QJ833" s="317"/>
      <c r="QK833" s="317"/>
      <c r="QL833" s="317"/>
      <c r="QM833" s="317"/>
      <c r="QN833" s="317"/>
      <c r="QO833" s="317"/>
      <c r="QP833" s="317"/>
      <c r="QQ833" s="317"/>
      <c r="QR833" s="317"/>
      <c r="QS833" s="317"/>
      <c r="QT833" s="317"/>
      <c r="QU833" s="317"/>
      <c r="QV833" s="317"/>
      <c r="QW833" s="317"/>
      <c r="QX833" s="317"/>
      <c r="QY833" s="317"/>
      <c r="QZ833" s="317"/>
      <c r="RA833" s="317"/>
      <c r="RB833" s="317"/>
      <c r="RC833" s="317"/>
      <c r="RD833" s="317"/>
      <c r="RE833" s="317"/>
      <c r="RF833" s="317"/>
      <c r="RG833" s="317"/>
      <c r="RH833" s="317"/>
      <c r="RI833" s="317"/>
      <c r="RJ833" s="317"/>
      <c r="RK833" s="317"/>
      <c r="RL833" s="317"/>
      <c r="RM833" s="13"/>
      <c r="RN833" s="317"/>
      <c r="RO833" s="317"/>
      <c r="RP833" s="13"/>
      <c r="RQ833" s="317"/>
      <c r="RR833" s="317"/>
      <c r="RS833" s="317"/>
      <c r="RT833" s="317"/>
      <c r="RU833" s="317"/>
      <c r="RV833" s="13"/>
      <c r="WL833" s="13"/>
    </row>
    <row r="834" spans="82:658" ht="10.75" customHeight="1">
      <c r="CD834" s="229"/>
      <c r="CE834" s="231"/>
      <c r="CF834" s="231"/>
      <c r="CG834" s="231"/>
      <c r="CH834" s="231"/>
      <c r="CI834" s="231"/>
      <c r="CJ834" s="214"/>
      <c r="CK834" s="49"/>
      <c r="CL834" s="49"/>
      <c r="CM834" s="49"/>
      <c r="CN834" s="49"/>
      <c r="CO834" s="49"/>
      <c r="CP834" s="49"/>
      <c r="CQ834" s="49"/>
      <c r="CR834" s="49"/>
      <c r="CS834" s="49"/>
      <c r="CT834" s="42"/>
      <c r="CU834" s="43"/>
      <c r="CV834" s="43"/>
      <c r="CW834" s="12"/>
      <c r="DX834" s="13"/>
      <c r="DY834" s="162"/>
      <c r="DZ834" s="161"/>
      <c r="EA834" s="12"/>
      <c r="ES834" s="12"/>
      <c r="ET834" s="13"/>
      <c r="EZ834" s="297"/>
      <c r="GP834" s="13"/>
      <c r="GQ834" s="43"/>
      <c r="GR834" s="43"/>
      <c r="GS834" s="45"/>
      <c r="GT834" s="49"/>
      <c r="GU834" s="49"/>
      <c r="GV834" s="49"/>
      <c r="GW834" s="49"/>
      <c r="GX834" s="49"/>
      <c r="GY834" s="49"/>
      <c r="GZ834" s="49"/>
      <c r="HA834" s="208"/>
      <c r="HB834" s="231"/>
      <c r="HC834" s="231"/>
      <c r="HD834" s="231"/>
      <c r="HE834" s="231"/>
      <c r="HF834" s="231"/>
      <c r="HG834" s="231"/>
      <c r="HH834" s="231"/>
      <c r="HI834" s="232"/>
      <c r="KM834" s="12"/>
      <c r="KN834" s="317"/>
      <c r="KO834" s="317"/>
      <c r="KP834" s="317"/>
      <c r="KQ834" s="317"/>
      <c r="KR834" s="317"/>
      <c r="KS834" s="317"/>
      <c r="KT834" s="317"/>
      <c r="KU834" s="317"/>
      <c r="KV834" s="317"/>
      <c r="KW834" s="317"/>
      <c r="KX834" s="317"/>
      <c r="KY834" s="317"/>
      <c r="KZ834" s="317"/>
      <c r="LA834" s="317"/>
      <c r="LB834" s="317"/>
      <c r="LC834" s="317"/>
      <c r="LD834" s="317"/>
      <c r="LE834" s="317"/>
      <c r="LF834" s="317"/>
      <c r="LG834" s="317"/>
      <c r="LH834" s="317"/>
      <c r="LI834" s="317"/>
      <c r="LJ834" s="317"/>
      <c r="LK834" s="317"/>
      <c r="LL834" s="317"/>
      <c r="LM834" s="317"/>
      <c r="LN834" s="317"/>
      <c r="LO834" s="317"/>
      <c r="LP834" s="317"/>
      <c r="LQ834" s="317"/>
      <c r="LR834" s="317"/>
      <c r="LS834" s="317"/>
      <c r="LT834" s="317"/>
      <c r="LU834" s="317"/>
      <c r="LV834" s="317"/>
      <c r="LW834" s="317"/>
      <c r="LX834" s="317"/>
      <c r="LY834" s="13"/>
      <c r="LZ834" s="317"/>
      <c r="MA834" s="317"/>
      <c r="MB834" s="317"/>
      <c r="MC834" s="317"/>
      <c r="MD834" s="317"/>
      <c r="ME834" s="317"/>
      <c r="MF834" s="317"/>
      <c r="MG834" s="317"/>
      <c r="MH834" s="317"/>
      <c r="MI834" s="317"/>
      <c r="MJ834" s="317"/>
      <c r="MK834" s="317"/>
      <c r="ML834" s="317"/>
      <c r="MM834" s="317"/>
      <c r="MN834" s="317"/>
      <c r="MO834" s="317"/>
      <c r="MP834" s="317"/>
      <c r="MQ834" s="317"/>
      <c r="MR834" s="317"/>
      <c r="MS834" s="317"/>
      <c r="MT834" s="13"/>
      <c r="MU834" s="317"/>
      <c r="MV834" s="317"/>
      <c r="MW834" s="317"/>
      <c r="MX834" s="317"/>
      <c r="MY834" s="317"/>
      <c r="MZ834" s="13"/>
      <c r="NA834" s="12"/>
      <c r="NB834" s="317"/>
      <c r="NC834" s="317"/>
      <c r="ND834" s="317"/>
      <c r="NE834" s="317"/>
      <c r="NF834" s="317"/>
      <c r="NG834" s="317"/>
      <c r="NH834" s="317"/>
      <c r="NI834" s="317"/>
      <c r="NJ834" s="9"/>
      <c r="NK834" s="10"/>
      <c r="NL834" s="10"/>
      <c r="NM834" s="10"/>
      <c r="NN834" s="10"/>
      <c r="NO834" s="10"/>
      <c r="NP834" s="10"/>
      <c r="NQ834" s="10"/>
      <c r="NR834" s="10"/>
      <c r="NS834" s="10"/>
      <c r="NT834" s="10"/>
      <c r="NU834" s="11"/>
      <c r="NV834" s="317"/>
      <c r="NW834" s="317"/>
      <c r="NX834" s="317"/>
      <c r="NY834" s="317"/>
      <c r="NZ834" s="317"/>
      <c r="OA834" s="317"/>
      <c r="OB834" s="317"/>
      <c r="OC834" s="317"/>
      <c r="OD834" s="317"/>
      <c r="OE834" s="317"/>
      <c r="OF834" s="317"/>
      <c r="OG834" s="317"/>
      <c r="OH834" s="317"/>
      <c r="OI834" s="317"/>
      <c r="OJ834" s="317"/>
      <c r="OK834" s="317"/>
      <c r="OL834" s="317"/>
      <c r="OM834" s="317"/>
      <c r="ON834" s="317"/>
      <c r="OO834" s="317"/>
      <c r="OP834" s="317"/>
      <c r="OQ834" s="317"/>
      <c r="OR834" s="317"/>
      <c r="OS834" s="317"/>
      <c r="OT834" s="317"/>
      <c r="OU834" s="317"/>
      <c r="OV834" s="317"/>
      <c r="OW834" s="317"/>
      <c r="OX834" s="317"/>
      <c r="OY834" s="317"/>
      <c r="OZ834" s="317"/>
      <c r="PA834" s="317"/>
      <c r="PB834" s="317"/>
      <c r="PC834" s="317"/>
      <c r="PD834" s="317"/>
      <c r="PE834" s="317"/>
      <c r="PF834" s="317"/>
      <c r="PG834" s="317"/>
      <c r="PH834" s="317"/>
      <c r="PI834" s="317"/>
      <c r="PJ834" s="317"/>
      <c r="PK834" s="317"/>
      <c r="PL834" s="317"/>
      <c r="PM834" s="317"/>
      <c r="PN834" s="317"/>
      <c r="PO834" s="317"/>
      <c r="PP834" s="317"/>
      <c r="PQ834" s="317"/>
      <c r="PR834" s="317"/>
      <c r="PS834" s="317"/>
      <c r="PT834" s="317"/>
      <c r="PU834" s="317"/>
      <c r="PV834" s="317"/>
      <c r="PW834" s="317"/>
      <c r="PX834" s="317"/>
      <c r="PY834" s="317"/>
      <c r="PZ834" s="317"/>
      <c r="QA834" s="317"/>
      <c r="QB834" s="317"/>
      <c r="QC834" s="317"/>
      <c r="QD834" s="317"/>
      <c r="QE834" s="317"/>
      <c r="QF834" s="317"/>
      <c r="QG834" s="317"/>
      <c r="QH834" s="317"/>
      <c r="QI834" s="317"/>
      <c r="QJ834" s="317"/>
      <c r="QK834" s="317"/>
      <c r="QL834" s="317"/>
      <c r="QM834" s="317"/>
      <c r="QN834" s="317"/>
      <c r="QO834" s="317"/>
      <c r="QP834" s="317"/>
      <c r="QQ834" s="317"/>
      <c r="QR834" s="317"/>
      <c r="QS834" s="317"/>
      <c r="QT834" s="317"/>
      <c r="QU834" s="317"/>
      <c r="QV834" s="317"/>
      <c r="QW834" s="317"/>
      <c r="QX834" s="317"/>
      <c r="QY834" s="317"/>
      <c r="QZ834" s="317"/>
      <c r="RA834" s="317"/>
      <c r="RB834" s="317"/>
      <c r="RC834" s="317"/>
      <c r="RD834" s="317"/>
      <c r="RE834" s="317"/>
      <c r="RF834" s="317"/>
      <c r="RG834" s="317"/>
      <c r="RH834" s="317"/>
      <c r="RI834" s="317"/>
      <c r="RJ834" s="317"/>
      <c r="RK834" s="317"/>
      <c r="RL834" s="317"/>
      <c r="RM834" s="13"/>
      <c r="RN834" s="317"/>
      <c r="RO834" s="317"/>
      <c r="RP834" s="13"/>
      <c r="RQ834" s="317"/>
      <c r="RR834" s="317"/>
      <c r="RS834" s="317"/>
      <c r="RT834" s="317"/>
      <c r="RU834" s="317"/>
      <c r="RV834" s="13"/>
      <c r="WL834" s="13"/>
    </row>
    <row r="835" spans="82:658" ht="10.75" customHeight="1">
      <c r="CD835" s="229"/>
      <c r="CE835" s="231"/>
      <c r="CF835" s="231"/>
      <c r="CG835" s="231"/>
      <c r="CH835" s="231"/>
      <c r="CI835" s="231"/>
      <c r="CJ835" s="214"/>
      <c r="CK835" s="49"/>
      <c r="CL835" s="49"/>
      <c r="CM835" s="49"/>
      <c r="CN835" s="49"/>
      <c r="CO835" s="49"/>
      <c r="CP835" s="49"/>
      <c r="CQ835" s="49"/>
      <c r="CR835" s="49"/>
      <c r="CS835" s="208"/>
      <c r="CT835" s="42"/>
      <c r="CU835" s="43"/>
      <c r="CV835" s="43"/>
      <c r="CW835" s="12"/>
      <c r="DX835" s="13"/>
      <c r="DY835" s="162"/>
      <c r="DZ835" s="161"/>
      <c r="EA835" s="12"/>
      <c r="ES835" s="12"/>
      <c r="ET835" s="313"/>
      <c r="EZ835" s="297"/>
      <c r="GP835" s="13"/>
      <c r="GQ835" s="43"/>
      <c r="GR835" s="43"/>
      <c r="GS835" s="45"/>
      <c r="GT835" s="49"/>
      <c r="GU835" s="49"/>
      <c r="GV835" s="49"/>
      <c r="GW835" s="49"/>
      <c r="GX835" s="49"/>
      <c r="GY835" s="49"/>
      <c r="GZ835" s="49"/>
      <c r="HA835" s="208"/>
      <c r="HB835" s="231"/>
      <c r="HC835" s="231"/>
      <c r="HD835" s="231"/>
      <c r="HE835" s="231"/>
      <c r="HF835" s="231"/>
      <c r="HG835" s="231"/>
      <c r="HH835" s="231"/>
      <c r="HI835" s="232"/>
      <c r="KM835" s="12"/>
      <c r="KN835" s="317"/>
      <c r="KO835" s="317"/>
      <c r="KP835" s="317"/>
      <c r="KQ835" s="317"/>
      <c r="KR835" s="317"/>
      <c r="KS835" s="317"/>
      <c r="KT835" s="317"/>
      <c r="KU835" s="317"/>
      <c r="KV835" s="317"/>
      <c r="KW835" s="317"/>
      <c r="KX835" s="317"/>
      <c r="KY835" s="317"/>
      <c r="KZ835" s="317"/>
      <c r="LA835" s="317"/>
      <c r="LB835" s="317"/>
      <c r="LC835" s="317"/>
      <c r="LD835" s="317"/>
      <c r="LE835" s="317"/>
      <c r="LF835" s="317"/>
      <c r="LG835" s="317"/>
      <c r="LH835" s="317"/>
      <c r="LI835" s="317"/>
      <c r="LJ835" s="317"/>
      <c r="LK835" s="317"/>
      <c r="LL835" s="317"/>
      <c r="LM835" s="317"/>
      <c r="LN835" s="317"/>
      <c r="LO835" s="317"/>
      <c r="LP835" s="317"/>
      <c r="LQ835" s="317"/>
      <c r="LR835" s="317"/>
      <c r="LS835" s="317"/>
      <c r="LT835" s="317"/>
      <c r="LU835" s="317"/>
      <c r="LV835" s="317"/>
      <c r="LW835" s="317"/>
      <c r="LX835" s="317"/>
      <c r="LY835" s="13"/>
      <c r="LZ835" s="317"/>
      <c r="MA835" s="317"/>
      <c r="MB835" s="317"/>
      <c r="MC835" s="317"/>
      <c r="MD835" s="317"/>
      <c r="ME835" s="317"/>
      <c r="MF835" s="317"/>
      <c r="MG835" s="317"/>
      <c r="MH835" s="317"/>
      <c r="MI835" s="317"/>
      <c r="MJ835" s="317"/>
      <c r="MK835" s="317"/>
      <c r="ML835" s="317"/>
      <c r="MM835" s="317"/>
      <c r="MN835" s="317"/>
      <c r="MO835" s="317"/>
      <c r="MP835" s="317"/>
      <c r="MQ835" s="317"/>
      <c r="MR835" s="317"/>
      <c r="MS835" s="317"/>
      <c r="MT835" s="13"/>
      <c r="MU835" s="317"/>
      <c r="MV835" s="317"/>
      <c r="MW835" s="317"/>
      <c r="MX835" s="317"/>
      <c r="MY835" s="317"/>
      <c r="MZ835" s="13"/>
      <c r="NA835" s="12"/>
      <c r="NB835" s="317"/>
      <c r="NC835" s="317"/>
      <c r="ND835" s="317"/>
      <c r="NE835" s="317"/>
      <c r="NF835" s="317"/>
      <c r="NG835" s="317"/>
      <c r="NH835" s="317"/>
      <c r="NI835" s="317"/>
      <c r="NJ835" s="12"/>
      <c r="NK835" s="317"/>
      <c r="NL835" s="317"/>
      <c r="NM835" s="317"/>
      <c r="NN835" s="317"/>
      <c r="NO835" s="317"/>
      <c r="NP835" s="317"/>
      <c r="NQ835" s="317"/>
      <c r="NR835" s="317"/>
      <c r="NS835" s="317"/>
      <c r="NT835" s="317"/>
      <c r="NU835" s="13"/>
      <c r="NV835" s="317"/>
      <c r="NW835" s="317"/>
      <c r="NX835" s="317"/>
      <c r="NY835" s="317"/>
      <c r="NZ835" s="317"/>
      <c r="OA835" s="317"/>
      <c r="OB835" s="317"/>
      <c r="OC835" s="317"/>
      <c r="OD835" s="317"/>
      <c r="OE835" s="317"/>
      <c r="OF835" s="317"/>
      <c r="OG835" s="317"/>
      <c r="OH835" s="317"/>
      <c r="OI835" s="317"/>
      <c r="OJ835" s="317"/>
      <c r="OK835" s="317"/>
      <c r="OL835" s="317"/>
      <c r="OM835" s="317"/>
      <c r="ON835" s="317"/>
      <c r="OO835" s="317"/>
      <c r="OP835" s="317"/>
      <c r="OQ835" s="317"/>
      <c r="OR835" s="317"/>
      <c r="OS835" s="317"/>
      <c r="OT835" s="317"/>
      <c r="OU835" s="317"/>
      <c r="OV835" s="317"/>
      <c r="OW835" s="317"/>
      <c r="OX835" s="317"/>
      <c r="OY835" s="317"/>
      <c r="OZ835" s="317"/>
      <c r="PA835" s="317"/>
      <c r="PB835" s="317"/>
      <c r="PC835" s="317"/>
      <c r="PD835" s="317"/>
      <c r="PE835" s="317"/>
      <c r="PF835" s="317"/>
      <c r="PG835" s="317"/>
      <c r="PH835" s="317"/>
      <c r="PI835" s="317"/>
      <c r="PJ835" s="317"/>
      <c r="PK835" s="317"/>
      <c r="PL835" s="317"/>
      <c r="PM835" s="317"/>
      <c r="PN835" s="317"/>
      <c r="PO835" s="317"/>
      <c r="PP835" s="317"/>
      <c r="PQ835" s="317"/>
      <c r="PR835" s="317"/>
      <c r="PS835" s="317"/>
      <c r="PT835" s="317"/>
      <c r="PU835" s="317"/>
      <c r="PV835" s="317"/>
      <c r="PW835" s="317"/>
      <c r="PX835" s="317"/>
      <c r="PY835" s="317"/>
      <c r="PZ835" s="317"/>
      <c r="QA835" s="317"/>
      <c r="QB835" s="317"/>
      <c r="QC835" s="317"/>
      <c r="QD835" s="317"/>
      <c r="QE835" s="317"/>
      <c r="QF835" s="317"/>
      <c r="QG835" s="317"/>
      <c r="QH835" s="317"/>
      <c r="QI835" s="317"/>
      <c r="QJ835" s="317"/>
      <c r="QK835" s="317"/>
      <c r="QL835" s="317"/>
      <c r="QM835" s="317"/>
      <c r="QN835" s="317"/>
      <c r="QO835" s="317"/>
      <c r="QP835" s="317"/>
      <c r="QQ835" s="317"/>
      <c r="QR835" s="317"/>
      <c r="QS835" s="317"/>
      <c r="QT835" s="317"/>
      <c r="QU835" s="317"/>
      <c r="QV835" s="317"/>
      <c r="QW835" s="317"/>
      <c r="QX835" s="317"/>
      <c r="QY835" s="317"/>
      <c r="QZ835" s="317"/>
      <c r="RA835" s="317"/>
      <c r="RB835" s="317"/>
      <c r="RC835" s="317"/>
      <c r="RD835" s="317"/>
      <c r="RE835" s="317"/>
      <c r="RF835" s="317"/>
      <c r="RG835" s="317"/>
      <c r="RH835" s="317"/>
      <c r="RI835" s="317"/>
      <c r="RJ835" s="317"/>
      <c r="RK835" s="317"/>
      <c r="RL835" s="317"/>
      <c r="RM835" s="13"/>
      <c r="RN835" s="317"/>
      <c r="RO835" s="317"/>
      <c r="RP835" s="13"/>
      <c r="RQ835" s="317"/>
      <c r="RR835" s="317"/>
      <c r="RS835" s="317"/>
      <c r="RT835" s="317"/>
      <c r="RU835" s="317"/>
      <c r="RV835" s="13"/>
      <c r="WL835" s="13"/>
    </row>
    <row r="836" spans="82:658" ht="10.75" customHeight="1">
      <c r="CD836" s="229"/>
      <c r="CE836" s="231"/>
      <c r="CF836" s="231"/>
      <c r="CG836" s="231"/>
      <c r="CH836" s="231"/>
      <c r="CI836" s="231"/>
      <c r="CJ836" s="214"/>
      <c r="CK836" s="49"/>
      <c r="CL836" s="49"/>
      <c r="CM836" s="49"/>
      <c r="CN836" s="49"/>
      <c r="CO836" s="49"/>
      <c r="CP836" s="49"/>
      <c r="CQ836" s="49"/>
      <c r="CR836" s="49"/>
      <c r="CS836" s="208"/>
      <c r="CT836" s="42"/>
      <c r="CU836" s="43"/>
      <c r="CV836" s="43"/>
      <c r="CW836" s="9"/>
      <c r="CX836" s="11"/>
      <c r="CY836" s="10"/>
      <c r="CZ836" s="10"/>
      <c r="DA836" s="10"/>
      <c r="DB836" s="11"/>
      <c r="DX836" s="13"/>
      <c r="DY836" s="162"/>
      <c r="DZ836" s="161"/>
      <c r="EA836" s="9"/>
      <c r="EB836" s="11"/>
      <c r="EC836" s="10"/>
      <c r="ED836" s="10"/>
      <c r="EE836" s="10"/>
      <c r="EF836" s="11"/>
      <c r="ES836" s="12"/>
      <c r="ET836" s="313"/>
      <c r="EZ836" s="297"/>
      <c r="GP836" s="13"/>
      <c r="GQ836" s="43"/>
      <c r="GR836" s="43"/>
      <c r="GS836" s="45"/>
      <c r="GT836" s="49"/>
      <c r="GU836" s="49"/>
      <c r="GV836" s="49"/>
      <c r="GW836" s="49"/>
      <c r="GX836" s="49"/>
      <c r="GY836" s="49"/>
      <c r="GZ836" s="49"/>
      <c r="HA836" s="208"/>
      <c r="HB836" s="231"/>
      <c r="HC836" s="231"/>
      <c r="HD836" s="231"/>
      <c r="HE836" s="231"/>
      <c r="HF836" s="231"/>
      <c r="HG836" s="231"/>
      <c r="HH836" s="231"/>
      <c r="HI836" s="232"/>
      <c r="KM836" s="12"/>
      <c r="KN836" s="317"/>
      <c r="KO836" s="317"/>
      <c r="KP836" s="317"/>
      <c r="KQ836" s="317"/>
      <c r="KR836" s="317"/>
      <c r="KS836" s="317"/>
      <c r="KT836" s="317"/>
      <c r="KU836" s="317"/>
      <c r="KV836" s="317"/>
      <c r="KW836" s="317"/>
      <c r="KX836" s="317"/>
      <c r="KY836" s="317"/>
      <c r="KZ836" s="317"/>
      <c r="LA836" s="317"/>
      <c r="LB836" s="317"/>
      <c r="LC836" s="317"/>
      <c r="LD836" s="317"/>
      <c r="LE836" s="317"/>
      <c r="LF836" s="317"/>
      <c r="LG836" s="317"/>
      <c r="LH836" s="317"/>
      <c r="LI836" s="317"/>
      <c r="LJ836" s="317"/>
      <c r="LK836" s="317"/>
      <c r="LL836" s="317"/>
      <c r="LM836" s="317"/>
      <c r="LN836" s="317"/>
      <c r="LO836" s="317"/>
      <c r="LP836" s="317"/>
      <c r="LQ836" s="317"/>
      <c r="LR836" s="317"/>
      <c r="LS836" s="317"/>
      <c r="LT836" s="317"/>
      <c r="LU836" s="317"/>
      <c r="LV836" s="317"/>
      <c r="LW836" s="317"/>
      <c r="LX836" s="317"/>
      <c r="LY836" s="13"/>
      <c r="LZ836" s="317"/>
      <c r="MA836" s="317"/>
      <c r="MB836" s="317"/>
      <c r="MC836" s="317"/>
      <c r="MD836" s="317"/>
      <c r="ME836" s="317"/>
      <c r="MF836" s="317"/>
      <c r="MG836" s="317"/>
      <c r="MH836" s="317"/>
      <c r="MI836" s="317"/>
      <c r="MJ836" s="317"/>
      <c r="MK836" s="317"/>
      <c r="ML836" s="317"/>
      <c r="MM836" s="317"/>
      <c r="MN836" s="317"/>
      <c r="MO836" s="317"/>
      <c r="MP836" s="317"/>
      <c r="MQ836" s="317"/>
      <c r="MR836" s="317"/>
      <c r="MS836" s="317"/>
      <c r="MT836" s="13"/>
      <c r="MU836" s="317"/>
      <c r="MV836" s="317"/>
      <c r="MW836" s="317"/>
      <c r="MX836" s="317"/>
      <c r="MY836" s="317"/>
      <c r="MZ836" s="13"/>
      <c r="NA836" s="12"/>
      <c r="NB836" s="317"/>
      <c r="NC836" s="317"/>
      <c r="ND836" s="317"/>
      <c r="NE836" s="317"/>
      <c r="NF836" s="317"/>
      <c r="NG836" s="317"/>
      <c r="NH836" s="317"/>
      <c r="NI836" s="317"/>
      <c r="NJ836" s="12"/>
      <c r="NK836" s="317"/>
      <c r="NL836" s="317"/>
      <c r="NM836" s="317"/>
      <c r="NN836" s="317"/>
      <c r="NO836" s="317"/>
      <c r="NP836" s="317"/>
      <c r="NQ836" s="317"/>
      <c r="NR836" s="317"/>
      <c r="NS836" s="317"/>
      <c r="NT836" s="317"/>
      <c r="NU836" s="13"/>
      <c r="NV836" s="317"/>
      <c r="NW836" s="317"/>
      <c r="NX836" s="317"/>
      <c r="NY836" s="317"/>
      <c r="NZ836" s="317"/>
      <c r="OA836" s="317"/>
      <c r="OB836" s="317"/>
      <c r="OC836" s="317"/>
      <c r="OD836" s="317"/>
      <c r="OE836" s="317"/>
      <c r="OF836" s="317"/>
      <c r="OG836" s="317"/>
      <c r="OH836" s="317"/>
      <c r="OI836" s="317"/>
      <c r="OJ836" s="317"/>
      <c r="OK836" s="317"/>
      <c r="OL836" s="317"/>
      <c r="OM836" s="317"/>
      <c r="ON836" s="317"/>
      <c r="OO836" s="317"/>
      <c r="OP836" s="317"/>
      <c r="OQ836" s="317"/>
      <c r="OR836" s="317"/>
      <c r="OS836" s="317"/>
      <c r="OT836" s="317"/>
      <c r="OU836" s="317"/>
      <c r="OV836" s="317"/>
      <c r="OW836" s="317"/>
      <c r="OX836" s="317"/>
      <c r="OY836" s="317"/>
      <c r="OZ836" s="317"/>
      <c r="PA836" s="317"/>
      <c r="PB836" s="317"/>
      <c r="PC836" s="317"/>
      <c r="PD836" s="317"/>
      <c r="PE836" s="317"/>
      <c r="PF836" s="317"/>
      <c r="PG836" s="317"/>
      <c r="PH836" s="317"/>
      <c r="PI836" s="317"/>
      <c r="PJ836" s="317"/>
      <c r="PK836" s="317"/>
      <c r="PL836" s="317"/>
      <c r="PM836" s="317"/>
      <c r="PN836" s="317"/>
      <c r="PO836" s="317"/>
      <c r="PP836" s="317"/>
      <c r="PQ836" s="317"/>
      <c r="PR836" s="317"/>
      <c r="PS836" s="317"/>
      <c r="PT836" s="317"/>
      <c r="PU836" s="317"/>
      <c r="PV836" s="317"/>
      <c r="PW836" s="317"/>
      <c r="PX836" s="317"/>
      <c r="PY836" s="317"/>
      <c r="PZ836" s="317"/>
      <c r="QA836" s="317"/>
      <c r="QB836" s="317"/>
      <c r="QC836" s="317"/>
      <c r="QD836" s="317"/>
      <c r="QE836" s="317"/>
      <c r="QF836" s="317"/>
      <c r="QG836" s="317"/>
      <c r="QH836" s="317"/>
      <c r="QI836" s="317"/>
      <c r="QJ836" s="317"/>
      <c r="QK836" s="317"/>
      <c r="QL836" s="317"/>
      <c r="QM836" s="317"/>
      <c r="QN836" s="317"/>
      <c r="QO836" s="317"/>
      <c r="QP836" s="317"/>
      <c r="QQ836" s="317"/>
      <c r="QR836" s="317"/>
      <c r="QS836" s="317"/>
      <c r="QT836" s="317"/>
      <c r="QU836" s="317"/>
      <c r="QV836" s="317"/>
      <c r="QW836" s="317"/>
      <c r="QX836" s="317"/>
      <c r="QY836" s="317"/>
      <c r="QZ836" s="317"/>
      <c r="RA836" s="317"/>
      <c r="RB836" s="317"/>
      <c r="RC836" s="317"/>
      <c r="RD836" s="317"/>
      <c r="RE836" s="317"/>
      <c r="RF836" s="317"/>
      <c r="RG836" s="317"/>
      <c r="RH836" s="317"/>
      <c r="RI836" s="317"/>
      <c r="RJ836" s="317"/>
      <c r="RK836" s="317"/>
      <c r="RL836" s="317"/>
      <c r="RM836" s="13"/>
      <c r="RN836" s="317"/>
      <c r="RO836" s="317"/>
      <c r="RP836" s="13"/>
      <c r="RQ836" s="317"/>
      <c r="RR836" s="317"/>
      <c r="RS836" s="317"/>
      <c r="RT836" s="317"/>
      <c r="RU836" s="317"/>
      <c r="RV836" s="13"/>
      <c r="WL836" s="13"/>
    </row>
    <row r="837" spans="82:658" ht="10.75" customHeight="1">
      <c r="CD837" s="229"/>
      <c r="CE837" s="231"/>
      <c r="CF837" s="231"/>
      <c r="CG837" s="231"/>
      <c r="CH837" s="231"/>
      <c r="CI837" s="231"/>
      <c r="CJ837" s="214"/>
      <c r="CK837" s="49"/>
      <c r="CL837" s="49"/>
      <c r="CM837" s="49"/>
      <c r="CN837" s="49"/>
      <c r="CO837" s="49"/>
      <c r="CP837" s="49"/>
      <c r="CQ837" s="49"/>
      <c r="CR837" s="49"/>
      <c r="CS837" s="208"/>
      <c r="CT837" s="42"/>
      <c r="CU837" s="43"/>
      <c r="CV837" s="43"/>
      <c r="CW837" s="12"/>
      <c r="CX837" s="13"/>
      <c r="DB837" s="13"/>
      <c r="DX837" s="13"/>
      <c r="DY837" s="162"/>
      <c r="DZ837" s="161"/>
      <c r="EA837" s="12"/>
      <c r="EB837" s="13"/>
      <c r="EF837" s="13"/>
      <c r="ES837" s="12"/>
      <c r="ET837" s="313"/>
      <c r="EZ837" s="297"/>
      <c r="GP837" s="13"/>
      <c r="GQ837" s="43"/>
      <c r="GR837" s="43"/>
      <c r="GS837" s="45"/>
      <c r="GT837" s="49"/>
      <c r="GU837" s="49"/>
      <c r="GV837" s="49"/>
      <c r="GW837" s="49"/>
      <c r="GX837" s="49"/>
      <c r="GY837" s="49"/>
      <c r="GZ837" s="49"/>
      <c r="HA837" s="208"/>
      <c r="HB837" s="231"/>
      <c r="HC837" s="231"/>
      <c r="HD837" s="231"/>
      <c r="HE837" s="231"/>
      <c r="HF837" s="231"/>
      <c r="HG837" s="231"/>
      <c r="HH837" s="231"/>
      <c r="HI837" s="232"/>
      <c r="KM837" s="12"/>
      <c r="KN837" s="317"/>
      <c r="KO837" s="317"/>
      <c r="KP837" s="317"/>
      <c r="KQ837" s="317"/>
      <c r="KR837" s="317"/>
      <c r="KS837" s="317"/>
      <c r="KT837" s="317"/>
      <c r="KU837" s="317"/>
      <c r="KV837" s="317"/>
      <c r="KW837" s="317"/>
      <c r="KX837" s="317"/>
      <c r="KY837" s="317"/>
      <c r="KZ837" s="317"/>
      <c r="LA837" s="317"/>
      <c r="LB837" s="317"/>
      <c r="LC837" s="317"/>
      <c r="LD837" s="317"/>
      <c r="LE837" s="317"/>
      <c r="LF837" s="317"/>
      <c r="LG837" s="317"/>
      <c r="LH837" s="317"/>
      <c r="LI837" s="317"/>
      <c r="LJ837" s="317"/>
      <c r="LK837" s="317"/>
      <c r="LL837" s="317"/>
      <c r="LM837" s="317"/>
      <c r="LN837" s="317"/>
      <c r="LO837" s="317"/>
      <c r="LP837" s="317"/>
      <c r="LQ837" s="317"/>
      <c r="LR837" s="317"/>
      <c r="LS837" s="317"/>
      <c r="LT837" s="317"/>
      <c r="LU837" s="317"/>
      <c r="LV837" s="317"/>
      <c r="LW837" s="317"/>
      <c r="LX837" s="317"/>
      <c r="LY837" s="13"/>
      <c r="LZ837" s="317"/>
      <c r="MA837" s="317"/>
      <c r="MB837" s="317"/>
      <c r="MC837" s="317"/>
      <c r="MD837" s="317"/>
      <c r="ME837" s="317"/>
      <c r="MF837" s="317"/>
      <c r="MG837" s="317"/>
      <c r="MH837" s="317"/>
      <c r="MI837" s="317"/>
      <c r="MJ837" s="317"/>
      <c r="MK837" s="317"/>
      <c r="ML837" s="317"/>
      <c r="MM837" s="317"/>
      <c r="MN837" s="317"/>
      <c r="MO837" s="317"/>
      <c r="MP837" s="317"/>
      <c r="MQ837" s="317"/>
      <c r="MR837" s="317"/>
      <c r="MS837" s="317"/>
      <c r="MT837" s="13"/>
      <c r="MU837" s="317"/>
      <c r="MV837" s="317"/>
      <c r="MW837" s="317"/>
      <c r="MX837" s="317"/>
      <c r="MY837" s="317"/>
      <c r="MZ837" s="13"/>
      <c r="NA837" s="12"/>
      <c r="NB837" s="317"/>
      <c r="NC837" s="317"/>
      <c r="ND837" s="317"/>
      <c r="NE837" s="317"/>
      <c r="NF837" s="317"/>
      <c r="NG837" s="317"/>
      <c r="NH837" s="317"/>
      <c r="NI837" s="317"/>
      <c r="NJ837" s="12"/>
      <c r="NK837" s="317"/>
      <c r="NL837" s="317"/>
      <c r="NM837" s="317"/>
      <c r="NN837" s="317"/>
      <c r="NO837" s="317"/>
      <c r="NP837" s="317"/>
      <c r="NQ837" s="317"/>
      <c r="NR837" s="317"/>
      <c r="NS837" s="317"/>
      <c r="NT837" s="317"/>
      <c r="NU837" s="13"/>
      <c r="NV837" s="317"/>
      <c r="NW837" s="317"/>
      <c r="NX837" s="317"/>
      <c r="NY837" s="317"/>
      <c r="NZ837" s="317"/>
      <c r="OA837" s="317"/>
      <c r="OB837" s="317"/>
      <c r="OC837" s="317"/>
      <c r="OD837" s="317"/>
      <c r="OE837" s="317"/>
      <c r="OF837" s="317"/>
      <c r="OG837" s="317"/>
      <c r="OH837" s="317"/>
      <c r="OI837" s="317"/>
      <c r="OJ837" s="317"/>
      <c r="OK837" s="317"/>
      <c r="OL837" s="317"/>
      <c r="OM837" s="317"/>
      <c r="ON837" s="317"/>
      <c r="OO837" s="317"/>
      <c r="OP837" s="317"/>
      <c r="OQ837" s="317"/>
      <c r="OR837" s="317"/>
      <c r="OS837" s="317"/>
      <c r="OT837" s="317"/>
      <c r="OU837" s="317"/>
      <c r="OV837" s="317"/>
      <c r="OW837" s="317"/>
      <c r="OX837" s="317"/>
      <c r="OY837" s="317"/>
      <c r="OZ837" s="317"/>
      <c r="PA837" s="317"/>
      <c r="PB837" s="317"/>
      <c r="PC837" s="317"/>
      <c r="PD837" s="317"/>
      <c r="PE837" s="317"/>
      <c r="PF837" s="317"/>
      <c r="PG837" s="317"/>
      <c r="PH837" s="317"/>
      <c r="PI837" s="317"/>
      <c r="PJ837" s="317"/>
      <c r="PK837" s="317"/>
      <c r="PL837" s="317"/>
      <c r="PM837" s="317"/>
      <c r="PN837" s="317"/>
      <c r="PO837" s="317"/>
      <c r="PP837" s="317"/>
      <c r="PQ837" s="317"/>
      <c r="PR837" s="317"/>
      <c r="PS837" s="317"/>
      <c r="PT837" s="317"/>
      <c r="PU837" s="317"/>
      <c r="PV837" s="317"/>
      <c r="PW837" s="317"/>
      <c r="PX837" s="317"/>
      <c r="PY837" s="317"/>
      <c r="PZ837" s="317"/>
      <c r="QA837" s="317"/>
      <c r="QB837" s="317"/>
      <c r="QC837" s="317"/>
      <c r="QD837" s="317"/>
      <c r="QE837" s="317"/>
      <c r="QF837" s="317"/>
      <c r="QG837" s="317"/>
      <c r="QH837" s="317"/>
      <c r="QI837" s="317"/>
      <c r="QJ837" s="317"/>
      <c r="QK837" s="317"/>
      <c r="QL837" s="317"/>
      <c r="QM837" s="317"/>
      <c r="QN837" s="317"/>
      <c r="QO837" s="317"/>
      <c r="QP837" s="317"/>
      <c r="QQ837" s="317"/>
      <c r="QR837" s="317"/>
      <c r="QS837" s="317"/>
      <c r="QT837" s="317"/>
      <c r="QU837" s="317"/>
      <c r="QV837" s="317"/>
      <c r="QW837" s="317"/>
      <c r="QX837" s="317"/>
      <c r="QY837" s="317"/>
      <c r="QZ837" s="317"/>
      <c r="RA837" s="317"/>
      <c r="RB837" s="317"/>
      <c r="RC837" s="317"/>
      <c r="RD837" s="317"/>
      <c r="RE837" s="317"/>
      <c r="RF837" s="317"/>
      <c r="RG837" s="317"/>
      <c r="RH837" s="317"/>
      <c r="RI837" s="317"/>
      <c r="RJ837" s="317"/>
      <c r="RK837" s="317"/>
      <c r="RL837" s="317"/>
      <c r="RM837" s="13"/>
      <c r="RN837" s="317"/>
      <c r="RO837" s="317"/>
      <c r="RP837" s="13"/>
      <c r="RQ837" s="317"/>
      <c r="RR837" s="317"/>
      <c r="RS837" s="317"/>
      <c r="RT837" s="317"/>
      <c r="RU837" s="317"/>
      <c r="RV837" s="13"/>
      <c r="WL837" s="13"/>
    </row>
    <row r="838" spans="82:658" ht="10.75" customHeight="1">
      <c r="CD838" s="229"/>
      <c r="CE838" s="231"/>
      <c r="CF838" s="231"/>
      <c r="CG838" s="231"/>
      <c r="CH838" s="231"/>
      <c r="CI838" s="231"/>
      <c r="CJ838" s="214"/>
      <c r="CK838" s="49"/>
      <c r="CL838" s="49"/>
      <c r="CM838" s="49"/>
      <c r="CN838" s="49"/>
      <c r="CO838" s="49"/>
      <c r="CP838" s="49"/>
      <c r="CQ838" s="49"/>
      <c r="CR838" s="49"/>
      <c r="CS838" s="208"/>
      <c r="CT838" s="42"/>
      <c r="CU838" s="43"/>
      <c r="CV838" s="43"/>
      <c r="CW838" s="12"/>
      <c r="CX838" s="13"/>
      <c r="DB838" s="13"/>
      <c r="DX838" s="13"/>
      <c r="DY838" s="162"/>
      <c r="DZ838" s="161"/>
      <c r="EA838" s="12"/>
      <c r="EB838" s="13"/>
      <c r="EF838" s="13"/>
      <c r="ES838" s="12"/>
      <c r="ET838" s="313"/>
      <c r="EZ838" s="297"/>
      <c r="GP838" s="13"/>
      <c r="GQ838" s="43"/>
      <c r="GR838" s="43"/>
      <c r="GS838" s="45"/>
      <c r="GT838" s="49"/>
      <c r="GU838" s="49"/>
      <c r="GV838" s="49"/>
      <c r="GW838" s="49"/>
      <c r="GX838" s="49"/>
      <c r="GY838" s="49"/>
      <c r="GZ838" s="49"/>
      <c r="HA838" s="208"/>
      <c r="HB838" s="231"/>
      <c r="HC838" s="231"/>
      <c r="HD838" s="231"/>
      <c r="HE838" s="231"/>
      <c r="HF838" s="231"/>
      <c r="HG838" s="231"/>
      <c r="HH838" s="231"/>
      <c r="HI838" s="232"/>
      <c r="KM838" s="12"/>
      <c r="KN838" s="317"/>
      <c r="KO838" s="317"/>
      <c r="KP838" s="317"/>
      <c r="KQ838" s="317"/>
      <c r="KR838" s="317"/>
      <c r="KS838" s="317"/>
      <c r="KT838" s="317"/>
      <c r="KU838" s="317"/>
      <c r="KV838" s="317"/>
      <c r="KW838" s="317"/>
      <c r="KX838" s="317"/>
      <c r="KY838" s="317"/>
      <c r="KZ838" s="317"/>
      <c r="LA838" s="317"/>
      <c r="LB838" s="317"/>
      <c r="LC838" s="317"/>
      <c r="LD838" s="317"/>
      <c r="LE838" s="317"/>
      <c r="LF838" s="317"/>
      <c r="LG838" s="317"/>
      <c r="LH838" s="317"/>
      <c r="LI838" s="317"/>
      <c r="LJ838" s="317"/>
      <c r="LK838" s="317"/>
      <c r="LL838" s="317"/>
      <c r="LM838" s="317"/>
      <c r="LN838" s="317"/>
      <c r="LO838" s="317"/>
      <c r="LP838" s="317"/>
      <c r="LQ838" s="317"/>
      <c r="LR838" s="317"/>
      <c r="LS838" s="317"/>
      <c r="LT838" s="317"/>
      <c r="LU838" s="317"/>
      <c r="LV838" s="317"/>
      <c r="LW838" s="317"/>
      <c r="LX838" s="317"/>
      <c r="LY838" s="13"/>
      <c r="LZ838" s="317"/>
      <c r="MA838" s="317"/>
      <c r="MB838" s="317"/>
      <c r="MC838" s="317"/>
      <c r="MD838" s="317"/>
      <c r="ME838" s="317"/>
      <c r="MF838" s="317"/>
      <c r="MG838" s="317"/>
      <c r="MH838" s="317"/>
      <c r="MI838" s="317"/>
      <c r="MJ838" s="317"/>
      <c r="MK838" s="317"/>
      <c r="ML838" s="317"/>
      <c r="MM838" s="317"/>
      <c r="MN838" s="317"/>
      <c r="MO838" s="317"/>
      <c r="MP838" s="317"/>
      <c r="MQ838" s="317"/>
      <c r="MR838" s="317"/>
      <c r="MS838" s="317"/>
      <c r="MT838" s="13"/>
      <c r="MU838" s="317"/>
      <c r="MV838" s="317"/>
      <c r="MW838" s="317"/>
      <c r="MX838" s="317"/>
      <c r="MY838" s="317"/>
      <c r="MZ838" s="13"/>
      <c r="NA838" s="12"/>
      <c r="NB838" s="317"/>
      <c r="NC838" s="317"/>
      <c r="ND838" s="317"/>
      <c r="NE838" s="317"/>
      <c r="NF838" s="317"/>
      <c r="NG838" s="317"/>
      <c r="NH838" s="317"/>
      <c r="NI838" s="317"/>
      <c r="NJ838" s="12"/>
      <c r="NK838" s="317"/>
      <c r="NL838" s="317"/>
      <c r="NM838" s="317"/>
      <c r="NN838" s="317"/>
      <c r="NO838" s="317"/>
      <c r="NP838" s="317"/>
      <c r="NQ838" s="317"/>
      <c r="NR838" s="317"/>
      <c r="NS838" s="317"/>
      <c r="NT838" s="317"/>
      <c r="NU838" s="13"/>
      <c r="NV838" s="317"/>
      <c r="NW838" s="317"/>
      <c r="NX838" s="317"/>
      <c r="NY838" s="317"/>
      <c r="NZ838" s="317"/>
      <c r="OA838" s="317"/>
      <c r="OB838" s="317"/>
      <c r="OC838" s="317"/>
      <c r="OD838" s="317"/>
      <c r="OE838" s="317"/>
      <c r="OF838" s="317"/>
      <c r="OG838" s="317"/>
      <c r="OH838" s="317"/>
      <c r="OI838" s="317"/>
      <c r="OJ838" s="317"/>
      <c r="OK838" s="317"/>
      <c r="OL838" s="317"/>
      <c r="OM838" s="317"/>
      <c r="ON838" s="317"/>
      <c r="OO838" s="317"/>
      <c r="OP838" s="317"/>
      <c r="OQ838" s="317"/>
      <c r="OR838" s="317"/>
      <c r="OS838" s="317"/>
      <c r="OT838" s="317"/>
      <c r="OU838" s="317"/>
      <c r="OV838" s="317"/>
      <c r="OW838" s="317"/>
      <c r="OX838" s="317"/>
      <c r="OY838" s="317"/>
      <c r="OZ838" s="317"/>
      <c r="PA838" s="317"/>
      <c r="PB838" s="317"/>
      <c r="PC838" s="317"/>
      <c r="PD838" s="317"/>
      <c r="PE838" s="317"/>
      <c r="PF838" s="317"/>
      <c r="PG838" s="317"/>
      <c r="PH838" s="317"/>
      <c r="PI838" s="317"/>
      <c r="PJ838" s="317"/>
      <c r="PK838" s="317"/>
      <c r="PL838" s="317"/>
      <c r="PM838" s="317"/>
      <c r="PN838" s="317"/>
      <c r="PO838" s="317"/>
      <c r="PP838" s="317"/>
      <c r="PQ838" s="317"/>
      <c r="PR838" s="317"/>
      <c r="PS838" s="317"/>
      <c r="PT838" s="317"/>
      <c r="PU838" s="317"/>
      <c r="PV838" s="317"/>
      <c r="PW838" s="317"/>
      <c r="PX838" s="317"/>
      <c r="PY838" s="317"/>
      <c r="PZ838" s="317"/>
      <c r="QA838" s="317"/>
      <c r="QB838" s="317"/>
      <c r="QC838" s="317"/>
      <c r="QD838" s="317"/>
      <c r="QE838" s="317"/>
      <c r="QF838" s="317"/>
      <c r="QG838" s="317"/>
      <c r="QH838" s="317"/>
      <c r="QI838" s="317"/>
      <c r="QJ838" s="317"/>
      <c r="QK838" s="317"/>
      <c r="QL838" s="317"/>
      <c r="QM838" s="317"/>
      <c r="QN838" s="317"/>
      <c r="QO838" s="317"/>
      <c r="QP838" s="317"/>
      <c r="QQ838" s="317"/>
      <c r="QR838" s="317"/>
      <c r="QS838" s="317"/>
      <c r="QT838" s="317"/>
      <c r="QU838" s="317"/>
      <c r="QV838" s="317"/>
      <c r="QW838" s="317"/>
      <c r="QX838" s="317"/>
      <c r="QY838" s="317"/>
      <c r="QZ838" s="317"/>
      <c r="RA838" s="317"/>
      <c r="RB838" s="317"/>
      <c r="RC838" s="317"/>
      <c r="RD838" s="317"/>
      <c r="RE838" s="317"/>
      <c r="RF838" s="317"/>
      <c r="RG838" s="317"/>
      <c r="RH838" s="317"/>
      <c r="RI838" s="317"/>
      <c r="RJ838" s="317"/>
      <c r="RK838" s="317"/>
      <c r="RL838" s="317"/>
      <c r="RM838" s="13"/>
      <c r="RN838" s="317"/>
      <c r="RO838" s="317"/>
      <c r="RP838" s="13"/>
      <c r="RQ838" s="317"/>
      <c r="RR838" s="317"/>
      <c r="RS838" s="317"/>
      <c r="RT838" s="317"/>
      <c r="RU838" s="317"/>
      <c r="RV838" s="13"/>
      <c r="WL838" s="13"/>
    </row>
    <row r="839" spans="82:658" ht="10.75" customHeight="1">
      <c r="CD839" s="229"/>
      <c r="CE839" s="231"/>
      <c r="CF839" s="231"/>
      <c r="CG839" s="231"/>
      <c r="CH839" s="231"/>
      <c r="CI839" s="231"/>
      <c r="CJ839" s="214"/>
      <c r="CK839" s="49"/>
      <c r="CL839" s="49"/>
      <c r="CM839" s="49"/>
      <c r="CN839" s="49"/>
      <c r="CO839" s="49"/>
      <c r="CP839" s="49"/>
      <c r="CQ839" s="49"/>
      <c r="CR839" s="49"/>
      <c r="CS839" s="208"/>
      <c r="CT839" s="42"/>
      <c r="CU839" s="43"/>
      <c r="CV839" s="43"/>
      <c r="CW839" s="12"/>
      <c r="CX839" s="13"/>
      <c r="DB839" s="13"/>
      <c r="DX839" s="13"/>
      <c r="DY839" s="162"/>
      <c r="DZ839" s="161"/>
      <c r="EA839" s="12"/>
      <c r="EB839" s="13"/>
      <c r="EF839" s="13"/>
      <c r="ES839" s="12"/>
      <c r="ET839" s="313"/>
      <c r="EZ839" s="297"/>
      <c r="GP839" s="13"/>
      <c r="GQ839" s="43"/>
      <c r="GR839" s="43"/>
      <c r="GS839" s="45"/>
      <c r="GT839" s="49"/>
      <c r="GU839" s="49"/>
      <c r="GV839" s="49"/>
      <c r="GW839" s="49"/>
      <c r="GX839" s="49"/>
      <c r="GY839" s="49"/>
      <c r="GZ839" s="49"/>
      <c r="HA839" s="208"/>
      <c r="HB839" s="231"/>
      <c r="HC839" s="231"/>
      <c r="HD839" s="231"/>
      <c r="HE839" s="231"/>
      <c r="HF839" s="231"/>
      <c r="HG839" s="231"/>
      <c r="HH839" s="231"/>
      <c r="HI839" s="232"/>
      <c r="KM839" s="12"/>
      <c r="KN839" s="317"/>
      <c r="KO839" s="317"/>
      <c r="KP839" s="317"/>
      <c r="KQ839" s="317"/>
      <c r="KR839" s="317"/>
      <c r="KS839" s="317"/>
      <c r="KT839" s="317"/>
      <c r="KU839" s="317"/>
      <c r="KV839" s="317"/>
      <c r="KW839" s="317"/>
      <c r="KX839" s="317"/>
      <c r="KY839" s="317"/>
      <c r="KZ839" s="317"/>
      <c r="LA839" s="317"/>
      <c r="LB839" s="317"/>
      <c r="LC839" s="317"/>
      <c r="LD839" s="317"/>
      <c r="LE839" s="317"/>
      <c r="LF839" s="317"/>
      <c r="LG839" s="317"/>
      <c r="LH839" s="317"/>
      <c r="LI839" s="317"/>
      <c r="LJ839" s="317"/>
      <c r="LK839" s="317"/>
      <c r="LL839" s="317"/>
      <c r="LM839" s="317"/>
      <c r="LN839" s="317"/>
      <c r="LO839" s="317"/>
      <c r="LP839" s="317"/>
      <c r="LQ839" s="317"/>
      <c r="LR839" s="317"/>
      <c r="LS839" s="317"/>
      <c r="LT839" s="317"/>
      <c r="LU839" s="317"/>
      <c r="LV839" s="317"/>
      <c r="LW839" s="317"/>
      <c r="LX839" s="317"/>
      <c r="LY839" s="13"/>
      <c r="LZ839" s="317"/>
      <c r="MA839" s="317"/>
      <c r="MB839" s="317"/>
      <c r="MC839" s="317"/>
      <c r="MD839" s="317"/>
      <c r="ME839" s="317"/>
      <c r="MF839" s="317"/>
      <c r="MG839" s="317"/>
      <c r="MH839" s="317"/>
      <c r="MI839" s="317"/>
      <c r="MJ839" s="317"/>
      <c r="MK839" s="317"/>
      <c r="ML839" s="317"/>
      <c r="MM839" s="317"/>
      <c r="MN839" s="317"/>
      <c r="MO839" s="317"/>
      <c r="MP839" s="317"/>
      <c r="MQ839" s="317"/>
      <c r="MR839" s="317"/>
      <c r="MS839" s="317"/>
      <c r="MT839" s="13"/>
      <c r="MU839" s="317"/>
      <c r="MV839" s="317"/>
      <c r="MW839" s="317"/>
      <c r="MX839" s="317"/>
      <c r="MY839" s="317"/>
      <c r="MZ839" s="13"/>
      <c r="NA839" s="12"/>
      <c r="NB839" s="317"/>
      <c r="NC839" s="317"/>
      <c r="ND839" s="317"/>
      <c r="NE839" s="317"/>
      <c r="NF839" s="317"/>
      <c r="NG839" s="317"/>
      <c r="NH839" s="317"/>
      <c r="NI839" s="317"/>
      <c r="NJ839" s="12"/>
      <c r="NK839" s="317"/>
      <c r="NL839" s="317"/>
      <c r="NM839" s="317"/>
      <c r="NN839" s="317"/>
      <c r="NO839" s="317"/>
      <c r="NP839" s="317"/>
      <c r="NQ839" s="317"/>
      <c r="NR839" s="317"/>
      <c r="NS839" s="317"/>
      <c r="NT839" s="317"/>
      <c r="NU839" s="13"/>
      <c r="NV839" s="317"/>
      <c r="NW839" s="317"/>
      <c r="NX839" s="317"/>
      <c r="NY839" s="317"/>
      <c r="NZ839" s="317"/>
      <c r="OA839" s="317"/>
      <c r="OB839" s="317"/>
      <c r="OC839" s="317"/>
      <c r="OD839" s="317"/>
      <c r="OE839" s="317"/>
      <c r="OF839" s="317"/>
      <c r="OG839" s="317"/>
      <c r="OH839" s="317"/>
      <c r="OI839" s="317"/>
      <c r="OJ839" s="317"/>
      <c r="OK839" s="317"/>
      <c r="OL839" s="317"/>
      <c r="OM839" s="317"/>
      <c r="ON839" s="317"/>
      <c r="OO839" s="317"/>
      <c r="OP839" s="317"/>
      <c r="OQ839" s="317"/>
      <c r="OR839" s="317"/>
      <c r="OS839" s="317"/>
      <c r="OT839" s="317"/>
      <c r="OU839" s="317"/>
      <c r="OV839" s="317"/>
      <c r="OW839" s="317"/>
      <c r="OX839" s="317"/>
      <c r="OY839" s="317"/>
      <c r="OZ839" s="317"/>
      <c r="PA839" s="317"/>
      <c r="PB839" s="317"/>
      <c r="PC839" s="317"/>
      <c r="PD839" s="317"/>
      <c r="PE839" s="317"/>
      <c r="PF839" s="317"/>
      <c r="PG839" s="317"/>
      <c r="PH839" s="317"/>
      <c r="PI839" s="317"/>
      <c r="PJ839" s="317"/>
      <c r="PK839" s="317"/>
      <c r="PL839" s="317"/>
      <c r="PM839" s="317"/>
      <c r="PN839" s="317"/>
      <c r="PO839" s="317"/>
      <c r="PP839" s="317"/>
      <c r="PQ839" s="317"/>
      <c r="PR839" s="317"/>
      <c r="PS839" s="317"/>
      <c r="PT839" s="317"/>
      <c r="PU839" s="317"/>
      <c r="PV839" s="317"/>
      <c r="PW839" s="317"/>
      <c r="PX839" s="317"/>
      <c r="PY839" s="317"/>
      <c r="PZ839" s="317"/>
      <c r="QA839" s="317"/>
      <c r="QB839" s="317"/>
      <c r="QC839" s="317"/>
      <c r="QD839" s="317"/>
      <c r="QE839" s="317"/>
      <c r="QF839" s="317"/>
      <c r="QG839" s="317"/>
      <c r="QH839" s="317"/>
      <c r="QI839" s="317"/>
      <c r="QJ839" s="317"/>
      <c r="QK839" s="317"/>
      <c r="QL839" s="317"/>
      <c r="QM839" s="317"/>
      <c r="QN839" s="317"/>
      <c r="QO839" s="317"/>
      <c r="QP839" s="317"/>
      <c r="QQ839" s="317"/>
      <c r="QR839" s="317"/>
      <c r="QS839" s="317"/>
      <c r="QT839" s="317"/>
      <c r="QU839" s="317"/>
      <c r="QV839" s="317"/>
      <c r="QW839" s="317"/>
      <c r="QX839" s="317"/>
      <c r="QY839" s="317"/>
      <c r="QZ839" s="317"/>
      <c r="RA839" s="317"/>
      <c r="RB839" s="317"/>
      <c r="RC839" s="317"/>
      <c r="RD839" s="317"/>
      <c r="RE839" s="317"/>
      <c r="RF839" s="317"/>
      <c r="RG839" s="317"/>
      <c r="RH839" s="317"/>
      <c r="RI839" s="317"/>
      <c r="RJ839" s="317"/>
      <c r="RK839" s="317"/>
      <c r="RL839" s="317"/>
      <c r="RM839" s="13"/>
      <c r="RN839" s="317"/>
      <c r="RO839" s="317"/>
      <c r="RP839" s="13"/>
      <c r="RQ839" s="317"/>
      <c r="RR839" s="317"/>
      <c r="RS839" s="317"/>
      <c r="RT839" s="317"/>
      <c r="RU839" s="317"/>
      <c r="RV839" s="13"/>
      <c r="WL839" s="13"/>
    </row>
    <row r="840" spans="82:658" ht="10.75" customHeight="1">
      <c r="CD840" s="229"/>
      <c r="CE840" s="231"/>
      <c r="CF840" s="231"/>
      <c r="CG840" s="231"/>
      <c r="CH840" s="231"/>
      <c r="CI840" s="231"/>
      <c r="CJ840" s="214"/>
      <c r="CK840" s="49"/>
      <c r="CL840" s="49"/>
      <c r="CM840" s="49"/>
      <c r="CN840" s="49"/>
      <c r="CO840" s="49"/>
      <c r="CP840" s="49"/>
      <c r="CQ840" s="49"/>
      <c r="CR840" s="49"/>
      <c r="CS840" s="208"/>
      <c r="CT840" s="42"/>
      <c r="CU840" s="43"/>
      <c r="CV840" s="43"/>
      <c r="CW840" s="12"/>
      <c r="CX840" s="13"/>
      <c r="DB840" s="13"/>
      <c r="DX840" s="13"/>
      <c r="DY840" s="162"/>
      <c r="DZ840" s="161"/>
      <c r="EA840" s="12"/>
      <c r="EB840" s="13"/>
      <c r="EF840" s="13"/>
      <c r="ES840" s="12"/>
      <c r="ET840" s="313"/>
      <c r="EZ840" s="297"/>
      <c r="GP840" s="13"/>
      <c r="GQ840" s="43"/>
      <c r="GR840" s="43"/>
      <c r="GS840" s="45"/>
      <c r="GT840" s="49"/>
      <c r="GU840" s="49"/>
      <c r="GV840" s="49"/>
      <c r="GW840" s="49"/>
      <c r="GX840" s="49"/>
      <c r="GY840" s="49"/>
      <c r="GZ840" s="49"/>
      <c r="HA840" s="208"/>
      <c r="HB840" s="231"/>
      <c r="HC840" s="231"/>
      <c r="HD840" s="231"/>
      <c r="HE840" s="231"/>
      <c r="HF840" s="231"/>
      <c r="HG840" s="231"/>
      <c r="HH840" s="231"/>
      <c r="HI840" s="232"/>
      <c r="KM840" s="12"/>
      <c r="KN840" s="317"/>
      <c r="KO840" s="317"/>
      <c r="KP840" s="317"/>
      <c r="KQ840" s="317"/>
      <c r="KR840" s="317"/>
      <c r="KS840" s="317"/>
      <c r="KT840" s="317"/>
      <c r="KU840" s="317"/>
      <c r="KV840" s="317"/>
      <c r="KW840" s="317"/>
      <c r="KX840" s="317"/>
      <c r="KY840" s="317"/>
      <c r="KZ840" s="317"/>
      <c r="LA840" s="317"/>
      <c r="LB840" s="317"/>
      <c r="LC840" s="317"/>
      <c r="LD840" s="317"/>
      <c r="LE840" s="317"/>
      <c r="LF840" s="317"/>
      <c r="LG840" s="317"/>
      <c r="LH840" s="317"/>
      <c r="LI840" s="317"/>
      <c r="LJ840" s="317"/>
      <c r="LK840" s="317"/>
      <c r="LL840" s="317"/>
      <c r="LM840" s="317"/>
      <c r="LN840" s="317"/>
      <c r="LO840" s="317"/>
      <c r="LP840" s="317"/>
      <c r="LQ840" s="317"/>
      <c r="LR840" s="317"/>
      <c r="LS840" s="317"/>
      <c r="LT840" s="317"/>
      <c r="LU840" s="317"/>
      <c r="LV840" s="317"/>
      <c r="LW840" s="317"/>
      <c r="LX840" s="317"/>
      <c r="LY840" s="13"/>
      <c r="LZ840" s="317"/>
      <c r="MA840" s="317"/>
      <c r="MB840" s="317"/>
      <c r="MC840" s="317"/>
      <c r="MD840" s="317"/>
      <c r="ME840" s="317"/>
      <c r="MF840" s="317"/>
      <c r="MG840" s="317"/>
      <c r="MH840" s="317"/>
      <c r="MI840" s="317"/>
      <c r="MJ840" s="317"/>
      <c r="MK840" s="317"/>
      <c r="ML840" s="317"/>
      <c r="MM840" s="317"/>
      <c r="MN840" s="317"/>
      <c r="MO840" s="317"/>
      <c r="MP840" s="317"/>
      <c r="MQ840" s="317"/>
      <c r="MR840" s="317"/>
      <c r="MS840" s="317"/>
      <c r="MT840" s="13"/>
      <c r="MU840" s="317"/>
      <c r="MV840" s="317"/>
      <c r="MW840" s="317"/>
      <c r="MX840" s="317"/>
      <c r="MY840" s="317"/>
      <c r="MZ840" s="13"/>
      <c r="NA840" s="12"/>
      <c r="NB840" s="317"/>
      <c r="NC840" s="317"/>
      <c r="ND840" s="317"/>
      <c r="NE840" s="317"/>
      <c r="NF840" s="317"/>
      <c r="NG840" s="317"/>
      <c r="NH840" s="317"/>
      <c r="NI840" s="317"/>
      <c r="NJ840" s="14"/>
      <c r="NK840" s="15"/>
      <c r="NL840" s="15"/>
      <c r="NM840" s="15"/>
      <c r="NN840" s="15"/>
      <c r="NO840" s="15"/>
      <c r="NP840" s="15"/>
      <c r="NQ840" s="15"/>
      <c r="NR840" s="15"/>
      <c r="NS840" s="15"/>
      <c r="NT840" s="15"/>
      <c r="NU840" s="16"/>
      <c r="NV840" s="317"/>
      <c r="NW840" s="317"/>
      <c r="NX840" s="317"/>
      <c r="NY840" s="317"/>
      <c r="NZ840" s="317"/>
      <c r="OA840" s="317"/>
      <c r="OB840" s="317"/>
      <c r="OC840" s="317"/>
      <c r="OD840" s="317"/>
      <c r="OE840" s="317"/>
      <c r="OF840" s="317"/>
      <c r="OG840" s="317"/>
      <c r="OH840" s="317"/>
      <c r="OI840" s="317"/>
      <c r="OJ840" s="317"/>
      <c r="OK840" s="317"/>
      <c r="OL840" s="317"/>
      <c r="OM840" s="317"/>
      <c r="ON840" s="317"/>
      <c r="OO840" s="317"/>
      <c r="OP840" s="317"/>
      <c r="OQ840" s="317"/>
      <c r="OR840" s="317"/>
      <c r="OS840" s="317"/>
      <c r="OT840" s="317"/>
      <c r="OU840" s="317"/>
      <c r="OV840" s="317"/>
      <c r="OW840" s="317"/>
      <c r="OX840" s="317"/>
      <c r="OY840" s="317"/>
      <c r="OZ840" s="317"/>
      <c r="PA840" s="317"/>
      <c r="PB840" s="317"/>
      <c r="PC840" s="317"/>
      <c r="PD840" s="317"/>
      <c r="PE840" s="317"/>
      <c r="PF840" s="317"/>
      <c r="PG840" s="317"/>
      <c r="PH840" s="317"/>
      <c r="PI840" s="317"/>
      <c r="PJ840" s="317"/>
      <c r="PK840" s="317"/>
      <c r="PL840" s="317"/>
      <c r="PM840" s="317"/>
      <c r="PN840" s="317"/>
      <c r="PO840" s="317"/>
      <c r="PP840" s="317"/>
      <c r="PQ840" s="317"/>
      <c r="PR840" s="317"/>
      <c r="PS840" s="317"/>
      <c r="PT840" s="317"/>
      <c r="PU840" s="317"/>
      <c r="PV840" s="317"/>
      <c r="PW840" s="317"/>
      <c r="PX840" s="317"/>
      <c r="PY840" s="317"/>
      <c r="PZ840" s="317"/>
      <c r="QA840" s="317"/>
      <c r="QB840" s="317"/>
      <c r="QC840" s="317"/>
      <c r="QD840" s="317"/>
      <c r="QE840" s="317"/>
      <c r="QF840" s="317"/>
      <c r="QG840" s="317"/>
      <c r="QH840" s="317"/>
      <c r="QI840" s="317"/>
      <c r="QJ840" s="317"/>
      <c r="QK840" s="317"/>
      <c r="QL840" s="317"/>
      <c r="QM840" s="317"/>
      <c r="QN840" s="317"/>
      <c r="QO840" s="317"/>
      <c r="QP840" s="317"/>
      <c r="QQ840" s="317"/>
      <c r="QR840" s="317"/>
      <c r="QS840" s="317"/>
      <c r="QT840" s="317"/>
      <c r="QU840" s="317"/>
      <c r="QV840" s="317"/>
      <c r="QW840" s="317"/>
      <c r="QX840" s="317"/>
      <c r="QY840" s="317"/>
      <c r="QZ840" s="317"/>
      <c r="RA840" s="317"/>
      <c r="RB840" s="317"/>
      <c r="RC840" s="317"/>
      <c r="RD840" s="317"/>
      <c r="RE840" s="317"/>
      <c r="RF840" s="317"/>
      <c r="RG840" s="317"/>
      <c r="RH840" s="317"/>
      <c r="RI840" s="317"/>
      <c r="RJ840" s="317"/>
      <c r="RK840" s="317"/>
      <c r="RL840" s="317"/>
      <c r="RM840" s="13"/>
      <c r="RN840" s="317"/>
      <c r="RO840" s="317"/>
      <c r="RP840" s="13"/>
      <c r="RQ840" s="317"/>
      <c r="RR840" s="317"/>
      <c r="RS840" s="317"/>
      <c r="RT840" s="317"/>
      <c r="RU840" s="317"/>
      <c r="RV840" s="13"/>
      <c r="WL840" s="13"/>
    </row>
    <row r="841" spans="82:658" ht="10.75" customHeight="1">
      <c r="CD841" s="229"/>
      <c r="CE841" s="231"/>
      <c r="CF841" s="231"/>
      <c r="CG841" s="231"/>
      <c r="CH841" s="231"/>
      <c r="CI841" s="231"/>
      <c r="CJ841" s="214"/>
      <c r="CK841" s="49"/>
      <c r="CL841" s="49"/>
      <c r="CM841" s="49"/>
      <c r="CN841" s="49"/>
      <c r="CO841" s="49"/>
      <c r="CP841" s="49"/>
      <c r="CQ841" s="49"/>
      <c r="CR841" s="49"/>
      <c r="CS841" s="208"/>
      <c r="CT841" s="42"/>
      <c r="CU841" s="43"/>
      <c r="CV841" s="43"/>
      <c r="CW841" s="12"/>
      <c r="CX841" s="13"/>
      <c r="DB841" s="13"/>
      <c r="DX841" s="13"/>
      <c r="DY841" s="162"/>
      <c r="DZ841" s="161"/>
      <c r="EA841" s="12"/>
      <c r="EB841" s="13"/>
      <c r="EF841" s="13"/>
      <c r="ES841" s="12"/>
      <c r="ET841" s="313"/>
      <c r="EZ841" s="297"/>
      <c r="GP841" s="13"/>
      <c r="GQ841" s="43"/>
      <c r="GR841" s="43"/>
      <c r="GS841" s="45"/>
      <c r="GT841" s="49"/>
      <c r="GU841" s="49"/>
      <c r="GV841" s="49"/>
      <c r="GW841" s="49"/>
      <c r="GX841" s="49"/>
      <c r="GY841" s="49"/>
      <c r="GZ841" s="49"/>
      <c r="HA841" s="208"/>
      <c r="HB841" s="231"/>
      <c r="HC841" s="231"/>
      <c r="HD841" s="231"/>
      <c r="HE841" s="231"/>
      <c r="HF841" s="231"/>
      <c r="HG841" s="231"/>
      <c r="HH841" s="231"/>
      <c r="HI841" s="232"/>
      <c r="KM841" s="12"/>
      <c r="KN841" s="317"/>
      <c r="KO841" s="317"/>
      <c r="KP841" s="317"/>
      <c r="KQ841" s="317"/>
      <c r="KR841" s="317"/>
      <c r="KS841" s="317"/>
      <c r="KT841" s="317"/>
      <c r="KU841" s="317"/>
      <c r="KV841" s="317"/>
      <c r="KW841" s="317"/>
      <c r="KX841" s="317"/>
      <c r="KY841" s="317"/>
      <c r="KZ841" s="317"/>
      <c r="LA841" s="317"/>
      <c r="LB841" s="317"/>
      <c r="LC841" s="317"/>
      <c r="LD841" s="317"/>
      <c r="LE841" s="317"/>
      <c r="LF841" s="317"/>
      <c r="LG841" s="317"/>
      <c r="LH841" s="317"/>
      <c r="LI841" s="317"/>
      <c r="LJ841" s="317"/>
      <c r="LK841" s="317"/>
      <c r="LL841" s="317"/>
      <c r="LM841" s="317"/>
      <c r="LN841" s="317"/>
      <c r="LO841" s="317"/>
      <c r="LP841" s="317"/>
      <c r="LQ841" s="317"/>
      <c r="LR841" s="317"/>
      <c r="LS841" s="317"/>
      <c r="LT841" s="317"/>
      <c r="LU841" s="317"/>
      <c r="LV841" s="317"/>
      <c r="LW841" s="317"/>
      <c r="LX841" s="317"/>
      <c r="LY841" s="13"/>
      <c r="LZ841" s="317"/>
      <c r="MA841" s="317"/>
      <c r="MB841" s="317"/>
      <c r="MC841" s="317"/>
      <c r="MD841" s="317"/>
      <c r="ME841" s="317"/>
      <c r="MF841" s="317"/>
      <c r="MG841" s="317"/>
      <c r="MH841" s="317"/>
      <c r="MI841" s="317"/>
      <c r="MJ841" s="317"/>
      <c r="MK841" s="317"/>
      <c r="ML841" s="317"/>
      <c r="MM841" s="317"/>
      <c r="MN841" s="317"/>
      <c r="MO841" s="317"/>
      <c r="MP841" s="317"/>
      <c r="MQ841" s="317"/>
      <c r="MR841" s="317"/>
      <c r="MS841" s="317"/>
      <c r="MT841" s="13"/>
      <c r="MU841" s="317"/>
      <c r="MV841" s="317"/>
      <c r="MW841" s="317"/>
      <c r="MX841" s="317"/>
      <c r="MY841" s="317"/>
      <c r="MZ841" s="13"/>
      <c r="NA841" s="12"/>
      <c r="NB841" s="317"/>
      <c r="NC841" s="317"/>
      <c r="ND841" s="317"/>
      <c r="NE841" s="317"/>
      <c r="NF841" s="317"/>
      <c r="NG841" s="317"/>
      <c r="NH841" s="317"/>
      <c r="NI841" s="317"/>
      <c r="NJ841" s="317"/>
      <c r="NK841" s="317"/>
      <c r="NL841" s="317"/>
      <c r="NM841" s="317"/>
      <c r="NN841" s="317"/>
      <c r="NO841" s="317"/>
      <c r="NP841" s="317"/>
      <c r="NQ841" s="317"/>
      <c r="NR841" s="317"/>
      <c r="NS841" s="317"/>
      <c r="NT841" s="317"/>
      <c r="NU841" s="317"/>
      <c r="NV841" s="9"/>
      <c r="NW841" s="10"/>
      <c r="NX841" s="10"/>
      <c r="NY841" s="10"/>
      <c r="NZ841" s="10"/>
      <c r="OA841" s="10"/>
      <c r="OB841" s="10"/>
      <c r="OC841" s="10"/>
      <c r="OD841" s="10"/>
      <c r="OE841" s="10"/>
      <c r="OF841" s="10"/>
      <c r="OG841" s="11"/>
      <c r="OH841" s="317"/>
      <c r="OI841" s="317"/>
      <c r="OJ841" s="317"/>
      <c r="OK841" s="317"/>
      <c r="OL841" s="317"/>
      <c r="OM841" s="317"/>
      <c r="ON841" s="317"/>
      <c r="OO841" s="317"/>
      <c r="OP841" s="317"/>
      <c r="OQ841" s="317"/>
      <c r="OR841" s="317"/>
      <c r="OS841" s="317"/>
      <c r="OT841" s="317"/>
      <c r="OU841" s="317"/>
      <c r="OV841" s="317"/>
      <c r="OW841" s="317"/>
      <c r="OX841" s="317"/>
      <c r="OY841" s="317"/>
      <c r="OZ841" s="317"/>
      <c r="PA841" s="317"/>
      <c r="PB841" s="317"/>
      <c r="PC841" s="317"/>
      <c r="PD841" s="317"/>
      <c r="PE841" s="317"/>
      <c r="PF841" s="317"/>
      <c r="PG841" s="317"/>
      <c r="PH841" s="317"/>
      <c r="PI841" s="317"/>
      <c r="PJ841" s="317"/>
      <c r="PK841" s="317"/>
      <c r="PL841" s="317"/>
      <c r="PM841" s="317"/>
      <c r="PN841" s="317"/>
      <c r="PO841" s="317"/>
      <c r="PP841" s="317"/>
      <c r="PQ841" s="317"/>
      <c r="PR841" s="317"/>
      <c r="PS841" s="317"/>
      <c r="PT841" s="317"/>
      <c r="PU841" s="317"/>
      <c r="PV841" s="317"/>
      <c r="PW841" s="317"/>
      <c r="PX841" s="317"/>
      <c r="PY841" s="317"/>
      <c r="PZ841" s="317"/>
      <c r="QA841" s="317"/>
      <c r="QB841" s="317"/>
      <c r="QC841" s="317"/>
      <c r="QD841" s="317"/>
      <c r="QE841" s="317"/>
      <c r="QF841" s="317"/>
      <c r="QG841" s="317"/>
      <c r="QH841" s="317"/>
      <c r="QI841" s="317"/>
      <c r="QJ841" s="317"/>
      <c r="QK841" s="317"/>
      <c r="QL841" s="317"/>
      <c r="QM841" s="317"/>
      <c r="QN841" s="317"/>
      <c r="QO841" s="317"/>
      <c r="QP841" s="317"/>
      <c r="QQ841" s="317"/>
      <c r="QR841" s="317"/>
      <c r="QS841" s="317"/>
      <c r="QT841" s="317"/>
      <c r="QU841" s="317"/>
      <c r="QV841" s="317"/>
      <c r="QW841" s="317"/>
      <c r="QX841" s="317"/>
      <c r="QY841" s="317"/>
      <c r="QZ841" s="317"/>
      <c r="RA841" s="317"/>
      <c r="RB841" s="317"/>
      <c r="RC841" s="317"/>
      <c r="RD841" s="317"/>
      <c r="RE841" s="317"/>
      <c r="RF841" s="317"/>
      <c r="RG841" s="317"/>
      <c r="RH841" s="317"/>
      <c r="RI841" s="317"/>
      <c r="RJ841" s="317"/>
      <c r="RK841" s="317"/>
      <c r="RL841" s="317"/>
      <c r="RM841" s="13"/>
      <c r="RN841" s="317"/>
      <c r="RO841" s="317"/>
      <c r="RP841" s="13"/>
      <c r="RQ841" s="317"/>
      <c r="RR841" s="317"/>
      <c r="RS841" s="317"/>
      <c r="RT841" s="317"/>
      <c r="RU841" s="317"/>
      <c r="RV841" s="13"/>
      <c r="WL841" s="13"/>
    </row>
    <row r="842" spans="82:658" ht="10.75" customHeight="1">
      <c r="CD842" s="229"/>
      <c r="CE842" s="231"/>
      <c r="CF842" s="231"/>
      <c r="CG842" s="231"/>
      <c r="CH842" s="231"/>
      <c r="CI842" s="231"/>
      <c r="CJ842" s="214"/>
      <c r="CK842" s="49"/>
      <c r="CL842" s="49"/>
      <c r="CM842" s="49"/>
      <c r="CN842" s="49"/>
      <c r="CO842" s="49"/>
      <c r="CP842" s="49"/>
      <c r="CQ842" s="49"/>
      <c r="CR842" s="49"/>
      <c r="CS842" s="208"/>
      <c r="CT842" s="42"/>
      <c r="CU842" s="43"/>
      <c r="CV842" s="43"/>
      <c r="CW842" s="14"/>
      <c r="CX842" s="16"/>
      <c r="CY842" s="15"/>
      <c r="CZ842" s="15"/>
      <c r="DA842" s="15"/>
      <c r="DB842" s="16"/>
      <c r="DX842" s="13"/>
      <c r="DY842" s="162"/>
      <c r="DZ842" s="161"/>
      <c r="EA842" s="14"/>
      <c r="EB842" s="16"/>
      <c r="EC842" s="15"/>
      <c r="ED842" s="15"/>
      <c r="EE842" s="15"/>
      <c r="EF842" s="16"/>
      <c r="ES842" s="12"/>
      <c r="ET842" s="313"/>
      <c r="EZ842" s="297"/>
      <c r="GP842" s="13"/>
      <c r="GQ842" s="43"/>
      <c r="GR842" s="43"/>
      <c r="GS842" s="45"/>
      <c r="GT842" s="49"/>
      <c r="GU842" s="49"/>
      <c r="GV842" s="49"/>
      <c r="GW842" s="49"/>
      <c r="GX842" s="49"/>
      <c r="GY842" s="49"/>
      <c r="GZ842" s="49"/>
      <c r="HA842" s="208"/>
      <c r="HB842" s="231"/>
      <c r="HC842" s="231"/>
      <c r="HD842" s="231"/>
      <c r="HE842" s="231"/>
      <c r="HF842" s="231"/>
      <c r="HG842" s="231"/>
      <c r="HH842" s="231"/>
      <c r="HI842" s="232"/>
      <c r="KM842" s="12"/>
      <c r="KN842" s="317"/>
      <c r="KO842" s="317"/>
      <c r="KP842" s="317"/>
      <c r="KQ842" s="317"/>
      <c r="KR842" s="317"/>
      <c r="KS842" s="317"/>
      <c r="KT842" s="317"/>
      <c r="KU842" s="317"/>
      <c r="KV842" s="317"/>
      <c r="KW842" s="317"/>
      <c r="KX842" s="317"/>
      <c r="KY842" s="317"/>
      <c r="KZ842" s="317"/>
      <c r="LA842" s="317"/>
      <c r="LB842" s="317"/>
      <c r="LC842" s="317"/>
      <c r="LD842" s="317"/>
      <c r="LE842" s="317"/>
      <c r="LF842" s="317"/>
      <c r="LG842" s="317"/>
      <c r="LH842" s="317"/>
      <c r="LI842" s="317"/>
      <c r="LJ842" s="317"/>
      <c r="LK842" s="317"/>
      <c r="LL842" s="317"/>
      <c r="LM842" s="317"/>
      <c r="LN842" s="317"/>
      <c r="LO842" s="317"/>
      <c r="LP842" s="317"/>
      <c r="LQ842" s="317"/>
      <c r="LR842" s="317"/>
      <c r="LS842" s="317"/>
      <c r="LT842" s="317"/>
      <c r="LU842" s="317"/>
      <c r="LV842" s="317"/>
      <c r="LW842" s="317"/>
      <c r="LX842" s="317"/>
      <c r="LY842" s="13"/>
      <c r="LZ842" s="317"/>
      <c r="MA842" s="317"/>
      <c r="MB842" s="317"/>
      <c r="MC842" s="317"/>
      <c r="MD842" s="317"/>
      <c r="ME842" s="317"/>
      <c r="MF842" s="317"/>
      <c r="MG842" s="317"/>
      <c r="MH842" s="317"/>
      <c r="MI842" s="317"/>
      <c r="MJ842" s="317"/>
      <c r="MK842" s="317"/>
      <c r="ML842" s="317"/>
      <c r="MM842" s="317"/>
      <c r="MN842" s="317"/>
      <c r="MO842" s="317"/>
      <c r="MP842" s="317"/>
      <c r="MQ842" s="317"/>
      <c r="MR842" s="317"/>
      <c r="MS842" s="317"/>
      <c r="MT842" s="13"/>
      <c r="MU842" s="317"/>
      <c r="MV842" s="317"/>
      <c r="MW842" s="317"/>
      <c r="MX842" s="317"/>
      <c r="MY842" s="317"/>
      <c r="MZ842" s="13"/>
      <c r="NA842" s="12"/>
      <c r="NB842" s="317"/>
      <c r="NC842" s="317"/>
      <c r="ND842" s="317"/>
      <c r="NE842" s="317"/>
      <c r="NF842" s="317"/>
      <c r="NG842" s="317"/>
      <c r="NH842" s="317"/>
      <c r="NI842" s="317"/>
      <c r="NJ842" s="317"/>
      <c r="NK842" s="317"/>
      <c r="NL842" s="317"/>
      <c r="NM842" s="317"/>
      <c r="NN842" s="317"/>
      <c r="NO842" s="317"/>
      <c r="NP842" s="317"/>
      <c r="NQ842" s="317"/>
      <c r="NR842" s="317"/>
      <c r="NS842" s="317"/>
      <c r="NT842" s="317"/>
      <c r="NU842" s="317"/>
      <c r="NV842" s="12"/>
      <c r="NW842" s="317"/>
      <c r="NX842" s="317"/>
      <c r="NY842" s="317"/>
      <c r="NZ842" s="317"/>
      <c r="OA842" s="317"/>
      <c r="OB842" s="317"/>
      <c r="OC842" s="317"/>
      <c r="OD842" s="317"/>
      <c r="OE842" s="317"/>
      <c r="OF842" s="317"/>
      <c r="OG842" s="13"/>
      <c r="OH842" s="317"/>
      <c r="OI842" s="317"/>
      <c r="OJ842" s="317"/>
      <c r="OK842" s="317"/>
      <c r="OL842" s="317"/>
      <c r="OM842" s="317"/>
      <c r="ON842" s="317"/>
      <c r="OO842" s="317"/>
      <c r="OP842" s="317"/>
      <c r="OQ842" s="317"/>
      <c r="OR842" s="317"/>
      <c r="OS842" s="317"/>
      <c r="OT842" s="317"/>
      <c r="OU842" s="317"/>
      <c r="OV842" s="317"/>
      <c r="OW842" s="317"/>
      <c r="OX842" s="317"/>
      <c r="OY842" s="317"/>
      <c r="OZ842" s="317"/>
      <c r="PA842" s="317"/>
      <c r="PB842" s="317"/>
      <c r="PC842" s="317"/>
      <c r="PD842" s="317"/>
      <c r="PE842" s="317"/>
      <c r="PF842" s="317"/>
      <c r="PG842" s="317"/>
      <c r="PH842" s="317"/>
      <c r="PI842" s="317"/>
      <c r="PJ842" s="317"/>
      <c r="PK842" s="317"/>
      <c r="PL842" s="317"/>
      <c r="PM842" s="317"/>
      <c r="PN842" s="317"/>
      <c r="PO842" s="317"/>
      <c r="PP842" s="317"/>
      <c r="PQ842" s="317"/>
      <c r="PR842" s="317"/>
      <c r="PS842" s="317"/>
      <c r="PT842" s="317"/>
      <c r="PU842" s="317"/>
      <c r="PV842" s="317"/>
      <c r="PW842" s="317"/>
      <c r="PX842" s="317"/>
      <c r="PY842" s="317"/>
      <c r="PZ842" s="317"/>
      <c r="QA842" s="317"/>
      <c r="QB842" s="317"/>
      <c r="QC842" s="317"/>
      <c r="QD842" s="317"/>
      <c r="QE842" s="317"/>
      <c r="QF842" s="317"/>
      <c r="QG842" s="317"/>
      <c r="QH842" s="317"/>
      <c r="QI842" s="317"/>
      <c r="QJ842" s="317"/>
      <c r="QK842" s="317"/>
      <c r="QL842" s="317"/>
      <c r="QM842" s="317"/>
      <c r="QN842" s="317"/>
      <c r="QO842" s="317"/>
      <c r="QP842" s="317"/>
      <c r="QQ842" s="317"/>
      <c r="QR842" s="317"/>
      <c r="QS842" s="317"/>
      <c r="QT842" s="317"/>
      <c r="QU842" s="317"/>
      <c r="QV842" s="317"/>
      <c r="QW842" s="317"/>
      <c r="QX842" s="317"/>
      <c r="QY842" s="317"/>
      <c r="QZ842" s="317"/>
      <c r="RA842" s="317"/>
      <c r="RB842" s="317"/>
      <c r="RC842" s="317"/>
      <c r="RD842" s="317"/>
      <c r="RE842" s="317"/>
      <c r="RF842" s="317"/>
      <c r="RG842" s="317"/>
      <c r="RH842" s="317"/>
      <c r="RI842" s="317"/>
      <c r="RJ842" s="317"/>
      <c r="RK842" s="317"/>
      <c r="RL842" s="317"/>
      <c r="RM842" s="13"/>
      <c r="RN842" s="317"/>
      <c r="RO842" s="317"/>
      <c r="RP842" s="13"/>
      <c r="RQ842" s="317"/>
      <c r="RR842" s="317"/>
      <c r="RS842" s="317"/>
      <c r="RT842" s="317"/>
      <c r="RU842" s="317"/>
      <c r="RV842" s="13"/>
      <c r="WL842" s="13"/>
    </row>
    <row r="843" spans="82:658" ht="10.75" customHeight="1">
      <c r="CD843" s="229"/>
      <c r="CE843" s="231"/>
      <c r="CF843" s="231"/>
      <c r="CG843" s="231"/>
      <c r="CH843" s="231"/>
      <c r="CI843" s="231"/>
      <c r="CJ843" s="214"/>
      <c r="CK843" s="49"/>
      <c r="CL843" s="49"/>
      <c r="CM843" s="49"/>
      <c r="CN843" s="49"/>
      <c r="CO843" s="49"/>
      <c r="CP843" s="49"/>
      <c r="CQ843" s="49"/>
      <c r="CR843" s="49"/>
      <c r="CS843" s="208"/>
      <c r="CT843" s="42"/>
      <c r="CU843" s="43"/>
      <c r="CV843" s="43"/>
      <c r="CW843" s="12"/>
      <c r="DX843" s="13"/>
      <c r="DY843" s="162"/>
      <c r="DZ843" s="161"/>
      <c r="ES843" s="12"/>
      <c r="ET843" s="313"/>
      <c r="EZ843" s="297"/>
      <c r="GP843" s="13"/>
      <c r="GQ843" s="43"/>
      <c r="GR843" s="43"/>
      <c r="GS843" s="45"/>
      <c r="GT843" s="49"/>
      <c r="GU843" s="49"/>
      <c r="GV843" s="49"/>
      <c r="GW843" s="49"/>
      <c r="GX843" s="49"/>
      <c r="GY843" s="49"/>
      <c r="GZ843" s="49"/>
      <c r="HA843" s="208"/>
      <c r="HB843" s="231"/>
      <c r="HC843" s="231"/>
      <c r="HD843" s="231"/>
      <c r="HE843" s="231"/>
      <c r="HF843" s="231"/>
      <c r="HG843" s="231"/>
      <c r="HH843" s="231"/>
      <c r="HI843" s="232"/>
      <c r="KM843" s="14"/>
      <c r="KN843" s="15"/>
      <c r="KO843" s="15"/>
      <c r="KP843" s="15"/>
      <c r="KQ843" s="15"/>
      <c r="KR843" s="15"/>
      <c r="KS843" s="15"/>
      <c r="KT843" s="15"/>
      <c r="KU843" s="15"/>
      <c r="KV843" s="15"/>
      <c r="KW843" s="15"/>
      <c r="KX843" s="15"/>
      <c r="KY843" s="15"/>
      <c r="KZ843" s="15"/>
      <c r="LA843" s="15"/>
      <c r="LB843" s="15"/>
      <c r="LC843" s="15"/>
      <c r="LD843" s="15"/>
      <c r="LE843" s="15"/>
      <c r="LF843" s="15"/>
      <c r="LG843" s="15"/>
      <c r="LH843" s="15"/>
      <c r="LI843" s="15"/>
      <c r="LJ843" s="15"/>
      <c r="LK843" s="15"/>
      <c r="LL843" s="15"/>
      <c r="LM843" s="15"/>
      <c r="LN843" s="15"/>
      <c r="LO843" s="15"/>
      <c r="LP843" s="15"/>
      <c r="LQ843" s="15"/>
      <c r="LR843" s="15"/>
      <c r="LS843" s="15"/>
      <c r="LT843" s="15"/>
      <c r="LU843" s="15"/>
      <c r="LV843" s="15"/>
      <c r="LW843" s="15"/>
      <c r="LX843" s="15"/>
      <c r="LY843" s="16"/>
      <c r="LZ843" s="317"/>
      <c r="MA843" s="317"/>
      <c r="MB843" s="317"/>
      <c r="MC843" s="317"/>
      <c r="MD843" s="317"/>
      <c r="ME843" s="317"/>
      <c r="MF843" s="317"/>
      <c r="MG843" s="317"/>
      <c r="MH843" s="317"/>
      <c r="MI843" s="317"/>
      <c r="MJ843" s="317"/>
      <c r="MK843" s="317"/>
      <c r="ML843" s="317"/>
      <c r="MM843" s="317"/>
      <c r="MN843" s="317"/>
      <c r="MO843" s="317"/>
      <c r="MP843" s="317"/>
      <c r="MQ843" s="317"/>
      <c r="MR843" s="317"/>
      <c r="MS843" s="317"/>
      <c r="MT843" s="13"/>
      <c r="MU843" s="317"/>
      <c r="MV843" s="317"/>
      <c r="MW843" s="317"/>
      <c r="MX843" s="317"/>
      <c r="MY843" s="317"/>
      <c r="MZ843" s="13"/>
      <c r="NA843" s="12"/>
      <c r="NB843" s="317"/>
      <c r="NC843" s="317"/>
      <c r="ND843" s="317"/>
      <c r="NE843" s="317"/>
      <c r="NF843" s="317"/>
      <c r="NG843" s="317"/>
      <c r="NH843" s="317"/>
      <c r="NI843" s="317"/>
      <c r="NJ843" s="317"/>
      <c r="NK843" s="317"/>
      <c r="NL843" s="317"/>
      <c r="NM843" s="317"/>
      <c r="NN843" s="317"/>
      <c r="NO843" s="317"/>
      <c r="NP843" s="317"/>
      <c r="NQ843" s="317"/>
      <c r="NR843" s="317"/>
      <c r="NS843" s="317"/>
      <c r="NT843" s="317"/>
      <c r="NU843" s="317"/>
      <c r="NV843" s="12"/>
      <c r="NW843" s="317"/>
      <c r="NX843" s="317"/>
      <c r="NY843" s="317"/>
      <c r="NZ843" s="317"/>
      <c r="OA843" s="317"/>
      <c r="OB843" s="317"/>
      <c r="OC843" s="317"/>
      <c r="OD843" s="317"/>
      <c r="OE843" s="317"/>
      <c r="OF843" s="317"/>
      <c r="OG843" s="13"/>
      <c r="OH843" s="317"/>
      <c r="OI843" s="317"/>
      <c r="OJ843" s="317"/>
      <c r="OK843" s="317"/>
      <c r="OL843" s="317"/>
      <c r="OM843" s="317"/>
      <c r="ON843" s="317"/>
      <c r="OO843" s="317"/>
      <c r="OP843" s="317"/>
      <c r="OQ843" s="317"/>
      <c r="OR843" s="317"/>
      <c r="OS843" s="317"/>
      <c r="OT843" s="317"/>
      <c r="OU843" s="317"/>
      <c r="OV843" s="317"/>
      <c r="OW843" s="317"/>
      <c r="OX843" s="317"/>
      <c r="OY843" s="317"/>
      <c r="OZ843" s="317"/>
      <c r="PA843" s="317"/>
      <c r="PB843" s="317"/>
      <c r="PC843" s="317"/>
      <c r="PD843" s="317"/>
      <c r="PE843" s="317"/>
      <c r="PF843" s="317"/>
      <c r="PG843" s="317"/>
      <c r="PH843" s="317"/>
      <c r="PI843" s="317"/>
      <c r="PJ843" s="317"/>
      <c r="PK843" s="317"/>
      <c r="PL843" s="317"/>
      <c r="PM843" s="317"/>
      <c r="PN843" s="317"/>
      <c r="PO843" s="317"/>
      <c r="PP843" s="317"/>
      <c r="PQ843" s="317"/>
      <c r="PR843" s="317"/>
      <c r="PS843" s="317"/>
      <c r="PT843" s="317"/>
      <c r="PU843" s="317"/>
      <c r="PV843" s="317"/>
      <c r="PW843" s="317"/>
      <c r="PX843" s="317"/>
      <c r="PY843" s="317"/>
      <c r="PZ843" s="317"/>
      <c r="QA843" s="317"/>
      <c r="QB843" s="317"/>
      <c r="QC843" s="317"/>
      <c r="QD843" s="317"/>
      <c r="QE843" s="317"/>
      <c r="QF843" s="317"/>
      <c r="QG843" s="317"/>
      <c r="QH843" s="317"/>
      <c r="QI843" s="317"/>
      <c r="QJ843" s="317"/>
      <c r="QK843" s="317"/>
      <c r="QL843" s="317"/>
      <c r="QM843" s="317"/>
      <c r="QN843" s="317"/>
      <c r="QO843" s="317"/>
      <c r="QP843" s="317"/>
      <c r="QQ843" s="317"/>
      <c r="QR843" s="317"/>
      <c r="QS843" s="317"/>
      <c r="QT843" s="317"/>
      <c r="QU843" s="317"/>
      <c r="QV843" s="317"/>
      <c r="QW843" s="317"/>
      <c r="QX843" s="317"/>
      <c r="QY843" s="317"/>
      <c r="QZ843" s="317"/>
      <c r="RA843" s="317"/>
      <c r="RB843" s="317"/>
      <c r="RC843" s="317"/>
      <c r="RD843" s="317"/>
      <c r="RE843" s="317"/>
      <c r="RF843" s="317"/>
      <c r="RG843" s="317"/>
      <c r="RH843" s="317"/>
      <c r="RI843" s="317"/>
      <c r="RJ843" s="317"/>
      <c r="RK843" s="317"/>
      <c r="RL843" s="317"/>
      <c r="RM843" s="13"/>
      <c r="RN843" s="317"/>
      <c r="RO843" s="317"/>
      <c r="RP843" s="13"/>
      <c r="RQ843" s="317"/>
      <c r="RR843" s="317"/>
      <c r="RS843" s="317"/>
      <c r="RT843" s="317"/>
      <c r="RU843" s="317"/>
      <c r="RV843" s="13"/>
      <c r="WL843" s="13"/>
    </row>
    <row r="844" spans="82:658" ht="10.75" customHeight="1">
      <c r="CD844" s="229"/>
      <c r="CE844" s="231"/>
      <c r="CF844" s="231"/>
      <c r="CG844" s="231"/>
      <c r="CH844" s="231"/>
      <c r="CI844" s="231"/>
      <c r="CJ844" s="214"/>
      <c r="CK844" s="49"/>
      <c r="CL844" s="49"/>
      <c r="CM844" s="49"/>
      <c r="CN844" s="49"/>
      <c r="CO844" s="49"/>
      <c r="CP844" s="49"/>
      <c r="CQ844" s="49"/>
      <c r="CR844" s="49"/>
      <c r="CS844" s="208"/>
      <c r="CT844" s="42"/>
      <c r="CU844" s="43"/>
      <c r="CV844" s="43"/>
      <c r="CW844" s="12"/>
      <c r="DX844" s="13"/>
      <c r="DY844" s="162"/>
      <c r="DZ844" s="161"/>
      <c r="ES844" s="12"/>
      <c r="ET844" s="13"/>
      <c r="EZ844" s="297"/>
      <c r="GP844" s="13"/>
      <c r="GQ844" s="43"/>
      <c r="GR844" s="43"/>
      <c r="GS844" s="45"/>
      <c r="GT844" s="49"/>
      <c r="GU844" s="49"/>
      <c r="GV844" s="49"/>
      <c r="GW844" s="49"/>
      <c r="GX844" s="49"/>
      <c r="GY844" s="49"/>
      <c r="GZ844" s="49"/>
      <c r="HA844" s="208"/>
      <c r="HB844" s="231"/>
      <c r="HC844" s="231"/>
      <c r="HD844" s="231"/>
      <c r="HE844" s="231"/>
      <c r="HF844" s="231"/>
      <c r="HG844" s="231"/>
      <c r="HH844" s="231"/>
      <c r="HI844" s="232"/>
      <c r="IQ844" s="9"/>
      <c r="IR844" s="10"/>
      <c r="IS844" s="10"/>
      <c r="IT844" s="10"/>
      <c r="IU844" s="10"/>
      <c r="IV844" s="10"/>
      <c r="IW844" s="10"/>
      <c r="IX844" s="10"/>
      <c r="IY844" s="10"/>
      <c r="IZ844" s="10"/>
      <c r="JA844" s="10"/>
      <c r="JB844" s="10"/>
      <c r="JC844" s="10"/>
      <c r="JD844" s="10"/>
      <c r="JE844" s="10"/>
      <c r="JF844" s="10"/>
      <c r="JG844" s="10"/>
      <c r="JH844" s="10"/>
      <c r="JI844" s="10"/>
      <c r="JJ844" s="10"/>
      <c r="JK844" s="10"/>
      <c r="JL844" s="10"/>
      <c r="JM844" s="10"/>
      <c r="JN844" s="10"/>
      <c r="JO844" s="10"/>
      <c r="JP844" s="10"/>
      <c r="JQ844" s="10"/>
      <c r="JR844" s="10"/>
      <c r="JS844" s="10"/>
      <c r="JT844" s="10"/>
      <c r="JU844" s="10"/>
      <c r="JV844" s="10"/>
      <c r="JW844" s="10"/>
      <c r="JX844" s="10"/>
      <c r="JY844" s="10"/>
      <c r="JZ844" s="10"/>
      <c r="KA844" s="10"/>
      <c r="KB844" s="10"/>
      <c r="KC844" s="10"/>
      <c r="KD844" s="10"/>
      <c r="KE844" s="10"/>
      <c r="KF844" s="10"/>
      <c r="KG844" s="10"/>
      <c r="KH844" s="10"/>
      <c r="KI844" s="10"/>
      <c r="KJ844" s="10"/>
      <c r="KK844" s="10"/>
      <c r="KL844" s="11"/>
      <c r="KM844" s="9"/>
      <c r="KN844" s="10"/>
      <c r="KO844" s="10"/>
      <c r="KP844" s="10"/>
      <c r="KQ844" s="10"/>
      <c r="KR844" s="10"/>
      <c r="KS844" s="10"/>
      <c r="KT844" s="10"/>
      <c r="KU844" s="10"/>
      <c r="KV844" s="10"/>
      <c r="KW844" s="10"/>
      <c r="KX844" s="10"/>
      <c r="KY844" s="10"/>
      <c r="KZ844" s="10"/>
      <c r="LA844" s="10"/>
      <c r="LB844" s="10"/>
      <c r="LC844" s="10"/>
      <c r="LD844" s="10"/>
      <c r="LE844" s="10"/>
      <c r="LF844" s="10"/>
      <c r="LG844" s="10"/>
      <c r="LH844" s="10"/>
      <c r="LI844" s="10"/>
      <c r="LJ844" s="10"/>
      <c r="LK844" s="10"/>
      <c r="LL844" s="10"/>
      <c r="LM844" s="10"/>
      <c r="LN844" s="10"/>
      <c r="LO844" s="10"/>
      <c r="LP844" s="10"/>
      <c r="LQ844" s="10"/>
      <c r="LR844" s="10"/>
      <c r="LS844" s="10"/>
      <c r="LT844" s="10"/>
      <c r="LU844" s="10"/>
      <c r="LV844" s="10"/>
      <c r="LW844" s="10"/>
      <c r="LX844" s="10"/>
      <c r="LY844" s="10"/>
      <c r="LZ844" s="10"/>
      <c r="MA844" s="10"/>
      <c r="MB844" s="10"/>
      <c r="MC844" s="10"/>
      <c r="MD844" s="10"/>
      <c r="ME844" s="10"/>
      <c r="MF844" s="10"/>
      <c r="MG844" s="10"/>
      <c r="MH844" s="10"/>
      <c r="MI844" s="10"/>
      <c r="MJ844" s="10"/>
      <c r="MK844" s="10"/>
      <c r="ML844" s="10"/>
      <c r="MM844" s="10"/>
      <c r="MN844" s="10"/>
      <c r="MO844" s="10"/>
      <c r="MP844" s="10"/>
      <c r="MQ844" s="10"/>
      <c r="MR844" s="10"/>
      <c r="MS844" s="10"/>
      <c r="MT844" s="11"/>
      <c r="MU844" s="10"/>
      <c r="MV844" s="10"/>
      <c r="MW844" s="10"/>
      <c r="MX844" s="10"/>
      <c r="MY844" s="10"/>
      <c r="MZ844" s="11"/>
      <c r="NA844" s="9"/>
      <c r="NB844" s="10"/>
      <c r="NC844" s="10"/>
      <c r="ND844" s="10"/>
      <c r="NE844" s="10"/>
      <c r="NF844" s="10"/>
      <c r="NG844" s="10"/>
      <c r="NH844" s="10"/>
      <c r="NI844" s="10"/>
      <c r="NJ844" s="10"/>
      <c r="NK844" s="10"/>
      <c r="NL844" s="10"/>
      <c r="NM844" s="10"/>
      <c r="NN844" s="10"/>
      <c r="NO844" s="10"/>
      <c r="NP844" s="10"/>
      <c r="NQ844" s="10"/>
      <c r="NR844" s="10"/>
      <c r="NS844" s="10"/>
      <c r="NT844" s="10"/>
      <c r="NU844" s="10"/>
      <c r="NV844" s="9"/>
      <c r="NW844" s="10"/>
      <c r="NX844" s="10"/>
      <c r="NY844" s="10"/>
      <c r="NZ844" s="10"/>
      <c r="OA844" s="10"/>
      <c r="OB844" s="10"/>
      <c r="OC844" s="10"/>
      <c r="OD844" s="10"/>
      <c r="OE844" s="10"/>
      <c r="OF844" s="10"/>
      <c r="OG844" s="11"/>
      <c r="OH844" s="10"/>
      <c r="OI844" s="10"/>
      <c r="OJ844" s="10"/>
      <c r="OK844" s="10"/>
      <c r="OL844" s="10"/>
      <c r="OM844" s="10"/>
      <c r="ON844" s="10"/>
      <c r="OO844" s="10"/>
      <c r="OP844" s="10"/>
      <c r="OQ844" s="10"/>
      <c r="OR844" s="10"/>
      <c r="OS844" s="10"/>
      <c r="OT844" s="10"/>
      <c r="OU844" s="10"/>
      <c r="OV844" s="10"/>
      <c r="OW844" s="10"/>
      <c r="OX844" s="10"/>
      <c r="OY844" s="10"/>
      <c r="OZ844" s="10"/>
      <c r="PA844" s="10"/>
      <c r="PB844" s="10"/>
      <c r="PC844" s="10"/>
      <c r="PD844" s="10"/>
      <c r="PE844" s="10"/>
      <c r="PF844" s="10"/>
      <c r="PG844" s="10"/>
      <c r="PH844" s="10"/>
      <c r="PI844" s="10"/>
      <c r="PJ844" s="10"/>
      <c r="PK844" s="10"/>
      <c r="PL844" s="10"/>
      <c r="PM844" s="10"/>
      <c r="PN844" s="10"/>
      <c r="PO844" s="10"/>
      <c r="PP844" s="10"/>
      <c r="PQ844" s="10"/>
      <c r="PR844" s="10"/>
      <c r="PS844" s="10"/>
      <c r="PT844" s="10"/>
      <c r="PU844" s="10"/>
      <c r="PV844" s="10"/>
      <c r="PW844" s="10"/>
      <c r="PX844" s="10"/>
      <c r="PY844" s="10"/>
      <c r="PZ844" s="10"/>
      <c r="QA844" s="10"/>
      <c r="QB844" s="10"/>
      <c r="QC844" s="10"/>
      <c r="QD844" s="10"/>
      <c r="QE844" s="10"/>
      <c r="QF844" s="10"/>
      <c r="QG844" s="10"/>
      <c r="QH844" s="10"/>
      <c r="QI844" s="10"/>
      <c r="QJ844" s="10"/>
      <c r="QK844" s="10"/>
      <c r="QL844" s="10"/>
      <c r="QM844" s="10"/>
      <c r="QN844" s="10"/>
      <c r="QO844" s="10"/>
      <c r="QP844" s="10"/>
      <c r="QQ844" s="10"/>
      <c r="QR844" s="10"/>
      <c r="QS844" s="10"/>
      <c r="QT844" s="10"/>
      <c r="QU844" s="10"/>
      <c r="QV844" s="10"/>
      <c r="QW844" s="10"/>
      <c r="QX844" s="10"/>
      <c r="QY844" s="10"/>
      <c r="QZ844" s="10"/>
      <c r="RA844" s="10"/>
      <c r="RB844" s="10"/>
      <c r="RC844" s="10"/>
      <c r="RD844" s="10"/>
      <c r="RE844" s="10"/>
      <c r="RF844" s="10"/>
      <c r="RG844" s="10"/>
      <c r="RH844" s="10"/>
      <c r="RI844" s="10"/>
      <c r="RJ844" s="10"/>
      <c r="RK844" s="10"/>
      <c r="RL844" s="10"/>
      <c r="RM844" s="11"/>
      <c r="RN844" s="10"/>
      <c r="RO844" s="10"/>
      <c r="RP844" s="11"/>
      <c r="RQ844" s="10"/>
      <c r="RR844" s="10"/>
      <c r="RS844" s="10"/>
      <c r="RT844" s="10"/>
      <c r="RU844" s="10"/>
      <c r="RV844" s="11"/>
      <c r="RW844" s="10"/>
      <c r="RX844" s="10"/>
      <c r="RY844" s="10"/>
      <c r="RZ844" s="10"/>
      <c r="SA844" s="10"/>
      <c r="SB844" s="10"/>
      <c r="SC844" s="10"/>
      <c r="SD844" s="10"/>
      <c r="SE844" s="10"/>
      <c r="SF844" s="10"/>
      <c r="SG844" s="10"/>
      <c r="SH844" s="10"/>
      <c r="SI844" s="10"/>
      <c r="SJ844" s="10"/>
      <c r="SK844" s="10"/>
      <c r="SL844" s="10"/>
      <c r="SM844" s="10"/>
      <c r="SN844" s="10"/>
      <c r="SO844" s="10"/>
      <c r="SP844" s="10"/>
      <c r="SQ844" s="10"/>
      <c r="SR844" s="10"/>
      <c r="SS844" s="10"/>
      <c r="ST844" s="10"/>
      <c r="SU844" s="10"/>
      <c r="SV844" s="10"/>
      <c r="SW844" s="10"/>
      <c r="SX844" s="10"/>
      <c r="SY844" s="10"/>
      <c r="SZ844" s="10"/>
      <c r="TA844" s="10"/>
      <c r="TB844" s="10"/>
      <c r="TC844" s="10"/>
      <c r="TD844" s="10"/>
      <c r="TE844" s="10"/>
      <c r="TF844" s="10"/>
      <c r="TG844" s="10"/>
      <c r="TH844" s="10"/>
      <c r="TI844" s="10"/>
      <c r="TJ844" s="10"/>
      <c r="TK844" s="10"/>
      <c r="TL844" s="10"/>
      <c r="TM844" s="10"/>
      <c r="TN844" s="10"/>
      <c r="TO844" s="10"/>
      <c r="TP844" s="10"/>
      <c r="TQ844" s="10"/>
      <c r="TR844" s="10"/>
      <c r="TS844" s="10"/>
      <c r="TT844" s="10"/>
      <c r="TU844" s="10"/>
      <c r="TV844" s="9"/>
      <c r="TW844" s="10"/>
      <c r="TX844" s="10"/>
      <c r="TY844" s="10"/>
      <c r="TZ844" s="10"/>
      <c r="UA844" s="10"/>
      <c r="UB844" s="10"/>
      <c r="UC844" s="10"/>
      <c r="UD844" s="10"/>
      <c r="UE844" s="10"/>
      <c r="UF844" s="10"/>
      <c r="UG844" s="10"/>
      <c r="UH844" s="10"/>
      <c r="UI844" s="10"/>
      <c r="UJ844" s="10"/>
      <c r="UK844" s="10"/>
      <c r="UL844" s="10"/>
      <c r="UM844" s="10"/>
      <c r="UN844" s="10"/>
      <c r="UO844" s="10"/>
      <c r="UP844" s="10"/>
      <c r="UQ844" s="10"/>
      <c r="UR844" s="10"/>
      <c r="US844" s="10"/>
      <c r="UT844" s="10"/>
      <c r="UU844" s="10"/>
      <c r="UV844" s="10"/>
      <c r="UW844" s="10"/>
      <c r="UX844" s="10"/>
      <c r="UY844" s="10"/>
      <c r="UZ844" s="10"/>
      <c r="VA844" s="10"/>
      <c r="VB844" s="10"/>
      <c r="VC844" s="10"/>
      <c r="VD844" s="10"/>
      <c r="VE844" s="10"/>
      <c r="VF844" s="10"/>
      <c r="VG844" s="10"/>
      <c r="VH844" s="10"/>
      <c r="VI844" s="10"/>
      <c r="VJ844" s="10"/>
      <c r="VK844" s="10"/>
      <c r="VL844" s="10"/>
      <c r="VM844" s="10"/>
      <c r="VN844" s="10"/>
      <c r="VO844" s="10"/>
      <c r="VP844" s="10"/>
      <c r="VQ844" s="10"/>
      <c r="VR844" s="10"/>
      <c r="VS844" s="10"/>
      <c r="VT844" s="10"/>
      <c r="VU844" s="10"/>
      <c r="VV844" s="10"/>
      <c r="VW844" s="10"/>
      <c r="VX844" s="10"/>
      <c r="VY844" s="10"/>
      <c r="VZ844" s="10"/>
      <c r="WA844" s="10"/>
      <c r="WB844" s="10"/>
      <c r="WC844" s="10"/>
      <c r="WD844" s="10"/>
      <c r="WE844" s="10"/>
      <c r="WF844" s="10"/>
      <c r="WG844" s="10"/>
      <c r="WH844" s="10"/>
      <c r="WI844" s="10"/>
      <c r="WJ844" s="10"/>
      <c r="WK844" s="10"/>
      <c r="WL844" s="11"/>
      <c r="WM844" s="9"/>
      <c r="WN844" s="10"/>
      <c r="WO844" s="10"/>
      <c r="WP844" s="10"/>
      <c r="WQ844" s="10"/>
      <c r="WR844" s="10"/>
      <c r="WS844" s="10"/>
      <c r="WT844" s="10"/>
      <c r="WU844" s="10"/>
      <c r="WV844" s="10"/>
      <c r="WW844" s="10"/>
      <c r="WX844" s="10"/>
      <c r="WY844" s="10"/>
      <c r="WZ844" s="10"/>
      <c r="XA844" s="10"/>
      <c r="XB844" s="10"/>
      <c r="XC844" s="10"/>
      <c r="XD844" s="10"/>
      <c r="XE844" s="10"/>
      <c r="XF844" s="10"/>
      <c r="XG844" s="10"/>
      <c r="XH844" s="10"/>
      <c r="XI844" s="10"/>
      <c r="XJ844" s="10"/>
      <c r="XK844" s="10"/>
      <c r="XL844" s="10"/>
      <c r="XM844" s="10"/>
      <c r="XN844" s="10"/>
      <c r="XO844" s="10"/>
      <c r="XP844" s="10"/>
      <c r="XQ844" s="10"/>
      <c r="XR844" s="10"/>
      <c r="XS844" s="10"/>
      <c r="XT844" s="10"/>
      <c r="XU844" s="10"/>
      <c r="XV844" s="10"/>
      <c r="XW844" s="10"/>
      <c r="XX844" s="10"/>
      <c r="XY844" s="10"/>
      <c r="XZ844" s="10"/>
      <c r="YA844" s="10"/>
      <c r="YB844" s="10"/>
      <c r="YC844" s="10"/>
      <c r="YD844" s="10"/>
      <c r="YE844" s="10"/>
      <c r="YF844" s="10"/>
      <c r="YG844" s="10"/>
      <c r="YH844" s="11"/>
    </row>
    <row r="845" spans="82:658" ht="10.75" customHeight="1">
      <c r="CD845" s="229"/>
      <c r="CE845" s="231"/>
      <c r="CF845" s="231"/>
      <c r="CG845" s="231"/>
      <c r="CH845" s="231"/>
      <c r="CI845" s="231"/>
      <c r="CJ845" s="214"/>
      <c r="CK845" s="49"/>
      <c r="CL845" s="49"/>
      <c r="CM845" s="49"/>
      <c r="CN845" s="49"/>
      <c r="CO845" s="49"/>
      <c r="CP845" s="49"/>
      <c r="CQ845" s="49"/>
      <c r="CR845" s="49"/>
      <c r="CS845" s="208"/>
      <c r="CT845" s="42"/>
      <c r="CU845" s="43"/>
      <c r="CV845" s="43"/>
      <c r="CW845" s="14"/>
      <c r="CX845" s="15"/>
      <c r="CY845" s="15"/>
      <c r="CZ845" s="15"/>
      <c r="DA845" s="15"/>
      <c r="DB845" s="15"/>
      <c r="DC845" s="15"/>
      <c r="DD845" s="15"/>
      <c r="DE845" s="15"/>
      <c r="DF845" s="15"/>
      <c r="DG845" s="15"/>
      <c r="DH845" s="15"/>
      <c r="DI845" s="15"/>
      <c r="DJ845" s="15"/>
      <c r="DK845" s="15"/>
      <c r="DL845" s="15"/>
      <c r="DM845" s="15"/>
      <c r="DN845" s="15"/>
      <c r="DO845" s="15"/>
      <c r="DP845" s="15"/>
      <c r="DQ845" s="15"/>
      <c r="DR845" s="15"/>
      <c r="DS845" s="15"/>
      <c r="DT845" s="15"/>
      <c r="DU845" s="15"/>
      <c r="DV845" s="15"/>
      <c r="DW845" s="15"/>
      <c r="DX845" s="16"/>
      <c r="DY845" s="162"/>
      <c r="DZ845" s="161"/>
      <c r="EA845" s="15"/>
      <c r="EB845" s="15"/>
      <c r="EC845" s="15"/>
      <c r="ED845" s="15"/>
      <c r="EE845" s="15"/>
      <c r="EF845" s="15"/>
      <c r="EG845" s="15"/>
      <c r="EH845" s="15"/>
      <c r="EI845" s="15"/>
      <c r="EJ845" s="15"/>
      <c r="EK845" s="15"/>
      <c r="EL845" s="15"/>
      <c r="EM845" s="15"/>
      <c r="EN845" s="15"/>
      <c r="EO845" s="15"/>
      <c r="EP845" s="15"/>
      <c r="EQ845" s="15"/>
      <c r="ER845" s="15"/>
      <c r="ES845" s="12"/>
      <c r="ET845" s="13"/>
      <c r="EZ845" s="299"/>
      <c r="FA845" s="294"/>
      <c r="GP845" s="13"/>
      <c r="GQ845" s="43"/>
      <c r="GR845" s="43"/>
      <c r="GS845" s="45"/>
      <c r="GT845" s="49"/>
      <c r="GU845" s="49"/>
      <c r="GV845" s="49"/>
      <c r="GW845" s="49"/>
      <c r="GX845" s="49"/>
      <c r="GY845" s="49"/>
      <c r="GZ845" s="49"/>
      <c r="HA845" s="208"/>
      <c r="HB845" s="231"/>
      <c r="HC845" s="231"/>
      <c r="HD845" s="231"/>
      <c r="HE845" s="231"/>
      <c r="HF845" s="231"/>
      <c r="HG845" s="231"/>
      <c r="HH845" s="231"/>
      <c r="HI845" s="232"/>
      <c r="IQ845" s="12"/>
      <c r="KL845" s="13"/>
      <c r="KM845" s="12"/>
      <c r="KN845" s="317"/>
      <c r="KO845" s="317"/>
      <c r="KP845" s="317"/>
      <c r="KQ845" s="317"/>
      <c r="KR845" s="317"/>
      <c r="KS845" s="317"/>
      <c r="KT845" s="317"/>
      <c r="KU845" s="317"/>
      <c r="KV845" s="317"/>
      <c r="KW845" s="317"/>
      <c r="KX845" s="317"/>
      <c r="KY845" s="317"/>
      <c r="KZ845" s="317"/>
      <c r="LA845" s="317"/>
      <c r="LB845" s="317"/>
      <c r="LC845" s="317"/>
      <c r="LD845" s="317"/>
      <c r="LE845" s="317"/>
      <c r="LF845" s="317"/>
      <c r="LG845" s="317"/>
      <c r="LH845" s="317"/>
      <c r="LI845" s="317"/>
      <c r="LJ845" s="317"/>
      <c r="LK845" s="317"/>
      <c r="LL845" s="317"/>
      <c r="LM845" s="317"/>
      <c r="LN845" s="317"/>
      <c r="LO845" s="317"/>
      <c r="LP845" s="317"/>
      <c r="LQ845" s="317"/>
      <c r="LR845" s="317"/>
      <c r="LS845" s="317"/>
      <c r="LT845" s="317"/>
      <c r="LU845" s="317"/>
      <c r="LV845" s="317"/>
      <c r="LW845" s="317"/>
      <c r="LX845" s="317"/>
      <c r="LY845" s="317"/>
      <c r="LZ845" s="317"/>
      <c r="MA845" s="317"/>
      <c r="MB845" s="317"/>
      <c r="MC845" s="317"/>
      <c r="MD845" s="317"/>
      <c r="ME845" s="317"/>
      <c r="MF845" s="317"/>
      <c r="MG845" s="317"/>
      <c r="MH845" s="317"/>
      <c r="MI845" s="317"/>
      <c r="MJ845" s="317"/>
      <c r="MK845" s="317"/>
      <c r="ML845" s="317"/>
      <c r="MM845" s="317"/>
      <c r="MN845" s="317"/>
      <c r="MO845" s="317"/>
      <c r="MP845" s="317"/>
      <c r="MQ845" s="317"/>
      <c r="MR845" s="317"/>
      <c r="MS845" s="317"/>
      <c r="MT845" s="13"/>
      <c r="MU845" s="317"/>
      <c r="MV845" s="317"/>
      <c r="MW845" s="317"/>
      <c r="MX845" s="317"/>
      <c r="MY845" s="317"/>
      <c r="MZ845" s="13"/>
      <c r="NA845" s="12"/>
      <c r="NB845" s="317"/>
      <c r="NC845" s="317"/>
      <c r="ND845" s="317"/>
      <c r="NE845" s="317"/>
      <c r="NF845" s="317"/>
      <c r="NG845" s="317"/>
      <c r="NH845" s="317"/>
      <c r="NI845" s="317"/>
      <c r="NJ845" s="317"/>
      <c r="NK845" s="317"/>
      <c r="NL845" s="317"/>
      <c r="NM845" s="317"/>
      <c r="NN845" s="317"/>
      <c r="NO845" s="317"/>
      <c r="NP845" s="317"/>
      <c r="NQ845" s="317"/>
      <c r="NR845" s="317"/>
      <c r="NS845" s="317"/>
      <c r="NT845" s="317"/>
      <c r="NU845" s="317"/>
      <c r="NV845" s="12"/>
      <c r="NW845" s="317"/>
      <c r="NX845" s="317"/>
      <c r="NY845" s="317"/>
      <c r="NZ845" s="317"/>
      <c r="OA845" s="317"/>
      <c r="OB845" s="317"/>
      <c r="OC845" s="317"/>
      <c r="OD845" s="317"/>
      <c r="OE845" s="317"/>
      <c r="OF845" s="317"/>
      <c r="OG845" s="13"/>
      <c r="OH845" s="317"/>
      <c r="OI845" s="317"/>
      <c r="OJ845" s="317"/>
      <c r="OK845" s="317"/>
      <c r="OL845" s="317"/>
      <c r="OM845" s="317"/>
      <c r="ON845" s="317"/>
      <c r="OO845" s="317"/>
      <c r="OP845" s="317"/>
      <c r="OQ845" s="317"/>
      <c r="OR845" s="317"/>
      <c r="OS845" s="317"/>
      <c r="OT845" s="317"/>
      <c r="OU845" s="317"/>
      <c r="OV845" s="317"/>
      <c r="OW845" s="317"/>
      <c r="OX845" s="317"/>
      <c r="OY845" s="317"/>
      <c r="OZ845" s="317"/>
      <c r="PA845" s="317"/>
      <c r="PB845" s="317"/>
      <c r="PC845" s="317"/>
      <c r="PD845" s="317"/>
      <c r="PE845" s="317"/>
      <c r="PF845" s="317"/>
      <c r="PG845" s="317"/>
      <c r="PH845" s="317"/>
      <c r="PI845" s="317"/>
      <c r="PJ845" s="317"/>
      <c r="PK845" s="317"/>
      <c r="PL845" s="317"/>
      <c r="PM845" s="317"/>
      <c r="PN845" s="317"/>
      <c r="PO845" s="317"/>
      <c r="PP845" s="317"/>
      <c r="PQ845" s="317"/>
      <c r="PR845" s="317"/>
      <c r="PS845" s="317"/>
      <c r="PT845" s="317"/>
      <c r="PU845" s="317"/>
      <c r="PV845" s="317"/>
      <c r="PW845" s="317"/>
      <c r="PX845" s="317"/>
      <c r="PY845" s="317"/>
      <c r="PZ845" s="317"/>
      <c r="QA845" s="317"/>
      <c r="QB845" s="317"/>
      <c r="QC845" s="317"/>
      <c r="QD845" s="317"/>
      <c r="QE845" s="317"/>
      <c r="QF845" s="317"/>
      <c r="QG845" s="317"/>
      <c r="QH845" s="317"/>
      <c r="QI845" s="317"/>
      <c r="QJ845" s="317"/>
      <c r="QK845" s="317"/>
      <c r="QL845" s="317"/>
      <c r="QM845" s="317"/>
      <c r="QN845" s="317"/>
      <c r="QO845" s="317"/>
      <c r="QP845" s="317"/>
      <c r="QQ845" s="317"/>
      <c r="QR845" s="317"/>
      <c r="QS845" s="317"/>
      <c r="QT845" s="317"/>
      <c r="QU845" s="317"/>
      <c r="QV845" s="317"/>
      <c r="QW845" s="317"/>
      <c r="QX845" s="317"/>
      <c r="QY845" s="317"/>
      <c r="QZ845" s="317"/>
      <c r="RA845" s="317"/>
      <c r="RB845" s="317"/>
      <c r="RC845" s="317"/>
      <c r="RD845" s="317"/>
      <c r="RE845" s="317"/>
      <c r="RF845" s="317"/>
      <c r="RG845" s="317"/>
      <c r="RH845" s="317"/>
      <c r="RI845" s="317"/>
      <c r="RJ845" s="317"/>
      <c r="RK845" s="317"/>
      <c r="RL845" s="317"/>
      <c r="RM845" s="13"/>
      <c r="RN845" s="317"/>
      <c r="RO845" s="317"/>
      <c r="RP845" s="13"/>
      <c r="RQ845" s="317"/>
      <c r="RR845" s="317"/>
      <c r="RS845" s="317"/>
      <c r="RT845" s="317"/>
      <c r="RU845" s="317"/>
      <c r="RV845" s="13"/>
      <c r="TV845" s="12"/>
      <c r="WL845" s="13"/>
      <c r="WM845" s="12"/>
      <c r="YH845" s="13"/>
    </row>
    <row r="846" spans="82:658" ht="10.75" customHeight="1">
      <c r="CD846" s="229"/>
      <c r="CE846" s="231"/>
      <c r="CF846" s="231"/>
      <c r="CG846" s="231"/>
      <c r="CH846" s="231"/>
      <c r="CI846" s="231"/>
      <c r="CJ846" s="9"/>
      <c r="CK846" s="10"/>
      <c r="CL846" s="10"/>
      <c r="CM846" s="10"/>
      <c r="CN846" s="10"/>
      <c r="CO846" s="10"/>
      <c r="CP846" s="10"/>
      <c r="CQ846" s="10"/>
      <c r="CR846" s="10"/>
      <c r="CS846" s="11"/>
      <c r="CT846" s="42"/>
      <c r="CU846" s="43"/>
      <c r="CV846" s="43"/>
      <c r="CW846" s="160"/>
      <c r="CX846" s="162"/>
      <c r="CY846" s="162"/>
      <c r="CZ846" s="162"/>
      <c r="DA846" s="162"/>
      <c r="DB846" s="162"/>
      <c r="DC846" s="162"/>
      <c r="DD846" s="162"/>
      <c r="DE846" s="162"/>
      <c r="DF846" s="162"/>
      <c r="DG846" s="162"/>
      <c r="DH846" s="162"/>
      <c r="DI846" s="162"/>
      <c r="DJ846" s="162"/>
      <c r="DK846" s="162"/>
      <c r="DL846" s="162"/>
      <c r="DM846" s="162"/>
      <c r="DN846" s="162"/>
      <c r="DO846" s="162"/>
      <c r="DP846" s="162"/>
      <c r="DQ846" s="162"/>
      <c r="DR846" s="162"/>
      <c r="DS846" s="162"/>
      <c r="DT846" s="162"/>
      <c r="DU846" s="162"/>
      <c r="DV846" s="162"/>
      <c r="DW846" s="162"/>
      <c r="DX846" s="162"/>
      <c r="DY846" s="162"/>
      <c r="DZ846" s="162"/>
      <c r="EA846" s="162"/>
      <c r="EB846" s="162"/>
      <c r="EC846" s="162"/>
      <c r="ED846" s="162"/>
      <c r="EE846" s="162"/>
      <c r="EF846" s="162"/>
      <c r="EG846" s="162"/>
      <c r="EH846" s="162"/>
      <c r="EI846" s="162"/>
      <c r="EJ846" s="162"/>
      <c r="EK846" s="162"/>
      <c r="EL846" s="162"/>
      <c r="EM846" s="162"/>
      <c r="EN846" s="162"/>
      <c r="EO846" s="162"/>
      <c r="EP846" s="162"/>
      <c r="EQ846" s="162"/>
      <c r="ER846" s="158"/>
      <c r="ES846" s="158"/>
      <c r="ET846" s="159"/>
      <c r="GP846" s="13"/>
      <c r="GQ846" s="43"/>
      <c r="GR846" s="43"/>
      <c r="GS846" s="45"/>
      <c r="GT846" s="49"/>
      <c r="GU846" s="49"/>
      <c r="GV846" s="49"/>
      <c r="GW846" s="49"/>
      <c r="GX846" s="49"/>
      <c r="GY846" s="49"/>
      <c r="GZ846" s="49"/>
      <c r="HA846" s="208"/>
      <c r="HB846" s="231"/>
      <c r="HC846" s="231"/>
      <c r="HD846" s="231"/>
      <c r="HE846" s="231"/>
      <c r="HF846" s="231"/>
      <c r="HG846" s="231"/>
      <c r="HH846" s="231"/>
      <c r="HI846" s="232"/>
      <c r="IQ846" s="12"/>
      <c r="KL846" s="13"/>
      <c r="KM846" s="12"/>
      <c r="KN846" s="317"/>
      <c r="KO846" s="317"/>
      <c r="KP846" s="317"/>
      <c r="KQ846" s="317"/>
      <c r="KR846" s="317"/>
      <c r="KS846" s="317"/>
      <c r="KT846" s="317"/>
      <c r="KU846" s="317"/>
      <c r="KV846" s="317"/>
      <c r="KW846" s="317"/>
      <c r="KX846" s="317"/>
      <c r="KY846" s="317"/>
      <c r="KZ846" s="317"/>
      <c r="LA846" s="317"/>
      <c r="LB846" s="317"/>
      <c r="LC846" s="317"/>
      <c r="LD846" s="317"/>
      <c r="LE846" s="317"/>
      <c r="LF846" s="317"/>
      <c r="LG846" s="317"/>
      <c r="LH846" s="317"/>
      <c r="LI846" s="317"/>
      <c r="LJ846" s="317"/>
      <c r="LK846" s="317"/>
      <c r="LL846" s="317"/>
      <c r="LM846" s="317"/>
      <c r="LN846" s="317"/>
      <c r="LO846" s="317"/>
      <c r="LP846" s="317"/>
      <c r="LQ846" s="317"/>
      <c r="LR846" s="317"/>
      <c r="LS846" s="317"/>
      <c r="LT846" s="317"/>
      <c r="LU846" s="317"/>
      <c r="LV846" s="317"/>
      <c r="LW846" s="317"/>
      <c r="LX846" s="317"/>
      <c r="LY846" s="317"/>
      <c r="LZ846" s="317"/>
      <c r="MA846" s="317"/>
      <c r="MB846" s="317"/>
      <c r="MC846" s="317"/>
      <c r="MD846" s="317"/>
      <c r="ME846" s="317"/>
      <c r="MF846" s="317"/>
      <c r="MG846" s="317"/>
      <c r="MH846" s="317"/>
      <c r="MI846" s="317"/>
      <c r="MJ846" s="317"/>
      <c r="MK846" s="317"/>
      <c r="ML846" s="317"/>
      <c r="MM846" s="317"/>
      <c r="MN846" s="317"/>
      <c r="MO846" s="317"/>
      <c r="MP846" s="317"/>
      <c r="MQ846" s="317"/>
      <c r="MR846" s="317"/>
      <c r="MS846" s="317"/>
      <c r="MT846" s="13"/>
      <c r="MU846" s="317"/>
      <c r="MV846" s="317"/>
      <c r="MW846" s="317"/>
      <c r="MX846" s="317"/>
      <c r="MY846" s="317"/>
      <c r="MZ846" s="13"/>
      <c r="NA846" s="12"/>
      <c r="NB846" s="317"/>
      <c r="NC846" s="317"/>
      <c r="ND846" s="317"/>
      <c r="NE846" s="317"/>
      <c r="NF846" s="317"/>
      <c r="NG846" s="317"/>
      <c r="NH846" s="317"/>
      <c r="NI846" s="317"/>
      <c r="NJ846" s="317"/>
      <c r="NK846" s="317"/>
      <c r="NL846" s="317"/>
      <c r="NM846" s="317"/>
      <c r="NN846" s="317"/>
      <c r="NO846" s="317"/>
      <c r="NP846" s="317"/>
      <c r="NQ846" s="317"/>
      <c r="NR846" s="317"/>
      <c r="NS846" s="317"/>
      <c r="NT846" s="317"/>
      <c r="NU846" s="317"/>
      <c r="NV846" s="12"/>
      <c r="NW846" s="317"/>
      <c r="NX846" s="317"/>
      <c r="NY846" s="317"/>
      <c r="NZ846" s="317"/>
      <c r="OA846" s="317"/>
      <c r="OB846" s="317"/>
      <c r="OC846" s="317"/>
      <c r="OD846" s="317"/>
      <c r="OE846" s="317"/>
      <c r="OF846" s="317"/>
      <c r="OG846" s="13"/>
      <c r="OH846" s="317"/>
      <c r="OI846" s="317"/>
      <c r="OJ846" s="317"/>
      <c r="OK846" s="317"/>
      <c r="OL846" s="317"/>
      <c r="OM846" s="317"/>
      <c r="ON846" s="317"/>
      <c r="OO846" s="317"/>
      <c r="OP846" s="317"/>
      <c r="OQ846" s="317"/>
      <c r="OR846" s="317"/>
      <c r="OS846" s="317"/>
      <c r="OT846" s="317"/>
      <c r="OU846" s="317"/>
      <c r="OV846" s="317"/>
      <c r="OW846" s="317"/>
      <c r="OX846" s="317"/>
      <c r="OY846" s="317"/>
      <c r="OZ846" s="317"/>
      <c r="PA846" s="317"/>
      <c r="PB846" s="317"/>
      <c r="PC846" s="317"/>
      <c r="PD846" s="317"/>
      <c r="PE846" s="317"/>
      <c r="PF846" s="317"/>
      <c r="PG846" s="317"/>
      <c r="PH846" s="317"/>
      <c r="PI846" s="317"/>
      <c r="PJ846" s="317"/>
      <c r="PK846" s="317"/>
      <c r="PL846" s="317"/>
      <c r="PM846" s="317"/>
      <c r="PN846" s="317"/>
      <c r="PO846" s="317"/>
      <c r="PP846" s="317"/>
      <c r="PQ846" s="317"/>
      <c r="PR846" s="317"/>
      <c r="PS846" s="317"/>
      <c r="PT846" s="317"/>
      <c r="PU846" s="317"/>
      <c r="PV846" s="317"/>
      <c r="PW846" s="317"/>
      <c r="PX846" s="317"/>
      <c r="PY846" s="317"/>
      <c r="PZ846" s="317"/>
      <c r="QA846" s="317"/>
      <c r="QB846" s="317"/>
      <c r="QC846" s="317"/>
      <c r="QD846" s="317"/>
      <c r="QE846" s="317"/>
      <c r="QF846" s="317"/>
      <c r="QG846" s="317"/>
      <c r="QH846" s="317"/>
      <c r="QI846" s="317"/>
      <c r="QJ846" s="317"/>
      <c r="QK846" s="317"/>
      <c r="QL846" s="317"/>
      <c r="QM846" s="317"/>
      <c r="QN846" s="317"/>
      <c r="QO846" s="317"/>
      <c r="QP846" s="317"/>
      <c r="QQ846" s="317"/>
      <c r="QR846" s="317"/>
      <c r="QS846" s="317"/>
      <c r="QT846" s="317"/>
      <c r="QU846" s="317"/>
      <c r="QV846" s="317"/>
      <c r="QW846" s="317"/>
      <c r="QX846" s="317"/>
      <c r="QY846" s="317"/>
      <c r="QZ846" s="317"/>
      <c r="RA846" s="317"/>
      <c r="RB846" s="317"/>
      <c r="RC846" s="317"/>
      <c r="RD846" s="317"/>
      <c r="RE846" s="317"/>
      <c r="RF846" s="317"/>
      <c r="RG846" s="317"/>
      <c r="RH846" s="317"/>
      <c r="RI846" s="317"/>
      <c r="RJ846" s="317"/>
      <c r="RK846" s="317"/>
      <c r="RL846" s="317"/>
      <c r="RM846" s="13"/>
      <c r="RN846" s="317"/>
      <c r="RO846" s="317"/>
      <c r="RP846" s="13"/>
      <c r="RQ846" s="317"/>
      <c r="RR846" s="317"/>
      <c r="RS846" s="317"/>
      <c r="RT846" s="317"/>
      <c r="RU846" s="317"/>
      <c r="RV846" s="13"/>
      <c r="TV846" s="12"/>
      <c r="WL846" s="13"/>
      <c r="WM846" s="12"/>
      <c r="YH846" s="13"/>
    </row>
    <row r="847" spans="82:658" ht="10.75" customHeight="1">
      <c r="CD847" s="229"/>
      <c r="CE847" s="231"/>
      <c r="CF847" s="231"/>
      <c r="CG847" s="231"/>
      <c r="CH847" s="231"/>
      <c r="CI847" s="231"/>
      <c r="CJ847" s="12"/>
      <c r="CS847" s="13"/>
      <c r="CT847" s="42"/>
      <c r="CU847" s="43"/>
      <c r="CV847" s="43"/>
      <c r="CW847" s="160"/>
      <c r="CX847" s="162"/>
      <c r="CY847" s="162"/>
      <c r="CZ847" s="162"/>
      <c r="DA847" s="162"/>
      <c r="DB847" s="162"/>
      <c r="DC847" s="162"/>
      <c r="DD847" s="162"/>
      <c r="DE847" s="314"/>
      <c r="DF847" s="314"/>
      <c r="DG847" s="314"/>
      <c r="DH847" s="314"/>
      <c r="DI847" s="314"/>
      <c r="DJ847" s="314"/>
      <c r="DK847" s="314"/>
      <c r="DL847" s="314"/>
      <c r="DM847" s="314"/>
      <c r="DN847" s="162"/>
      <c r="DO847" s="162"/>
      <c r="DP847" s="162"/>
      <c r="DQ847" s="162"/>
      <c r="DR847" s="162"/>
      <c r="DS847" s="162"/>
      <c r="DT847" s="162"/>
      <c r="DU847" s="162"/>
      <c r="DV847" s="162"/>
      <c r="DW847" s="162"/>
      <c r="DX847" s="162"/>
      <c r="DY847" s="162"/>
      <c r="DZ847" s="162"/>
      <c r="EA847" s="162"/>
      <c r="EB847" s="162"/>
      <c r="EC847" s="162"/>
      <c r="ED847" s="162"/>
      <c r="EE847" s="162"/>
      <c r="EF847" s="162"/>
      <c r="EG847" s="162"/>
      <c r="EH847" s="162"/>
      <c r="EI847" s="162"/>
      <c r="EJ847" s="162"/>
      <c r="EK847" s="162"/>
      <c r="EL847" s="162"/>
      <c r="EM847" s="162"/>
      <c r="EN847" s="162"/>
      <c r="EO847" s="162"/>
      <c r="EP847" s="162"/>
      <c r="EQ847" s="162"/>
      <c r="ER847" s="163"/>
      <c r="ES847" s="162"/>
      <c r="ET847" s="161"/>
      <c r="EZ847" s="294"/>
      <c r="FA847" s="294"/>
      <c r="GP847" s="13"/>
      <c r="GQ847" s="43"/>
      <c r="GR847" s="43"/>
      <c r="GS847" s="45"/>
      <c r="GT847" s="49"/>
      <c r="GU847" s="49"/>
      <c r="GV847" s="49"/>
      <c r="GW847" s="49"/>
      <c r="GX847" s="49"/>
      <c r="GY847" s="49"/>
      <c r="GZ847" s="49"/>
      <c r="HA847" s="208"/>
      <c r="HB847" s="231"/>
      <c r="HC847" s="231"/>
      <c r="HD847" s="231"/>
      <c r="HE847" s="231"/>
      <c r="HF847" s="231"/>
      <c r="HG847" s="231"/>
      <c r="HH847" s="231"/>
      <c r="HI847" s="232"/>
      <c r="IQ847" s="14"/>
      <c r="IR847" s="15"/>
      <c r="IS847" s="15"/>
      <c r="IT847" s="15"/>
      <c r="IU847" s="15"/>
      <c r="IV847" s="15"/>
      <c r="IW847" s="15"/>
      <c r="IX847" s="15"/>
      <c r="IY847" s="15"/>
      <c r="IZ847" s="15"/>
      <c r="JA847" s="15"/>
      <c r="JB847" s="15"/>
      <c r="JC847" s="15"/>
      <c r="JD847" s="15"/>
      <c r="JE847" s="15"/>
      <c r="JF847" s="15"/>
      <c r="JG847" s="15"/>
      <c r="JH847" s="15"/>
      <c r="JI847" s="15"/>
      <c r="JJ847" s="15"/>
      <c r="JK847" s="15"/>
      <c r="JL847" s="15"/>
      <c r="JM847" s="15"/>
      <c r="JN847" s="15"/>
      <c r="JO847" s="15"/>
      <c r="JP847" s="15"/>
      <c r="JQ847" s="15"/>
      <c r="JR847" s="15"/>
      <c r="JS847" s="15"/>
      <c r="JT847" s="15"/>
      <c r="JU847" s="15"/>
      <c r="JV847" s="15"/>
      <c r="JW847" s="15"/>
      <c r="JX847" s="15"/>
      <c r="JY847" s="15"/>
      <c r="JZ847" s="15"/>
      <c r="KA847" s="15"/>
      <c r="KB847" s="15"/>
      <c r="KC847" s="15"/>
      <c r="KD847" s="15"/>
      <c r="KE847" s="15"/>
      <c r="KF847" s="15"/>
      <c r="KG847" s="15"/>
      <c r="KH847" s="15"/>
      <c r="KI847" s="15"/>
      <c r="KJ847" s="15"/>
      <c r="KK847" s="15"/>
      <c r="KL847" s="16"/>
      <c r="KM847" s="14"/>
      <c r="KN847" s="15"/>
      <c r="KO847" s="15"/>
      <c r="KP847" s="15"/>
      <c r="KQ847" s="15"/>
      <c r="KR847" s="15"/>
      <c r="KS847" s="15"/>
      <c r="KT847" s="15"/>
      <c r="KU847" s="15"/>
      <c r="KV847" s="15"/>
      <c r="KW847" s="15"/>
      <c r="KX847" s="15"/>
      <c r="KY847" s="15"/>
      <c r="KZ847" s="15"/>
      <c r="LA847" s="15"/>
      <c r="LB847" s="15"/>
      <c r="LC847" s="15"/>
      <c r="LD847" s="15"/>
      <c r="LE847" s="15"/>
      <c r="LF847" s="15"/>
      <c r="LG847" s="15"/>
      <c r="LH847" s="15"/>
      <c r="LI847" s="15"/>
      <c r="LJ847" s="15"/>
      <c r="LK847" s="15"/>
      <c r="LL847" s="15"/>
      <c r="LM847" s="15"/>
      <c r="LN847" s="15"/>
      <c r="LO847" s="15"/>
      <c r="LP847" s="15"/>
      <c r="LQ847" s="15"/>
      <c r="LR847" s="15"/>
      <c r="LS847" s="15"/>
      <c r="LT847" s="15"/>
      <c r="LU847" s="15"/>
      <c r="LV847" s="15"/>
      <c r="LW847" s="15"/>
      <c r="LX847" s="15"/>
      <c r="LY847" s="15"/>
      <c r="LZ847" s="15"/>
      <c r="MA847" s="15"/>
      <c r="MB847" s="15"/>
      <c r="MC847" s="15"/>
      <c r="MD847" s="15"/>
      <c r="ME847" s="15"/>
      <c r="MF847" s="15"/>
      <c r="MG847" s="15"/>
      <c r="MH847" s="15"/>
      <c r="MI847" s="15"/>
      <c r="MJ847" s="15"/>
      <c r="MK847" s="15"/>
      <c r="ML847" s="15"/>
      <c r="MM847" s="15"/>
      <c r="MN847" s="15"/>
      <c r="MO847" s="15"/>
      <c r="MP847" s="15"/>
      <c r="MQ847" s="15"/>
      <c r="MR847" s="15"/>
      <c r="MS847" s="15"/>
      <c r="MT847" s="16"/>
      <c r="MU847" s="15"/>
      <c r="MV847" s="15"/>
      <c r="MW847" s="15"/>
      <c r="MX847" s="15"/>
      <c r="MY847" s="15"/>
      <c r="MZ847" s="16"/>
      <c r="NA847" s="14"/>
      <c r="NB847" s="15"/>
      <c r="NC847" s="15"/>
      <c r="ND847" s="15"/>
      <c r="NE847" s="15"/>
      <c r="NF847" s="15"/>
      <c r="NG847" s="15"/>
      <c r="NH847" s="15"/>
      <c r="NI847" s="15"/>
      <c r="NJ847" s="15"/>
      <c r="NK847" s="15"/>
      <c r="NL847" s="15"/>
      <c r="NM847" s="15"/>
      <c r="NN847" s="15"/>
      <c r="NO847" s="15"/>
      <c r="NP847" s="15"/>
      <c r="NQ847" s="15"/>
      <c r="NR847" s="15"/>
      <c r="NS847" s="15"/>
      <c r="NT847" s="15"/>
      <c r="NU847" s="15"/>
      <c r="NV847" s="14"/>
      <c r="NW847" s="15"/>
      <c r="NX847" s="15"/>
      <c r="NY847" s="15"/>
      <c r="NZ847" s="15"/>
      <c r="OA847" s="15"/>
      <c r="OB847" s="15"/>
      <c r="OC847" s="15"/>
      <c r="OD847" s="15"/>
      <c r="OE847" s="15"/>
      <c r="OF847" s="15"/>
      <c r="OG847" s="16"/>
      <c r="OH847" s="15"/>
      <c r="OI847" s="15"/>
      <c r="OJ847" s="15"/>
      <c r="OK847" s="15"/>
      <c r="OL847" s="15"/>
      <c r="OM847" s="15"/>
      <c r="ON847" s="15"/>
      <c r="OO847" s="15"/>
      <c r="OP847" s="15"/>
      <c r="OQ847" s="15"/>
      <c r="OR847" s="15"/>
      <c r="OS847" s="15"/>
      <c r="OT847" s="15"/>
      <c r="OU847" s="15"/>
      <c r="OV847" s="15"/>
      <c r="OW847" s="15"/>
      <c r="OX847" s="15"/>
      <c r="OY847" s="15"/>
      <c r="OZ847" s="15"/>
      <c r="PA847" s="15"/>
      <c r="PB847" s="15"/>
      <c r="PC847" s="15"/>
      <c r="PD847" s="15"/>
      <c r="PE847" s="15"/>
      <c r="PF847" s="15"/>
      <c r="PG847" s="15"/>
      <c r="PH847" s="15"/>
      <c r="PI847" s="15"/>
      <c r="PJ847" s="15"/>
      <c r="PK847" s="15"/>
      <c r="PL847" s="15"/>
      <c r="PM847" s="15"/>
      <c r="PN847" s="15"/>
      <c r="PO847" s="15"/>
      <c r="PP847" s="15"/>
      <c r="PQ847" s="15"/>
      <c r="PR847" s="15"/>
      <c r="PS847" s="15"/>
      <c r="PT847" s="15"/>
      <c r="PU847" s="15"/>
      <c r="PV847" s="15"/>
      <c r="PW847" s="15"/>
      <c r="PX847" s="15"/>
      <c r="PY847" s="15"/>
      <c r="PZ847" s="15"/>
      <c r="QA847" s="15"/>
      <c r="QB847" s="15"/>
      <c r="QC847" s="15"/>
      <c r="QD847" s="15"/>
      <c r="QE847" s="15"/>
      <c r="QF847" s="15"/>
      <c r="QG847" s="15"/>
      <c r="QH847" s="15"/>
      <c r="QI847" s="15"/>
      <c r="QJ847" s="15"/>
      <c r="QK847" s="15"/>
      <c r="QL847" s="15"/>
      <c r="QM847" s="15"/>
      <c r="QN847" s="15"/>
      <c r="QO847" s="15"/>
      <c r="QP847" s="15"/>
      <c r="QQ847" s="15"/>
      <c r="QR847" s="15"/>
      <c r="QS847" s="15"/>
      <c r="QT847" s="15"/>
      <c r="QU847" s="15"/>
      <c r="QV847" s="15"/>
      <c r="QW847" s="15"/>
      <c r="QX847" s="15"/>
      <c r="QY847" s="15"/>
      <c r="QZ847" s="15"/>
      <c r="RA847" s="15"/>
      <c r="RB847" s="15"/>
      <c r="RC847" s="15"/>
      <c r="RD847" s="15"/>
      <c r="RE847" s="15"/>
      <c r="RF847" s="15"/>
      <c r="RG847" s="15"/>
      <c r="RH847" s="15"/>
      <c r="RI847" s="15"/>
      <c r="RJ847" s="15"/>
      <c r="RK847" s="15"/>
      <c r="RL847" s="15"/>
      <c r="RM847" s="16"/>
      <c r="RN847" s="15"/>
      <c r="RO847" s="15"/>
      <c r="RP847" s="16"/>
      <c r="RQ847" s="15"/>
      <c r="RR847" s="15"/>
      <c r="RS847" s="15"/>
      <c r="RT847" s="15"/>
      <c r="RU847" s="15"/>
      <c r="RV847" s="16"/>
      <c r="RW847" s="15"/>
      <c r="RX847" s="15"/>
      <c r="RY847" s="15"/>
      <c r="RZ847" s="15"/>
      <c r="SA847" s="15"/>
      <c r="SB847" s="15"/>
      <c r="SC847" s="15"/>
      <c r="SD847" s="15"/>
      <c r="SE847" s="15"/>
      <c r="SF847" s="15"/>
      <c r="SG847" s="15"/>
      <c r="SH847" s="15"/>
      <c r="SI847" s="15"/>
      <c r="SJ847" s="15"/>
      <c r="SK847" s="15"/>
      <c r="SL847" s="15"/>
      <c r="SM847" s="15"/>
      <c r="SN847" s="15"/>
      <c r="SO847" s="15"/>
      <c r="SP847" s="15"/>
      <c r="SQ847" s="15"/>
      <c r="SR847" s="15"/>
      <c r="SS847" s="15"/>
      <c r="ST847" s="15"/>
      <c r="SU847" s="15"/>
      <c r="SV847" s="15"/>
      <c r="SW847" s="15"/>
      <c r="SX847" s="15"/>
      <c r="SY847" s="15"/>
      <c r="SZ847" s="15"/>
      <c r="TA847" s="15"/>
      <c r="TB847" s="15"/>
      <c r="TC847" s="15"/>
      <c r="TD847" s="15"/>
      <c r="TE847" s="15"/>
      <c r="TF847" s="15"/>
      <c r="TG847" s="15"/>
      <c r="TH847" s="15"/>
      <c r="TI847" s="15"/>
      <c r="TJ847" s="15"/>
      <c r="TK847" s="15"/>
      <c r="TL847" s="15"/>
      <c r="TM847" s="15"/>
      <c r="TN847" s="15"/>
      <c r="TO847" s="15"/>
      <c r="TP847" s="15"/>
      <c r="TQ847" s="15"/>
      <c r="TR847" s="15"/>
      <c r="TS847" s="15"/>
      <c r="TT847" s="15"/>
      <c r="TU847" s="15"/>
      <c r="TV847" s="14"/>
      <c r="TW847" s="15"/>
      <c r="TX847" s="15"/>
      <c r="TY847" s="15"/>
      <c r="TZ847" s="15"/>
      <c r="UA847" s="15"/>
      <c r="UB847" s="15"/>
      <c r="UC847" s="15"/>
      <c r="UD847" s="15"/>
      <c r="UE847" s="15"/>
      <c r="UF847" s="15"/>
      <c r="UG847" s="15"/>
      <c r="UH847" s="15"/>
      <c r="UI847" s="15"/>
      <c r="UJ847" s="15"/>
      <c r="UK847" s="15"/>
      <c r="UL847" s="15"/>
      <c r="UM847" s="15"/>
      <c r="UN847" s="15"/>
      <c r="UO847" s="15"/>
      <c r="UP847" s="15"/>
      <c r="UQ847" s="15"/>
      <c r="UR847" s="15"/>
      <c r="US847" s="15"/>
      <c r="UT847" s="15"/>
      <c r="UU847" s="15"/>
      <c r="UV847" s="15"/>
      <c r="UW847" s="15"/>
      <c r="UX847" s="15"/>
      <c r="UY847" s="15"/>
      <c r="UZ847" s="15"/>
      <c r="VA847" s="15"/>
      <c r="VB847" s="15"/>
      <c r="VC847" s="15"/>
      <c r="VD847" s="15"/>
      <c r="VE847" s="15"/>
      <c r="VF847" s="15"/>
      <c r="VG847" s="15"/>
      <c r="VH847" s="15"/>
      <c r="VI847" s="15"/>
      <c r="VJ847" s="15"/>
      <c r="VK847" s="15"/>
      <c r="VL847" s="15"/>
      <c r="VM847" s="15"/>
      <c r="VN847" s="15"/>
      <c r="VO847" s="15"/>
      <c r="VP847" s="15"/>
      <c r="VQ847" s="15"/>
      <c r="VR847" s="15"/>
      <c r="VS847" s="15"/>
      <c r="VT847" s="15"/>
      <c r="VU847" s="15"/>
      <c r="VV847" s="15"/>
      <c r="VW847" s="15"/>
      <c r="VX847" s="15"/>
      <c r="VY847" s="15"/>
      <c r="VZ847" s="15"/>
      <c r="WA847" s="15"/>
      <c r="WB847" s="15"/>
      <c r="WC847" s="15"/>
      <c r="WD847" s="15"/>
      <c r="WE847" s="15"/>
      <c r="WF847" s="15"/>
      <c r="WG847" s="15"/>
      <c r="WH847" s="15"/>
      <c r="WI847" s="15"/>
      <c r="WJ847" s="15"/>
      <c r="WK847" s="15"/>
      <c r="WL847" s="16"/>
      <c r="WM847" s="14"/>
      <c r="WN847" s="15"/>
      <c r="WO847" s="15"/>
      <c r="WP847" s="15"/>
      <c r="WQ847" s="15"/>
      <c r="WR847" s="15"/>
      <c r="WS847" s="15"/>
      <c r="WT847" s="15"/>
      <c r="WU847" s="15"/>
      <c r="WV847" s="15"/>
      <c r="WW847" s="15"/>
      <c r="WX847" s="15"/>
      <c r="WY847" s="15"/>
      <c r="WZ847" s="15"/>
      <c r="XA847" s="15"/>
      <c r="XB847" s="15"/>
      <c r="XC847" s="15"/>
      <c r="XD847" s="15"/>
      <c r="XE847" s="15"/>
      <c r="XF847" s="15"/>
      <c r="XG847" s="15"/>
      <c r="XH847" s="15"/>
      <c r="XI847" s="15"/>
      <c r="XJ847" s="15"/>
      <c r="XK847" s="15"/>
      <c r="XL847" s="15"/>
      <c r="XM847" s="15"/>
      <c r="XN847" s="15"/>
      <c r="XO847" s="15"/>
      <c r="XP847" s="15"/>
      <c r="XQ847" s="15"/>
      <c r="XR847" s="15"/>
      <c r="XS847" s="15"/>
      <c r="XT847" s="15"/>
      <c r="XU847" s="15"/>
      <c r="XV847" s="15"/>
      <c r="XW847" s="15"/>
      <c r="XX847" s="15"/>
      <c r="XY847" s="15"/>
      <c r="XZ847" s="15"/>
      <c r="YA847" s="15"/>
      <c r="YB847" s="15"/>
      <c r="YC847" s="15"/>
      <c r="YD847" s="15"/>
      <c r="YE847" s="15"/>
      <c r="YF847" s="15"/>
      <c r="YG847" s="15"/>
      <c r="YH847" s="16"/>
    </row>
    <row r="848" spans="82:658" ht="10.75" customHeight="1">
      <c r="CD848" s="229"/>
      <c r="CE848" s="231"/>
      <c r="CF848" s="231"/>
      <c r="CG848" s="231"/>
      <c r="CH848" s="231"/>
      <c r="CI848" s="231"/>
      <c r="CJ848" s="12"/>
      <c r="CS848" s="13"/>
      <c r="CT848" s="42"/>
      <c r="CU848" s="43"/>
      <c r="CV848" s="43"/>
      <c r="CW848" s="9"/>
      <c r="CX848" s="10"/>
      <c r="CY848" s="10"/>
      <c r="CZ848" s="10"/>
      <c r="DA848" s="10"/>
      <c r="DB848" s="10"/>
      <c r="DC848" s="10"/>
      <c r="DD848" s="10"/>
      <c r="DE848" s="10"/>
      <c r="DF848" s="10"/>
      <c r="DG848" s="10"/>
      <c r="DH848" s="10"/>
      <c r="DI848" s="10"/>
      <c r="DJ848" s="10"/>
      <c r="DK848" s="10"/>
      <c r="DL848" s="10"/>
      <c r="DM848" s="10"/>
      <c r="DN848" s="10"/>
      <c r="DO848" s="10"/>
      <c r="DP848" s="10"/>
      <c r="DQ848" s="10"/>
      <c r="DR848" s="10"/>
      <c r="DS848" s="10"/>
      <c r="DT848" s="10"/>
      <c r="DU848" s="10"/>
      <c r="DV848" s="10"/>
      <c r="DW848" s="10"/>
      <c r="DX848" s="10"/>
      <c r="DY848" s="10"/>
      <c r="DZ848" s="10"/>
      <c r="EA848" s="10"/>
      <c r="EB848" s="10"/>
      <c r="EC848" s="10"/>
      <c r="ED848" s="10"/>
      <c r="EE848" s="10"/>
      <c r="EF848" s="10"/>
      <c r="EG848" s="10"/>
      <c r="EH848" s="10"/>
      <c r="EI848" s="10"/>
      <c r="EJ848" s="10"/>
      <c r="EK848" s="10"/>
      <c r="EL848" s="10"/>
      <c r="EM848" s="10"/>
      <c r="EN848" s="10"/>
      <c r="EO848" s="10"/>
      <c r="EP848" s="10"/>
      <c r="EQ848" s="10"/>
      <c r="ER848" s="10"/>
      <c r="ES848" s="160"/>
      <c r="ET848" s="161"/>
      <c r="FA848" s="291"/>
      <c r="GP848" s="13"/>
      <c r="GQ848" s="43"/>
      <c r="GR848" s="43"/>
      <c r="GS848" s="45"/>
      <c r="GT848" s="49"/>
      <c r="GU848" s="49"/>
      <c r="GV848" s="49"/>
      <c r="GW848" s="49"/>
      <c r="GX848" s="49"/>
      <c r="GY848" s="49"/>
      <c r="GZ848" s="49"/>
      <c r="HA848" s="208"/>
      <c r="HB848" s="231"/>
      <c r="HC848" s="231"/>
      <c r="HD848" s="231"/>
      <c r="HE848" s="231"/>
      <c r="HF848" s="231"/>
      <c r="HG848" s="231"/>
      <c r="HH848" s="231"/>
      <c r="HI848" s="232"/>
      <c r="KM848" s="12"/>
      <c r="KN848" s="317"/>
      <c r="KO848" s="317"/>
      <c r="KP848" s="317"/>
      <c r="KQ848" s="317"/>
      <c r="KR848" s="317"/>
      <c r="KS848" s="317"/>
      <c r="KT848" s="317"/>
      <c r="KU848" s="317"/>
      <c r="KV848" s="317"/>
      <c r="KW848" s="317"/>
      <c r="KX848" s="317"/>
      <c r="KY848" s="317"/>
      <c r="KZ848" s="317"/>
      <c r="LA848" s="317"/>
      <c r="LB848" s="317"/>
      <c r="LC848" s="317"/>
      <c r="LD848" s="317"/>
      <c r="LE848" s="317"/>
      <c r="LF848" s="317"/>
      <c r="LG848" s="317"/>
      <c r="LH848" s="317"/>
      <c r="LI848" s="317"/>
      <c r="LJ848" s="317"/>
      <c r="LK848" s="317"/>
      <c r="LL848" s="317"/>
      <c r="LM848" s="317"/>
      <c r="LN848" s="317"/>
      <c r="LO848" s="317"/>
      <c r="LP848" s="317"/>
      <c r="LQ848" s="317"/>
      <c r="LR848" s="317"/>
      <c r="LS848" s="317"/>
      <c r="LT848" s="317"/>
      <c r="LU848" s="317"/>
      <c r="LV848" s="317"/>
      <c r="LW848" s="317"/>
      <c r="LX848" s="317"/>
      <c r="LY848" s="317"/>
      <c r="LZ848" s="317"/>
      <c r="MA848" s="317"/>
      <c r="MB848" s="317"/>
      <c r="MC848" s="317"/>
      <c r="MD848" s="317"/>
      <c r="ME848" s="317"/>
      <c r="MF848" s="317"/>
      <c r="MG848" s="317"/>
      <c r="MH848" s="317"/>
      <c r="MI848" s="317"/>
      <c r="MJ848" s="317"/>
      <c r="MK848" s="317"/>
      <c r="ML848" s="317"/>
      <c r="MM848" s="317"/>
      <c r="MN848" s="317"/>
      <c r="MO848" s="317"/>
      <c r="MP848" s="317"/>
      <c r="MQ848" s="317"/>
      <c r="MR848" s="317"/>
      <c r="MS848" s="317"/>
      <c r="MT848" s="13"/>
      <c r="MU848" s="317"/>
      <c r="MV848" s="317"/>
      <c r="MW848" s="317"/>
      <c r="MX848" s="317"/>
      <c r="MY848" s="317"/>
      <c r="MZ848" s="13"/>
      <c r="NA848" s="12"/>
      <c r="NB848" s="317"/>
      <c r="NC848" s="317"/>
      <c r="ND848" s="317"/>
      <c r="NE848" s="317"/>
      <c r="NF848" s="317"/>
      <c r="NG848" s="317"/>
      <c r="NH848" s="317"/>
      <c r="NI848" s="317"/>
      <c r="NJ848" s="317"/>
      <c r="NK848" s="317"/>
      <c r="NL848" s="317"/>
      <c r="NM848" s="317"/>
      <c r="NN848" s="317"/>
      <c r="NO848" s="317"/>
      <c r="NP848" s="317"/>
      <c r="NQ848" s="317"/>
      <c r="NR848" s="317"/>
      <c r="NS848" s="317"/>
      <c r="NT848" s="317"/>
      <c r="NU848" s="317"/>
      <c r="NV848" s="317"/>
      <c r="NW848" s="317"/>
      <c r="NX848" s="317"/>
      <c r="NY848" s="317"/>
      <c r="NZ848" s="317"/>
      <c r="OA848" s="317"/>
      <c r="OB848" s="317"/>
      <c r="OC848" s="317"/>
      <c r="OD848" s="317"/>
      <c r="OE848" s="317"/>
      <c r="OF848" s="317"/>
      <c r="OG848" s="317"/>
      <c r="OH848" s="12"/>
      <c r="OI848" s="317"/>
      <c r="OJ848" s="317"/>
      <c r="OK848" s="317"/>
      <c r="OL848" s="317"/>
      <c r="OM848" s="317"/>
      <c r="ON848" s="317"/>
      <c r="OO848" s="317"/>
      <c r="OP848" s="317"/>
      <c r="OQ848" s="317"/>
      <c r="OR848" s="317"/>
      <c r="OS848" s="13"/>
      <c r="OT848" s="317"/>
      <c r="OU848" s="317"/>
      <c r="OV848" s="317"/>
      <c r="OW848" s="317"/>
      <c r="OX848" s="317"/>
      <c r="OY848" s="317"/>
      <c r="OZ848" s="317"/>
      <c r="PA848" s="317"/>
      <c r="PB848" s="317"/>
      <c r="PC848" s="317"/>
      <c r="PD848" s="317"/>
      <c r="PE848" s="317"/>
      <c r="PF848" s="317"/>
      <c r="PG848" s="317"/>
      <c r="PH848" s="317"/>
      <c r="PI848" s="317"/>
      <c r="PJ848" s="317"/>
      <c r="PK848" s="317"/>
      <c r="PL848" s="317"/>
      <c r="PM848" s="317"/>
      <c r="PN848" s="317"/>
      <c r="PO848" s="317"/>
      <c r="PP848" s="317"/>
      <c r="PQ848" s="317"/>
      <c r="PR848" s="317"/>
      <c r="PS848" s="317"/>
      <c r="PT848" s="317"/>
      <c r="PU848" s="317"/>
      <c r="PV848" s="317"/>
      <c r="PW848" s="317"/>
      <c r="PX848" s="317"/>
      <c r="PY848" s="317"/>
      <c r="PZ848" s="317"/>
      <c r="QA848" s="317"/>
      <c r="QB848" s="317"/>
      <c r="QC848" s="317"/>
      <c r="QD848" s="317"/>
      <c r="QE848" s="317"/>
      <c r="QF848" s="317"/>
      <c r="QG848" s="317"/>
      <c r="QH848" s="317"/>
      <c r="QI848" s="317"/>
      <c r="QJ848" s="317"/>
      <c r="QK848" s="317"/>
      <c r="QL848" s="317"/>
      <c r="QM848" s="317"/>
      <c r="QN848" s="317"/>
      <c r="QO848" s="317"/>
      <c r="QP848" s="317"/>
      <c r="QQ848" s="317"/>
      <c r="QR848" s="317"/>
      <c r="QS848" s="317"/>
      <c r="QT848" s="317"/>
      <c r="QU848" s="317"/>
      <c r="QV848" s="317"/>
      <c r="QW848" s="317"/>
      <c r="QX848" s="317"/>
      <c r="QY848" s="317"/>
      <c r="QZ848" s="317"/>
      <c r="RA848" s="317"/>
      <c r="RB848" s="317"/>
      <c r="RC848" s="317"/>
      <c r="RD848" s="317"/>
      <c r="RE848" s="317"/>
      <c r="RF848" s="317"/>
      <c r="RG848" s="317"/>
      <c r="RH848" s="317"/>
      <c r="RI848" s="317"/>
      <c r="RJ848" s="317"/>
      <c r="RK848" s="317"/>
      <c r="RL848" s="317"/>
      <c r="RM848" s="13"/>
      <c r="RN848" s="317"/>
      <c r="RO848" s="317"/>
      <c r="RP848" s="13"/>
      <c r="RQ848" s="317"/>
      <c r="RR848" s="317"/>
      <c r="RS848" s="317"/>
      <c r="RT848" s="317"/>
      <c r="RU848" s="317"/>
      <c r="RV848" s="13"/>
      <c r="TQ848" s="10"/>
      <c r="TR848" s="10"/>
      <c r="TS848" s="10"/>
      <c r="TT848" s="10"/>
      <c r="TU848" s="10"/>
      <c r="TV848" s="12"/>
      <c r="WL848" s="13"/>
    </row>
    <row r="849" spans="82:610" ht="10.75" customHeight="1">
      <c r="CD849" s="229"/>
      <c r="CE849" s="231"/>
      <c r="CF849" s="231"/>
      <c r="CG849" s="231"/>
      <c r="CH849" s="231"/>
      <c r="CI849" s="231"/>
      <c r="CJ849" s="12"/>
      <c r="CS849" s="13"/>
      <c r="CT849" s="42"/>
      <c r="CU849" s="43"/>
      <c r="CV849" s="43"/>
      <c r="CW849" s="12"/>
      <c r="ES849" s="160"/>
      <c r="ET849" s="161"/>
      <c r="FA849" s="291"/>
      <c r="GP849" s="13"/>
      <c r="GQ849" s="43"/>
      <c r="GR849" s="43"/>
      <c r="GS849" s="45"/>
      <c r="GT849" s="49"/>
      <c r="GU849" s="49"/>
      <c r="GV849" s="49"/>
      <c r="GW849" s="49"/>
      <c r="GX849" s="49"/>
      <c r="GY849" s="49"/>
      <c r="GZ849" s="49"/>
      <c r="HA849" s="208"/>
      <c r="HB849" s="231"/>
      <c r="HC849" s="231"/>
      <c r="HD849" s="231"/>
      <c r="HE849" s="231"/>
      <c r="HF849" s="231"/>
      <c r="HG849" s="231"/>
      <c r="HH849" s="231"/>
      <c r="HI849" s="232"/>
      <c r="KM849" s="12"/>
      <c r="KN849" s="317"/>
      <c r="KO849" s="317"/>
      <c r="KP849" s="317"/>
      <c r="KQ849" s="317"/>
      <c r="KR849" s="317"/>
      <c r="KS849" s="317"/>
      <c r="KT849" s="317"/>
      <c r="KU849" s="317"/>
      <c r="KV849" s="317"/>
      <c r="KW849" s="317"/>
      <c r="KX849" s="317"/>
      <c r="KY849" s="317"/>
      <c r="KZ849" s="317"/>
      <c r="LA849" s="317"/>
      <c r="LB849" s="317"/>
      <c r="LC849" s="317"/>
      <c r="LD849" s="317"/>
      <c r="LE849" s="317"/>
      <c r="LF849" s="317"/>
      <c r="LG849" s="317"/>
      <c r="LH849" s="317"/>
      <c r="LI849" s="317"/>
      <c r="LJ849" s="317"/>
      <c r="LK849" s="317"/>
      <c r="LL849" s="317"/>
      <c r="LM849" s="317"/>
      <c r="LN849" s="317"/>
      <c r="LO849" s="317"/>
      <c r="LP849" s="317"/>
      <c r="LQ849" s="317"/>
      <c r="LR849" s="317"/>
      <c r="LS849" s="317"/>
      <c r="LT849" s="317"/>
      <c r="LU849" s="317"/>
      <c r="LV849" s="317"/>
      <c r="LW849" s="317"/>
      <c r="LX849" s="317"/>
      <c r="LY849" s="317"/>
      <c r="LZ849" s="317"/>
      <c r="MA849" s="317"/>
      <c r="MB849" s="317"/>
      <c r="MC849" s="317"/>
      <c r="MD849" s="317"/>
      <c r="ME849" s="317"/>
      <c r="MF849" s="317"/>
      <c r="MG849" s="317"/>
      <c r="MH849" s="317"/>
      <c r="MI849" s="317"/>
      <c r="MJ849" s="317"/>
      <c r="MK849" s="317"/>
      <c r="ML849" s="317"/>
      <c r="MM849" s="317"/>
      <c r="MN849" s="317"/>
      <c r="MO849" s="317"/>
      <c r="MP849" s="317"/>
      <c r="MQ849" s="317"/>
      <c r="MR849" s="317"/>
      <c r="MS849" s="317"/>
      <c r="MT849" s="13"/>
      <c r="MU849" s="317"/>
      <c r="MV849" s="317"/>
      <c r="MW849" s="317"/>
      <c r="MX849" s="317"/>
      <c r="MY849" s="317"/>
      <c r="MZ849" s="13"/>
      <c r="NA849" s="12"/>
      <c r="NB849" s="317"/>
      <c r="NC849" s="317"/>
      <c r="ND849" s="317"/>
      <c r="NE849" s="317"/>
      <c r="NF849" s="317"/>
      <c r="NG849" s="317"/>
      <c r="NH849" s="317"/>
      <c r="NI849" s="317"/>
      <c r="NJ849" s="317"/>
      <c r="NK849" s="317"/>
      <c r="NL849" s="317"/>
      <c r="NM849" s="317"/>
      <c r="NN849" s="317"/>
      <c r="NO849" s="317"/>
      <c r="NP849" s="317"/>
      <c r="NQ849" s="317"/>
      <c r="NR849" s="317"/>
      <c r="NS849" s="317"/>
      <c r="NT849" s="317"/>
      <c r="NU849" s="317"/>
      <c r="NV849" s="317"/>
      <c r="NW849" s="317"/>
      <c r="NX849" s="317"/>
      <c r="NY849" s="317"/>
      <c r="NZ849" s="317"/>
      <c r="OA849" s="317"/>
      <c r="OB849" s="317"/>
      <c r="OC849" s="317"/>
      <c r="OD849" s="317"/>
      <c r="OE849" s="317"/>
      <c r="OF849" s="317"/>
      <c r="OG849" s="317"/>
      <c r="OH849" s="12"/>
      <c r="OI849" s="317"/>
      <c r="OJ849" s="317"/>
      <c r="OK849" s="317"/>
      <c r="OL849" s="317"/>
      <c r="OM849" s="317"/>
      <c r="ON849" s="317"/>
      <c r="OO849" s="317"/>
      <c r="OP849" s="317"/>
      <c r="OQ849" s="317"/>
      <c r="OR849" s="317"/>
      <c r="OS849" s="13"/>
      <c r="OT849" s="317"/>
      <c r="OU849" s="317"/>
      <c r="OV849" s="317"/>
      <c r="OW849" s="317"/>
      <c r="OX849" s="317"/>
      <c r="OY849" s="317"/>
      <c r="OZ849" s="317"/>
      <c r="PA849" s="317"/>
      <c r="PB849" s="317"/>
      <c r="PC849" s="317"/>
      <c r="PD849" s="317"/>
      <c r="PE849" s="317"/>
      <c r="PF849" s="317"/>
      <c r="PG849" s="317"/>
      <c r="PH849" s="317"/>
      <c r="PI849" s="317"/>
      <c r="PJ849" s="317"/>
      <c r="PK849" s="317"/>
      <c r="PL849" s="317"/>
      <c r="PM849" s="317"/>
      <c r="PN849" s="317"/>
      <c r="PO849" s="317"/>
      <c r="PP849" s="317"/>
      <c r="PQ849" s="317"/>
      <c r="PR849" s="317"/>
      <c r="PS849" s="317"/>
      <c r="PT849" s="317"/>
      <c r="PU849" s="317"/>
      <c r="PV849" s="317"/>
      <c r="PW849" s="317"/>
      <c r="PX849" s="317"/>
      <c r="PY849" s="317"/>
      <c r="PZ849" s="317"/>
      <c r="QA849" s="317"/>
      <c r="QB849" s="317"/>
      <c r="QC849" s="317"/>
      <c r="QD849" s="317"/>
      <c r="QE849" s="317"/>
      <c r="QF849" s="317"/>
      <c r="QG849" s="317"/>
      <c r="QH849" s="317"/>
      <c r="QI849" s="317"/>
      <c r="QJ849" s="317"/>
      <c r="QK849" s="317"/>
      <c r="QL849" s="317"/>
      <c r="QM849" s="317"/>
      <c r="QN849" s="317"/>
      <c r="QO849" s="317"/>
      <c r="QP849" s="317"/>
      <c r="QQ849" s="317"/>
      <c r="QR849" s="317"/>
      <c r="QS849" s="317"/>
      <c r="QT849" s="317"/>
      <c r="QU849" s="317"/>
      <c r="QV849" s="317"/>
      <c r="QW849" s="317"/>
      <c r="QX849" s="317"/>
      <c r="QY849" s="317"/>
      <c r="QZ849" s="317"/>
      <c r="RA849" s="317"/>
      <c r="RB849" s="317"/>
      <c r="RC849" s="317"/>
      <c r="RD849" s="317"/>
      <c r="RE849" s="317"/>
      <c r="RF849" s="317"/>
      <c r="RG849" s="317"/>
      <c r="RH849" s="317"/>
      <c r="RI849" s="317"/>
      <c r="RJ849" s="317"/>
      <c r="RK849" s="317"/>
      <c r="RL849" s="317"/>
      <c r="RM849" s="13"/>
      <c r="RN849" s="317"/>
      <c r="RO849" s="317"/>
      <c r="RP849" s="13"/>
      <c r="RQ849" s="317"/>
      <c r="RR849" s="317"/>
      <c r="RS849" s="317"/>
      <c r="RT849" s="317"/>
      <c r="RU849" s="317"/>
      <c r="RV849" s="13"/>
      <c r="TV849" s="12"/>
      <c r="WL849" s="13"/>
    </row>
    <row r="850" spans="82:610" ht="10.75" customHeight="1">
      <c r="CD850" s="229"/>
      <c r="CE850" s="231"/>
      <c r="CF850" s="231"/>
      <c r="CG850" s="231"/>
      <c r="CH850" s="231"/>
      <c r="CI850" s="231"/>
      <c r="CJ850" s="9"/>
      <c r="CK850" s="10"/>
      <c r="CL850" s="10"/>
      <c r="CM850" s="10"/>
      <c r="CN850" s="10"/>
      <c r="CO850" s="10"/>
      <c r="CP850" s="10"/>
      <c r="CQ850" s="10"/>
      <c r="CR850" s="10"/>
      <c r="CS850" s="11"/>
      <c r="CT850" s="42"/>
      <c r="CU850" s="43"/>
      <c r="CV850" s="43"/>
      <c r="CW850" s="12"/>
      <c r="ES850" s="160"/>
      <c r="ET850" s="313"/>
      <c r="FA850" s="291"/>
      <c r="GP850" s="13"/>
      <c r="GQ850" s="43"/>
      <c r="GR850" s="43"/>
      <c r="GS850" s="45"/>
      <c r="GT850" s="49"/>
      <c r="GU850" s="49"/>
      <c r="GV850" s="49"/>
      <c r="GW850" s="49"/>
      <c r="GX850" s="49"/>
      <c r="GY850" s="49"/>
      <c r="GZ850" s="49"/>
      <c r="HA850" s="208"/>
      <c r="HB850" s="231"/>
      <c r="HC850" s="231"/>
      <c r="HD850" s="231"/>
      <c r="HE850" s="231"/>
      <c r="HF850" s="231"/>
      <c r="HG850" s="231"/>
      <c r="HH850" s="231"/>
      <c r="HI850" s="232"/>
      <c r="KM850" s="12"/>
      <c r="KN850" s="317"/>
      <c r="KO850" s="317"/>
      <c r="KP850" s="317"/>
      <c r="KQ850" s="317"/>
      <c r="KR850" s="317"/>
      <c r="KS850" s="317"/>
      <c r="KT850" s="317"/>
      <c r="KU850" s="317"/>
      <c r="KV850" s="317"/>
      <c r="KW850" s="317"/>
      <c r="KX850" s="317"/>
      <c r="KY850" s="317"/>
      <c r="KZ850" s="317"/>
      <c r="LA850" s="317"/>
      <c r="LB850" s="317"/>
      <c r="LC850" s="317"/>
      <c r="LD850" s="317"/>
      <c r="LE850" s="317"/>
      <c r="LF850" s="317"/>
      <c r="LG850" s="317"/>
      <c r="LH850" s="317"/>
      <c r="LI850" s="317"/>
      <c r="LJ850" s="317"/>
      <c r="LK850" s="317"/>
      <c r="LL850" s="317"/>
      <c r="LM850" s="317"/>
      <c r="LN850" s="317"/>
      <c r="LO850" s="317"/>
      <c r="LP850" s="317"/>
      <c r="LQ850" s="317"/>
      <c r="LR850" s="317"/>
      <c r="LS850" s="317"/>
      <c r="LT850" s="317"/>
      <c r="LU850" s="317"/>
      <c r="LV850" s="317"/>
      <c r="LW850" s="317"/>
      <c r="LX850" s="317"/>
      <c r="LY850" s="317"/>
      <c r="LZ850" s="317"/>
      <c r="MA850" s="317"/>
      <c r="MB850" s="317"/>
      <c r="MC850" s="317"/>
      <c r="MD850" s="317"/>
      <c r="ME850" s="317"/>
      <c r="MF850" s="317"/>
      <c r="MG850" s="317"/>
      <c r="MH850" s="317"/>
      <c r="MI850" s="317"/>
      <c r="MJ850" s="317"/>
      <c r="MK850" s="317"/>
      <c r="ML850" s="317"/>
      <c r="MM850" s="317"/>
      <c r="MN850" s="317"/>
      <c r="MO850" s="317"/>
      <c r="MP850" s="317"/>
      <c r="MQ850" s="317"/>
      <c r="MR850" s="317"/>
      <c r="MS850" s="317"/>
      <c r="MT850" s="13"/>
      <c r="MU850" s="317"/>
      <c r="MV850" s="317"/>
      <c r="MW850" s="317"/>
      <c r="MX850" s="317"/>
      <c r="MY850" s="317"/>
      <c r="MZ850" s="13"/>
      <c r="NA850" s="12"/>
      <c r="NB850" s="317"/>
      <c r="NC850" s="317"/>
      <c r="ND850" s="317"/>
      <c r="NE850" s="317"/>
      <c r="NF850" s="317"/>
      <c r="NG850" s="317"/>
      <c r="NH850" s="317"/>
      <c r="NI850" s="317"/>
      <c r="NJ850" s="317"/>
      <c r="NK850" s="317"/>
      <c r="NL850" s="317"/>
      <c r="NM850" s="317"/>
      <c r="NN850" s="317"/>
      <c r="NO850" s="317"/>
      <c r="NP850" s="317"/>
      <c r="NQ850" s="317"/>
      <c r="NR850" s="317"/>
      <c r="NS850" s="317"/>
      <c r="NT850" s="317"/>
      <c r="NU850" s="317"/>
      <c r="NV850" s="317"/>
      <c r="NW850" s="317"/>
      <c r="NX850" s="317"/>
      <c r="NY850" s="317"/>
      <c r="NZ850" s="317"/>
      <c r="OA850" s="317"/>
      <c r="OB850" s="317"/>
      <c r="OC850" s="317"/>
      <c r="OD850" s="317"/>
      <c r="OE850" s="317"/>
      <c r="OF850" s="317"/>
      <c r="OG850" s="317"/>
      <c r="OH850" s="12"/>
      <c r="OI850" s="317"/>
      <c r="OJ850" s="317"/>
      <c r="OK850" s="317"/>
      <c r="OL850" s="317"/>
      <c r="OM850" s="317"/>
      <c r="ON850" s="317"/>
      <c r="OO850" s="317"/>
      <c r="OP850" s="317"/>
      <c r="OQ850" s="317"/>
      <c r="OR850" s="317"/>
      <c r="OS850" s="13"/>
      <c r="OT850" s="317"/>
      <c r="OU850" s="317"/>
      <c r="OV850" s="317"/>
      <c r="OW850" s="317"/>
      <c r="OX850" s="317"/>
      <c r="OY850" s="317"/>
      <c r="OZ850" s="317"/>
      <c r="PA850" s="317"/>
      <c r="PB850" s="317"/>
      <c r="PC850" s="317"/>
      <c r="PD850" s="317"/>
      <c r="PE850" s="317"/>
      <c r="PF850" s="317"/>
      <c r="PG850" s="317"/>
      <c r="PH850" s="317"/>
      <c r="PI850" s="317"/>
      <c r="PJ850" s="317"/>
      <c r="PK850" s="317"/>
      <c r="PL850" s="317"/>
      <c r="PM850" s="317"/>
      <c r="PN850" s="317"/>
      <c r="PO850" s="317"/>
      <c r="PP850" s="317"/>
      <c r="PQ850" s="317"/>
      <c r="PR850" s="317"/>
      <c r="PS850" s="317"/>
      <c r="PT850" s="317"/>
      <c r="PU850" s="317"/>
      <c r="PV850" s="317"/>
      <c r="PW850" s="317"/>
      <c r="PX850" s="317"/>
      <c r="PY850" s="317"/>
      <c r="PZ850" s="317"/>
      <c r="QA850" s="317"/>
      <c r="QB850" s="317"/>
      <c r="QC850" s="317"/>
      <c r="QD850" s="317"/>
      <c r="QE850" s="317"/>
      <c r="QF850" s="317"/>
      <c r="QG850" s="317"/>
      <c r="QH850" s="317"/>
      <c r="QI850" s="317"/>
      <c r="QJ850" s="317"/>
      <c r="QK850" s="317"/>
      <c r="QL850" s="317"/>
      <c r="QM850" s="317"/>
      <c r="QN850" s="317"/>
      <c r="QO850" s="317"/>
      <c r="QP850" s="317"/>
      <c r="QQ850" s="317"/>
      <c r="QR850" s="317"/>
      <c r="QS850" s="317"/>
      <c r="QT850" s="317"/>
      <c r="QU850" s="317"/>
      <c r="QV850" s="317"/>
      <c r="QW850" s="317"/>
      <c r="QX850" s="317"/>
      <c r="QY850" s="317"/>
      <c r="QZ850" s="317"/>
      <c r="RA850" s="317"/>
      <c r="RB850" s="317"/>
      <c r="RC850" s="317"/>
      <c r="RD850" s="317"/>
      <c r="RE850" s="317"/>
      <c r="RF850" s="317"/>
      <c r="RG850" s="317"/>
      <c r="RH850" s="317"/>
      <c r="RI850" s="317"/>
      <c r="RJ850" s="317"/>
      <c r="RK850" s="317"/>
      <c r="RL850" s="317"/>
      <c r="RM850" s="13"/>
      <c r="RN850" s="317"/>
      <c r="RO850" s="317"/>
      <c r="RP850" s="13"/>
      <c r="RQ850" s="317"/>
      <c r="RR850" s="317"/>
      <c r="RS850" s="317"/>
      <c r="RT850" s="317"/>
      <c r="RU850" s="317"/>
      <c r="RV850" s="13"/>
      <c r="TV850" s="12"/>
      <c r="WL850" s="13"/>
    </row>
    <row r="851" spans="82:610" ht="10.75" customHeight="1">
      <c r="CD851" s="229"/>
      <c r="CE851" s="231"/>
      <c r="CF851" s="231"/>
      <c r="CG851" s="231"/>
      <c r="CH851" s="231"/>
      <c r="CI851" s="231"/>
      <c r="CJ851" s="12"/>
      <c r="CS851" s="13"/>
      <c r="CT851" s="42"/>
      <c r="CU851" s="43"/>
      <c r="CV851" s="43"/>
      <c r="CW851" s="12"/>
      <c r="ES851" s="160"/>
      <c r="ET851" s="313"/>
      <c r="FA851" s="291"/>
      <c r="GP851" s="13"/>
      <c r="GQ851" s="43"/>
      <c r="GR851" s="43"/>
      <c r="GS851" s="45"/>
      <c r="GT851" s="49"/>
      <c r="GU851" s="49"/>
      <c r="GV851" s="49"/>
      <c r="GW851" s="49"/>
      <c r="GX851" s="49"/>
      <c r="GY851" s="49"/>
      <c r="GZ851" s="49"/>
      <c r="HA851" s="208"/>
      <c r="HB851" s="231"/>
      <c r="HC851" s="231"/>
      <c r="HD851" s="231"/>
      <c r="HE851" s="231"/>
      <c r="HF851" s="231"/>
      <c r="HG851" s="231"/>
      <c r="HH851" s="231"/>
      <c r="HI851" s="232"/>
      <c r="KM851" s="12"/>
      <c r="KN851" s="317"/>
      <c r="KO851" s="317"/>
      <c r="KP851" s="317"/>
      <c r="KQ851" s="317"/>
      <c r="KR851" s="317"/>
      <c r="KS851" s="317"/>
      <c r="KT851" s="317"/>
      <c r="KU851" s="317"/>
      <c r="KV851" s="317"/>
      <c r="KW851" s="317"/>
      <c r="KX851" s="317"/>
      <c r="KY851" s="317"/>
      <c r="KZ851" s="317"/>
      <c r="LA851" s="317"/>
      <c r="LB851" s="317"/>
      <c r="LC851" s="317"/>
      <c r="LD851" s="317"/>
      <c r="LE851" s="317"/>
      <c r="LF851" s="317"/>
      <c r="LG851" s="317"/>
      <c r="LH851" s="317"/>
      <c r="LI851" s="317"/>
      <c r="LJ851" s="317"/>
      <c r="LK851" s="317"/>
      <c r="LL851" s="317"/>
      <c r="LM851" s="317"/>
      <c r="LN851" s="317"/>
      <c r="LO851" s="317"/>
      <c r="LP851" s="317"/>
      <c r="LQ851" s="317"/>
      <c r="LR851" s="317"/>
      <c r="LS851" s="317"/>
      <c r="LT851" s="317"/>
      <c r="LU851" s="317"/>
      <c r="LV851" s="317"/>
      <c r="LW851" s="317"/>
      <c r="LX851" s="317"/>
      <c r="LY851" s="317"/>
      <c r="LZ851" s="317"/>
      <c r="MA851" s="317"/>
      <c r="MB851" s="317"/>
      <c r="MC851" s="317"/>
      <c r="MD851" s="317"/>
      <c r="ME851" s="317"/>
      <c r="MF851" s="317"/>
      <c r="MG851" s="317"/>
      <c r="MH851" s="317"/>
      <c r="MI851" s="317"/>
      <c r="MJ851" s="317"/>
      <c r="MK851" s="317"/>
      <c r="ML851" s="317"/>
      <c r="MM851" s="317"/>
      <c r="MN851" s="317"/>
      <c r="MO851" s="317"/>
      <c r="MP851" s="317"/>
      <c r="MQ851" s="317"/>
      <c r="MR851" s="317"/>
      <c r="MS851" s="317"/>
      <c r="MT851" s="13"/>
      <c r="MU851" s="317"/>
      <c r="MV851" s="317"/>
      <c r="MW851" s="317"/>
      <c r="MX851" s="317"/>
      <c r="MY851" s="317"/>
      <c r="MZ851" s="13"/>
      <c r="NA851" s="12"/>
      <c r="NB851" s="317"/>
      <c r="NC851" s="317"/>
      <c r="ND851" s="317"/>
      <c r="NE851" s="317"/>
      <c r="NF851" s="317"/>
      <c r="NG851" s="317"/>
      <c r="NH851" s="317"/>
      <c r="NI851" s="317"/>
      <c r="NJ851" s="317"/>
      <c r="NK851" s="317"/>
      <c r="NL851" s="317"/>
      <c r="NM851" s="317"/>
      <c r="NN851" s="317"/>
      <c r="NO851" s="317"/>
      <c r="NP851" s="317"/>
      <c r="NQ851" s="317"/>
      <c r="NR851" s="317"/>
      <c r="NS851" s="317"/>
      <c r="NT851" s="317"/>
      <c r="NU851" s="317"/>
      <c r="NV851" s="317"/>
      <c r="NW851" s="317"/>
      <c r="NX851" s="317"/>
      <c r="NY851" s="317"/>
      <c r="NZ851" s="317"/>
      <c r="OA851" s="317"/>
      <c r="OB851" s="317"/>
      <c r="OC851" s="317"/>
      <c r="OD851" s="317"/>
      <c r="OE851" s="317"/>
      <c r="OF851" s="317"/>
      <c r="OG851" s="317"/>
      <c r="OH851" s="12"/>
      <c r="OI851" s="317"/>
      <c r="OJ851" s="317"/>
      <c r="OK851" s="317"/>
      <c r="OL851" s="317"/>
      <c r="OM851" s="317"/>
      <c r="ON851" s="317"/>
      <c r="OO851" s="317"/>
      <c r="OP851" s="317"/>
      <c r="OQ851" s="317"/>
      <c r="OR851" s="317"/>
      <c r="OS851" s="13"/>
      <c r="OT851" s="317"/>
      <c r="OU851" s="317"/>
      <c r="OV851" s="317"/>
      <c r="OW851" s="317"/>
      <c r="OX851" s="317"/>
      <c r="OY851" s="317"/>
      <c r="OZ851" s="317"/>
      <c r="PA851" s="317"/>
      <c r="PB851" s="317"/>
      <c r="PC851" s="317"/>
      <c r="PD851" s="317"/>
      <c r="PE851" s="317"/>
      <c r="PF851" s="317"/>
      <c r="PG851" s="317"/>
      <c r="PH851" s="317"/>
      <c r="PI851" s="317"/>
      <c r="PJ851" s="317"/>
      <c r="PK851" s="317"/>
      <c r="PL851" s="317"/>
      <c r="PM851" s="317"/>
      <c r="PN851" s="317"/>
      <c r="PO851" s="317"/>
      <c r="PP851" s="317"/>
      <c r="PQ851" s="317"/>
      <c r="PR851" s="317"/>
      <c r="PS851" s="317"/>
      <c r="PT851" s="317"/>
      <c r="PU851" s="317"/>
      <c r="PV851" s="317"/>
      <c r="PW851" s="317"/>
      <c r="PX851" s="317"/>
      <c r="PY851" s="317"/>
      <c r="PZ851" s="317"/>
      <c r="QA851" s="317"/>
      <c r="QB851" s="317"/>
      <c r="QC851" s="317"/>
      <c r="QD851" s="317"/>
      <c r="QE851" s="317"/>
      <c r="QF851" s="317"/>
      <c r="QG851" s="317"/>
      <c r="QH851" s="317"/>
      <c r="QI851" s="317"/>
      <c r="QJ851" s="317"/>
      <c r="QK851" s="317"/>
      <c r="QL851" s="317"/>
      <c r="QM851" s="317"/>
      <c r="QN851" s="317"/>
      <c r="QO851" s="317"/>
      <c r="QP851" s="317"/>
      <c r="QQ851" s="317"/>
      <c r="QR851" s="317"/>
      <c r="QS851" s="317"/>
      <c r="QT851" s="317"/>
      <c r="QU851" s="317"/>
      <c r="QV851" s="317"/>
      <c r="QW851" s="317"/>
      <c r="QX851" s="317"/>
      <c r="QY851" s="317"/>
      <c r="QZ851" s="317"/>
      <c r="RA851" s="317"/>
      <c r="RB851" s="317"/>
      <c r="RC851" s="317"/>
      <c r="RD851" s="317"/>
      <c r="RE851" s="317"/>
      <c r="RF851" s="317"/>
      <c r="RG851" s="317"/>
      <c r="RH851" s="317"/>
      <c r="RI851" s="317"/>
      <c r="RJ851" s="317"/>
      <c r="RK851" s="317"/>
      <c r="RL851" s="317"/>
      <c r="RM851" s="13"/>
      <c r="RN851" s="317"/>
      <c r="RO851" s="317"/>
      <c r="RP851" s="13"/>
      <c r="RQ851" s="317"/>
      <c r="RR851" s="317"/>
      <c r="RS851" s="317"/>
      <c r="RT851" s="317"/>
      <c r="RU851" s="317"/>
      <c r="RV851" s="13"/>
      <c r="TV851" s="12"/>
      <c r="WL851" s="13"/>
    </row>
    <row r="852" spans="82:610" ht="10.75" customHeight="1">
      <c r="CD852" s="229"/>
      <c r="CE852" s="231"/>
      <c r="CF852" s="231"/>
      <c r="CG852" s="231"/>
      <c r="CH852" s="231"/>
      <c r="CI852" s="231"/>
      <c r="CJ852" s="12"/>
      <c r="CS852" s="13"/>
      <c r="CT852" s="42"/>
      <c r="CU852" s="43"/>
      <c r="CV852" s="43"/>
      <c r="CW852" s="295"/>
      <c r="CX852" s="294"/>
      <c r="CY852" s="294"/>
      <c r="CZ852" s="294"/>
      <c r="DA852" s="294"/>
      <c r="DB852" s="294"/>
      <c r="DC852" s="294"/>
      <c r="DD852" s="294"/>
      <c r="DE852" s="294"/>
      <c r="DF852" s="294"/>
      <c r="DG852" s="294"/>
      <c r="DH852" s="294"/>
      <c r="DI852" s="294"/>
      <c r="DJ852" s="294"/>
      <c r="DK852" s="294"/>
      <c r="DL852" s="294"/>
      <c r="DM852" s="294"/>
      <c r="DN852" s="294"/>
      <c r="DO852" s="294"/>
      <c r="DP852" s="294"/>
      <c r="DQ852" s="294"/>
      <c r="DR852" s="294"/>
      <c r="DS852" s="294"/>
      <c r="DT852" s="294"/>
      <c r="DU852" s="294"/>
      <c r="DV852" s="294"/>
      <c r="DW852" s="294"/>
      <c r="DX852" s="294"/>
      <c r="DY852" s="291"/>
      <c r="DZ852" s="297"/>
      <c r="EA852" s="294"/>
      <c r="EB852" s="294"/>
      <c r="EC852" s="294"/>
      <c r="ED852" s="294"/>
      <c r="EE852" s="294"/>
      <c r="EF852" s="294"/>
      <c r="EG852" s="294"/>
      <c r="EH852" s="294"/>
      <c r="EI852" s="294"/>
      <c r="EJ852" s="294"/>
      <c r="EK852" s="294"/>
      <c r="EL852" s="294"/>
      <c r="EM852" s="294"/>
      <c r="EN852" s="294"/>
      <c r="EO852" s="294"/>
      <c r="EP852" s="294"/>
      <c r="EQ852" s="294"/>
      <c r="ER852" s="296"/>
      <c r="ES852" s="160"/>
      <c r="ET852" s="313"/>
      <c r="FA852" s="291"/>
      <c r="GP852" s="13"/>
      <c r="GQ852" s="43"/>
      <c r="GR852" s="43"/>
      <c r="GS852" s="45"/>
      <c r="GT852" s="49"/>
      <c r="GU852" s="49"/>
      <c r="GV852" s="49"/>
      <c r="GW852" s="49"/>
      <c r="GX852" s="49"/>
      <c r="GY852" s="49"/>
      <c r="GZ852" s="49"/>
      <c r="HA852" s="208"/>
      <c r="HB852" s="231"/>
      <c r="HC852" s="231"/>
      <c r="HD852" s="231"/>
      <c r="HE852" s="231"/>
      <c r="HF852" s="231"/>
      <c r="HG852" s="231"/>
      <c r="HH852" s="231"/>
      <c r="HI852" s="232"/>
      <c r="KM852" s="12"/>
      <c r="KN852" s="317"/>
      <c r="KO852" s="317"/>
      <c r="KP852" s="317"/>
      <c r="KQ852" s="317"/>
      <c r="KR852" s="317"/>
      <c r="KS852" s="317"/>
      <c r="KT852" s="317"/>
      <c r="KU852" s="317"/>
      <c r="KV852" s="317"/>
      <c r="KW852" s="317"/>
      <c r="KX852" s="317"/>
      <c r="KY852" s="317"/>
      <c r="KZ852" s="317"/>
      <c r="LA852" s="317"/>
      <c r="LB852" s="317"/>
      <c r="LC852" s="317"/>
      <c r="LD852" s="317"/>
      <c r="LE852" s="317"/>
      <c r="LF852" s="317"/>
      <c r="LG852" s="317"/>
      <c r="LH852" s="317"/>
      <c r="LI852" s="317"/>
      <c r="LJ852" s="317"/>
      <c r="LK852" s="317"/>
      <c r="LL852" s="317"/>
      <c r="LM852" s="317"/>
      <c r="LN852" s="317"/>
      <c r="LO852" s="317"/>
      <c r="LP852" s="317"/>
      <c r="LQ852" s="317"/>
      <c r="LR852" s="317"/>
      <c r="LS852" s="317"/>
      <c r="LT852" s="317"/>
      <c r="LU852" s="317"/>
      <c r="LV852" s="317"/>
      <c r="LW852" s="317"/>
      <c r="LX852" s="317"/>
      <c r="LY852" s="317"/>
      <c r="LZ852" s="317"/>
      <c r="MA852" s="317"/>
      <c r="MB852" s="317"/>
      <c r="MC852" s="317"/>
      <c r="MD852" s="317"/>
      <c r="ME852" s="317"/>
      <c r="MF852" s="317"/>
      <c r="MG852" s="317"/>
      <c r="MH852" s="317"/>
      <c r="MI852" s="317"/>
      <c r="MJ852" s="317"/>
      <c r="MK852" s="317"/>
      <c r="ML852" s="317"/>
      <c r="MM852" s="317"/>
      <c r="MN852" s="317"/>
      <c r="MO852" s="317"/>
      <c r="MP852" s="317"/>
      <c r="MQ852" s="317"/>
      <c r="MR852" s="317"/>
      <c r="MS852" s="317"/>
      <c r="MT852" s="13"/>
      <c r="MU852" s="317"/>
      <c r="MV852" s="317"/>
      <c r="MW852" s="317"/>
      <c r="MX852" s="317"/>
      <c r="MY852" s="317"/>
      <c r="MZ852" s="13"/>
      <c r="NA852" s="12"/>
      <c r="NB852" s="317"/>
      <c r="NC852" s="317"/>
      <c r="ND852" s="317"/>
      <c r="NE852" s="317"/>
      <c r="NF852" s="317"/>
      <c r="NG852" s="317"/>
      <c r="NH852" s="317"/>
      <c r="NI852" s="317"/>
      <c r="NJ852" s="317"/>
      <c r="NK852" s="317"/>
      <c r="NL852" s="317"/>
      <c r="NM852" s="317"/>
      <c r="NN852" s="317"/>
      <c r="NO852" s="317"/>
      <c r="NP852" s="317"/>
      <c r="NQ852" s="317"/>
      <c r="NR852" s="317"/>
      <c r="NS852" s="317"/>
      <c r="NT852" s="317"/>
      <c r="NU852" s="317"/>
      <c r="NV852" s="317"/>
      <c r="NW852" s="317"/>
      <c r="NX852" s="317"/>
      <c r="NY852" s="317"/>
      <c r="NZ852" s="317"/>
      <c r="OA852" s="317"/>
      <c r="OB852" s="317"/>
      <c r="OC852" s="317"/>
      <c r="OD852" s="317"/>
      <c r="OE852" s="317"/>
      <c r="OF852" s="317"/>
      <c r="OG852" s="317"/>
      <c r="OH852" s="12"/>
      <c r="OI852" s="317"/>
      <c r="OJ852" s="317"/>
      <c r="OK852" s="317"/>
      <c r="OL852" s="317"/>
      <c r="OM852" s="317"/>
      <c r="ON852" s="317"/>
      <c r="OO852" s="317"/>
      <c r="OP852" s="317"/>
      <c r="OQ852" s="317"/>
      <c r="OR852" s="317"/>
      <c r="OS852" s="13"/>
      <c r="OT852" s="317"/>
      <c r="OU852" s="317"/>
      <c r="OV852" s="317"/>
      <c r="OW852" s="317"/>
      <c r="OX852" s="317"/>
      <c r="OY852" s="317"/>
      <c r="OZ852" s="317"/>
      <c r="PA852" s="317"/>
      <c r="PB852" s="317"/>
      <c r="PC852" s="317"/>
      <c r="PD852" s="317"/>
      <c r="PE852" s="317"/>
      <c r="PF852" s="317"/>
      <c r="PG852" s="317"/>
      <c r="PH852" s="317"/>
      <c r="PI852" s="317"/>
      <c r="PJ852" s="317"/>
      <c r="PK852" s="317"/>
      <c r="PL852" s="317"/>
      <c r="PM852" s="317"/>
      <c r="PN852" s="317"/>
      <c r="PO852" s="317"/>
      <c r="PP852" s="317"/>
      <c r="PQ852" s="317"/>
      <c r="PR852" s="317"/>
      <c r="PS852" s="317"/>
      <c r="PT852" s="317"/>
      <c r="PU852" s="317"/>
      <c r="PV852" s="317"/>
      <c r="PW852" s="317"/>
      <c r="PX852" s="317"/>
      <c r="PY852" s="317"/>
      <c r="PZ852" s="317"/>
      <c r="QA852" s="317"/>
      <c r="QB852" s="317"/>
      <c r="QC852" s="317"/>
      <c r="QD852" s="317"/>
      <c r="QE852" s="317"/>
      <c r="QF852" s="317"/>
      <c r="QG852" s="317"/>
      <c r="QH852" s="317"/>
      <c r="QI852" s="317"/>
      <c r="QJ852" s="317"/>
      <c r="QK852" s="317"/>
      <c r="QL852" s="317"/>
      <c r="QM852" s="317"/>
      <c r="QN852" s="317"/>
      <c r="QO852" s="317"/>
      <c r="QP852" s="317"/>
      <c r="QQ852" s="317"/>
      <c r="QR852" s="317"/>
      <c r="QS852" s="317"/>
      <c r="QT852" s="317"/>
      <c r="QU852" s="317"/>
      <c r="QV852" s="317"/>
      <c r="QW852" s="317"/>
      <c r="QX852" s="317"/>
      <c r="QY852" s="317"/>
      <c r="QZ852" s="317"/>
      <c r="RA852" s="317"/>
      <c r="RB852" s="317"/>
      <c r="RC852" s="317"/>
      <c r="RD852" s="317"/>
      <c r="RE852" s="317"/>
      <c r="RF852" s="317"/>
      <c r="RG852" s="317"/>
      <c r="RH852" s="317"/>
      <c r="RI852" s="317"/>
      <c r="RJ852" s="317"/>
      <c r="RK852" s="317"/>
      <c r="RL852" s="317"/>
      <c r="RM852" s="13"/>
      <c r="RN852" s="317"/>
      <c r="RO852" s="317"/>
      <c r="RP852" s="13"/>
      <c r="RQ852" s="317"/>
      <c r="RR852" s="317"/>
      <c r="RS852" s="317"/>
      <c r="RT852" s="317"/>
      <c r="RU852" s="317"/>
      <c r="RV852" s="13"/>
      <c r="TV852" s="12"/>
      <c r="WL852" s="13"/>
    </row>
    <row r="853" spans="82:610" ht="10.75" customHeight="1">
      <c r="CD853" s="229"/>
      <c r="CE853" s="231"/>
      <c r="CF853" s="231"/>
      <c r="CG853" s="231"/>
      <c r="CH853" s="231"/>
      <c r="CI853" s="231"/>
      <c r="CJ853" s="12"/>
      <c r="CS853" s="13"/>
      <c r="CT853" s="42"/>
      <c r="CU853" s="43"/>
      <c r="CV853" s="43"/>
      <c r="CW853" s="12"/>
      <c r="DY853" s="291"/>
      <c r="DZ853" s="297"/>
      <c r="ES853" s="160"/>
      <c r="ET853" s="313"/>
      <c r="FA853" s="291"/>
      <c r="GP853" s="13"/>
      <c r="GQ853" s="43"/>
      <c r="GR853" s="43"/>
      <c r="GS853" s="45"/>
      <c r="GT853" s="49"/>
      <c r="GU853" s="49"/>
      <c r="GV853" s="49"/>
      <c r="GW853" s="49"/>
      <c r="GX853" s="49"/>
      <c r="GY853" s="49"/>
      <c r="GZ853" s="49"/>
      <c r="HA853" s="208"/>
      <c r="HB853" s="231"/>
      <c r="HC853" s="231"/>
      <c r="HD853" s="231"/>
      <c r="HE853" s="231"/>
      <c r="HF853" s="231"/>
      <c r="HG853" s="231"/>
      <c r="HH853" s="231"/>
      <c r="HI853" s="232"/>
      <c r="KM853" s="12"/>
      <c r="KN853" s="317"/>
      <c r="KO853" s="317"/>
      <c r="KP853" s="317"/>
      <c r="KQ853" s="317"/>
      <c r="KR853" s="317"/>
      <c r="KS853" s="317"/>
      <c r="KT853" s="317"/>
      <c r="KU853" s="317"/>
      <c r="KV853" s="317"/>
      <c r="KW853" s="317"/>
      <c r="KX853" s="317"/>
      <c r="KY853" s="317"/>
      <c r="KZ853" s="317"/>
      <c r="LA853" s="317"/>
      <c r="LB853" s="317"/>
      <c r="LC853" s="317"/>
      <c r="LD853" s="317"/>
      <c r="LE853" s="317"/>
      <c r="LF853" s="317"/>
      <c r="LG853" s="317"/>
      <c r="LH853" s="317"/>
      <c r="LI853" s="317"/>
      <c r="LJ853" s="317"/>
      <c r="LK853" s="317"/>
      <c r="LL853" s="317"/>
      <c r="LM853" s="317"/>
      <c r="LN853" s="317"/>
      <c r="LO853" s="317"/>
      <c r="LP853" s="317"/>
      <c r="LQ853" s="317"/>
      <c r="LR853" s="317"/>
      <c r="LS853" s="317"/>
      <c r="LT853" s="317"/>
      <c r="LU853" s="317"/>
      <c r="LV853" s="317"/>
      <c r="LW853" s="317"/>
      <c r="LX853" s="317"/>
      <c r="LY853" s="317"/>
      <c r="LZ853" s="317"/>
      <c r="MA853" s="317"/>
      <c r="MB853" s="317"/>
      <c r="MC853" s="317"/>
      <c r="MD853" s="317"/>
      <c r="ME853" s="317"/>
      <c r="MF853" s="317"/>
      <c r="MG853" s="317"/>
      <c r="MH853" s="317"/>
      <c r="MI853" s="317"/>
      <c r="MJ853" s="317"/>
      <c r="MK853" s="317"/>
      <c r="ML853" s="317"/>
      <c r="MM853" s="317"/>
      <c r="MN853" s="317"/>
      <c r="MO853" s="317"/>
      <c r="MP853" s="317"/>
      <c r="MQ853" s="317"/>
      <c r="MR853" s="317"/>
      <c r="MS853" s="317"/>
      <c r="MT853" s="13"/>
      <c r="MU853" s="317"/>
      <c r="MV853" s="317"/>
      <c r="MW853" s="317"/>
      <c r="MX853" s="317"/>
      <c r="MY853" s="317"/>
      <c r="MZ853" s="13"/>
      <c r="NA853" s="12"/>
      <c r="NB853" s="317"/>
      <c r="NC853" s="317"/>
      <c r="ND853" s="317"/>
      <c r="NE853" s="317"/>
      <c r="NF853" s="317"/>
      <c r="NG853" s="317"/>
      <c r="NH853" s="317"/>
      <c r="NI853" s="317"/>
      <c r="NJ853" s="317"/>
      <c r="NK853" s="317"/>
      <c r="NL853" s="317"/>
      <c r="NM853" s="317"/>
      <c r="NN853" s="317"/>
      <c r="NO853" s="317"/>
      <c r="NP853" s="317"/>
      <c r="NQ853" s="317"/>
      <c r="NR853" s="317"/>
      <c r="NS853" s="317"/>
      <c r="NT853" s="317"/>
      <c r="NU853" s="317"/>
      <c r="NV853" s="317"/>
      <c r="NW853" s="317"/>
      <c r="NX853" s="317"/>
      <c r="NY853" s="317"/>
      <c r="NZ853" s="317"/>
      <c r="OA853" s="317"/>
      <c r="OB853" s="317"/>
      <c r="OC853" s="317"/>
      <c r="OD853" s="317"/>
      <c r="OE853" s="317"/>
      <c r="OF853" s="317"/>
      <c r="OG853" s="317"/>
      <c r="OH853" s="12"/>
      <c r="OI853" s="317"/>
      <c r="OJ853" s="317"/>
      <c r="OK853" s="317"/>
      <c r="OL853" s="317"/>
      <c r="OM853" s="317"/>
      <c r="ON853" s="317"/>
      <c r="OO853" s="317"/>
      <c r="OP853" s="317"/>
      <c r="OQ853" s="317"/>
      <c r="OR853" s="317"/>
      <c r="OS853" s="13"/>
      <c r="OT853" s="317"/>
      <c r="OU853" s="317"/>
      <c r="OV853" s="317"/>
      <c r="OW853" s="317"/>
      <c r="OX853" s="317"/>
      <c r="OY853" s="317"/>
      <c r="OZ853" s="317"/>
      <c r="PA853" s="317"/>
      <c r="PB853" s="317"/>
      <c r="PC853" s="317"/>
      <c r="PD853" s="317"/>
      <c r="PE853" s="317"/>
      <c r="PF853" s="317"/>
      <c r="PG853" s="317"/>
      <c r="PH853" s="317"/>
      <c r="PI853" s="317"/>
      <c r="PJ853" s="317"/>
      <c r="PK853" s="317"/>
      <c r="PL853" s="317"/>
      <c r="PM853" s="317"/>
      <c r="PN853" s="317"/>
      <c r="PO853" s="317"/>
      <c r="PP853" s="317"/>
      <c r="PQ853" s="317"/>
      <c r="PR853" s="317"/>
      <c r="PS853" s="317"/>
      <c r="PT853" s="317"/>
      <c r="PU853" s="317"/>
      <c r="PV853" s="317"/>
      <c r="PW853" s="317"/>
      <c r="PX853" s="317"/>
      <c r="PY853" s="317"/>
      <c r="PZ853" s="317"/>
      <c r="QA853" s="317"/>
      <c r="QB853" s="317"/>
      <c r="QC853" s="317"/>
      <c r="QD853" s="317"/>
      <c r="QE853" s="317"/>
      <c r="QF853" s="317"/>
      <c r="QG853" s="317"/>
      <c r="QH853" s="317"/>
      <c r="QI853" s="317"/>
      <c r="QJ853" s="317"/>
      <c r="QK853" s="317"/>
      <c r="QL853" s="317"/>
      <c r="QM853" s="317"/>
      <c r="QN853" s="317"/>
      <c r="QO853" s="317"/>
      <c r="QP853" s="317"/>
      <c r="QQ853" s="317"/>
      <c r="QR853" s="317"/>
      <c r="QS853" s="317"/>
      <c r="QT853" s="317"/>
      <c r="QU853" s="317"/>
      <c r="QV853" s="317"/>
      <c r="QW853" s="317"/>
      <c r="QX853" s="317"/>
      <c r="QY853" s="317"/>
      <c r="QZ853" s="317"/>
      <c r="RA853" s="317"/>
      <c r="RB853" s="317"/>
      <c r="RC853" s="317"/>
      <c r="RD853" s="317"/>
      <c r="RE853" s="317"/>
      <c r="RF853" s="317"/>
      <c r="RG853" s="317"/>
      <c r="RH853" s="317"/>
      <c r="RI853" s="317"/>
      <c r="RJ853" s="317"/>
      <c r="RK853" s="317"/>
      <c r="RL853" s="317"/>
      <c r="RM853" s="13"/>
      <c r="RN853" s="317"/>
      <c r="RO853" s="317"/>
      <c r="RP853" s="13"/>
      <c r="RQ853" s="317"/>
      <c r="RR853" s="317"/>
      <c r="RS853" s="317"/>
      <c r="RT853" s="317"/>
      <c r="RU853" s="317"/>
      <c r="RV853" s="13"/>
      <c r="TV853" s="12"/>
      <c r="WL853" s="13"/>
    </row>
    <row r="854" spans="82:610" ht="10.75" customHeight="1">
      <c r="CD854" s="229"/>
      <c r="CE854" s="231"/>
      <c r="CF854" s="231"/>
      <c r="CG854" s="231"/>
      <c r="CH854" s="231"/>
      <c r="CI854" s="231"/>
      <c r="CJ854" s="9"/>
      <c r="CK854" s="10"/>
      <c r="CL854" s="10"/>
      <c r="CM854" s="10"/>
      <c r="CN854" s="10"/>
      <c r="CO854" s="10"/>
      <c r="CP854" s="10"/>
      <c r="CQ854" s="10"/>
      <c r="CR854" s="10"/>
      <c r="CS854" s="11"/>
      <c r="CT854" s="42"/>
      <c r="CU854" s="43"/>
      <c r="CV854" s="43"/>
      <c r="CW854" s="12"/>
      <c r="ES854" s="160"/>
      <c r="ET854" s="313"/>
      <c r="FA854" s="291"/>
      <c r="GP854" s="13"/>
      <c r="GQ854" s="43"/>
      <c r="GR854" s="43"/>
      <c r="GS854" s="45"/>
      <c r="GT854" s="49"/>
      <c r="GU854" s="49"/>
      <c r="GV854" s="49"/>
      <c r="GW854" s="49"/>
      <c r="GX854" s="49"/>
      <c r="GY854" s="49"/>
      <c r="GZ854" s="49"/>
      <c r="HA854" s="208"/>
      <c r="HB854" s="231"/>
      <c r="HC854" s="231"/>
      <c r="HD854" s="231"/>
      <c r="HE854" s="231"/>
      <c r="HF854" s="231"/>
      <c r="HG854" s="231"/>
      <c r="HH854" s="231"/>
      <c r="HI854" s="232"/>
      <c r="KM854" s="12"/>
      <c r="KN854" s="317"/>
      <c r="KO854" s="317"/>
      <c r="KP854" s="317"/>
      <c r="KQ854" s="317"/>
      <c r="KR854" s="317"/>
      <c r="KS854" s="317"/>
      <c r="KT854" s="317"/>
      <c r="KU854" s="317"/>
      <c r="KV854" s="317"/>
      <c r="KW854" s="317"/>
      <c r="KX854" s="317"/>
      <c r="KY854" s="317"/>
      <c r="KZ854" s="317"/>
      <c r="LA854" s="317"/>
      <c r="LB854" s="317"/>
      <c r="LC854" s="317"/>
      <c r="LD854" s="317"/>
      <c r="LE854" s="317"/>
      <c r="LF854" s="317"/>
      <c r="LG854" s="317"/>
      <c r="LH854" s="317"/>
      <c r="LI854" s="317"/>
      <c r="LJ854" s="317"/>
      <c r="LK854" s="317"/>
      <c r="LL854" s="317"/>
      <c r="LM854" s="317"/>
      <c r="LN854" s="317"/>
      <c r="LO854" s="317"/>
      <c r="LP854" s="317"/>
      <c r="LQ854" s="317"/>
      <c r="LR854" s="317"/>
      <c r="LS854" s="317"/>
      <c r="LT854" s="317"/>
      <c r="LU854" s="317"/>
      <c r="LV854" s="317"/>
      <c r="LW854" s="317"/>
      <c r="LX854" s="317"/>
      <c r="LY854" s="317"/>
      <c r="LZ854" s="317"/>
      <c r="MA854" s="317"/>
      <c r="MB854" s="317"/>
      <c r="MC854" s="317"/>
      <c r="MD854" s="317"/>
      <c r="ME854" s="317"/>
      <c r="MF854" s="317"/>
      <c r="MG854" s="317"/>
      <c r="MH854" s="317"/>
      <c r="MI854" s="317"/>
      <c r="MJ854" s="317"/>
      <c r="MK854" s="317"/>
      <c r="ML854" s="317"/>
      <c r="MM854" s="317"/>
      <c r="MN854" s="317"/>
      <c r="MO854" s="317"/>
      <c r="MP854" s="317"/>
      <c r="MQ854" s="317"/>
      <c r="MR854" s="317"/>
      <c r="MS854" s="317"/>
      <c r="MT854" s="13"/>
      <c r="MU854" s="317"/>
      <c r="MV854" s="317"/>
      <c r="MW854" s="317"/>
      <c r="MX854" s="317"/>
      <c r="MY854" s="317"/>
      <c r="MZ854" s="13"/>
      <c r="NA854" s="12"/>
      <c r="NB854" s="317"/>
      <c r="NC854" s="317"/>
      <c r="ND854" s="317"/>
      <c r="NE854" s="317"/>
      <c r="NF854" s="317"/>
      <c r="NG854" s="317"/>
      <c r="NH854" s="317"/>
      <c r="NI854" s="317"/>
      <c r="NJ854" s="317"/>
      <c r="NK854" s="317"/>
      <c r="NL854" s="317"/>
      <c r="NM854" s="317"/>
      <c r="NN854" s="317"/>
      <c r="NO854" s="317"/>
      <c r="NP854" s="317"/>
      <c r="NQ854" s="317"/>
      <c r="NR854" s="317"/>
      <c r="NS854" s="317"/>
      <c r="NT854" s="317"/>
      <c r="NU854" s="317"/>
      <c r="NV854" s="317"/>
      <c r="NW854" s="317"/>
      <c r="NX854" s="317"/>
      <c r="NY854" s="317"/>
      <c r="NZ854" s="317"/>
      <c r="OA854" s="317"/>
      <c r="OB854" s="317"/>
      <c r="OC854" s="317"/>
      <c r="OD854" s="317"/>
      <c r="OE854" s="317"/>
      <c r="OF854" s="317"/>
      <c r="OG854" s="317"/>
      <c r="OH854" s="14"/>
      <c r="OI854" s="15"/>
      <c r="OJ854" s="15"/>
      <c r="OK854" s="15"/>
      <c r="OL854" s="15"/>
      <c r="OM854" s="15"/>
      <c r="ON854" s="15"/>
      <c r="OO854" s="15"/>
      <c r="OP854" s="15"/>
      <c r="OQ854" s="15"/>
      <c r="OR854" s="15"/>
      <c r="OS854" s="16"/>
      <c r="OT854" s="317"/>
      <c r="OU854" s="317"/>
      <c r="OV854" s="317"/>
      <c r="OW854" s="317"/>
      <c r="OX854" s="317"/>
      <c r="OY854" s="317"/>
      <c r="OZ854" s="317"/>
      <c r="PA854" s="317"/>
      <c r="PB854" s="317"/>
      <c r="PC854" s="317"/>
      <c r="PD854" s="317"/>
      <c r="PE854" s="317"/>
      <c r="PF854" s="317"/>
      <c r="PG854" s="317"/>
      <c r="PH854" s="317"/>
      <c r="PI854" s="317"/>
      <c r="PJ854" s="317"/>
      <c r="PK854" s="317"/>
      <c r="PL854" s="317"/>
      <c r="PM854" s="317"/>
      <c r="PN854" s="317"/>
      <c r="PO854" s="317"/>
      <c r="PP854" s="317"/>
      <c r="PQ854" s="317"/>
      <c r="PR854" s="317"/>
      <c r="PS854" s="317"/>
      <c r="PT854" s="317"/>
      <c r="PU854" s="317"/>
      <c r="PV854" s="317"/>
      <c r="PW854" s="317"/>
      <c r="PX854" s="317"/>
      <c r="PY854" s="317"/>
      <c r="PZ854" s="317"/>
      <c r="QA854" s="317"/>
      <c r="QB854" s="317"/>
      <c r="QC854" s="317"/>
      <c r="QD854" s="317"/>
      <c r="QE854" s="317"/>
      <c r="QF854" s="317"/>
      <c r="QG854" s="317"/>
      <c r="QH854" s="317"/>
      <c r="QI854" s="317"/>
      <c r="QJ854" s="317"/>
      <c r="QK854" s="317"/>
      <c r="QL854" s="317"/>
      <c r="QM854" s="317"/>
      <c r="QN854" s="317"/>
      <c r="QO854" s="317"/>
      <c r="QP854" s="317"/>
      <c r="QQ854" s="317"/>
      <c r="QR854" s="317"/>
      <c r="QS854" s="317"/>
      <c r="QT854" s="317"/>
      <c r="QU854" s="317"/>
      <c r="QV854" s="317"/>
      <c r="QW854" s="317"/>
      <c r="QX854" s="317"/>
      <c r="QY854" s="317"/>
      <c r="QZ854" s="317"/>
      <c r="RA854" s="317"/>
      <c r="RB854" s="317"/>
      <c r="RC854" s="317"/>
      <c r="RD854" s="317"/>
      <c r="RE854" s="317"/>
      <c r="RF854" s="317"/>
      <c r="RG854" s="317"/>
      <c r="RH854" s="317"/>
      <c r="RI854" s="317"/>
      <c r="RJ854" s="317"/>
      <c r="RK854" s="317"/>
      <c r="RL854" s="317"/>
      <c r="RM854" s="13"/>
      <c r="RN854" s="317"/>
      <c r="RO854" s="317"/>
      <c r="RP854" s="13"/>
      <c r="RQ854" s="317"/>
      <c r="RR854" s="317"/>
      <c r="RS854" s="317"/>
      <c r="RT854" s="317"/>
      <c r="RU854" s="317"/>
      <c r="RV854" s="13"/>
      <c r="TV854" s="12"/>
      <c r="WL854" s="13"/>
    </row>
    <row r="855" spans="82:610" ht="10.75" customHeight="1">
      <c r="CD855" s="229"/>
      <c r="CE855" s="231"/>
      <c r="CF855" s="231"/>
      <c r="CG855" s="231"/>
      <c r="CH855" s="231"/>
      <c r="CI855" s="231"/>
      <c r="CJ855" s="12"/>
      <c r="CS855" s="13"/>
      <c r="CT855" s="42"/>
      <c r="CU855" s="43"/>
      <c r="CV855" s="43"/>
      <c r="CW855" s="12"/>
      <c r="ES855" s="160"/>
      <c r="ET855" s="313"/>
      <c r="FA855" s="291"/>
      <c r="GP855" s="13"/>
      <c r="GQ855" s="43"/>
      <c r="GR855" s="43"/>
      <c r="GS855" s="45"/>
      <c r="GT855" s="49"/>
      <c r="GU855" s="49"/>
      <c r="GV855" s="49"/>
      <c r="GW855" s="49"/>
      <c r="GX855" s="49"/>
      <c r="GY855" s="49"/>
      <c r="GZ855" s="49"/>
      <c r="HA855" s="208"/>
      <c r="HB855" s="231"/>
      <c r="HC855" s="231"/>
      <c r="HD855" s="231"/>
      <c r="HE855" s="231"/>
      <c r="HF855" s="231"/>
      <c r="HG855" s="231"/>
      <c r="HH855" s="231"/>
      <c r="HI855" s="232"/>
      <c r="KM855" s="12"/>
      <c r="KN855" s="317"/>
      <c r="KO855" s="317"/>
      <c r="KP855" s="317"/>
      <c r="KQ855" s="317"/>
      <c r="KR855" s="317"/>
      <c r="KS855" s="317"/>
      <c r="KT855" s="317"/>
      <c r="KU855" s="317"/>
      <c r="KV855" s="317"/>
      <c r="KW855" s="317"/>
      <c r="KX855" s="317"/>
      <c r="KY855" s="317"/>
      <c r="KZ855" s="317"/>
      <c r="LA855" s="317"/>
      <c r="LB855" s="317"/>
      <c r="LC855" s="317"/>
      <c r="LD855" s="317"/>
      <c r="LE855" s="317"/>
      <c r="LF855" s="317"/>
      <c r="LG855" s="317"/>
      <c r="LH855" s="317"/>
      <c r="LI855" s="317"/>
      <c r="LJ855" s="317"/>
      <c r="LK855" s="317"/>
      <c r="LL855" s="317"/>
      <c r="LM855" s="317"/>
      <c r="LN855" s="317"/>
      <c r="LO855" s="317"/>
      <c r="LP855" s="317"/>
      <c r="LQ855" s="317"/>
      <c r="LR855" s="317"/>
      <c r="LS855" s="317"/>
      <c r="LT855" s="317"/>
      <c r="LU855" s="317"/>
      <c r="LV855" s="317"/>
      <c r="LW855" s="317"/>
      <c r="LX855" s="317"/>
      <c r="LY855" s="317"/>
      <c r="LZ855" s="317"/>
      <c r="MA855" s="317"/>
      <c r="MB855" s="317"/>
      <c r="MC855" s="317"/>
      <c r="MD855" s="317"/>
      <c r="ME855" s="317"/>
      <c r="MF855" s="317"/>
      <c r="MG855" s="317"/>
      <c r="MH855" s="317"/>
      <c r="MI855" s="317"/>
      <c r="MJ855" s="317"/>
      <c r="MK855" s="317"/>
      <c r="ML855" s="317"/>
      <c r="MM855" s="317"/>
      <c r="MN855" s="317"/>
      <c r="MO855" s="317"/>
      <c r="MP855" s="317"/>
      <c r="MQ855" s="317"/>
      <c r="MR855" s="317"/>
      <c r="MS855" s="317"/>
      <c r="MT855" s="13"/>
      <c r="MU855" s="317"/>
      <c r="MV855" s="317"/>
      <c r="MW855" s="317"/>
      <c r="MX855" s="317"/>
      <c r="MY855" s="317"/>
      <c r="MZ855" s="13"/>
      <c r="NA855" s="12"/>
      <c r="NB855" s="317"/>
      <c r="NC855" s="317"/>
      <c r="ND855" s="317"/>
      <c r="NE855" s="317"/>
      <c r="NF855" s="317"/>
      <c r="NG855" s="317"/>
      <c r="NH855" s="317"/>
      <c r="NI855" s="317"/>
      <c r="NJ855" s="317"/>
      <c r="NK855" s="317"/>
      <c r="NL855" s="317"/>
      <c r="NM855" s="317"/>
      <c r="NN855" s="317"/>
      <c r="NO855" s="317"/>
      <c r="NP855" s="317"/>
      <c r="NQ855" s="317"/>
      <c r="NR855" s="317"/>
      <c r="NS855" s="317"/>
      <c r="NT855" s="317"/>
      <c r="NU855" s="317"/>
      <c r="NV855" s="317"/>
      <c r="NW855" s="317"/>
      <c r="NX855" s="317"/>
      <c r="NY855" s="317"/>
      <c r="NZ855" s="317"/>
      <c r="OA855" s="317"/>
      <c r="OB855" s="317"/>
      <c r="OC855" s="317"/>
      <c r="OD855" s="317"/>
      <c r="OE855" s="317"/>
      <c r="OF855" s="317"/>
      <c r="OG855" s="317"/>
      <c r="OH855" s="317"/>
      <c r="OI855" s="317"/>
      <c r="OJ855" s="317"/>
      <c r="OK855" s="317"/>
      <c r="OL855" s="317"/>
      <c r="OM855" s="317"/>
      <c r="ON855" s="317"/>
      <c r="OO855" s="317"/>
      <c r="OP855" s="317"/>
      <c r="OQ855" s="317"/>
      <c r="OR855" s="317"/>
      <c r="OS855" s="317"/>
      <c r="OT855" s="9"/>
      <c r="OU855" s="10"/>
      <c r="OV855" s="10"/>
      <c r="OW855" s="10"/>
      <c r="OX855" s="10"/>
      <c r="OY855" s="10"/>
      <c r="OZ855" s="10"/>
      <c r="PA855" s="10"/>
      <c r="PB855" s="10"/>
      <c r="PC855" s="10"/>
      <c r="PD855" s="10"/>
      <c r="PE855" s="11"/>
      <c r="PF855" s="317"/>
      <c r="PG855" s="317"/>
      <c r="PH855" s="317"/>
      <c r="PI855" s="317"/>
      <c r="PJ855" s="317"/>
      <c r="PK855" s="317"/>
      <c r="PL855" s="317"/>
      <c r="PM855" s="317"/>
      <c r="PN855" s="317"/>
      <c r="PO855" s="317"/>
      <c r="PP855" s="317"/>
      <c r="PQ855" s="317"/>
      <c r="PR855" s="317"/>
      <c r="PS855" s="317"/>
      <c r="PT855" s="317"/>
      <c r="PU855" s="317"/>
      <c r="PV855" s="317"/>
      <c r="PW855" s="317"/>
      <c r="PX855" s="317"/>
      <c r="PY855" s="317"/>
      <c r="PZ855" s="317"/>
      <c r="QA855" s="317"/>
      <c r="QB855" s="317"/>
      <c r="QC855" s="317"/>
      <c r="QD855" s="317"/>
      <c r="QE855" s="317"/>
      <c r="QF855" s="317"/>
      <c r="QG855" s="317"/>
      <c r="QH855" s="317"/>
      <c r="QI855" s="317"/>
      <c r="QJ855" s="317"/>
      <c r="QK855" s="317"/>
      <c r="QL855" s="317"/>
      <c r="QM855" s="317"/>
      <c r="QN855" s="317"/>
      <c r="QO855" s="317"/>
      <c r="QP855" s="317"/>
      <c r="QQ855" s="317"/>
      <c r="QR855" s="317"/>
      <c r="QS855" s="317"/>
      <c r="QT855" s="317"/>
      <c r="QU855" s="317"/>
      <c r="QV855" s="317"/>
      <c r="QW855" s="317"/>
      <c r="QX855" s="317"/>
      <c r="QY855" s="317"/>
      <c r="QZ855" s="317"/>
      <c r="RA855" s="317"/>
      <c r="RB855" s="317"/>
      <c r="RC855" s="317"/>
      <c r="RD855" s="317"/>
      <c r="RE855" s="317"/>
      <c r="RF855" s="317"/>
      <c r="RG855" s="317"/>
      <c r="RH855" s="317"/>
      <c r="RI855" s="317"/>
      <c r="RJ855" s="317"/>
      <c r="RK855" s="317"/>
      <c r="RL855" s="317"/>
      <c r="RM855" s="13"/>
      <c r="RN855" s="317"/>
      <c r="RO855" s="317"/>
      <c r="RP855" s="13"/>
      <c r="RQ855" s="317"/>
      <c r="RR855" s="317"/>
      <c r="RS855" s="317"/>
      <c r="RT855" s="317"/>
      <c r="RU855" s="317"/>
      <c r="RV855" s="13"/>
      <c r="TV855" s="12"/>
      <c r="WL855" s="13"/>
    </row>
    <row r="856" spans="82:610" ht="10.75" customHeight="1">
      <c r="CD856" s="229"/>
      <c r="CE856" s="231"/>
      <c r="CF856" s="231"/>
      <c r="CG856" s="231"/>
      <c r="CH856" s="231"/>
      <c r="CI856" s="231"/>
      <c r="CJ856" s="12"/>
      <c r="CS856" s="13"/>
      <c r="CT856" s="42"/>
      <c r="CU856" s="43"/>
      <c r="CV856" s="43"/>
      <c r="CW856" s="12"/>
      <c r="ES856" s="160"/>
      <c r="ET856" s="313"/>
      <c r="FA856" s="291"/>
      <c r="GP856" s="13"/>
      <c r="GQ856" s="43"/>
      <c r="GR856" s="43"/>
      <c r="GS856" s="45"/>
      <c r="GT856" s="49"/>
      <c r="GU856" s="49"/>
      <c r="GV856" s="49"/>
      <c r="GW856" s="49"/>
      <c r="GX856" s="49"/>
      <c r="GY856" s="49"/>
      <c r="GZ856" s="49"/>
      <c r="HA856" s="208"/>
      <c r="HB856" s="231"/>
      <c r="HC856" s="231"/>
      <c r="HD856" s="231"/>
      <c r="HE856" s="231"/>
      <c r="HF856" s="231"/>
      <c r="HG856" s="231"/>
      <c r="HH856" s="231"/>
      <c r="HI856" s="232"/>
      <c r="KM856" s="12"/>
      <c r="KN856" s="317"/>
      <c r="KO856" s="317"/>
      <c r="KP856" s="317"/>
      <c r="KQ856" s="317"/>
      <c r="KR856" s="317"/>
      <c r="KS856" s="317"/>
      <c r="KT856" s="317"/>
      <c r="KU856" s="317"/>
      <c r="KV856" s="317"/>
      <c r="KW856" s="317"/>
      <c r="KX856" s="317"/>
      <c r="KY856" s="317"/>
      <c r="KZ856" s="317"/>
      <c r="LA856" s="317"/>
      <c r="LB856" s="317"/>
      <c r="LC856" s="317"/>
      <c r="LD856" s="317"/>
      <c r="LE856" s="317"/>
      <c r="LF856" s="317"/>
      <c r="LG856" s="317"/>
      <c r="LH856" s="317"/>
      <c r="LI856" s="317"/>
      <c r="LJ856" s="317"/>
      <c r="LK856" s="317"/>
      <c r="LL856" s="317"/>
      <c r="LM856" s="317"/>
      <c r="LN856" s="317"/>
      <c r="LO856" s="317"/>
      <c r="LP856" s="317"/>
      <c r="LQ856" s="317"/>
      <c r="LR856" s="317"/>
      <c r="LS856" s="317"/>
      <c r="LT856" s="317"/>
      <c r="LU856" s="317"/>
      <c r="LV856" s="317"/>
      <c r="LW856" s="317"/>
      <c r="LX856" s="317"/>
      <c r="LY856" s="317"/>
      <c r="LZ856" s="317"/>
      <c r="MA856" s="317"/>
      <c r="MB856" s="317"/>
      <c r="MC856" s="317"/>
      <c r="MD856" s="317"/>
      <c r="ME856" s="317"/>
      <c r="MF856" s="317"/>
      <c r="MG856" s="317"/>
      <c r="MH856" s="317"/>
      <c r="MI856" s="317"/>
      <c r="MJ856" s="317"/>
      <c r="MK856" s="317"/>
      <c r="ML856" s="317"/>
      <c r="MM856" s="317"/>
      <c r="MN856" s="317"/>
      <c r="MO856" s="317"/>
      <c r="MP856" s="317"/>
      <c r="MQ856" s="317"/>
      <c r="MR856" s="317"/>
      <c r="MS856" s="317"/>
      <c r="MT856" s="13"/>
      <c r="MU856" s="317"/>
      <c r="MV856" s="317"/>
      <c r="MW856" s="317"/>
      <c r="MX856" s="317"/>
      <c r="MY856" s="317"/>
      <c r="MZ856" s="13"/>
      <c r="NA856" s="12"/>
      <c r="NB856" s="317"/>
      <c r="NC856" s="317"/>
      <c r="ND856" s="317"/>
      <c r="NE856" s="317"/>
      <c r="NF856" s="317"/>
      <c r="NG856" s="317"/>
      <c r="NH856" s="317"/>
      <c r="NI856" s="317"/>
      <c r="NJ856" s="317"/>
      <c r="NK856" s="317"/>
      <c r="NL856" s="317"/>
      <c r="NM856" s="317"/>
      <c r="NN856" s="317"/>
      <c r="NO856" s="317"/>
      <c r="NP856" s="317"/>
      <c r="NQ856" s="317"/>
      <c r="NR856" s="317"/>
      <c r="NS856" s="317"/>
      <c r="NT856" s="317"/>
      <c r="NU856" s="317"/>
      <c r="NV856" s="317"/>
      <c r="NW856" s="317"/>
      <c r="NX856" s="317"/>
      <c r="NY856" s="317"/>
      <c r="NZ856" s="317"/>
      <c r="OA856" s="317"/>
      <c r="OB856" s="317"/>
      <c r="OC856" s="317"/>
      <c r="OD856" s="317"/>
      <c r="OE856" s="317"/>
      <c r="OF856" s="317"/>
      <c r="OG856" s="317"/>
      <c r="OH856" s="317"/>
      <c r="OI856" s="317"/>
      <c r="OJ856" s="317"/>
      <c r="OK856" s="317"/>
      <c r="OL856" s="317"/>
      <c r="OM856" s="317"/>
      <c r="ON856" s="317"/>
      <c r="OO856" s="317"/>
      <c r="OP856" s="317"/>
      <c r="OQ856" s="317"/>
      <c r="OR856" s="317"/>
      <c r="OS856" s="317"/>
      <c r="OT856" s="12"/>
      <c r="OU856" s="317"/>
      <c r="OV856" s="317"/>
      <c r="OW856" s="317"/>
      <c r="OX856" s="317"/>
      <c r="OY856" s="317"/>
      <c r="OZ856" s="317"/>
      <c r="PA856" s="317"/>
      <c r="PB856" s="317"/>
      <c r="PC856" s="317"/>
      <c r="PD856" s="317"/>
      <c r="PE856" s="13"/>
      <c r="PF856" s="317"/>
      <c r="PG856" s="317"/>
      <c r="PH856" s="317"/>
      <c r="PI856" s="317"/>
      <c r="PJ856" s="317"/>
      <c r="PK856" s="317"/>
      <c r="PL856" s="317"/>
      <c r="PM856" s="317"/>
      <c r="PN856" s="317"/>
      <c r="PO856" s="317"/>
      <c r="PP856" s="317"/>
      <c r="PQ856" s="317"/>
      <c r="PR856" s="317"/>
      <c r="PS856" s="317"/>
      <c r="PT856" s="317"/>
      <c r="PU856" s="317"/>
      <c r="PV856" s="317"/>
      <c r="PW856" s="317"/>
      <c r="PX856" s="317"/>
      <c r="PY856" s="317"/>
      <c r="PZ856" s="317"/>
      <c r="QA856" s="317"/>
      <c r="QB856" s="317"/>
      <c r="QC856" s="317"/>
      <c r="QD856" s="317"/>
      <c r="QE856" s="317"/>
      <c r="QF856" s="317"/>
      <c r="QG856" s="317"/>
      <c r="QH856" s="317"/>
      <c r="QI856" s="317"/>
      <c r="QJ856" s="317"/>
      <c r="QK856" s="317"/>
      <c r="QL856" s="317"/>
      <c r="QM856" s="317"/>
      <c r="QN856" s="317"/>
      <c r="QO856" s="317"/>
      <c r="QP856" s="317"/>
      <c r="QQ856" s="317"/>
      <c r="QR856" s="317"/>
      <c r="QS856" s="317"/>
      <c r="QT856" s="317"/>
      <c r="QU856" s="317"/>
      <c r="QV856" s="317"/>
      <c r="QW856" s="317"/>
      <c r="QX856" s="317"/>
      <c r="QY856" s="317"/>
      <c r="QZ856" s="317"/>
      <c r="RA856" s="317"/>
      <c r="RB856" s="317"/>
      <c r="RC856" s="317"/>
      <c r="RD856" s="317"/>
      <c r="RE856" s="317"/>
      <c r="RF856" s="317"/>
      <c r="RG856" s="317"/>
      <c r="RH856" s="317"/>
      <c r="RI856" s="317"/>
      <c r="RJ856" s="317"/>
      <c r="RK856" s="317"/>
      <c r="RL856" s="317"/>
      <c r="RM856" s="13"/>
      <c r="RN856" s="317"/>
      <c r="RO856" s="317"/>
      <c r="RP856" s="13"/>
      <c r="RQ856" s="317"/>
      <c r="RR856" s="317"/>
      <c r="RS856" s="317"/>
      <c r="RT856" s="317"/>
      <c r="RU856" s="317"/>
      <c r="RV856" s="13"/>
      <c r="TV856" s="12"/>
      <c r="WL856" s="13"/>
    </row>
    <row r="857" spans="82:610" ht="10.75" customHeight="1">
      <c r="CD857" s="229"/>
      <c r="CE857" s="231"/>
      <c r="CF857" s="231"/>
      <c r="CG857" s="231"/>
      <c r="CH857" s="231"/>
      <c r="CI857" s="231"/>
      <c r="CJ857" s="14"/>
      <c r="CK857" s="15"/>
      <c r="CL857" s="15"/>
      <c r="CM857" s="15"/>
      <c r="CN857" s="15"/>
      <c r="CO857" s="15"/>
      <c r="CP857" s="15"/>
      <c r="CQ857" s="15"/>
      <c r="CR857" s="15"/>
      <c r="CS857" s="16"/>
      <c r="CT857" s="42"/>
      <c r="CU857" s="43"/>
      <c r="CV857" s="43"/>
      <c r="CW857" s="12"/>
      <c r="ES857" s="160"/>
      <c r="ET857" s="313"/>
      <c r="FA857" s="291"/>
      <c r="GP857" s="13"/>
      <c r="GQ857" s="43"/>
      <c r="GR857" s="43"/>
      <c r="GS857" s="45"/>
      <c r="GT857" s="49"/>
      <c r="GU857" s="49"/>
      <c r="GV857" s="49"/>
      <c r="GW857" s="49"/>
      <c r="GX857" s="49"/>
      <c r="GY857" s="49"/>
      <c r="GZ857" s="49"/>
      <c r="HA857" s="208"/>
      <c r="HB857" s="231"/>
      <c r="HC857" s="231"/>
      <c r="HD857" s="231"/>
      <c r="HE857" s="231"/>
      <c r="HF857" s="231"/>
      <c r="HG857" s="231"/>
      <c r="HH857" s="231"/>
      <c r="HI857" s="232"/>
      <c r="KM857" s="12"/>
      <c r="KN857" s="317"/>
      <c r="KO857" s="317"/>
      <c r="KP857" s="317"/>
      <c r="KQ857" s="317"/>
      <c r="KR857" s="317"/>
      <c r="KS857" s="317"/>
      <c r="KT857" s="317"/>
      <c r="KU857" s="317"/>
      <c r="KV857" s="317"/>
      <c r="KW857" s="317"/>
      <c r="KX857" s="317"/>
      <c r="KY857" s="317"/>
      <c r="KZ857" s="317"/>
      <c r="LA857" s="317"/>
      <c r="LB857" s="317"/>
      <c r="LC857" s="317"/>
      <c r="LD857" s="317"/>
      <c r="LE857" s="317"/>
      <c r="LF857" s="317"/>
      <c r="LG857" s="317"/>
      <c r="LH857" s="317"/>
      <c r="LI857" s="317"/>
      <c r="LJ857" s="317"/>
      <c r="LK857" s="317"/>
      <c r="LL857" s="317"/>
      <c r="LM857" s="317"/>
      <c r="LN857" s="317"/>
      <c r="LO857" s="317"/>
      <c r="LP857" s="317"/>
      <c r="LQ857" s="317"/>
      <c r="LR857" s="317"/>
      <c r="LS857" s="317"/>
      <c r="LT857" s="317"/>
      <c r="LU857" s="317"/>
      <c r="LV857" s="317"/>
      <c r="LW857" s="317"/>
      <c r="LX857" s="317"/>
      <c r="LY857" s="317"/>
      <c r="LZ857" s="317"/>
      <c r="MA857" s="317"/>
      <c r="MB857" s="317"/>
      <c r="MC857" s="317"/>
      <c r="MD857" s="317"/>
      <c r="ME857" s="317"/>
      <c r="MF857" s="317"/>
      <c r="MG857" s="317"/>
      <c r="MH857" s="317"/>
      <c r="MI857" s="317"/>
      <c r="MJ857" s="317"/>
      <c r="MK857" s="317"/>
      <c r="ML857" s="317"/>
      <c r="MM857" s="317"/>
      <c r="MN857" s="317"/>
      <c r="MO857" s="317"/>
      <c r="MP857" s="317"/>
      <c r="MQ857" s="317"/>
      <c r="MR857" s="317"/>
      <c r="MS857" s="317"/>
      <c r="MT857" s="13"/>
      <c r="MU857" s="317"/>
      <c r="MV857" s="317"/>
      <c r="MW857" s="317"/>
      <c r="MX857" s="317"/>
      <c r="MY857" s="317"/>
      <c r="MZ857" s="13"/>
      <c r="NA857" s="12"/>
      <c r="NB857" s="317"/>
      <c r="NC857" s="317"/>
      <c r="ND857" s="317"/>
      <c r="NE857" s="317"/>
      <c r="NF857" s="317"/>
      <c r="NG857" s="317"/>
      <c r="NH857" s="317"/>
      <c r="NI857" s="317"/>
      <c r="NJ857" s="317"/>
      <c r="NK857" s="317"/>
      <c r="NL857" s="317"/>
      <c r="NM857" s="317"/>
      <c r="NN857" s="317"/>
      <c r="NO857" s="317"/>
      <c r="NP857" s="317"/>
      <c r="NQ857" s="317"/>
      <c r="NR857" s="317"/>
      <c r="NS857" s="317"/>
      <c r="NT857" s="317"/>
      <c r="NU857" s="317"/>
      <c r="NV857" s="317"/>
      <c r="NW857" s="317"/>
      <c r="NX857" s="317"/>
      <c r="NY857" s="317"/>
      <c r="NZ857" s="317"/>
      <c r="OA857" s="317"/>
      <c r="OB857" s="317"/>
      <c r="OC857" s="317"/>
      <c r="OD857" s="317"/>
      <c r="OE857" s="317"/>
      <c r="OF857" s="317"/>
      <c r="OG857" s="317"/>
      <c r="OH857" s="317"/>
      <c r="OI857" s="317"/>
      <c r="OJ857" s="317"/>
      <c r="OK857" s="317"/>
      <c r="OL857" s="317"/>
      <c r="OM857" s="317"/>
      <c r="ON857" s="317"/>
      <c r="OO857" s="317"/>
      <c r="OP857" s="317"/>
      <c r="OQ857" s="317"/>
      <c r="OR857" s="317"/>
      <c r="OS857" s="317"/>
      <c r="OT857" s="12"/>
      <c r="OU857" s="317"/>
      <c r="OV857" s="317"/>
      <c r="OW857" s="317"/>
      <c r="OX857" s="317"/>
      <c r="OY857" s="317"/>
      <c r="OZ857" s="317"/>
      <c r="PA857" s="317"/>
      <c r="PB857" s="317"/>
      <c r="PC857" s="317"/>
      <c r="PD857" s="317"/>
      <c r="PE857" s="13"/>
      <c r="PF857" s="317"/>
      <c r="PG857" s="317"/>
      <c r="PH857" s="317"/>
      <c r="PI857" s="317"/>
      <c r="PJ857" s="317"/>
      <c r="PK857" s="317"/>
      <c r="PL857" s="317"/>
      <c r="PM857" s="317"/>
      <c r="PN857" s="317"/>
      <c r="PO857" s="317"/>
      <c r="PP857" s="317"/>
      <c r="PQ857" s="317"/>
      <c r="PR857" s="317"/>
      <c r="PS857" s="317"/>
      <c r="PT857" s="317"/>
      <c r="PU857" s="317"/>
      <c r="PV857" s="317"/>
      <c r="PW857" s="317"/>
      <c r="PX857" s="317"/>
      <c r="PY857" s="317"/>
      <c r="PZ857" s="317"/>
      <c r="QA857" s="317"/>
      <c r="QB857" s="317"/>
      <c r="QC857" s="317"/>
      <c r="QD857" s="317"/>
      <c r="QE857" s="317"/>
      <c r="QF857" s="317"/>
      <c r="QG857" s="317"/>
      <c r="QH857" s="317"/>
      <c r="QI857" s="317"/>
      <c r="QJ857" s="317"/>
      <c r="QK857" s="317"/>
      <c r="QL857" s="317"/>
      <c r="QM857" s="317"/>
      <c r="QN857" s="317"/>
      <c r="QO857" s="317"/>
      <c r="QP857" s="317"/>
      <c r="QQ857" s="317"/>
      <c r="QR857" s="317"/>
      <c r="QS857" s="317"/>
      <c r="QT857" s="317"/>
      <c r="QU857" s="317"/>
      <c r="QV857" s="317"/>
      <c r="QW857" s="317"/>
      <c r="QX857" s="317"/>
      <c r="QY857" s="317"/>
      <c r="QZ857" s="317"/>
      <c r="RA857" s="317"/>
      <c r="RB857" s="317"/>
      <c r="RC857" s="317"/>
      <c r="RD857" s="317"/>
      <c r="RE857" s="317"/>
      <c r="RF857" s="317"/>
      <c r="RG857" s="317"/>
      <c r="RH857" s="317"/>
      <c r="RI857" s="317"/>
      <c r="RJ857" s="317"/>
      <c r="RK857" s="317"/>
      <c r="RL857" s="317"/>
      <c r="RM857" s="13"/>
      <c r="RN857" s="317"/>
      <c r="RO857" s="317"/>
      <c r="RP857" s="13"/>
      <c r="RQ857" s="317"/>
      <c r="RR857" s="317"/>
      <c r="RS857" s="317"/>
      <c r="RT857" s="317"/>
      <c r="RU857" s="317"/>
      <c r="RV857" s="13"/>
      <c r="TV857" s="12"/>
      <c r="WL857" s="13"/>
    </row>
    <row r="858" spans="82:610" ht="10.75" customHeight="1">
      <c r="CD858" s="229"/>
      <c r="CE858" s="231"/>
      <c r="CF858" s="231"/>
      <c r="CG858" s="231"/>
      <c r="CH858" s="231"/>
      <c r="CI858" s="231"/>
      <c r="CJ858" s="12"/>
      <c r="CS858" s="13"/>
      <c r="CT858" s="42"/>
      <c r="CU858" s="43"/>
      <c r="CV858" s="43"/>
      <c r="CW858" s="12"/>
      <c r="ES858" s="160"/>
      <c r="ET858" s="313"/>
      <c r="FA858" s="291"/>
      <c r="GP858" s="13"/>
      <c r="GQ858" s="43"/>
      <c r="GR858" s="43"/>
      <c r="GS858" s="45"/>
      <c r="GT858" s="49"/>
      <c r="GU858" s="49"/>
      <c r="GV858" s="49"/>
      <c r="GW858" s="49"/>
      <c r="GX858" s="49"/>
      <c r="GY858" s="49"/>
      <c r="GZ858" s="49"/>
      <c r="HA858" s="208"/>
      <c r="HB858" s="231"/>
      <c r="HC858" s="231"/>
      <c r="HD858" s="231"/>
      <c r="HE858" s="231"/>
      <c r="HF858" s="231"/>
      <c r="HG858" s="231"/>
      <c r="HH858" s="231"/>
      <c r="HI858" s="232"/>
      <c r="KM858" s="12"/>
      <c r="KN858" s="317"/>
      <c r="KO858" s="317"/>
      <c r="KP858" s="317"/>
      <c r="KQ858" s="317"/>
      <c r="KR858" s="317"/>
      <c r="KS858" s="317"/>
      <c r="KT858" s="317"/>
      <c r="KU858" s="317"/>
      <c r="KV858" s="317"/>
      <c r="KW858" s="317"/>
      <c r="KX858" s="317"/>
      <c r="KY858" s="317"/>
      <c r="KZ858" s="317"/>
      <c r="LA858" s="317"/>
      <c r="LB858" s="317"/>
      <c r="LC858" s="317"/>
      <c r="LD858" s="317"/>
      <c r="LE858" s="317"/>
      <c r="LF858" s="317"/>
      <c r="LG858" s="317"/>
      <c r="LH858" s="317"/>
      <c r="LI858" s="317"/>
      <c r="LJ858" s="317"/>
      <c r="LK858" s="317"/>
      <c r="LL858" s="317"/>
      <c r="LM858" s="317"/>
      <c r="LN858" s="317"/>
      <c r="LO858" s="317"/>
      <c r="LP858" s="317"/>
      <c r="LQ858" s="317"/>
      <c r="LR858" s="317"/>
      <c r="LS858" s="317"/>
      <c r="LT858" s="317"/>
      <c r="LU858" s="317"/>
      <c r="LV858" s="317"/>
      <c r="LW858" s="317"/>
      <c r="LX858" s="317"/>
      <c r="LY858" s="317"/>
      <c r="LZ858" s="317"/>
      <c r="MA858" s="317"/>
      <c r="MB858" s="317"/>
      <c r="MC858" s="317"/>
      <c r="MD858" s="317"/>
      <c r="ME858" s="317"/>
      <c r="MF858" s="317"/>
      <c r="MG858" s="317"/>
      <c r="MH858" s="317"/>
      <c r="MI858" s="317"/>
      <c r="MJ858" s="317"/>
      <c r="MK858" s="317"/>
      <c r="ML858" s="317"/>
      <c r="MM858" s="317"/>
      <c r="MN858" s="317"/>
      <c r="MO858" s="317"/>
      <c r="MP858" s="317"/>
      <c r="MQ858" s="317"/>
      <c r="MR858" s="317"/>
      <c r="MS858" s="317"/>
      <c r="MT858" s="13"/>
      <c r="MU858" s="317"/>
      <c r="MV858" s="317"/>
      <c r="MW858" s="317"/>
      <c r="MX858" s="317"/>
      <c r="MY858" s="317"/>
      <c r="MZ858" s="13"/>
      <c r="NA858" s="12"/>
      <c r="NB858" s="317"/>
      <c r="NC858" s="317"/>
      <c r="ND858" s="317"/>
      <c r="NE858" s="317"/>
      <c r="NF858" s="317"/>
      <c r="NG858" s="317"/>
      <c r="NH858" s="317"/>
      <c r="NI858" s="317"/>
      <c r="NJ858" s="317"/>
      <c r="NK858" s="317"/>
      <c r="NL858" s="317"/>
      <c r="NM858" s="317"/>
      <c r="NN858" s="317"/>
      <c r="NO858" s="317"/>
      <c r="NP858" s="317"/>
      <c r="NQ858" s="317"/>
      <c r="NR858" s="317"/>
      <c r="NS858" s="317"/>
      <c r="NT858" s="317"/>
      <c r="NU858" s="317"/>
      <c r="NV858" s="317"/>
      <c r="NW858" s="317"/>
      <c r="NX858" s="317"/>
      <c r="NY858" s="317"/>
      <c r="NZ858" s="317"/>
      <c r="OA858" s="317"/>
      <c r="OB858" s="317"/>
      <c r="OC858" s="317"/>
      <c r="OD858" s="317"/>
      <c r="OE858" s="317"/>
      <c r="OF858" s="317"/>
      <c r="OG858" s="317"/>
      <c r="OH858" s="317"/>
      <c r="OI858" s="317"/>
      <c r="OJ858" s="317"/>
      <c r="OK858" s="317"/>
      <c r="OL858" s="317"/>
      <c r="OM858" s="317"/>
      <c r="ON858" s="317"/>
      <c r="OO858" s="317"/>
      <c r="OP858" s="317"/>
      <c r="OQ858" s="317"/>
      <c r="OR858" s="317"/>
      <c r="OS858" s="317"/>
      <c r="OT858" s="12"/>
      <c r="OU858" s="317"/>
      <c r="OV858" s="317"/>
      <c r="OW858" s="317"/>
      <c r="OX858" s="317"/>
      <c r="OY858" s="317"/>
      <c r="OZ858" s="317"/>
      <c r="PA858" s="317"/>
      <c r="PB858" s="317"/>
      <c r="PC858" s="317"/>
      <c r="PD858" s="317"/>
      <c r="PE858" s="13"/>
      <c r="PF858" s="317"/>
      <c r="PG858" s="317"/>
      <c r="PH858" s="317"/>
      <c r="PI858" s="317"/>
      <c r="PJ858" s="317"/>
      <c r="PK858" s="317"/>
      <c r="PL858" s="317"/>
      <c r="PM858" s="317"/>
      <c r="PN858" s="317"/>
      <c r="PO858" s="317"/>
      <c r="PP858" s="317"/>
      <c r="PQ858" s="317"/>
      <c r="PR858" s="317"/>
      <c r="PS858" s="317"/>
      <c r="PT858" s="317"/>
      <c r="PU858" s="317"/>
      <c r="PV858" s="317"/>
      <c r="PW858" s="317"/>
      <c r="PX858" s="317"/>
      <c r="PY858" s="317"/>
      <c r="PZ858" s="317"/>
      <c r="QA858" s="317"/>
      <c r="QB858" s="317"/>
      <c r="QC858" s="317"/>
      <c r="QD858" s="317"/>
      <c r="QE858" s="317"/>
      <c r="QF858" s="317"/>
      <c r="QG858" s="317"/>
      <c r="QH858" s="317"/>
      <c r="QI858" s="317"/>
      <c r="QJ858" s="317"/>
      <c r="QK858" s="317"/>
      <c r="QL858" s="317"/>
      <c r="QM858" s="317"/>
      <c r="QN858" s="317"/>
      <c r="QO858" s="317"/>
      <c r="QP858" s="317"/>
      <c r="QQ858" s="317"/>
      <c r="QR858" s="317"/>
      <c r="QS858" s="317"/>
      <c r="QT858" s="317"/>
      <c r="QU858" s="317"/>
      <c r="QV858" s="317"/>
      <c r="QW858" s="317"/>
      <c r="QX858" s="317"/>
      <c r="QY858" s="317"/>
      <c r="QZ858" s="317"/>
      <c r="RA858" s="317"/>
      <c r="RB858" s="317"/>
      <c r="RC858" s="317"/>
      <c r="RD858" s="317"/>
      <c r="RE858" s="317"/>
      <c r="RF858" s="317"/>
      <c r="RG858" s="317"/>
      <c r="RH858" s="317"/>
      <c r="RI858" s="317"/>
      <c r="RJ858" s="317"/>
      <c r="RK858" s="317"/>
      <c r="RL858" s="317"/>
      <c r="RM858" s="13"/>
      <c r="RN858" s="317"/>
      <c r="RO858" s="317"/>
      <c r="RP858" s="13"/>
      <c r="RQ858" s="317"/>
      <c r="RR858" s="317"/>
      <c r="RS858" s="317"/>
      <c r="RT858" s="317"/>
      <c r="RU858" s="317"/>
      <c r="RV858" s="13"/>
      <c r="TV858" s="12"/>
      <c r="WL858" s="13"/>
    </row>
    <row r="859" spans="82:610" ht="10.75" customHeight="1">
      <c r="CD859" s="229"/>
      <c r="CE859" s="231"/>
      <c r="CF859" s="231"/>
      <c r="CG859" s="231"/>
      <c r="CH859" s="231"/>
      <c r="CI859" s="231"/>
      <c r="CJ859" s="12"/>
      <c r="CS859" s="13"/>
      <c r="CT859" s="42"/>
      <c r="CU859" s="43"/>
      <c r="CV859" s="43"/>
      <c r="CW859" s="12"/>
      <c r="ES859" s="160"/>
      <c r="ET859" s="313"/>
      <c r="FA859" s="291"/>
      <c r="GP859" s="13"/>
      <c r="GQ859" s="43"/>
      <c r="GR859" s="43"/>
      <c r="GS859" s="45"/>
      <c r="GT859" s="49"/>
      <c r="GU859" s="49"/>
      <c r="GV859" s="49"/>
      <c r="GW859" s="49"/>
      <c r="GX859" s="49"/>
      <c r="GY859" s="49"/>
      <c r="GZ859" s="49"/>
      <c r="HA859" s="208"/>
      <c r="HB859" s="231"/>
      <c r="HC859" s="231"/>
      <c r="HD859" s="231"/>
      <c r="HE859" s="231"/>
      <c r="HF859" s="231"/>
      <c r="HG859" s="231"/>
      <c r="HH859" s="231"/>
      <c r="HI859" s="232"/>
      <c r="KM859" s="12"/>
      <c r="KN859" s="317"/>
      <c r="KO859" s="317"/>
      <c r="KP859" s="317"/>
      <c r="KQ859" s="317"/>
      <c r="KR859" s="317"/>
      <c r="KS859" s="317"/>
      <c r="KT859" s="317"/>
      <c r="KU859" s="317"/>
      <c r="KV859" s="317"/>
      <c r="KW859" s="317"/>
      <c r="KX859" s="317"/>
      <c r="KY859" s="317"/>
      <c r="KZ859" s="317"/>
      <c r="LA859" s="317"/>
      <c r="LB859" s="317"/>
      <c r="LC859" s="317"/>
      <c r="LD859" s="317"/>
      <c r="LE859" s="317"/>
      <c r="LF859" s="317"/>
      <c r="LG859" s="317"/>
      <c r="LH859" s="317"/>
      <c r="LI859" s="317"/>
      <c r="LJ859" s="317"/>
      <c r="LK859" s="317"/>
      <c r="LL859" s="317"/>
      <c r="LM859" s="317"/>
      <c r="LN859" s="317"/>
      <c r="LO859" s="317"/>
      <c r="LP859" s="317"/>
      <c r="LQ859" s="317"/>
      <c r="LR859" s="317"/>
      <c r="LS859" s="317"/>
      <c r="LT859" s="317"/>
      <c r="LU859" s="317"/>
      <c r="LV859" s="317"/>
      <c r="LW859" s="317"/>
      <c r="LX859" s="317"/>
      <c r="LY859" s="317"/>
      <c r="LZ859" s="317"/>
      <c r="MA859" s="317"/>
      <c r="MB859" s="317"/>
      <c r="MC859" s="317"/>
      <c r="MD859" s="317"/>
      <c r="ME859" s="317"/>
      <c r="MF859" s="317"/>
      <c r="MG859" s="317"/>
      <c r="MH859" s="317"/>
      <c r="MI859" s="317"/>
      <c r="MJ859" s="317"/>
      <c r="MK859" s="317"/>
      <c r="ML859" s="317"/>
      <c r="MM859" s="317"/>
      <c r="MN859" s="317"/>
      <c r="MO859" s="317"/>
      <c r="MP859" s="317"/>
      <c r="MQ859" s="317"/>
      <c r="MR859" s="317"/>
      <c r="MS859" s="317"/>
      <c r="MT859" s="13"/>
      <c r="MU859" s="317"/>
      <c r="MV859" s="317"/>
      <c r="MW859" s="317"/>
      <c r="MX859" s="317"/>
      <c r="MY859" s="317"/>
      <c r="MZ859" s="13"/>
      <c r="NA859" s="12"/>
      <c r="NB859" s="317"/>
      <c r="NC859" s="317"/>
      <c r="ND859" s="317"/>
      <c r="NE859" s="317"/>
      <c r="NF859" s="317"/>
      <c r="NG859" s="317"/>
      <c r="NH859" s="317"/>
      <c r="NI859" s="317"/>
      <c r="NJ859" s="317"/>
      <c r="NK859" s="317"/>
      <c r="NL859" s="317"/>
      <c r="NM859" s="317"/>
      <c r="NN859" s="317"/>
      <c r="NO859" s="317"/>
      <c r="NP859" s="317"/>
      <c r="NQ859" s="317"/>
      <c r="NR859" s="317"/>
      <c r="NS859" s="317"/>
      <c r="NT859" s="317"/>
      <c r="NU859" s="317"/>
      <c r="NV859" s="317"/>
      <c r="NW859" s="317"/>
      <c r="NX859" s="317"/>
      <c r="NY859" s="317"/>
      <c r="NZ859" s="317"/>
      <c r="OA859" s="317"/>
      <c r="OB859" s="317"/>
      <c r="OC859" s="317"/>
      <c r="OD859" s="317"/>
      <c r="OE859" s="317"/>
      <c r="OF859" s="317"/>
      <c r="OG859" s="317"/>
      <c r="OH859" s="317"/>
      <c r="OI859" s="317"/>
      <c r="OJ859" s="317"/>
      <c r="OK859" s="317"/>
      <c r="OL859" s="317"/>
      <c r="OM859" s="317"/>
      <c r="ON859" s="317"/>
      <c r="OO859" s="317"/>
      <c r="OP859" s="317"/>
      <c r="OQ859" s="317"/>
      <c r="OR859" s="317"/>
      <c r="OS859" s="317"/>
      <c r="OT859" s="12"/>
      <c r="OU859" s="317"/>
      <c r="OV859" s="317"/>
      <c r="OW859" s="317"/>
      <c r="OX859" s="317"/>
      <c r="OY859" s="317"/>
      <c r="OZ859" s="317"/>
      <c r="PA859" s="317"/>
      <c r="PB859" s="317"/>
      <c r="PC859" s="317"/>
      <c r="PD859" s="317"/>
      <c r="PE859" s="13"/>
      <c r="PF859" s="317"/>
      <c r="PG859" s="317"/>
      <c r="PH859" s="317"/>
      <c r="PI859" s="317"/>
      <c r="PJ859" s="317"/>
      <c r="PK859" s="317"/>
      <c r="PL859" s="317"/>
      <c r="PM859" s="317"/>
      <c r="PN859" s="317"/>
      <c r="PO859" s="317"/>
      <c r="PP859" s="317"/>
      <c r="PQ859" s="317"/>
      <c r="PR859" s="317"/>
      <c r="PS859" s="317"/>
      <c r="PT859" s="317"/>
      <c r="PU859" s="317"/>
      <c r="PV859" s="317"/>
      <c r="PW859" s="317"/>
      <c r="PX859" s="317"/>
      <c r="PY859" s="317"/>
      <c r="PZ859" s="317"/>
      <c r="QA859" s="317"/>
      <c r="QB859" s="317"/>
      <c r="QC859" s="317"/>
      <c r="QD859" s="317"/>
      <c r="QE859" s="317"/>
      <c r="QF859" s="317"/>
      <c r="QG859" s="317"/>
      <c r="QH859" s="317"/>
      <c r="QI859" s="317"/>
      <c r="QJ859" s="317"/>
      <c r="QK859" s="317"/>
      <c r="QL859" s="317"/>
      <c r="QM859" s="317"/>
      <c r="QN859" s="317"/>
      <c r="QO859" s="317"/>
      <c r="QP859" s="317"/>
      <c r="QQ859" s="317"/>
      <c r="QR859" s="317"/>
      <c r="QS859" s="317"/>
      <c r="QT859" s="317"/>
      <c r="QU859" s="317"/>
      <c r="QV859" s="317"/>
      <c r="QW859" s="317"/>
      <c r="QX859" s="317"/>
      <c r="QY859" s="317"/>
      <c r="QZ859" s="317"/>
      <c r="RA859" s="317"/>
      <c r="RB859" s="317"/>
      <c r="RC859" s="317"/>
      <c r="RD859" s="317"/>
      <c r="RE859" s="317"/>
      <c r="RF859" s="317"/>
      <c r="RG859" s="317"/>
      <c r="RH859" s="317"/>
      <c r="RI859" s="317"/>
      <c r="RJ859" s="317"/>
      <c r="RK859" s="317"/>
      <c r="RL859" s="317"/>
      <c r="RM859" s="13"/>
      <c r="RN859" s="317"/>
      <c r="RO859" s="317"/>
      <c r="RP859" s="13"/>
      <c r="RQ859" s="317"/>
      <c r="RR859" s="317"/>
      <c r="RS859" s="317"/>
      <c r="RT859" s="317"/>
      <c r="RU859" s="317"/>
      <c r="RV859" s="13"/>
      <c r="TV859" s="12"/>
      <c r="WL859" s="13"/>
    </row>
    <row r="860" spans="82:610" ht="10.75" customHeight="1">
      <c r="CD860" s="229"/>
      <c r="CE860" s="231"/>
      <c r="CF860" s="231"/>
      <c r="CG860" s="231"/>
      <c r="CH860" s="231"/>
      <c r="CI860" s="231"/>
      <c r="CJ860" s="12"/>
      <c r="CS860" s="13"/>
      <c r="CT860" s="42"/>
      <c r="CU860" s="43"/>
      <c r="CV860" s="43"/>
      <c r="CW860" s="12"/>
      <c r="ES860" s="160"/>
      <c r="ET860" s="161"/>
      <c r="FA860" s="291"/>
      <c r="GP860" s="13"/>
      <c r="GQ860" s="43"/>
      <c r="GR860" s="43"/>
      <c r="GS860" s="45"/>
      <c r="GT860" s="49"/>
      <c r="GU860" s="49"/>
      <c r="GV860" s="49"/>
      <c r="GW860" s="49"/>
      <c r="GX860" s="49"/>
      <c r="GY860" s="49"/>
      <c r="GZ860" s="49"/>
      <c r="HA860" s="208"/>
      <c r="HB860" s="231"/>
      <c r="HC860" s="231"/>
      <c r="HD860" s="231"/>
      <c r="HE860" s="231"/>
      <c r="HF860" s="231"/>
      <c r="HG860" s="231"/>
      <c r="HH860" s="231"/>
      <c r="HI860" s="232"/>
      <c r="KM860" s="12"/>
      <c r="KN860" s="317"/>
      <c r="KO860" s="317"/>
      <c r="KP860" s="317"/>
      <c r="KQ860" s="317"/>
      <c r="KR860" s="317"/>
      <c r="KS860" s="317"/>
      <c r="KT860" s="317"/>
      <c r="KU860" s="317"/>
      <c r="KV860" s="317"/>
      <c r="KW860" s="317"/>
      <c r="KX860" s="317"/>
      <c r="KY860" s="317"/>
      <c r="KZ860" s="317"/>
      <c r="LA860" s="317"/>
      <c r="LB860" s="317"/>
      <c r="LC860" s="317"/>
      <c r="LD860" s="317"/>
      <c r="LE860" s="317"/>
      <c r="LF860" s="317"/>
      <c r="LG860" s="317"/>
      <c r="LH860" s="317"/>
      <c r="LI860" s="317"/>
      <c r="LJ860" s="317"/>
      <c r="LK860" s="317"/>
      <c r="LL860" s="317"/>
      <c r="LM860" s="317"/>
      <c r="LN860" s="317"/>
      <c r="LO860" s="317"/>
      <c r="LP860" s="317"/>
      <c r="LQ860" s="317"/>
      <c r="LR860" s="317"/>
      <c r="LS860" s="317"/>
      <c r="LT860" s="317"/>
      <c r="LU860" s="317"/>
      <c r="LV860" s="317"/>
      <c r="LW860" s="317"/>
      <c r="LX860" s="317"/>
      <c r="LY860" s="317"/>
      <c r="LZ860" s="317"/>
      <c r="MA860" s="317"/>
      <c r="MB860" s="317"/>
      <c r="MC860" s="317"/>
      <c r="MD860" s="317"/>
      <c r="ME860" s="317"/>
      <c r="MF860" s="317"/>
      <c r="MG860" s="317"/>
      <c r="MH860" s="317"/>
      <c r="MI860" s="317"/>
      <c r="MJ860" s="317"/>
      <c r="MK860" s="317"/>
      <c r="ML860" s="317"/>
      <c r="MM860" s="317"/>
      <c r="MN860" s="317"/>
      <c r="MO860" s="317"/>
      <c r="MP860" s="317"/>
      <c r="MQ860" s="317"/>
      <c r="MR860" s="317"/>
      <c r="MS860" s="317"/>
      <c r="MT860" s="13"/>
      <c r="MU860" s="317"/>
      <c r="MV860" s="317"/>
      <c r="MW860" s="317"/>
      <c r="MX860" s="317"/>
      <c r="MY860" s="317"/>
      <c r="MZ860" s="13"/>
      <c r="NA860" s="12"/>
      <c r="NB860" s="317"/>
      <c r="NC860" s="317"/>
      <c r="ND860" s="317"/>
      <c r="NE860" s="317"/>
      <c r="NF860" s="317"/>
      <c r="NG860" s="317"/>
      <c r="NH860" s="317"/>
      <c r="NI860" s="317"/>
      <c r="NJ860" s="317"/>
      <c r="NK860" s="317"/>
      <c r="NL860" s="317"/>
      <c r="NM860" s="317"/>
      <c r="NN860" s="317"/>
      <c r="NO860" s="317"/>
      <c r="NP860" s="317"/>
      <c r="NQ860" s="317"/>
      <c r="NR860" s="317"/>
      <c r="NS860" s="317"/>
      <c r="NT860" s="317"/>
      <c r="NU860" s="317"/>
      <c r="NV860" s="317"/>
      <c r="NW860" s="317"/>
      <c r="NX860" s="317"/>
      <c r="NY860" s="317"/>
      <c r="NZ860" s="317"/>
      <c r="OA860" s="317"/>
      <c r="OB860" s="317"/>
      <c r="OC860" s="317"/>
      <c r="OD860" s="317"/>
      <c r="OE860" s="317"/>
      <c r="OF860" s="317"/>
      <c r="OG860" s="317"/>
      <c r="OH860" s="317"/>
      <c r="OI860" s="317"/>
      <c r="OJ860" s="317"/>
      <c r="OK860" s="317"/>
      <c r="OL860" s="317"/>
      <c r="OM860" s="317"/>
      <c r="ON860" s="317"/>
      <c r="OO860" s="317"/>
      <c r="OP860" s="317"/>
      <c r="OQ860" s="317"/>
      <c r="OR860" s="317"/>
      <c r="OS860" s="317"/>
      <c r="OT860" s="12"/>
      <c r="OU860" s="317"/>
      <c r="OV860" s="317"/>
      <c r="OW860" s="317"/>
      <c r="OX860" s="317"/>
      <c r="OY860" s="317"/>
      <c r="OZ860" s="317"/>
      <c r="PA860" s="317"/>
      <c r="PB860" s="317"/>
      <c r="PC860" s="317"/>
      <c r="PD860" s="317"/>
      <c r="PE860" s="13"/>
      <c r="PF860" s="317"/>
      <c r="PG860" s="317"/>
      <c r="PH860" s="317"/>
      <c r="PI860" s="317"/>
      <c r="PJ860" s="317"/>
      <c r="PK860" s="317"/>
      <c r="PL860" s="317"/>
      <c r="PM860" s="317"/>
      <c r="PN860" s="317"/>
      <c r="PO860" s="317"/>
      <c r="PP860" s="317"/>
      <c r="PQ860" s="317"/>
      <c r="PR860" s="317"/>
      <c r="PS860" s="317"/>
      <c r="PT860" s="317"/>
      <c r="PU860" s="317"/>
      <c r="PV860" s="317"/>
      <c r="PW860" s="317"/>
      <c r="PX860" s="317"/>
      <c r="PY860" s="317"/>
      <c r="PZ860" s="317"/>
      <c r="QA860" s="317"/>
      <c r="QB860" s="317"/>
      <c r="QC860" s="317"/>
      <c r="QD860" s="317"/>
      <c r="QE860" s="317"/>
      <c r="QF860" s="317"/>
      <c r="QG860" s="317"/>
      <c r="QH860" s="317"/>
      <c r="QI860" s="317"/>
      <c r="QJ860" s="317"/>
      <c r="QK860" s="317"/>
      <c r="QL860" s="317"/>
      <c r="QM860" s="317"/>
      <c r="QN860" s="317"/>
      <c r="QO860" s="317"/>
      <c r="QP860" s="317"/>
      <c r="QQ860" s="317"/>
      <c r="QR860" s="317"/>
      <c r="QS860" s="317"/>
      <c r="QT860" s="317"/>
      <c r="QU860" s="317"/>
      <c r="QV860" s="317"/>
      <c r="QW860" s="317"/>
      <c r="QX860" s="317"/>
      <c r="QY860" s="317"/>
      <c r="QZ860" s="317"/>
      <c r="RA860" s="317"/>
      <c r="RB860" s="317"/>
      <c r="RC860" s="317"/>
      <c r="RD860" s="317"/>
      <c r="RE860" s="317"/>
      <c r="RF860" s="317"/>
      <c r="RG860" s="317"/>
      <c r="RH860" s="317"/>
      <c r="RI860" s="317"/>
      <c r="RJ860" s="317"/>
      <c r="RK860" s="317"/>
      <c r="RL860" s="317"/>
      <c r="RM860" s="13"/>
      <c r="RN860" s="317"/>
      <c r="RO860" s="317"/>
      <c r="RP860" s="13"/>
      <c r="RQ860" s="317"/>
      <c r="RR860" s="317"/>
      <c r="RS860" s="317"/>
      <c r="RT860" s="317"/>
      <c r="RU860" s="317"/>
      <c r="RV860" s="13"/>
      <c r="TV860" s="12"/>
      <c r="WL860" s="13"/>
    </row>
    <row r="861" spans="82:610" ht="10.75" customHeight="1">
      <c r="CD861" s="229"/>
      <c r="CE861" s="231"/>
      <c r="CF861" s="231"/>
      <c r="CG861" s="231"/>
      <c r="CH861" s="231"/>
      <c r="CI861" s="231"/>
      <c r="CJ861" s="12"/>
      <c r="CS861" s="13"/>
      <c r="CT861" s="42"/>
      <c r="CU861" s="43"/>
      <c r="CV861" s="43"/>
      <c r="CW861" s="12"/>
      <c r="ES861" s="160"/>
      <c r="ET861" s="161"/>
      <c r="FA861" s="291"/>
      <c r="GP861" s="13"/>
      <c r="GQ861" s="43"/>
      <c r="GR861" s="43"/>
      <c r="GS861" s="45"/>
      <c r="GT861" s="49"/>
      <c r="GU861" s="49"/>
      <c r="GV861" s="49"/>
      <c r="GW861" s="49"/>
      <c r="GX861" s="49"/>
      <c r="GY861" s="49"/>
      <c r="GZ861" s="49"/>
      <c r="HA861" s="208"/>
      <c r="HB861" s="231"/>
      <c r="HC861" s="231"/>
      <c r="HD861" s="231"/>
      <c r="HE861" s="231"/>
      <c r="HF861" s="231"/>
      <c r="HG861" s="231"/>
      <c r="HH861" s="231"/>
      <c r="HI861" s="232"/>
      <c r="KM861" s="12"/>
      <c r="KN861" s="317"/>
      <c r="KO861" s="317"/>
      <c r="KP861" s="317"/>
      <c r="KQ861" s="317"/>
      <c r="KR861" s="317"/>
      <c r="KS861" s="317"/>
      <c r="KT861" s="317"/>
      <c r="KU861" s="317"/>
      <c r="KV861" s="317"/>
      <c r="KW861" s="317"/>
      <c r="KX861" s="317"/>
      <c r="KY861" s="317"/>
      <c r="KZ861" s="317"/>
      <c r="LA861" s="317"/>
      <c r="LB861" s="317"/>
      <c r="LC861" s="317"/>
      <c r="LD861" s="317"/>
      <c r="LE861" s="317"/>
      <c r="LF861" s="317"/>
      <c r="LG861" s="317"/>
      <c r="LH861" s="317"/>
      <c r="LI861" s="317"/>
      <c r="LJ861" s="317"/>
      <c r="LK861" s="317"/>
      <c r="LL861" s="317"/>
      <c r="LM861" s="317"/>
      <c r="LN861" s="317"/>
      <c r="LO861" s="317"/>
      <c r="LP861" s="317"/>
      <c r="LQ861" s="317"/>
      <c r="LR861" s="317"/>
      <c r="LS861" s="317"/>
      <c r="LT861" s="317"/>
      <c r="LU861" s="317"/>
      <c r="LV861" s="317"/>
      <c r="LW861" s="317"/>
      <c r="LX861" s="317"/>
      <c r="LY861" s="317"/>
      <c r="LZ861" s="317"/>
      <c r="MA861" s="317"/>
      <c r="MB861" s="317"/>
      <c r="MC861" s="317"/>
      <c r="MD861" s="317"/>
      <c r="ME861" s="317"/>
      <c r="MF861" s="317"/>
      <c r="MG861" s="317"/>
      <c r="MH861" s="317"/>
      <c r="MI861" s="317"/>
      <c r="MJ861" s="317"/>
      <c r="MK861" s="317"/>
      <c r="ML861" s="317"/>
      <c r="MM861" s="317"/>
      <c r="MN861" s="317"/>
      <c r="MO861" s="317"/>
      <c r="MP861" s="317"/>
      <c r="MQ861" s="317"/>
      <c r="MR861" s="317"/>
      <c r="MS861" s="317"/>
      <c r="MT861" s="13"/>
      <c r="MU861" s="317"/>
      <c r="MV861" s="317"/>
      <c r="MW861" s="317"/>
      <c r="MX861" s="317"/>
      <c r="MY861" s="317"/>
      <c r="MZ861" s="13"/>
      <c r="NA861" s="12"/>
      <c r="NB861" s="317"/>
      <c r="NC861" s="317"/>
      <c r="ND861" s="317"/>
      <c r="NE861" s="317"/>
      <c r="NF861" s="317"/>
      <c r="NG861" s="317"/>
      <c r="NH861" s="317"/>
      <c r="NI861" s="317"/>
      <c r="NJ861" s="317"/>
      <c r="NK861" s="317"/>
      <c r="NL861" s="317"/>
      <c r="NM861" s="317"/>
      <c r="NN861" s="317"/>
      <c r="NO861" s="317"/>
      <c r="NP861" s="317"/>
      <c r="NQ861" s="317"/>
      <c r="NR861" s="317"/>
      <c r="NS861" s="317"/>
      <c r="NT861" s="317"/>
      <c r="NU861" s="317"/>
      <c r="NV861" s="317"/>
      <c r="NW861" s="317"/>
      <c r="NX861" s="317"/>
      <c r="NY861" s="317"/>
      <c r="NZ861" s="317"/>
      <c r="OA861" s="317"/>
      <c r="OB861" s="317"/>
      <c r="OC861" s="317"/>
      <c r="OD861" s="317"/>
      <c r="OE861" s="317"/>
      <c r="OF861" s="317"/>
      <c r="OG861" s="317"/>
      <c r="OH861" s="317"/>
      <c r="OI861" s="317"/>
      <c r="OJ861" s="317"/>
      <c r="OK861" s="317"/>
      <c r="OL861" s="317"/>
      <c r="OM861" s="317"/>
      <c r="ON861" s="317"/>
      <c r="OO861" s="317"/>
      <c r="OP861" s="317"/>
      <c r="OQ861" s="317"/>
      <c r="OR861" s="317"/>
      <c r="OS861" s="317"/>
      <c r="OT861" s="14"/>
      <c r="OU861" s="15"/>
      <c r="OV861" s="15"/>
      <c r="OW861" s="15"/>
      <c r="OX861" s="15"/>
      <c r="OY861" s="15"/>
      <c r="OZ861" s="15"/>
      <c r="PA861" s="15"/>
      <c r="PB861" s="15"/>
      <c r="PC861" s="15"/>
      <c r="PD861" s="15"/>
      <c r="PE861" s="16"/>
      <c r="PF861" s="317"/>
      <c r="PG861" s="317"/>
      <c r="PH861" s="317"/>
      <c r="PI861" s="317"/>
      <c r="PJ861" s="317"/>
      <c r="PK861" s="317"/>
      <c r="PL861" s="317"/>
      <c r="PM861" s="317"/>
      <c r="PN861" s="317"/>
      <c r="PO861" s="317"/>
      <c r="PP861" s="317"/>
      <c r="PQ861" s="317"/>
      <c r="PR861" s="317"/>
      <c r="PS861" s="317"/>
      <c r="PT861" s="317"/>
      <c r="PU861" s="317"/>
      <c r="PV861" s="317"/>
      <c r="PW861" s="317"/>
      <c r="PX861" s="317"/>
      <c r="PY861" s="317"/>
      <c r="PZ861" s="317"/>
      <c r="QA861" s="317"/>
      <c r="QB861" s="317"/>
      <c r="QC861" s="317"/>
      <c r="QD861" s="317"/>
      <c r="QE861" s="317"/>
      <c r="QF861" s="317"/>
      <c r="QG861" s="317"/>
      <c r="QH861" s="317"/>
      <c r="QI861" s="317"/>
      <c r="QJ861" s="317"/>
      <c r="QK861" s="317"/>
      <c r="QL861" s="317"/>
      <c r="QM861" s="317"/>
      <c r="QN861" s="317"/>
      <c r="QO861" s="317"/>
      <c r="QP861" s="317"/>
      <c r="QQ861" s="317"/>
      <c r="QR861" s="317"/>
      <c r="QS861" s="317"/>
      <c r="QT861" s="317"/>
      <c r="QU861" s="317"/>
      <c r="QV861" s="317"/>
      <c r="QW861" s="317"/>
      <c r="QX861" s="317"/>
      <c r="QY861" s="317"/>
      <c r="QZ861" s="317"/>
      <c r="RA861" s="317"/>
      <c r="RB861" s="317"/>
      <c r="RC861" s="317"/>
      <c r="RD861" s="317"/>
      <c r="RE861" s="317"/>
      <c r="RF861" s="317"/>
      <c r="RG861" s="317"/>
      <c r="RH861" s="317"/>
      <c r="RI861" s="317"/>
      <c r="RJ861" s="317"/>
      <c r="RK861" s="317"/>
      <c r="RL861" s="317"/>
      <c r="RM861" s="13"/>
      <c r="RN861" s="317"/>
      <c r="RO861" s="317"/>
      <c r="RP861" s="13"/>
      <c r="RQ861" s="317"/>
      <c r="RR861" s="317"/>
      <c r="RS861" s="317"/>
      <c r="RT861" s="317"/>
      <c r="RU861" s="317"/>
      <c r="RV861" s="13"/>
      <c r="TV861" s="12"/>
      <c r="WL861" s="13"/>
    </row>
    <row r="862" spans="82:610" ht="10.75" customHeight="1">
      <c r="CD862" s="229"/>
      <c r="CE862" s="231"/>
      <c r="CF862" s="231"/>
      <c r="CG862" s="231"/>
      <c r="CH862" s="231"/>
      <c r="CI862" s="231"/>
      <c r="CJ862" s="9"/>
      <c r="CK862" s="10"/>
      <c r="CL862" s="10"/>
      <c r="CM862" s="10"/>
      <c r="CN862" s="10"/>
      <c r="CO862" s="10"/>
      <c r="CP862" s="10"/>
      <c r="CQ862" s="10"/>
      <c r="CR862" s="10"/>
      <c r="CS862" s="11"/>
      <c r="CT862" s="42"/>
      <c r="CU862" s="43"/>
      <c r="CV862" s="43"/>
      <c r="CW862" s="12"/>
      <c r="ES862" s="160"/>
      <c r="ET862" s="161"/>
      <c r="FA862" s="291"/>
      <c r="GP862" s="13"/>
      <c r="GQ862" s="43"/>
      <c r="GR862" s="43"/>
      <c r="GS862" s="45"/>
      <c r="GT862" s="49"/>
      <c r="GU862" s="49"/>
      <c r="GV862" s="49"/>
      <c r="GW862" s="49"/>
      <c r="GX862" s="49"/>
      <c r="GY862" s="49"/>
      <c r="GZ862" s="49"/>
      <c r="HA862" s="208"/>
      <c r="HB862" s="231"/>
      <c r="HC862" s="231"/>
      <c r="HD862" s="231"/>
      <c r="HE862" s="231"/>
      <c r="HF862" s="231"/>
      <c r="HG862" s="231"/>
      <c r="HH862" s="231"/>
      <c r="HI862" s="232"/>
      <c r="KM862" s="12"/>
      <c r="KN862" s="317"/>
      <c r="KO862" s="317"/>
      <c r="KP862" s="317"/>
      <c r="KQ862" s="317"/>
      <c r="KR862" s="317"/>
      <c r="KS862" s="317"/>
      <c r="KT862" s="317"/>
      <c r="KU862" s="317"/>
      <c r="KV862" s="317"/>
      <c r="KW862" s="317"/>
      <c r="KX862" s="317"/>
      <c r="KY862" s="317"/>
      <c r="KZ862" s="317"/>
      <c r="LA862" s="317"/>
      <c r="LB862" s="317"/>
      <c r="LC862" s="317"/>
      <c r="LD862" s="317"/>
      <c r="LE862" s="317"/>
      <c r="LF862" s="317"/>
      <c r="LG862" s="317"/>
      <c r="LH862" s="317"/>
      <c r="LI862" s="317"/>
      <c r="LJ862" s="317"/>
      <c r="LK862" s="317"/>
      <c r="LL862" s="317"/>
      <c r="LM862" s="317"/>
      <c r="LN862" s="317"/>
      <c r="LO862" s="317"/>
      <c r="LP862" s="317"/>
      <c r="LQ862" s="317"/>
      <c r="LR862" s="317"/>
      <c r="LS862" s="317"/>
      <c r="LT862" s="317"/>
      <c r="LU862" s="317"/>
      <c r="LV862" s="317"/>
      <c r="LW862" s="317"/>
      <c r="LX862" s="317"/>
      <c r="LY862" s="317"/>
      <c r="LZ862" s="317"/>
      <c r="MA862" s="317"/>
      <c r="MB862" s="317"/>
      <c r="MC862" s="317"/>
      <c r="MD862" s="317"/>
      <c r="ME862" s="317"/>
      <c r="MF862" s="317"/>
      <c r="MG862" s="317"/>
      <c r="MH862" s="317"/>
      <c r="MI862" s="317"/>
      <c r="MJ862" s="317"/>
      <c r="MK862" s="317"/>
      <c r="ML862" s="317"/>
      <c r="MM862" s="317"/>
      <c r="MN862" s="317"/>
      <c r="MO862" s="317"/>
      <c r="MP862" s="317"/>
      <c r="MQ862" s="317"/>
      <c r="MR862" s="317"/>
      <c r="MS862" s="317"/>
      <c r="MT862" s="13"/>
      <c r="MU862" s="317"/>
      <c r="MV862" s="317"/>
      <c r="MW862" s="317"/>
      <c r="MX862" s="317"/>
      <c r="MY862" s="317"/>
      <c r="MZ862" s="13"/>
      <c r="NA862" s="12"/>
      <c r="NB862" s="317"/>
      <c r="NC862" s="317"/>
      <c r="ND862" s="317"/>
      <c r="NE862" s="317"/>
      <c r="NF862" s="317"/>
      <c r="NG862" s="317"/>
      <c r="NH862" s="317"/>
      <c r="NI862" s="317"/>
      <c r="NJ862" s="317"/>
      <c r="NK862" s="317"/>
      <c r="NL862" s="317"/>
      <c r="NM862" s="317"/>
      <c r="NN862" s="317"/>
      <c r="NO862" s="317"/>
      <c r="NP862" s="317"/>
      <c r="NQ862" s="317"/>
      <c r="NR862" s="317"/>
      <c r="NS862" s="317"/>
      <c r="NT862" s="317"/>
      <c r="NU862" s="317"/>
      <c r="NV862" s="317"/>
      <c r="NW862" s="317"/>
      <c r="NX862" s="317"/>
      <c r="NY862" s="317"/>
      <c r="NZ862" s="317"/>
      <c r="OA862" s="317"/>
      <c r="OB862" s="317"/>
      <c r="OC862" s="317"/>
      <c r="OD862" s="317"/>
      <c r="OE862" s="317"/>
      <c r="OF862" s="317"/>
      <c r="OG862" s="317"/>
      <c r="OH862" s="317"/>
      <c r="OI862" s="317"/>
      <c r="OJ862" s="317"/>
      <c r="OK862" s="317"/>
      <c r="OL862" s="317"/>
      <c r="OM862" s="317"/>
      <c r="ON862" s="317"/>
      <c r="OO862" s="317"/>
      <c r="OP862" s="317"/>
      <c r="OQ862" s="317"/>
      <c r="OR862" s="317"/>
      <c r="OS862" s="317"/>
      <c r="OT862" s="317"/>
      <c r="OU862" s="317"/>
      <c r="OV862" s="317"/>
      <c r="OW862" s="317"/>
      <c r="OX862" s="317"/>
      <c r="OY862" s="317"/>
      <c r="OZ862" s="317"/>
      <c r="PA862" s="317"/>
      <c r="PB862" s="317"/>
      <c r="PC862" s="317"/>
      <c r="PD862" s="317"/>
      <c r="PE862" s="317"/>
      <c r="PF862" s="9"/>
      <c r="PG862" s="10"/>
      <c r="PH862" s="10"/>
      <c r="PI862" s="10"/>
      <c r="PJ862" s="10"/>
      <c r="PK862" s="10"/>
      <c r="PL862" s="10"/>
      <c r="PM862" s="10"/>
      <c r="PN862" s="10"/>
      <c r="PO862" s="10"/>
      <c r="PP862" s="10"/>
      <c r="PQ862" s="11"/>
      <c r="PR862" s="317"/>
      <c r="PS862" s="317"/>
      <c r="PT862" s="317"/>
      <c r="PU862" s="317"/>
      <c r="PV862" s="317"/>
      <c r="PW862" s="317"/>
      <c r="PX862" s="317"/>
      <c r="PY862" s="317"/>
      <c r="PZ862" s="317"/>
      <c r="QA862" s="317"/>
      <c r="QB862" s="317"/>
      <c r="QC862" s="317"/>
      <c r="QD862" s="317"/>
      <c r="QE862" s="317"/>
      <c r="QF862" s="317"/>
      <c r="QG862" s="317"/>
      <c r="QH862" s="317"/>
      <c r="QI862" s="317"/>
      <c r="QJ862" s="317"/>
      <c r="QK862" s="317"/>
      <c r="QL862" s="317"/>
      <c r="QM862" s="317"/>
      <c r="QN862" s="317"/>
      <c r="QO862" s="317"/>
      <c r="QP862" s="317"/>
      <c r="QQ862" s="317"/>
      <c r="QR862" s="317"/>
      <c r="QS862" s="317"/>
      <c r="QT862" s="317"/>
      <c r="QU862" s="317"/>
      <c r="QV862" s="317"/>
      <c r="QW862" s="317"/>
      <c r="QX862" s="317"/>
      <c r="QY862" s="317"/>
      <c r="QZ862" s="317"/>
      <c r="RA862" s="317"/>
      <c r="RB862" s="317"/>
      <c r="RC862" s="317"/>
      <c r="RD862" s="317"/>
      <c r="RE862" s="317"/>
      <c r="RF862" s="317"/>
      <c r="RG862" s="317"/>
      <c r="RH862" s="317"/>
      <c r="RI862" s="317"/>
      <c r="RJ862" s="317"/>
      <c r="RK862" s="317"/>
      <c r="RL862" s="317"/>
      <c r="RM862" s="13"/>
      <c r="RN862" s="317"/>
      <c r="RO862" s="317"/>
      <c r="RP862" s="13"/>
      <c r="RQ862" s="317"/>
      <c r="RR862" s="317"/>
      <c r="RS862" s="317"/>
      <c r="RT862" s="317"/>
      <c r="RU862" s="317"/>
      <c r="RV862" s="13"/>
      <c r="TV862" s="12"/>
      <c r="WL862" s="13"/>
    </row>
    <row r="863" spans="82:610" ht="10.75" customHeight="1">
      <c r="CD863" s="229"/>
      <c r="CE863" s="231"/>
      <c r="CF863" s="231"/>
      <c r="CG863" s="231"/>
      <c r="CH863" s="231"/>
      <c r="CI863" s="231"/>
      <c r="CJ863" s="12"/>
      <c r="CS863" s="13"/>
      <c r="CT863" s="42"/>
      <c r="CU863" s="43"/>
      <c r="CV863" s="43"/>
      <c r="CW863" s="12"/>
      <c r="ES863" s="160"/>
      <c r="ET863" s="161"/>
      <c r="FA863" s="291"/>
      <c r="GP863" s="13"/>
      <c r="GQ863" s="43"/>
      <c r="GR863" s="43"/>
      <c r="GS863" s="45"/>
      <c r="GT863" s="49"/>
      <c r="GU863" s="49"/>
      <c r="GV863" s="49"/>
      <c r="GW863" s="49"/>
      <c r="GX863" s="49"/>
      <c r="GY863" s="49"/>
      <c r="GZ863" s="49"/>
      <c r="HA863" s="208"/>
      <c r="HB863" s="231"/>
      <c r="HC863" s="231"/>
      <c r="HD863" s="231"/>
      <c r="HE863" s="231"/>
      <c r="HF863" s="231"/>
      <c r="HG863" s="231"/>
      <c r="HH863" s="231"/>
      <c r="HI863" s="232"/>
      <c r="KM863" s="12"/>
      <c r="KN863" s="317"/>
      <c r="KO863" s="317"/>
      <c r="KP863" s="317"/>
      <c r="KQ863" s="317"/>
      <c r="KR863" s="317"/>
      <c r="KS863" s="317"/>
      <c r="KT863" s="317"/>
      <c r="KU863" s="317"/>
      <c r="KV863" s="317"/>
      <c r="KW863" s="317"/>
      <c r="KX863" s="317"/>
      <c r="KY863" s="317"/>
      <c r="KZ863" s="317"/>
      <c r="LA863" s="317"/>
      <c r="LB863" s="317"/>
      <c r="LC863" s="317"/>
      <c r="LD863" s="317"/>
      <c r="LE863" s="317"/>
      <c r="LF863" s="317"/>
      <c r="LG863" s="317"/>
      <c r="LH863" s="317"/>
      <c r="LI863" s="317"/>
      <c r="LJ863" s="317"/>
      <c r="LK863" s="317"/>
      <c r="LL863" s="317"/>
      <c r="LM863" s="317"/>
      <c r="LN863" s="317"/>
      <c r="LO863" s="317"/>
      <c r="LP863" s="317"/>
      <c r="LQ863" s="317"/>
      <c r="LR863" s="317"/>
      <c r="LS863" s="317"/>
      <c r="LT863" s="317"/>
      <c r="LU863" s="317"/>
      <c r="LV863" s="317"/>
      <c r="LW863" s="317"/>
      <c r="LX863" s="317"/>
      <c r="LY863" s="317"/>
      <c r="LZ863" s="317"/>
      <c r="MA863" s="317"/>
      <c r="MB863" s="317"/>
      <c r="MC863" s="317"/>
      <c r="MD863" s="317"/>
      <c r="ME863" s="317"/>
      <c r="MF863" s="317"/>
      <c r="MG863" s="317"/>
      <c r="MH863" s="317"/>
      <c r="MI863" s="317"/>
      <c r="MJ863" s="317"/>
      <c r="MK863" s="317"/>
      <c r="ML863" s="317"/>
      <c r="MM863" s="317"/>
      <c r="MN863" s="317"/>
      <c r="MO863" s="317"/>
      <c r="MP863" s="317"/>
      <c r="MQ863" s="317"/>
      <c r="MR863" s="317"/>
      <c r="MS863" s="317"/>
      <c r="MT863" s="13"/>
      <c r="MU863" s="317"/>
      <c r="MV863" s="317"/>
      <c r="MW863" s="317"/>
      <c r="MX863" s="317"/>
      <c r="MY863" s="317"/>
      <c r="MZ863" s="13"/>
      <c r="NA863" s="12"/>
      <c r="NB863" s="317"/>
      <c r="NC863" s="317"/>
      <c r="ND863" s="317"/>
      <c r="NE863" s="317"/>
      <c r="NF863" s="317"/>
      <c r="NG863" s="317"/>
      <c r="NH863" s="317"/>
      <c r="NI863" s="317"/>
      <c r="NJ863" s="317"/>
      <c r="NK863" s="317"/>
      <c r="NL863" s="317"/>
      <c r="NM863" s="317"/>
      <c r="NN863" s="317"/>
      <c r="NO863" s="317"/>
      <c r="NP863" s="317"/>
      <c r="NQ863" s="317"/>
      <c r="NR863" s="317"/>
      <c r="NS863" s="317"/>
      <c r="NT863" s="317"/>
      <c r="NU863" s="317"/>
      <c r="NV863" s="317"/>
      <c r="NW863" s="317"/>
      <c r="NX863" s="317"/>
      <c r="NY863" s="317"/>
      <c r="NZ863" s="317"/>
      <c r="OA863" s="317"/>
      <c r="OB863" s="317"/>
      <c r="OC863" s="317"/>
      <c r="OD863" s="317"/>
      <c r="OE863" s="317"/>
      <c r="OF863" s="317"/>
      <c r="OG863" s="317"/>
      <c r="OH863" s="317"/>
      <c r="OI863" s="317"/>
      <c r="OJ863" s="317"/>
      <c r="OK863" s="317"/>
      <c r="OL863" s="317"/>
      <c r="OM863" s="317"/>
      <c r="ON863" s="317"/>
      <c r="OO863" s="317"/>
      <c r="OP863" s="317"/>
      <c r="OQ863" s="317"/>
      <c r="OR863" s="317"/>
      <c r="OS863" s="317"/>
      <c r="OT863" s="317"/>
      <c r="OU863" s="317"/>
      <c r="OV863" s="317"/>
      <c r="OW863" s="317"/>
      <c r="OX863" s="317"/>
      <c r="OY863" s="317"/>
      <c r="OZ863" s="317"/>
      <c r="PA863" s="317"/>
      <c r="PB863" s="317"/>
      <c r="PC863" s="317"/>
      <c r="PD863" s="317"/>
      <c r="PE863" s="317"/>
      <c r="PF863" s="12"/>
      <c r="PG863" s="317"/>
      <c r="PH863" s="317"/>
      <c r="PI863" s="317"/>
      <c r="PJ863" s="317"/>
      <c r="PK863" s="317"/>
      <c r="PL863" s="317"/>
      <c r="PM863" s="317"/>
      <c r="PN863" s="317"/>
      <c r="PO863" s="317"/>
      <c r="PP863" s="317"/>
      <c r="PQ863" s="13"/>
      <c r="PR863" s="317"/>
      <c r="PS863" s="317"/>
      <c r="PT863" s="317"/>
      <c r="PU863" s="317"/>
      <c r="PV863" s="317"/>
      <c r="PW863" s="317"/>
      <c r="PX863" s="317"/>
      <c r="PY863" s="317"/>
      <c r="PZ863" s="317"/>
      <c r="QA863" s="317"/>
      <c r="QB863" s="317"/>
      <c r="QC863" s="317"/>
      <c r="QD863" s="317"/>
      <c r="QE863" s="317"/>
      <c r="QF863" s="317"/>
      <c r="QG863" s="317"/>
      <c r="QH863" s="317"/>
      <c r="QI863" s="317"/>
      <c r="QJ863" s="317"/>
      <c r="QK863" s="317"/>
      <c r="QL863" s="317"/>
      <c r="QM863" s="317"/>
      <c r="QN863" s="317"/>
      <c r="QO863" s="317"/>
      <c r="QP863" s="317"/>
      <c r="QQ863" s="317"/>
      <c r="QR863" s="317"/>
      <c r="QS863" s="317"/>
      <c r="QT863" s="317"/>
      <c r="QU863" s="317"/>
      <c r="QV863" s="317"/>
      <c r="QW863" s="317"/>
      <c r="QX863" s="317"/>
      <c r="QY863" s="317"/>
      <c r="QZ863" s="317"/>
      <c r="RA863" s="317"/>
      <c r="RB863" s="317"/>
      <c r="RC863" s="317"/>
      <c r="RD863" s="317"/>
      <c r="RE863" s="317"/>
      <c r="RF863" s="317"/>
      <c r="RG863" s="317"/>
      <c r="RH863" s="317"/>
      <c r="RI863" s="317"/>
      <c r="RJ863" s="317"/>
      <c r="RK863" s="317"/>
      <c r="RL863" s="317"/>
      <c r="RM863" s="13"/>
      <c r="RN863" s="317"/>
      <c r="RO863" s="317"/>
      <c r="RP863" s="13"/>
      <c r="RQ863" s="317"/>
      <c r="RR863" s="317"/>
      <c r="RS863" s="317"/>
      <c r="RT863" s="317"/>
      <c r="RU863" s="317"/>
      <c r="RV863" s="13"/>
      <c r="TV863" s="12"/>
      <c r="WL863" s="13"/>
    </row>
    <row r="864" spans="82:610" ht="10.75" customHeight="1">
      <c r="CD864" s="229"/>
      <c r="CE864" s="231"/>
      <c r="CF864" s="231"/>
      <c r="CG864" s="231"/>
      <c r="CH864" s="231"/>
      <c r="CI864" s="231"/>
      <c r="CJ864" s="12"/>
      <c r="CS864" s="13"/>
      <c r="CT864" s="42"/>
      <c r="CU864" s="43"/>
      <c r="CV864" s="43"/>
      <c r="CW864" s="12"/>
      <c r="ES864" s="160"/>
      <c r="ET864" s="161"/>
      <c r="FA864" s="291"/>
      <c r="GP864" s="13"/>
      <c r="GQ864" s="43"/>
      <c r="GR864" s="43"/>
      <c r="GS864" s="45"/>
      <c r="GT864" s="49"/>
      <c r="GU864" s="49"/>
      <c r="GV864" s="49"/>
      <c r="GW864" s="49"/>
      <c r="GX864" s="49"/>
      <c r="GY864" s="49"/>
      <c r="GZ864" s="49"/>
      <c r="HA864" s="208"/>
      <c r="HB864" s="231"/>
      <c r="HC864" s="231"/>
      <c r="HD864" s="231"/>
      <c r="HE864" s="231"/>
      <c r="HF864" s="231"/>
      <c r="HG864" s="231"/>
      <c r="HH864" s="231"/>
      <c r="HI864" s="232"/>
      <c r="KM864" s="12"/>
      <c r="KN864" s="317"/>
      <c r="KO864" s="317"/>
      <c r="KP864" s="317"/>
      <c r="KQ864" s="317"/>
      <c r="KR864" s="317"/>
      <c r="KS864" s="317"/>
      <c r="KT864" s="317"/>
      <c r="KU864" s="317"/>
      <c r="KV864" s="317"/>
      <c r="KW864" s="317"/>
      <c r="KX864" s="317"/>
      <c r="KY864" s="317"/>
      <c r="KZ864" s="317"/>
      <c r="LA864" s="317"/>
      <c r="LB864" s="317"/>
      <c r="LC864" s="317"/>
      <c r="LD864" s="317"/>
      <c r="LE864" s="317"/>
      <c r="LF864" s="317"/>
      <c r="LG864" s="317"/>
      <c r="LH864" s="317"/>
      <c r="LI864" s="317"/>
      <c r="LJ864" s="317"/>
      <c r="LK864" s="317"/>
      <c r="LL864" s="317"/>
      <c r="LM864" s="317"/>
      <c r="LN864" s="317"/>
      <c r="LO864" s="317"/>
      <c r="LP864" s="317"/>
      <c r="LQ864" s="317"/>
      <c r="LR864" s="317"/>
      <c r="LS864" s="317"/>
      <c r="LT864" s="317"/>
      <c r="LU864" s="317"/>
      <c r="LV864" s="317"/>
      <c r="LW864" s="317"/>
      <c r="LX864" s="317"/>
      <c r="LY864" s="317"/>
      <c r="LZ864" s="317"/>
      <c r="MA864" s="317"/>
      <c r="MB864" s="317"/>
      <c r="MC864" s="317"/>
      <c r="MD864" s="317"/>
      <c r="ME864" s="317"/>
      <c r="MF864" s="317"/>
      <c r="MG864" s="317"/>
      <c r="MH864" s="317"/>
      <c r="MI864" s="317"/>
      <c r="MJ864" s="317"/>
      <c r="MK864" s="317"/>
      <c r="ML864" s="317"/>
      <c r="MM864" s="317"/>
      <c r="MN864" s="317"/>
      <c r="MO864" s="317"/>
      <c r="MP864" s="317"/>
      <c r="MQ864" s="317"/>
      <c r="MR864" s="317"/>
      <c r="MS864" s="317"/>
      <c r="MT864" s="13"/>
      <c r="MU864" s="317"/>
      <c r="MV864" s="317"/>
      <c r="MW864" s="317"/>
      <c r="MX864" s="317"/>
      <c r="MY864" s="317"/>
      <c r="MZ864" s="13"/>
      <c r="NA864" s="12"/>
      <c r="NB864" s="317"/>
      <c r="NC864" s="317"/>
      <c r="ND864" s="317"/>
      <c r="NE864" s="317"/>
      <c r="NF864" s="317"/>
      <c r="NG864" s="317"/>
      <c r="NH864" s="317"/>
      <c r="NI864" s="317"/>
      <c r="NJ864" s="317"/>
      <c r="NK864" s="317"/>
      <c r="NL864" s="317"/>
      <c r="NM864" s="317"/>
      <c r="NN864" s="317"/>
      <c r="NO864" s="317"/>
      <c r="NP864" s="317"/>
      <c r="NQ864" s="317"/>
      <c r="NR864" s="317"/>
      <c r="NS864" s="317"/>
      <c r="NT864" s="317"/>
      <c r="NU864" s="317"/>
      <c r="NV864" s="317"/>
      <c r="NW864" s="317"/>
      <c r="NX864" s="317"/>
      <c r="NY864" s="317"/>
      <c r="NZ864" s="317"/>
      <c r="OA864" s="317"/>
      <c r="OB864" s="317"/>
      <c r="OC864" s="317"/>
      <c r="OD864" s="317"/>
      <c r="OE864" s="317"/>
      <c r="OF864" s="317"/>
      <c r="OG864" s="317"/>
      <c r="OH864" s="317"/>
      <c r="OI864" s="317"/>
      <c r="OJ864" s="317"/>
      <c r="OK864" s="317"/>
      <c r="OL864" s="317"/>
      <c r="OM864" s="317"/>
      <c r="ON864" s="317"/>
      <c r="OO864" s="317"/>
      <c r="OP864" s="317"/>
      <c r="OQ864" s="317"/>
      <c r="OR864" s="317"/>
      <c r="OS864" s="317"/>
      <c r="OT864" s="317"/>
      <c r="OU864" s="317"/>
      <c r="OV864" s="317"/>
      <c r="OW864" s="317"/>
      <c r="OX864" s="317"/>
      <c r="OY864" s="317"/>
      <c r="OZ864" s="317"/>
      <c r="PA864" s="317"/>
      <c r="PB864" s="317"/>
      <c r="PC864" s="317"/>
      <c r="PD864" s="317"/>
      <c r="PE864" s="317"/>
      <c r="PF864" s="12"/>
      <c r="PG864" s="317"/>
      <c r="PH864" s="317"/>
      <c r="PI864" s="317"/>
      <c r="PJ864" s="317"/>
      <c r="PK864" s="317"/>
      <c r="PL864" s="317"/>
      <c r="PM864" s="317"/>
      <c r="PN864" s="317"/>
      <c r="PO864" s="317"/>
      <c r="PP864" s="317"/>
      <c r="PQ864" s="13"/>
      <c r="PR864" s="317"/>
      <c r="PS864" s="317"/>
      <c r="PT864" s="317"/>
      <c r="PU864" s="317"/>
      <c r="PV864" s="317"/>
      <c r="PW864" s="317"/>
      <c r="PX864" s="317"/>
      <c r="PY864" s="317"/>
      <c r="PZ864" s="317"/>
      <c r="QA864" s="317"/>
      <c r="QB864" s="317"/>
      <c r="QC864" s="317"/>
      <c r="QD864" s="317"/>
      <c r="QE864" s="317"/>
      <c r="QF864" s="317"/>
      <c r="QG864" s="317"/>
      <c r="QH864" s="317"/>
      <c r="QI864" s="317"/>
      <c r="QJ864" s="317"/>
      <c r="QK864" s="317"/>
      <c r="QL864" s="317"/>
      <c r="QM864" s="317"/>
      <c r="QN864" s="317"/>
      <c r="QO864" s="317"/>
      <c r="QP864" s="317"/>
      <c r="QQ864" s="317"/>
      <c r="QR864" s="317"/>
      <c r="QS864" s="317"/>
      <c r="QT864" s="317"/>
      <c r="QU864" s="317"/>
      <c r="QV864" s="317"/>
      <c r="QW864" s="317"/>
      <c r="QX864" s="317"/>
      <c r="QY864" s="317"/>
      <c r="QZ864" s="317"/>
      <c r="RA864" s="317"/>
      <c r="RB864" s="317"/>
      <c r="RC864" s="317"/>
      <c r="RD864" s="317"/>
      <c r="RE864" s="317"/>
      <c r="RF864" s="317"/>
      <c r="RG864" s="317"/>
      <c r="RH864" s="317"/>
      <c r="RI864" s="317"/>
      <c r="RJ864" s="317"/>
      <c r="RK864" s="317"/>
      <c r="RL864" s="317"/>
      <c r="RM864" s="13"/>
      <c r="RN864" s="317"/>
      <c r="RO864" s="317"/>
      <c r="RP864" s="13"/>
      <c r="RQ864" s="317"/>
      <c r="RR864" s="317"/>
      <c r="RS864" s="317"/>
      <c r="RT864" s="317"/>
      <c r="RU864" s="317"/>
      <c r="RV864" s="13"/>
      <c r="TV864" s="12"/>
      <c r="WL864" s="13"/>
    </row>
    <row r="865" spans="82:610" ht="10.75" customHeight="1">
      <c r="CD865" s="230"/>
      <c r="CE865" s="233"/>
      <c r="CF865" s="233"/>
      <c r="CG865" s="233"/>
      <c r="CH865" s="233"/>
      <c r="CI865" s="234"/>
      <c r="CJ865" s="14"/>
      <c r="CK865" s="15"/>
      <c r="CL865" s="15"/>
      <c r="CM865" s="15"/>
      <c r="CN865" s="15"/>
      <c r="CO865" s="15"/>
      <c r="CP865" s="15"/>
      <c r="CQ865" s="15"/>
      <c r="CR865" s="15"/>
      <c r="CS865" s="16"/>
      <c r="CT865" s="42"/>
      <c r="CU865" s="43"/>
      <c r="CV865" s="43"/>
      <c r="CW865" s="12"/>
      <c r="ES865" s="160"/>
      <c r="ET865" s="161"/>
      <c r="FA865" s="291"/>
      <c r="GP865" s="13"/>
      <c r="GQ865" s="43"/>
      <c r="GR865" s="43"/>
      <c r="GS865" s="45"/>
      <c r="GT865" s="49"/>
      <c r="GU865" s="49"/>
      <c r="GV865" s="49"/>
      <c r="GW865" s="49"/>
      <c r="GX865" s="49"/>
      <c r="GY865" s="49"/>
      <c r="GZ865" s="49"/>
      <c r="HA865" s="208"/>
      <c r="HB865" s="231"/>
      <c r="HC865" s="231"/>
      <c r="HD865" s="231"/>
      <c r="HE865" s="231"/>
      <c r="HF865" s="231"/>
      <c r="HG865" s="231"/>
      <c r="HH865" s="231"/>
      <c r="HI865" s="232"/>
      <c r="KM865" s="12"/>
      <c r="KN865" s="317"/>
      <c r="KO865" s="317"/>
      <c r="KP865" s="317"/>
      <c r="KQ865" s="317"/>
      <c r="KR865" s="317"/>
      <c r="KS865" s="317"/>
      <c r="KT865" s="317"/>
      <c r="KU865" s="317"/>
      <c r="KV865" s="317"/>
      <c r="KW865" s="317"/>
      <c r="KX865" s="317"/>
      <c r="KY865" s="317"/>
      <c r="KZ865" s="317"/>
      <c r="LA865" s="317"/>
      <c r="LB865" s="317"/>
      <c r="LC865" s="317"/>
      <c r="LD865" s="317"/>
      <c r="LE865" s="317"/>
      <c r="LF865" s="317"/>
      <c r="LG865" s="317"/>
      <c r="LH865" s="317"/>
      <c r="LI865" s="317"/>
      <c r="LJ865" s="317"/>
      <c r="LK865" s="317"/>
      <c r="LL865" s="317"/>
      <c r="LM865" s="317"/>
      <c r="LN865" s="317"/>
      <c r="LO865" s="317"/>
      <c r="LP865" s="317"/>
      <c r="LQ865" s="317"/>
      <c r="LR865" s="317"/>
      <c r="LS865" s="317"/>
      <c r="LT865" s="317"/>
      <c r="LU865" s="317"/>
      <c r="LV865" s="317"/>
      <c r="LW865" s="317"/>
      <c r="LX865" s="317"/>
      <c r="LY865" s="317"/>
      <c r="LZ865" s="317"/>
      <c r="MA865" s="317"/>
      <c r="MB865" s="317"/>
      <c r="MC865" s="317"/>
      <c r="MD865" s="317"/>
      <c r="ME865" s="317"/>
      <c r="MF865" s="317"/>
      <c r="MG865" s="317"/>
      <c r="MH865" s="317"/>
      <c r="MI865" s="317"/>
      <c r="MJ865" s="317"/>
      <c r="MK865" s="317"/>
      <c r="ML865" s="317"/>
      <c r="MM865" s="317"/>
      <c r="MN865" s="317"/>
      <c r="MO865" s="317"/>
      <c r="MP865" s="317"/>
      <c r="MQ865" s="317"/>
      <c r="MR865" s="317"/>
      <c r="MS865" s="317"/>
      <c r="MT865" s="13"/>
      <c r="MU865" s="317"/>
      <c r="MV865" s="317"/>
      <c r="MW865" s="317"/>
      <c r="MX865" s="317"/>
      <c r="MY865" s="317"/>
      <c r="MZ865" s="13"/>
      <c r="NA865" s="12"/>
      <c r="NB865" s="317"/>
      <c r="NC865" s="317"/>
      <c r="ND865" s="317"/>
      <c r="NE865" s="317"/>
      <c r="NF865" s="317"/>
      <c r="NG865" s="317"/>
      <c r="NH865" s="317"/>
      <c r="NI865" s="317"/>
      <c r="NJ865" s="317"/>
      <c r="NK865" s="317"/>
      <c r="NL865" s="317"/>
      <c r="NM865" s="317"/>
      <c r="NN865" s="317"/>
      <c r="NO865" s="317"/>
      <c r="NP865" s="317"/>
      <c r="NQ865" s="317"/>
      <c r="NR865" s="317"/>
      <c r="NS865" s="317"/>
      <c r="NT865" s="317"/>
      <c r="NU865" s="317"/>
      <c r="NV865" s="317"/>
      <c r="NW865" s="317"/>
      <c r="NX865" s="317"/>
      <c r="NY865" s="317"/>
      <c r="NZ865" s="317"/>
      <c r="OA865" s="317"/>
      <c r="OB865" s="317"/>
      <c r="OC865" s="317"/>
      <c r="OD865" s="317"/>
      <c r="OE865" s="317"/>
      <c r="OF865" s="317"/>
      <c r="OG865" s="317"/>
      <c r="OH865" s="317"/>
      <c r="OI865" s="317"/>
      <c r="OJ865" s="317"/>
      <c r="OK865" s="317"/>
      <c r="OL865" s="317"/>
      <c r="OM865" s="317"/>
      <c r="ON865" s="317"/>
      <c r="OO865" s="317"/>
      <c r="OP865" s="317"/>
      <c r="OQ865" s="317"/>
      <c r="OR865" s="317"/>
      <c r="OS865" s="317"/>
      <c r="OT865" s="317"/>
      <c r="OU865" s="317"/>
      <c r="OV865" s="317"/>
      <c r="OW865" s="317"/>
      <c r="OX865" s="317"/>
      <c r="OY865" s="317"/>
      <c r="OZ865" s="317"/>
      <c r="PA865" s="317"/>
      <c r="PB865" s="317"/>
      <c r="PC865" s="317"/>
      <c r="PD865" s="317"/>
      <c r="PE865" s="317"/>
      <c r="PF865" s="12"/>
      <c r="PG865" s="317"/>
      <c r="PH865" s="317"/>
      <c r="PI865" s="317"/>
      <c r="PJ865" s="317"/>
      <c r="PK865" s="317"/>
      <c r="PL865" s="317"/>
      <c r="PM865" s="317"/>
      <c r="PN865" s="317"/>
      <c r="PO865" s="317"/>
      <c r="PP865" s="317"/>
      <c r="PQ865" s="13"/>
      <c r="PR865" s="317"/>
      <c r="PS865" s="317"/>
      <c r="PT865" s="317"/>
      <c r="PU865" s="317"/>
      <c r="PV865" s="317"/>
      <c r="PW865" s="317"/>
      <c r="PX865" s="317"/>
      <c r="PY865" s="317"/>
      <c r="PZ865" s="317"/>
      <c r="QA865" s="317"/>
      <c r="QB865" s="317"/>
      <c r="QC865" s="317"/>
      <c r="QD865" s="317"/>
      <c r="QE865" s="317"/>
      <c r="QF865" s="317"/>
      <c r="QG865" s="317"/>
      <c r="QH865" s="317"/>
      <c r="QI865" s="317"/>
      <c r="QJ865" s="317"/>
      <c r="QK865" s="317"/>
      <c r="QL865" s="317"/>
      <c r="QM865" s="317"/>
      <c r="QN865" s="317"/>
      <c r="QO865" s="317"/>
      <c r="QP865" s="317"/>
      <c r="QQ865" s="317"/>
      <c r="QR865" s="317"/>
      <c r="QS865" s="317"/>
      <c r="QT865" s="317"/>
      <c r="QU865" s="317"/>
      <c r="QV865" s="317"/>
      <c r="QW865" s="317"/>
      <c r="QX865" s="317"/>
      <c r="QY865" s="317"/>
      <c r="QZ865" s="317"/>
      <c r="RA865" s="317"/>
      <c r="RB865" s="317"/>
      <c r="RC865" s="317"/>
      <c r="RD865" s="317"/>
      <c r="RE865" s="317"/>
      <c r="RF865" s="317"/>
      <c r="RG865" s="317"/>
      <c r="RH865" s="317"/>
      <c r="RI865" s="317"/>
      <c r="RJ865" s="317"/>
      <c r="RK865" s="317"/>
      <c r="RL865" s="317"/>
      <c r="RM865" s="13"/>
      <c r="RN865" s="317"/>
      <c r="RO865" s="317"/>
      <c r="RP865" s="13"/>
      <c r="RQ865" s="317"/>
      <c r="RR865" s="317"/>
      <c r="RS865" s="317"/>
      <c r="RT865" s="317"/>
      <c r="RU865" s="317"/>
      <c r="RV865" s="13"/>
      <c r="TV865" s="12"/>
      <c r="WL865" s="13"/>
    </row>
    <row r="866" spans="82:610" ht="10.75" customHeight="1">
      <c r="CJ866" s="12"/>
      <c r="CS866" s="13"/>
      <c r="CT866" s="42"/>
      <c r="CU866" s="43"/>
      <c r="CV866" s="43"/>
      <c r="CW866" s="12"/>
      <c r="ES866" s="160"/>
      <c r="ET866" s="161"/>
      <c r="FA866" s="291"/>
      <c r="GP866" s="13"/>
      <c r="GQ866" s="43"/>
      <c r="GR866" s="43"/>
      <c r="GS866" s="45"/>
      <c r="GT866" s="49"/>
      <c r="GU866" s="49"/>
      <c r="GV866" s="49"/>
      <c r="GW866" s="49"/>
      <c r="GX866" s="49"/>
      <c r="GY866" s="49"/>
      <c r="GZ866" s="49"/>
      <c r="HA866" s="208"/>
      <c r="HB866" s="231"/>
      <c r="HC866" s="231"/>
      <c r="HD866" s="231"/>
      <c r="HE866" s="231"/>
      <c r="HF866" s="231"/>
      <c r="HG866" s="231"/>
      <c r="HH866" s="231"/>
      <c r="HI866" s="232"/>
      <c r="KM866" s="12"/>
      <c r="KN866" s="317"/>
      <c r="KO866" s="317"/>
      <c r="KP866" s="317"/>
      <c r="KQ866" s="317"/>
      <c r="KR866" s="317"/>
      <c r="KS866" s="317"/>
      <c r="KT866" s="317"/>
      <c r="KU866" s="317"/>
      <c r="KV866" s="317"/>
      <c r="KW866" s="317"/>
      <c r="KX866" s="317"/>
      <c r="KY866" s="317"/>
      <c r="KZ866" s="317"/>
      <c r="LA866" s="317"/>
      <c r="LB866" s="317"/>
      <c r="LC866" s="317"/>
      <c r="LD866" s="317"/>
      <c r="LE866" s="317"/>
      <c r="LF866" s="317"/>
      <c r="LG866" s="317"/>
      <c r="LH866" s="317"/>
      <c r="LI866" s="317"/>
      <c r="LJ866" s="317"/>
      <c r="LK866" s="317"/>
      <c r="LL866" s="317"/>
      <c r="LM866" s="317"/>
      <c r="LN866" s="317"/>
      <c r="LO866" s="317"/>
      <c r="LP866" s="317"/>
      <c r="LQ866" s="317"/>
      <c r="LR866" s="317"/>
      <c r="LS866" s="317"/>
      <c r="LT866" s="317"/>
      <c r="LU866" s="317"/>
      <c r="LV866" s="317"/>
      <c r="LW866" s="317"/>
      <c r="LX866" s="317"/>
      <c r="LY866" s="317"/>
      <c r="LZ866" s="317"/>
      <c r="MA866" s="317"/>
      <c r="MB866" s="317"/>
      <c r="MC866" s="317"/>
      <c r="MD866" s="317"/>
      <c r="ME866" s="317"/>
      <c r="MF866" s="317"/>
      <c r="MG866" s="317"/>
      <c r="MH866" s="317"/>
      <c r="MI866" s="317"/>
      <c r="MJ866" s="317"/>
      <c r="MK866" s="317"/>
      <c r="ML866" s="317"/>
      <c r="MM866" s="317"/>
      <c r="MN866" s="317"/>
      <c r="MO866" s="317"/>
      <c r="MP866" s="317"/>
      <c r="MQ866" s="317"/>
      <c r="MR866" s="317"/>
      <c r="MS866" s="317"/>
      <c r="MT866" s="13"/>
      <c r="MU866" s="317"/>
      <c r="MV866" s="317"/>
      <c r="MW866" s="317"/>
      <c r="MX866" s="317"/>
      <c r="MY866" s="317"/>
      <c r="MZ866" s="13"/>
      <c r="NA866" s="12"/>
      <c r="NB866" s="317"/>
      <c r="NC866" s="317"/>
      <c r="ND866" s="317"/>
      <c r="NE866" s="317"/>
      <c r="NF866" s="317"/>
      <c r="NG866" s="317"/>
      <c r="NH866" s="317"/>
      <c r="NI866" s="317"/>
      <c r="NJ866" s="317"/>
      <c r="NK866" s="317"/>
      <c r="NL866" s="317"/>
      <c r="NM866" s="9"/>
      <c r="NN866" s="10"/>
      <c r="NO866" s="10"/>
      <c r="NP866" s="10"/>
      <c r="NQ866" s="10"/>
      <c r="NR866" s="10"/>
      <c r="NS866" s="10"/>
      <c r="NT866" s="10"/>
      <c r="NU866" s="10"/>
      <c r="NV866" s="10"/>
      <c r="NW866" s="10"/>
      <c r="NX866" s="10"/>
      <c r="NY866" s="10"/>
      <c r="NZ866" s="10"/>
      <c r="OA866" s="10"/>
      <c r="OB866" s="10"/>
      <c r="OC866" s="10"/>
      <c r="OD866" s="10"/>
      <c r="OE866" s="10"/>
      <c r="OF866" s="10"/>
      <c r="OG866" s="10"/>
      <c r="OH866" s="10"/>
      <c r="OI866" s="10"/>
      <c r="OJ866" s="10"/>
      <c r="OK866" s="10"/>
      <c r="OL866" s="10"/>
      <c r="OM866" s="10"/>
      <c r="ON866" s="10"/>
      <c r="OO866" s="10"/>
      <c r="OP866" s="10"/>
      <c r="OQ866" s="10"/>
      <c r="OR866" s="10"/>
      <c r="OS866" s="10"/>
      <c r="OT866" s="10"/>
      <c r="OU866" s="10"/>
      <c r="OV866" s="11"/>
      <c r="OW866" s="317"/>
      <c r="OX866" s="317"/>
      <c r="OY866" s="317"/>
      <c r="OZ866" s="317"/>
      <c r="PA866" s="317"/>
      <c r="PB866" s="317"/>
      <c r="PC866" s="317"/>
      <c r="PD866" s="317"/>
      <c r="PE866" s="317"/>
      <c r="PF866" s="12"/>
      <c r="PG866" s="317"/>
      <c r="PH866" s="317"/>
      <c r="PI866" s="317"/>
      <c r="PJ866" s="317"/>
      <c r="PK866" s="317"/>
      <c r="PL866" s="317"/>
      <c r="PM866" s="317"/>
      <c r="PN866" s="317"/>
      <c r="PO866" s="317"/>
      <c r="PP866" s="317"/>
      <c r="PQ866" s="13"/>
      <c r="PR866" s="317"/>
      <c r="PS866" s="317"/>
      <c r="PT866" s="317"/>
      <c r="PU866" s="317"/>
      <c r="PV866" s="317"/>
      <c r="PW866" s="317"/>
      <c r="PX866" s="317"/>
      <c r="PY866" s="317"/>
      <c r="PZ866" s="317"/>
      <c r="QA866" s="317"/>
      <c r="QB866" s="317"/>
      <c r="QC866" s="317"/>
      <c r="QD866" s="317"/>
      <c r="QE866" s="317"/>
      <c r="QF866" s="317"/>
      <c r="QG866" s="317"/>
      <c r="QH866" s="317"/>
      <c r="QI866" s="317"/>
      <c r="QJ866" s="317"/>
      <c r="QK866" s="317"/>
      <c r="QL866" s="317"/>
      <c r="QM866" s="317"/>
      <c r="QN866" s="317"/>
      <c r="QO866" s="317"/>
      <c r="QP866" s="317"/>
      <c r="QQ866" s="317"/>
      <c r="QR866" s="317"/>
      <c r="QS866" s="317"/>
      <c r="QT866" s="317"/>
      <c r="QU866" s="317"/>
      <c r="QV866" s="317"/>
      <c r="QW866" s="317"/>
      <c r="QX866" s="317"/>
      <c r="QY866" s="317"/>
      <c r="QZ866" s="317"/>
      <c r="RA866" s="317"/>
      <c r="RB866" s="317"/>
      <c r="RC866" s="317"/>
      <c r="RD866" s="317"/>
      <c r="RE866" s="317"/>
      <c r="RF866" s="317"/>
      <c r="RG866" s="317"/>
      <c r="RH866" s="317"/>
      <c r="RI866" s="317"/>
      <c r="RJ866" s="317"/>
      <c r="RK866" s="317"/>
      <c r="RL866" s="317"/>
      <c r="RM866" s="13"/>
      <c r="RN866" s="317"/>
      <c r="RO866" s="317"/>
      <c r="RP866" s="13"/>
      <c r="RQ866" s="317"/>
      <c r="RR866" s="317"/>
      <c r="RS866" s="317"/>
      <c r="RT866" s="317"/>
      <c r="RU866" s="317"/>
      <c r="RV866" s="13"/>
      <c r="TV866" s="12"/>
      <c r="WL866" s="13"/>
    </row>
    <row r="867" spans="82:610" ht="10.75" customHeight="1">
      <c r="CJ867" s="12"/>
      <c r="CS867" s="13"/>
      <c r="CT867" s="42"/>
      <c r="CU867" s="43"/>
      <c r="CV867" s="43"/>
      <c r="CW867" s="12"/>
      <c r="ES867" s="160"/>
      <c r="ET867" s="161"/>
      <c r="FA867" s="291"/>
      <c r="GP867" s="13"/>
      <c r="GQ867" s="43"/>
      <c r="GR867" s="43"/>
      <c r="GS867" s="45"/>
      <c r="GT867" s="49"/>
      <c r="GU867" s="49"/>
      <c r="GV867" s="49"/>
      <c r="GW867" s="49"/>
      <c r="GX867" s="49"/>
      <c r="GY867" s="49"/>
      <c r="GZ867" s="49"/>
      <c r="HA867" s="208"/>
      <c r="HB867" s="231"/>
      <c r="HC867" s="231"/>
      <c r="HD867" s="231"/>
      <c r="HE867" s="231"/>
      <c r="HF867" s="231"/>
      <c r="HG867" s="231"/>
      <c r="HH867" s="231"/>
      <c r="HI867" s="232"/>
      <c r="KM867" s="12"/>
      <c r="KN867" s="317"/>
      <c r="KO867" s="317"/>
      <c r="KP867" s="317"/>
      <c r="KQ867" s="317"/>
      <c r="KR867" s="317"/>
      <c r="KS867" s="317"/>
      <c r="KT867" s="317"/>
      <c r="KU867" s="317"/>
      <c r="KV867" s="317"/>
      <c r="KW867" s="317"/>
      <c r="KX867" s="317"/>
      <c r="KY867" s="317"/>
      <c r="KZ867" s="317"/>
      <c r="LA867" s="317"/>
      <c r="LB867" s="317"/>
      <c r="LC867" s="317"/>
      <c r="LD867" s="317"/>
      <c r="LE867" s="317"/>
      <c r="LF867" s="317"/>
      <c r="LG867" s="317"/>
      <c r="LH867" s="317"/>
      <c r="LI867" s="317"/>
      <c r="LJ867" s="317"/>
      <c r="LK867" s="317"/>
      <c r="LL867" s="317"/>
      <c r="LM867" s="317"/>
      <c r="LN867" s="317"/>
      <c r="LO867" s="317"/>
      <c r="LP867" s="317"/>
      <c r="LQ867" s="317"/>
      <c r="LR867" s="317"/>
      <c r="LS867" s="317"/>
      <c r="LT867" s="317"/>
      <c r="LU867" s="317"/>
      <c r="LV867" s="317"/>
      <c r="LW867" s="317"/>
      <c r="LX867" s="317"/>
      <c r="LY867" s="317"/>
      <c r="LZ867" s="317"/>
      <c r="MA867" s="317"/>
      <c r="MB867" s="317"/>
      <c r="MC867" s="317"/>
      <c r="MD867" s="317"/>
      <c r="ME867" s="317"/>
      <c r="MF867" s="317"/>
      <c r="MG867" s="317"/>
      <c r="MH867" s="317"/>
      <c r="MI867" s="317"/>
      <c r="MJ867" s="317"/>
      <c r="MK867" s="317"/>
      <c r="ML867" s="317"/>
      <c r="MM867" s="317"/>
      <c r="MN867" s="317"/>
      <c r="MO867" s="317"/>
      <c r="MP867" s="317"/>
      <c r="MQ867" s="317"/>
      <c r="MR867" s="317"/>
      <c r="MS867" s="317"/>
      <c r="MT867" s="13"/>
      <c r="MU867" s="317"/>
      <c r="MV867" s="317"/>
      <c r="MW867" s="317"/>
      <c r="MX867" s="317"/>
      <c r="MY867" s="317"/>
      <c r="MZ867" s="13"/>
      <c r="NA867" s="12"/>
      <c r="NB867" s="317"/>
      <c r="NC867" s="317"/>
      <c r="ND867" s="317"/>
      <c r="NE867" s="317"/>
      <c r="NF867" s="317"/>
      <c r="NG867" s="317"/>
      <c r="NH867" s="317"/>
      <c r="NI867" s="317"/>
      <c r="NJ867" s="317"/>
      <c r="NK867" s="317"/>
      <c r="NL867" s="317"/>
      <c r="NM867" s="12"/>
      <c r="NN867" s="317"/>
      <c r="NO867" s="317"/>
      <c r="NP867" s="317"/>
      <c r="NQ867" s="317"/>
      <c r="NR867" s="317"/>
      <c r="NS867" s="317"/>
      <c r="NT867" s="317"/>
      <c r="NU867" s="317"/>
      <c r="NV867" s="317"/>
      <c r="NW867" s="317"/>
      <c r="NX867" s="317"/>
      <c r="NY867" s="317"/>
      <c r="NZ867" s="317"/>
      <c r="OA867" s="317"/>
      <c r="OB867" s="317"/>
      <c r="OC867" s="317"/>
      <c r="OD867" s="317"/>
      <c r="OE867" s="317"/>
      <c r="OF867" s="317"/>
      <c r="OG867" s="317"/>
      <c r="OH867" s="317"/>
      <c r="OI867" s="317"/>
      <c r="OJ867" s="317"/>
      <c r="OK867" s="317"/>
      <c r="OL867" s="317"/>
      <c r="OM867" s="317"/>
      <c r="ON867" s="317"/>
      <c r="OO867" s="317"/>
      <c r="OP867" s="317"/>
      <c r="OQ867" s="317"/>
      <c r="OR867" s="317"/>
      <c r="OS867" s="317"/>
      <c r="OT867" s="317"/>
      <c r="OU867" s="317"/>
      <c r="OV867" s="13"/>
      <c r="OW867" s="317"/>
      <c r="OX867" s="317"/>
      <c r="OY867" s="317"/>
      <c r="OZ867" s="317"/>
      <c r="PA867" s="317"/>
      <c r="PB867" s="317"/>
      <c r="PC867" s="317"/>
      <c r="PD867" s="317"/>
      <c r="PE867" s="317"/>
      <c r="PF867" s="12"/>
      <c r="PG867" s="317"/>
      <c r="PH867" s="317"/>
      <c r="PI867" s="317"/>
      <c r="PJ867" s="317"/>
      <c r="PK867" s="317"/>
      <c r="PL867" s="317"/>
      <c r="PM867" s="317"/>
      <c r="PN867" s="317"/>
      <c r="PO867" s="317"/>
      <c r="PP867" s="317"/>
      <c r="PQ867" s="13"/>
      <c r="PR867" s="317"/>
      <c r="PS867" s="317"/>
      <c r="PT867" s="317"/>
      <c r="PU867" s="317"/>
      <c r="PV867" s="317"/>
      <c r="PW867" s="317"/>
      <c r="PX867" s="317"/>
      <c r="PY867" s="317"/>
      <c r="PZ867" s="317"/>
      <c r="QA867" s="317"/>
      <c r="QB867" s="317"/>
      <c r="QC867" s="317"/>
      <c r="QD867" s="317"/>
      <c r="QE867" s="317"/>
      <c r="QF867" s="317"/>
      <c r="QG867" s="317"/>
      <c r="QH867" s="317"/>
      <c r="QI867" s="317"/>
      <c r="QJ867" s="317"/>
      <c r="QK867" s="317"/>
      <c r="QL867" s="317"/>
      <c r="QM867" s="317"/>
      <c r="QN867" s="317"/>
      <c r="QO867" s="317"/>
      <c r="QP867" s="317"/>
      <c r="QQ867" s="317"/>
      <c r="QR867" s="317"/>
      <c r="QS867" s="317"/>
      <c r="QT867" s="317"/>
      <c r="QU867" s="317"/>
      <c r="QV867" s="317"/>
      <c r="QW867" s="317"/>
      <c r="QX867" s="317"/>
      <c r="QY867" s="317"/>
      <c r="QZ867" s="317"/>
      <c r="RA867" s="317"/>
      <c r="RB867" s="317"/>
      <c r="RC867" s="317"/>
      <c r="RD867" s="317"/>
      <c r="RE867" s="317"/>
      <c r="RF867" s="317"/>
      <c r="RG867" s="317"/>
      <c r="RH867" s="317"/>
      <c r="RI867" s="317"/>
      <c r="RJ867" s="317"/>
      <c r="RK867" s="317"/>
      <c r="RL867" s="317"/>
      <c r="RM867" s="13"/>
      <c r="RN867" s="317"/>
      <c r="RO867" s="317"/>
      <c r="RP867" s="13"/>
      <c r="RQ867" s="317"/>
      <c r="RR867" s="317"/>
      <c r="RS867" s="317"/>
      <c r="RT867" s="317"/>
      <c r="RU867" s="317"/>
      <c r="RV867" s="13"/>
      <c r="TV867" s="12"/>
      <c r="WL867" s="13"/>
    </row>
    <row r="868" spans="82:610" ht="10.75" customHeight="1">
      <c r="CJ868" s="12"/>
      <c r="CS868" s="13"/>
      <c r="CT868" s="42"/>
      <c r="CU868" s="43"/>
      <c r="CV868" s="43"/>
      <c r="CW868" s="12"/>
      <c r="ES868" s="160"/>
      <c r="ET868" s="161"/>
      <c r="FA868" s="291"/>
      <c r="GP868" s="13"/>
      <c r="GQ868" s="43"/>
      <c r="GR868" s="43"/>
      <c r="GS868" s="45"/>
      <c r="GT868" s="49"/>
      <c r="GU868" s="49"/>
      <c r="GV868" s="49"/>
      <c r="GW868" s="49"/>
      <c r="GX868" s="49"/>
      <c r="GY868" s="49"/>
      <c r="GZ868" s="49"/>
      <c r="HA868" s="208"/>
      <c r="HB868" s="231"/>
      <c r="HC868" s="231"/>
      <c r="HD868" s="231"/>
      <c r="HE868" s="231"/>
      <c r="HF868" s="231"/>
      <c r="HG868" s="231"/>
      <c r="HH868" s="231"/>
      <c r="HI868" s="232"/>
      <c r="KM868" s="12"/>
      <c r="KN868" s="317"/>
      <c r="KO868" s="317"/>
      <c r="KP868" s="317"/>
      <c r="KQ868" s="317"/>
      <c r="KR868" s="317"/>
      <c r="KS868" s="317"/>
      <c r="KT868" s="317"/>
      <c r="KU868" s="317"/>
      <c r="KV868" s="317"/>
      <c r="KW868" s="317"/>
      <c r="KX868" s="317"/>
      <c r="KY868" s="317"/>
      <c r="KZ868" s="317"/>
      <c r="LA868" s="317"/>
      <c r="LB868" s="317"/>
      <c r="LC868" s="317"/>
      <c r="LD868" s="317"/>
      <c r="LE868" s="317"/>
      <c r="LF868" s="317"/>
      <c r="LG868" s="317"/>
      <c r="LH868" s="317"/>
      <c r="LI868" s="317"/>
      <c r="LJ868" s="317"/>
      <c r="LK868" s="317"/>
      <c r="LL868" s="317"/>
      <c r="LM868" s="317"/>
      <c r="LN868" s="317"/>
      <c r="LO868" s="317"/>
      <c r="LP868" s="317"/>
      <c r="LQ868" s="317"/>
      <c r="LR868" s="317"/>
      <c r="LS868" s="317"/>
      <c r="LT868" s="317"/>
      <c r="LU868" s="317"/>
      <c r="LV868" s="317"/>
      <c r="LW868" s="317"/>
      <c r="LX868" s="317"/>
      <c r="LY868" s="317"/>
      <c r="LZ868" s="317"/>
      <c r="MA868" s="317"/>
      <c r="MB868" s="317"/>
      <c r="MC868" s="317"/>
      <c r="MD868" s="317"/>
      <c r="ME868" s="317"/>
      <c r="MF868" s="317"/>
      <c r="MG868" s="317"/>
      <c r="MH868" s="317"/>
      <c r="MI868" s="317"/>
      <c r="MJ868" s="317"/>
      <c r="MK868" s="317"/>
      <c r="ML868" s="317"/>
      <c r="MM868" s="317"/>
      <c r="MN868" s="317"/>
      <c r="MO868" s="317"/>
      <c r="MP868" s="317"/>
      <c r="MQ868" s="317"/>
      <c r="MR868" s="317"/>
      <c r="MS868" s="317"/>
      <c r="MT868" s="13"/>
      <c r="MU868" s="317"/>
      <c r="MV868" s="317"/>
      <c r="MW868" s="317"/>
      <c r="MX868" s="317"/>
      <c r="MY868" s="317"/>
      <c r="MZ868" s="13"/>
      <c r="NA868" s="12"/>
      <c r="NB868" s="317"/>
      <c r="NC868" s="317"/>
      <c r="ND868" s="317"/>
      <c r="NE868" s="317"/>
      <c r="NF868" s="317"/>
      <c r="NG868" s="317"/>
      <c r="NH868" s="317"/>
      <c r="NI868" s="317"/>
      <c r="NJ868" s="317"/>
      <c r="NK868" s="317"/>
      <c r="NL868" s="317"/>
      <c r="NM868" s="12"/>
      <c r="NN868" s="317"/>
      <c r="NO868" s="317"/>
      <c r="NP868" s="317"/>
      <c r="NQ868" s="317"/>
      <c r="NR868" s="317"/>
      <c r="NS868" s="317"/>
      <c r="NT868" s="317"/>
      <c r="NU868" s="317"/>
      <c r="NV868" s="317"/>
      <c r="NW868" s="317"/>
      <c r="NX868" s="317"/>
      <c r="NY868" s="317"/>
      <c r="NZ868" s="317"/>
      <c r="OA868" s="317"/>
      <c r="OB868" s="317"/>
      <c r="OC868" s="317"/>
      <c r="OD868" s="317"/>
      <c r="OE868" s="317"/>
      <c r="OF868" s="317"/>
      <c r="OG868" s="317"/>
      <c r="OH868" s="317"/>
      <c r="OI868" s="317"/>
      <c r="OJ868" s="317"/>
      <c r="OK868" s="317"/>
      <c r="OL868" s="317"/>
      <c r="OM868" s="317"/>
      <c r="ON868" s="317"/>
      <c r="OO868" s="317"/>
      <c r="OP868" s="317"/>
      <c r="OQ868" s="317"/>
      <c r="OR868" s="317"/>
      <c r="OS868" s="317"/>
      <c r="OT868" s="317"/>
      <c r="OU868" s="317"/>
      <c r="OV868" s="13"/>
      <c r="OW868" s="317"/>
      <c r="OX868" s="317"/>
      <c r="OY868" s="317"/>
      <c r="OZ868" s="317"/>
      <c r="PA868" s="317"/>
      <c r="PB868" s="317"/>
      <c r="PC868" s="317"/>
      <c r="PD868" s="317"/>
      <c r="PE868" s="317"/>
      <c r="PF868" s="14"/>
      <c r="PG868" s="15"/>
      <c r="PH868" s="15"/>
      <c r="PI868" s="15"/>
      <c r="PJ868" s="15"/>
      <c r="PK868" s="15"/>
      <c r="PL868" s="15"/>
      <c r="PM868" s="15"/>
      <c r="PN868" s="15"/>
      <c r="PO868" s="15"/>
      <c r="PP868" s="15"/>
      <c r="PQ868" s="16"/>
      <c r="PR868" s="317"/>
      <c r="PS868" s="317"/>
      <c r="PT868" s="317"/>
      <c r="PU868" s="317"/>
      <c r="PV868" s="317"/>
      <c r="PW868" s="317"/>
      <c r="PX868" s="317"/>
      <c r="PY868" s="317"/>
      <c r="PZ868" s="317"/>
      <c r="QA868" s="317"/>
      <c r="QB868" s="317"/>
      <c r="QC868" s="317"/>
      <c r="QD868" s="317"/>
      <c r="QE868" s="317"/>
      <c r="QF868" s="317"/>
      <c r="QG868" s="317"/>
      <c r="QH868" s="317"/>
      <c r="QI868" s="317"/>
      <c r="QJ868" s="317"/>
      <c r="QK868" s="317"/>
      <c r="QL868" s="317"/>
      <c r="QM868" s="317"/>
      <c r="QN868" s="317"/>
      <c r="QO868" s="317"/>
      <c r="QP868" s="317"/>
      <c r="QQ868" s="317"/>
      <c r="QR868" s="317"/>
      <c r="QS868" s="317"/>
      <c r="QT868" s="317"/>
      <c r="QU868" s="317"/>
      <c r="QV868" s="317"/>
      <c r="QW868" s="317"/>
      <c r="QX868" s="317"/>
      <c r="QY868" s="317"/>
      <c r="QZ868" s="317"/>
      <c r="RA868" s="317"/>
      <c r="RB868" s="317"/>
      <c r="RC868" s="317"/>
      <c r="RD868" s="317"/>
      <c r="RE868" s="317"/>
      <c r="RF868" s="317"/>
      <c r="RG868" s="317"/>
      <c r="RH868" s="317"/>
      <c r="RI868" s="317"/>
      <c r="RJ868" s="317"/>
      <c r="RK868" s="317"/>
      <c r="RL868" s="317"/>
      <c r="RM868" s="13"/>
      <c r="RN868" s="317"/>
      <c r="RO868" s="317"/>
      <c r="RP868" s="13"/>
      <c r="RQ868" s="317"/>
      <c r="RR868" s="317"/>
      <c r="RS868" s="317"/>
      <c r="RT868" s="317"/>
      <c r="RU868" s="317"/>
      <c r="RV868" s="13"/>
      <c r="TV868" s="12"/>
      <c r="WL868" s="13"/>
    </row>
    <row r="869" spans="82:610" ht="10.75" customHeight="1">
      <c r="CJ869" s="12"/>
      <c r="CS869" s="13"/>
      <c r="CT869" s="42"/>
      <c r="CU869" s="43"/>
      <c r="CV869" s="43"/>
      <c r="CW869" s="12"/>
      <c r="ES869" s="160"/>
      <c r="ET869" s="161"/>
      <c r="FA869" s="291"/>
      <c r="GP869" s="13"/>
      <c r="GQ869" s="43"/>
      <c r="GR869" s="43"/>
      <c r="GS869" s="45"/>
      <c r="GT869" s="49"/>
      <c r="GU869" s="49"/>
      <c r="GV869" s="49"/>
      <c r="GW869" s="49"/>
      <c r="GX869" s="49"/>
      <c r="GY869" s="49"/>
      <c r="GZ869" s="49"/>
      <c r="HA869" s="208"/>
      <c r="HB869" s="231"/>
      <c r="HC869" s="231"/>
      <c r="HD869" s="231"/>
      <c r="HE869" s="231"/>
      <c r="HF869" s="231"/>
      <c r="HG869" s="231"/>
      <c r="HH869" s="231"/>
      <c r="HI869" s="232"/>
      <c r="KM869" s="12"/>
      <c r="KN869" s="317"/>
      <c r="KO869" s="317"/>
      <c r="KP869" s="317"/>
      <c r="KQ869" s="317"/>
      <c r="KR869" s="317"/>
      <c r="KS869" s="317"/>
      <c r="KT869" s="317"/>
      <c r="KU869" s="317"/>
      <c r="KV869" s="317"/>
      <c r="KW869" s="317"/>
      <c r="KX869" s="317"/>
      <c r="KY869" s="317"/>
      <c r="KZ869" s="317"/>
      <c r="LA869" s="317"/>
      <c r="LB869" s="317"/>
      <c r="LC869" s="317"/>
      <c r="LD869" s="317"/>
      <c r="LE869" s="317"/>
      <c r="LF869" s="317"/>
      <c r="LG869" s="317"/>
      <c r="LH869" s="317"/>
      <c r="LI869" s="317"/>
      <c r="LJ869" s="317"/>
      <c r="LK869" s="317"/>
      <c r="LL869" s="317"/>
      <c r="LM869" s="317"/>
      <c r="LN869" s="317"/>
      <c r="LO869" s="317"/>
      <c r="LP869" s="317"/>
      <c r="LQ869" s="317"/>
      <c r="LR869" s="317"/>
      <c r="LS869" s="317"/>
      <c r="LT869" s="317"/>
      <c r="LU869" s="317"/>
      <c r="LV869" s="317"/>
      <c r="LW869" s="317"/>
      <c r="LX869" s="317"/>
      <c r="LY869" s="317"/>
      <c r="LZ869" s="317"/>
      <c r="MA869" s="317"/>
      <c r="MB869" s="317"/>
      <c r="MC869" s="317"/>
      <c r="MD869" s="317"/>
      <c r="ME869" s="317"/>
      <c r="MF869" s="317"/>
      <c r="MG869" s="317"/>
      <c r="MH869" s="317"/>
      <c r="MI869" s="317"/>
      <c r="MJ869" s="317"/>
      <c r="MK869" s="317"/>
      <c r="ML869" s="317"/>
      <c r="MM869" s="317"/>
      <c r="MN869" s="317"/>
      <c r="MO869" s="317"/>
      <c r="MP869" s="317"/>
      <c r="MQ869" s="317"/>
      <c r="MR869" s="317"/>
      <c r="MS869" s="317"/>
      <c r="MT869" s="13"/>
      <c r="MU869" s="317"/>
      <c r="MV869" s="317"/>
      <c r="MW869" s="317"/>
      <c r="MX869" s="317"/>
      <c r="MY869" s="317"/>
      <c r="MZ869" s="13"/>
      <c r="NA869" s="12"/>
      <c r="NB869" s="317"/>
      <c r="NC869" s="317"/>
      <c r="ND869" s="317"/>
      <c r="NE869" s="317"/>
      <c r="NF869" s="317"/>
      <c r="NG869" s="317"/>
      <c r="NH869" s="317"/>
      <c r="NI869" s="317"/>
      <c r="NJ869" s="317"/>
      <c r="NK869" s="317"/>
      <c r="NL869" s="317"/>
      <c r="NM869" s="12"/>
      <c r="NN869" s="317"/>
      <c r="NO869" s="317"/>
      <c r="NP869" s="317"/>
      <c r="NQ869" s="317"/>
      <c r="NR869" s="317"/>
      <c r="NS869" s="317"/>
      <c r="NT869" s="317"/>
      <c r="NU869" s="317"/>
      <c r="NV869" s="317"/>
      <c r="NW869" s="317"/>
      <c r="NX869" s="317"/>
      <c r="NY869" s="317"/>
      <c r="NZ869" s="317"/>
      <c r="OA869" s="317"/>
      <c r="OB869" s="317"/>
      <c r="OC869" s="317"/>
      <c r="OD869" s="317"/>
      <c r="OE869" s="317"/>
      <c r="OF869" s="317"/>
      <c r="OG869" s="317"/>
      <c r="OH869" s="317"/>
      <c r="OI869" s="317"/>
      <c r="OJ869" s="317"/>
      <c r="OK869" s="317"/>
      <c r="OL869" s="317"/>
      <c r="OM869" s="317"/>
      <c r="ON869" s="317"/>
      <c r="OO869" s="317"/>
      <c r="OP869" s="317"/>
      <c r="OQ869" s="317"/>
      <c r="OR869" s="317"/>
      <c r="OS869" s="317"/>
      <c r="OT869" s="317"/>
      <c r="OU869" s="317"/>
      <c r="OV869" s="13"/>
      <c r="OW869" s="317"/>
      <c r="OX869" s="317"/>
      <c r="OY869" s="317"/>
      <c r="OZ869" s="317"/>
      <c r="PA869" s="317"/>
      <c r="PB869" s="317"/>
      <c r="PC869" s="317"/>
      <c r="PD869" s="317"/>
      <c r="PE869" s="317"/>
      <c r="PF869" s="317"/>
      <c r="PG869" s="317"/>
      <c r="PH869" s="317"/>
      <c r="PI869" s="317"/>
      <c r="PJ869" s="317"/>
      <c r="PK869" s="317"/>
      <c r="PL869" s="317"/>
      <c r="PM869" s="317"/>
      <c r="PN869" s="317"/>
      <c r="PO869" s="317"/>
      <c r="PP869" s="317"/>
      <c r="PQ869" s="317"/>
      <c r="PR869" s="9"/>
      <c r="PS869" s="10"/>
      <c r="PT869" s="10"/>
      <c r="PU869" s="10"/>
      <c r="PV869" s="10"/>
      <c r="PW869" s="10"/>
      <c r="PX869" s="10"/>
      <c r="PY869" s="10"/>
      <c r="PZ869" s="10"/>
      <c r="QA869" s="10"/>
      <c r="QB869" s="10"/>
      <c r="QC869" s="11"/>
      <c r="QD869" s="317"/>
      <c r="QE869" s="317"/>
      <c r="QF869" s="317"/>
      <c r="QG869" s="317"/>
      <c r="QH869" s="317"/>
      <c r="QI869" s="317"/>
      <c r="QJ869" s="317"/>
      <c r="QK869" s="317"/>
      <c r="QL869" s="317"/>
      <c r="QM869" s="317"/>
      <c r="QN869" s="317"/>
      <c r="QO869" s="317"/>
      <c r="QP869" s="317"/>
      <c r="QQ869" s="317"/>
      <c r="QR869" s="317"/>
      <c r="QS869" s="317"/>
      <c r="QT869" s="317"/>
      <c r="QU869" s="317"/>
      <c r="QV869" s="317"/>
      <c r="QW869" s="317"/>
      <c r="QX869" s="317"/>
      <c r="QY869" s="317"/>
      <c r="QZ869" s="317"/>
      <c r="RA869" s="317"/>
      <c r="RB869" s="317"/>
      <c r="RC869" s="317"/>
      <c r="RD869" s="317"/>
      <c r="RE869" s="317"/>
      <c r="RF869" s="317"/>
      <c r="RG869" s="317"/>
      <c r="RH869" s="317"/>
      <c r="RI869" s="317"/>
      <c r="RJ869" s="317"/>
      <c r="RK869" s="317"/>
      <c r="RL869" s="317"/>
      <c r="RM869" s="13"/>
      <c r="RN869" s="317"/>
      <c r="RO869" s="317"/>
      <c r="RP869" s="13"/>
      <c r="RQ869" s="317"/>
      <c r="RR869" s="317"/>
      <c r="RS869" s="317"/>
      <c r="RT869" s="317"/>
      <c r="RU869" s="317"/>
      <c r="RV869" s="13"/>
      <c r="TV869" s="12"/>
      <c r="WL869" s="13"/>
    </row>
    <row r="870" spans="82:610" ht="10.75" customHeight="1">
      <c r="CJ870" s="9"/>
      <c r="CK870" s="10"/>
      <c r="CL870" s="10"/>
      <c r="CM870" s="10"/>
      <c r="CN870" s="10"/>
      <c r="CO870" s="10"/>
      <c r="CP870" s="10"/>
      <c r="CQ870" s="10"/>
      <c r="CR870" s="10"/>
      <c r="CS870" s="11"/>
      <c r="CT870" s="42"/>
      <c r="CU870" s="43"/>
      <c r="CV870" s="43"/>
      <c r="CW870" s="12"/>
      <c r="ES870" s="160"/>
      <c r="ET870" s="161"/>
      <c r="FA870" s="291"/>
      <c r="GP870" s="13"/>
      <c r="GQ870" s="43"/>
      <c r="GR870" s="43"/>
      <c r="GS870" s="45"/>
      <c r="GT870" s="49"/>
      <c r="GU870" s="49"/>
      <c r="GV870" s="49"/>
      <c r="GW870" s="49"/>
      <c r="GX870" s="49"/>
      <c r="GY870" s="49"/>
      <c r="GZ870" s="49"/>
      <c r="HA870" s="208"/>
      <c r="HB870" s="231"/>
      <c r="HC870" s="231"/>
      <c r="HD870" s="231"/>
      <c r="HE870" s="231"/>
      <c r="HF870" s="231"/>
      <c r="HG870" s="231"/>
      <c r="HH870" s="231"/>
      <c r="HI870" s="232"/>
      <c r="KM870" s="12"/>
      <c r="KN870" s="317"/>
      <c r="KO870" s="317"/>
      <c r="KP870" s="317"/>
      <c r="KQ870" s="317"/>
      <c r="KR870" s="317"/>
      <c r="KS870" s="317"/>
      <c r="KT870" s="317"/>
      <c r="KU870" s="317"/>
      <c r="KV870" s="317"/>
      <c r="KW870" s="317"/>
      <c r="KX870" s="317"/>
      <c r="KY870" s="317"/>
      <c r="KZ870" s="317"/>
      <c r="LA870" s="317"/>
      <c r="LB870" s="317"/>
      <c r="LC870" s="317"/>
      <c r="LD870" s="317"/>
      <c r="LE870" s="317"/>
      <c r="LF870" s="317"/>
      <c r="LG870" s="317"/>
      <c r="LH870" s="317"/>
      <c r="LI870" s="317"/>
      <c r="LJ870" s="317"/>
      <c r="LK870" s="317"/>
      <c r="LL870" s="317"/>
      <c r="LM870" s="317"/>
      <c r="LN870" s="317"/>
      <c r="LO870" s="317"/>
      <c r="LP870" s="317"/>
      <c r="LQ870" s="317"/>
      <c r="LR870" s="317"/>
      <c r="LS870" s="317"/>
      <c r="LT870" s="317"/>
      <c r="LU870" s="317"/>
      <c r="LV870" s="317"/>
      <c r="LW870" s="317"/>
      <c r="LX870" s="317"/>
      <c r="LY870" s="317"/>
      <c r="LZ870" s="317"/>
      <c r="MA870" s="317"/>
      <c r="MB870" s="317"/>
      <c r="MC870" s="317"/>
      <c r="MD870" s="317"/>
      <c r="ME870" s="317"/>
      <c r="MF870" s="317"/>
      <c r="MG870" s="317"/>
      <c r="MH870" s="317"/>
      <c r="MI870" s="317"/>
      <c r="MJ870" s="317"/>
      <c r="MK870" s="317"/>
      <c r="ML870" s="317"/>
      <c r="MM870" s="317"/>
      <c r="MN870" s="317"/>
      <c r="MO870" s="317"/>
      <c r="MP870" s="317"/>
      <c r="MQ870" s="317"/>
      <c r="MR870" s="317"/>
      <c r="MS870" s="317"/>
      <c r="MT870" s="13"/>
      <c r="MU870" s="317"/>
      <c r="MV870" s="317"/>
      <c r="MW870" s="317"/>
      <c r="MX870" s="317"/>
      <c r="MY870" s="317"/>
      <c r="MZ870" s="13"/>
      <c r="NA870" s="12"/>
      <c r="NB870" s="317"/>
      <c r="NC870" s="317"/>
      <c r="ND870" s="317"/>
      <c r="NE870" s="317"/>
      <c r="NF870" s="317"/>
      <c r="NG870" s="317"/>
      <c r="NH870" s="317"/>
      <c r="NI870" s="317"/>
      <c r="NJ870" s="317"/>
      <c r="NK870" s="317"/>
      <c r="NL870" s="317"/>
      <c r="NM870" s="12"/>
      <c r="NN870" s="317"/>
      <c r="NO870" s="317"/>
      <c r="NP870" s="317"/>
      <c r="NQ870" s="317"/>
      <c r="NR870" s="317"/>
      <c r="NS870" s="317"/>
      <c r="NT870" s="317"/>
      <c r="NU870" s="317"/>
      <c r="NV870" s="317"/>
      <c r="NW870" s="317"/>
      <c r="NX870" s="317"/>
      <c r="NY870" s="317"/>
      <c r="NZ870" s="317"/>
      <c r="OA870" s="317"/>
      <c r="OB870" s="317"/>
      <c r="OC870" s="317"/>
      <c r="OD870" s="317"/>
      <c r="OE870" s="317"/>
      <c r="OF870" s="317"/>
      <c r="OG870" s="317"/>
      <c r="OH870" s="317"/>
      <c r="OI870" s="317"/>
      <c r="OJ870" s="317"/>
      <c r="OK870" s="317"/>
      <c r="OL870" s="317"/>
      <c r="OM870" s="317"/>
      <c r="ON870" s="317"/>
      <c r="OO870" s="317"/>
      <c r="OP870" s="317"/>
      <c r="OQ870" s="317"/>
      <c r="OR870" s="317"/>
      <c r="OS870" s="317"/>
      <c r="OT870" s="317"/>
      <c r="OU870" s="317"/>
      <c r="OV870" s="13"/>
      <c r="OW870" s="317"/>
      <c r="OX870" s="317"/>
      <c r="OY870" s="317"/>
      <c r="OZ870" s="317"/>
      <c r="PA870" s="317"/>
      <c r="PB870" s="317"/>
      <c r="PC870" s="317"/>
      <c r="PD870" s="317"/>
      <c r="PE870" s="317"/>
      <c r="PF870" s="317"/>
      <c r="PG870" s="317"/>
      <c r="PH870" s="317"/>
      <c r="PI870" s="317"/>
      <c r="PJ870" s="317"/>
      <c r="PK870" s="317"/>
      <c r="PL870" s="317"/>
      <c r="PM870" s="317"/>
      <c r="PN870" s="317"/>
      <c r="PO870" s="317"/>
      <c r="PP870" s="317"/>
      <c r="PQ870" s="317"/>
      <c r="PR870" s="12"/>
      <c r="PS870" s="317"/>
      <c r="PT870" s="317"/>
      <c r="PU870" s="317"/>
      <c r="PV870" s="317"/>
      <c r="PW870" s="317"/>
      <c r="PX870" s="317"/>
      <c r="PY870" s="317"/>
      <c r="PZ870" s="317"/>
      <c r="QA870" s="317"/>
      <c r="QB870" s="317"/>
      <c r="QC870" s="13"/>
      <c r="QD870" s="317"/>
      <c r="QE870" s="317"/>
      <c r="QF870" s="317"/>
      <c r="QG870" s="317"/>
      <c r="QH870" s="317"/>
      <c r="QI870" s="317"/>
      <c r="QJ870" s="317"/>
      <c r="QK870" s="317"/>
      <c r="QL870" s="317"/>
      <c r="QM870" s="317"/>
      <c r="QN870" s="317"/>
      <c r="QO870" s="317"/>
      <c r="QP870" s="317"/>
      <c r="QQ870" s="317"/>
      <c r="QR870" s="317"/>
      <c r="QS870" s="317"/>
      <c r="QT870" s="317"/>
      <c r="QU870" s="317"/>
      <c r="QV870" s="317"/>
      <c r="QW870" s="317"/>
      <c r="QX870" s="317"/>
      <c r="QY870" s="317"/>
      <c r="QZ870" s="317"/>
      <c r="RA870" s="317"/>
      <c r="RB870" s="317"/>
      <c r="RC870" s="317"/>
      <c r="RD870" s="317"/>
      <c r="RE870" s="317"/>
      <c r="RF870" s="317"/>
      <c r="RG870" s="317"/>
      <c r="RH870" s="317"/>
      <c r="RI870" s="317"/>
      <c r="RJ870" s="317"/>
      <c r="RK870" s="317"/>
      <c r="RL870" s="317"/>
      <c r="RM870" s="13"/>
      <c r="RN870" s="317"/>
      <c r="RO870" s="317"/>
      <c r="RP870" s="13"/>
      <c r="RQ870" s="317"/>
      <c r="RR870" s="317"/>
      <c r="RS870" s="317"/>
      <c r="RT870" s="317"/>
      <c r="RU870" s="317"/>
      <c r="RV870" s="13"/>
      <c r="TV870" s="12"/>
      <c r="WL870" s="13"/>
    </row>
    <row r="871" spans="82:610" ht="10.75" customHeight="1">
      <c r="CJ871" s="12"/>
      <c r="CS871" s="13"/>
      <c r="CT871" s="42"/>
      <c r="CU871" s="43"/>
      <c r="CV871" s="43"/>
      <c r="CW871" s="12"/>
      <c r="ES871" s="160"/>
      <c r="ET871" s="161"/>
      <c r="FA871" s="291"/>
      <c r="GP871" s="13"/>
      <c r="GQ871" s="43"/>
      <c r="GR871" s="43"/>
      <c r="GS871" s="45"/>
      <c r="GT871" s="49"/>
      <c r="GU871" s="49"/>
      <c r="GV871" s="49"/>
      <c r="GW871" s="49"/>
      <c r="GX871" s="49"/>
      <c r="GY871" s="49"/>
      <c r="GZ871" s="49"/>
      <c r="HA871" s="208"/>
      <c r="HB871" s="231"/>
      <c r="HC871" s="231"/>
      <c r="HD871" s="231"/>
      <c r="HE871" s="231"/>
      <c r="HF871" s="231"/>
      <c r="HG871" s="231"/>
      <c r="HH871" s="231"/>
      <c r="HI871" s="232"/>
      <c r="KM871" s="12"/>
      <c r="KN871" s="317"/>
      <c r="KO871" s="317"/>
      <c r="KP871" s="317"/>
      <c r="KQ871" s="317"/>
      <c r="KR871" s="317"/>
      <c r="KS871" s="317"/>
      <c r="KT871" s="317"/>
      <c r="KU871" s="317"/>
      <c r="KV871" s="317"/>
      <c r="KW871" s="317"/>
      <c r="KX871" s="317"/>
      <c r="KY871" s="317"/>
      <c r="KZ871" s="317"/>
      <c r="LA871" s="317"/>
      <c r="LB871" s="317"/>
      <c r="LC871" s="317"/>
      <c r="LD871" s="317"/>
      <c r="LE871" s="317"/>
      <c r="LF871" s="317"/>
      <c r="LG871" s="317"/>
      <c r="LH871" s="317"/>
      <c r="LI871" s="317"/>
      <c r="LJ871" s="317"/>
      <c r="LK871" s="317"/>
      <c r="LL871" s="317"/>
      <c r="LM871" s="317"/>
      <c r="LN871" s="317"/>
      <c r="LO871" s="317"/>
      <c r="LP871" s="317"/>
      <c r="LQ871" s="317"/>
      <c r="LR871" s="317"/>
      <c r="LS871" s="317"/>
      <c r="LT871" s="317"/>
      <c r="LU871" s="317"/>
      <c r="LV871" s="317"/>
      <c r="LW871" s="317"/>
      <c r="LX871" s="317"/>
      <c r="LY871" s="317"/>
      <c r="LZ871" s="317"/>
      <c r="MA871" s="317"/>
      <c r="MB871" s="317"/>
      <c r="MC871" s="317"/>
      <c r="MD871" s="317"/>
      <c r="ME871" s="317"/>
      <c r="MF871" s="317"/>
      <c r="MG871" s="317"/>
      <c r="MH871" s="317"/>
      <c r="MI871" s="317"/>
      <c r="MJ871" s="317"/>
      <c r="MK871" s="317"/>
      <c r="ML871" s="317"/>
      <c r="MM871" s="317"/>
      <c r="MN871" s="317"/>
      <c r="MO871" s="317"/>
      <c r="MP871" s="317"/>
      <c r="MQ871" s="317"/>
      <c r="MR871" s="317"/>
      <c r="MS871" s="317"/>
      <c r="MT871" s="13"/>
      <c r="MU871" s="317"/>
      <c r="MV871" s="317"/>
      <c r="MW871" s="317"/>
      <c r="MX871" s="317"/>
      <c r="MY871" s="317"/>
      <c r="MZ871" s="13"/>
      <c r="NA871" s="12"/>
      <c r="NB871" s="317"/>
      <c r="NC871" s="317"/>
      <c r="ND871" s="317"/>
      <c r="NE871" s="317"/>
      <c r="NF871" s="317"/>
      <c r="NG871" s="317"/>
      <c r="NH871" s="317"/>
      <c r="NI871" s="317"/>
      <c r="NJ871" s="317"/>
      <c r="NK871" s="317"/>
      <c r="NL871" s="317"/>
      <c r="NM871" s="12"/>
      <c r="NN871" s="317"/>
      <c r="NO871" s="317"/>
      <c r="NP871" s="317"/>
      <c r="NQ871" s="317"/>
      <c r="NR871" s="317"/>
      <c r="NS871" s="317"/>
      <c r="NT871" s="317"/>
      <c r="NU871" s="317"/>
      <c r="NV871" s="317"/>
      <c r="NW871" s="317"/>
      <c r="NX871" s="317"/>
      <c r="NY871" s="317"/>
      <c r="NZ871" s="317"/>
      <c r="OA871" s="317"/>
      <c r="OB871" s="317"/>
      <c r="OC871" s="317"/>
      <c r="OD871" s="317"/>
      <c r="OE871" s="317"/>
      <c r="OF871" s="317"/>
      <c r="OG871" s="317"/>
      <c r="OH871" s="317"/>
      <c r="OI871" s="317"/>
      <c r="OJ871" s="317"/>
      <c r="OK871" s="317"/>
      <c r="OL871" s="317"/>
      <c r="OM871" s="317"/>
      <c r="ON871" s="317"/>
      <c r="OO871" s="317"/>
      <c r="OP871" s="317"/>
      <c r="OQ871" s="317"/>
      <c r="OR871" s="317"/>
      <c r="OS871" s="317"/>
      <c r="OT871" s="317"/>
      <c r="OU871" s="317"/>
      <c r="OV871" s="13"/>
      <c r="OW871" s="317"/>
      <c r="OX871" s="317"/>
      <c r="OY871" s="317"/>
      <c r="OZ871" s="317"/>
      <c r="PA871" s="317"/>
      <c r="PB871" s="317"/>
      <c r="PC871" s="317"/>
      <c r="PD871" s="317"/>
      <c r="PE871" s="317"/>
      <c r="PF871" s="317"/>
      <c r="PG871" s="317"/>
      <c r="PH871" s="317"/>
      <c r="PI871" s="317"/>
      <c r="PJ871" s="317"/>
      <c r="PK871" s="317"/>
      <c r="PL871" s="317"/>
      <c r="PM871" s="317"/>
      <c r="PN871" s="317"/>
      <c r="PO871" s="317"/>
      <c r="PP871" s="317"/>
      <c r="PQ871" s="317"/>
      <c r="PR871" s="12"/>
      <c r="PS871" s="317"/>
      <c r="PT871" s="317"/>
      <c r="PU871" s="317"/>
      <c r="PV871" s="317"/>
      <c r="PW871" s="317"/>
      <c r="PX871" s="317"/>
      <c r="PY871" s="317"/>
      <c r="PZ871" s="317"/>
      <c r="QA871" s="317"/>
      <c r="QB871" s="317"/>
      <c r="QC871" s="13"/>
      <c r="QD871" s="317"/>
      <c r="QE871" s="317"/>
      <c r="QF871" s="317"/>
      <c r="QG871" s="317"/>
      <c r="QH871" s="317"/>
      <c r="QI871" s="317"/>
      <c r="QJ871" s="317"/>
      <c r="QK871" s="317"/>
      <c r="QL871" s="317"/>
      <c r="QM871" s="317"/>
      <c r="QN871" s="317"/>
      <c r="QO871" s="317"/>
      <c r="QP871" s="317"/>
      <c r="QQ871" s="317"/>
      <c r="QR871" s="317"/>
      <c r="QS871" s="317"/>
      <c r="QT871" s="317"/>
      <c r="QU871" s="317"/>
      <c r="QV871" s="317"/>
      <c r="QW871" s="317"/>
      <c r="QX871" s="317"/>
      <c r="QY871" s="317"/>
      <c r="QZ871" s="317"/>
      <c r="RA871" s="317"/>
      <c r="RB871" s="317"/>
      <c r="RC871" s="317"/>
      <c r="RD871" s="317"/>
      <c r="RE871" s="317"/>
      <c r="RF871" s="317"/>
      <c r="RG871" s="317"/>
      <c r="RH871" s="317"/>
      <c r="RI871" s="317"/>
      <c r="RJ871" s="317"/>
      <c r="RK871" s="317"/>
      <c r="RL871" s="317"/>
      <c r="RM871" s="13"/>
      <c r="RN871" s="317"/>
      <c r="RO871" s="317"/>
      <c r="RP871" s="13"/>
      <c r="RQ871" s="317"/>
      <c r="RR871" s="317"/>
      <c r="RS871" s="317"/>
      <c r="RT871" s="317"/>
      <c r="RU871" s="317"/>
      <c r="RV871" s="13"/>
      <c r="TV871" s="12"/>
      <c r="WL871" s="13"/>
    </row>
    <row r="872" spans="82:610" ht="10.75" customHeight="1" thickBot="1">
      <c r="CJ872" s="12"/>
      <c r="CS872" s="13"/>
      <c r="CT872" s="56"/>
      <c r="CU872" s="57"/>
      <c r="CV872" s="58"/>
      <c r="CW872" s="12"/>
      <c r="ER872" s="56"/>
      <c r="ES872" s="56"/>
      <c r="ET872" s="58"/>
      <c r="FA872" s="291"/>
      <c r="GP872" s="13"/>
      <c r="GQ872" s="56"/>
      <c r="GR872" s="57"/>
      <c r="GS872" s="58"/>
      <c r="GT872" s="49"/>
      <c r="GU872" s="49"/>
      <c r="GV872" s="49"/>
      <c r="GW872" s="49"/>
      <c r="GX872" s="49"/>
      <c r="GY872" s="49"/>
      <c r="GZ872" s="49"/>
      <c r="HA872" s="208"/>
      <c r="HB872" s="231"/>
      <c r="HC872" s="231"/>
      <c r="HD872" s="231"/>
      <c r="HE872" s="231"/>
      <c r="HF872" s="231"/>
      <c r="HG872" s="231"/>
      <c r="HH872" s="231"/>
      <c r="HI872" s="232"/>
      <c r="KM872" s="12"/>
      <c r="KN872" s="317"/>
      <c r="KO872" s="317"/>
      <c r="KP872" s="317"/>
      <c r="KQ872" s="317"/>
      <c r="KR872" s="317"/>
      <c r="KS872" s="317"/>
      <c r="KT872" s="317"/>
      <c r="KU872" s="317"/>
      <c r="KV872" s="317"/>
      <c r="KW872" s="317"/>
      <c r="KX872" s="317"/>
      <c r="KY872" s="317"/>
      <c r="KZ872" s="317"/>
      <c r="LA872" s="317"/>
      <c r="LB872" s="317"/>
      <c r="LC872" s="317"/>
      <c r="LD872" s="317"/>
      <c r="LE872" s="317"/>
      <c r="LF872" s="317"/>
      <c r="LG872" s="317"/>
      <c r="LH872" s="317"/>
      <c r="LI872" s="317"/>
      <c r="LJ872" s="317"/>
      <c r="LK872" s="317"/>
      <c r="LL872" s="317"/>
      <c r="LM872" s="317"/>
      <c r="LN872" s="317"/>
      <c r="LO872" s="317"/>
      <c r="LP872" s="317"/>
      <c r="LQ872" s="317"/>
      <c r="LR872" s="317"/>
      <c r="LS872" s="317"/>
      <c r="LT872" s="317"/>
      <c r="LU872" s="317"/>
      <c r="LV872" s="317"/>
      <c r="LW872" s="317"/>
      <c r="LX872" s="317"/>
      <c r="LY872" s="317"/>
      <c r="LZ872" s="317"/>
      <c r="MA872" s="317"/>
      <c r="MB872" s="317"/>
      <c r="MC872" s="317"/>
      <c r="MD872" s="317"/>
      <c r="ME872" s="317"/>
      <c r="MF872" s="317"/>
      <c r="MG872" s="317"/>
      <c r="MH872" s="317"/>
      <c r="MI872" s="317"/>
      <c r="MJ872" s="317"/>
      <c r="MK872" s="317"/>
      <c r="ML872" s="317"/>
      <c r="MM872" s="317"/>
      <c r="MN872" s="317"/>
      <c r="MO872" s="317"/>
      <c r="MP872" s="317"/>
      <c r="MQ872" s="317"/>
      <c r="MR872" s="317"/>
      <c r="MS872" s="317"/>
      <c r="MT872" s="13"/>
      <c r="MU872" s="317"/>
      <c r="MV872" s="317"/>
      <c r="MW872" s="317"/>
      <c r="MX872" s="317"/>
      <c r="MY872" s="317"/>
      <c r="MZ872" s="13"/>
      <c r="NA872" s="12"/>
      <c r="NB872" s="317"/>
      <c r="NC872" s="317"/>
      <c r="ND872" s="317"/>
      <c r="NE872" s="317"/>
      <c r="NF872" s="317"/>
      <c r="NG872" s="317"/>
      <c r="NH872" s="317"/>
      <c r="NI872" s="317"/>
      <c r="NJ872" s="317"/>
      <c r="NK872" s="317"/>
      <c r="NL872" s="317"/>
      <c r="NM872" s="12"/>
      <c r="NN872" s="317"/>
      <c r="NO872" s="317"/>
      <c r="NP872" s="317"/>
      <c r="NQ872" s="317"/>
      <c r="NR872" s="317"/>
      <c r="NS872" s="317"/>
      <c r="NT872" s="317"/>
      <c r="NU872" s="317"/>
      <c r="NV872" s="317"/>
      <c r="NW872" s="317"/>
      <c r="NX872" s="317"/>
      <c r="NY872" s="317"/>
      <c r="NZ872" s="317"/>
      <c r="OA872" s="317"/>
      <c r="OB872" s="317"/>
      <c r="OC872" s="317"/>
      <c r="OD872" s="317"/>
      <c r="OE872" s="317"/>
      <c r="OF872" s="317"/>
      <c r="OG872" s="317"/>
      <c r="OH872" s="317"/>
      <c r="OI872" s="317"/>
      <c r="OJ872" s="317"/>
      <c r="OK872" s="317"/>
      <c r="OL872" s="317"/>
      <c r="OM872" s="317"/>
      <c r="ON872" s="317"/>
      <c r="OO872" s="317"/>
      <c r="OP872" s="317"/>
      <c r="OQ872" s="317"/>
      <c r="OR872" s="317"/>
      <c r="OS872" s="317"/>
      <c r="OT872" s="317"/>
      <c r="OU872" s="317"/>
      <c r="OV872" s="13"/>
      <c r="OW872" s="317"/>
      <c r="OX872" s="317"/>
      <c r="OY872" s="317"/>
      <c r="OZ872" s="317"/>
      <c r="PA872" s="317"/>
      <c r="PB872" s="317"/>
      <c r="PC872" s="317"/>
      <c r="PD872" s="317"/>
      <c r="PE872" s="317"/>
      <c r="PF872" s="317"/>
      <c r="PG872" s="317"/>
      <c r="PH872" s="317"/>
      <c r="PI872" s="317"/>
      <c r="PJ872" s="317"/>
      <c r="PK872" s="317"/>
      <c r="PL872" s="317"/>
      <c r="PM872" s="317"/>
      <c r="PN872" s="317"/>
      <c r="PO872" s="317"/>
      <c r="PP872" s="317"/>
      <c r="PQ872" s="317"/>
      <c r="PR872" s="12"/>
      <c r="PS872" s="317"/>
      <c r="PT872" s="317"/>
      <c r="PU872" s="317"/>
      <c r="PV872" s="317"/>
      <c r="PW872" s="317"/>
      <c r="PX872" s="317"/>
      <c r="PY872" s="317"/>
      <c r="PZ872" s="317"/>
      <c r="QA872" s="317"/>
      <c r="QB872" s="317"/>
      <c r="QC872" s="13"/>
      <c r="QD872" s="317"/>
      <c r="QE872" s="317"/>
      <c r="QF872" s="317"/>
      <c r="QG872" s="317"/>
      <c r="QH872" s="317"/>
      <c r="QI872" s="317"/>
      <c r="QJ872" s="317"/>
      <c r="QK872" s="317"/>
      <c r="QL872" s="317"/>
      <c r="QM872" s="317"/>
      <c r="QN872" s="317"/>
      <c r="QO872" s="317"/>
      <c r="QP872" s="317"/>
      <c r="QQ872" s="317"/>
      <c r="QR872" s="317"/>
      <c r="QS872" s="317"/>
      <c r="QT872" s="317"/>
      <c r="QU872" s="317"/>
      <c r="QV872" s="317"/>
      <c r="QW872" s="317"/>
      <c r="QX872" s="317"/>
      <c r="QY872" s="317"/>
      <c r="QZ872" s="317"/>
      <c r="RA872" s="317"/>
      <c r="RB872" s="317"/>
      <c r="RC872" s="317"/>
      <c r="RD872" s="317"/>
      <c r="RE872" s="317"/>
      <c r="RF872" s="317"/>
      <c r="RG872" s="317"/>
      <c r="RH872" s="317"/>
      <c r="RI872" s="317"/>
      <c r="RJ872" s="317"/>
      <c r="RK872" s="317"/>
      <c r="RL872" s="317"/>
      <c r="RM872" s="13"/>
      <c r="RN872" s="317"/>
      <c r="RO872" s="317"/>
      <c r="RP872" s="13"/>
      <c r="RQ872" s="317"/>
      <c r="RR872" s="317"/>
      <c r="RS872" s="317"/>
      <c r="RT872" s="317"/>
      <c r="RU872" s="317"/>
      <c r="RV872" s="13"/>
      <c r="TV872" s="12"/>
      <c r="WL872" s="13"/>
    </row>
    <row r="873" spans="82:610" ht="10.75" customHeight="1">
      <c r="CJ873" s="14"/>
      <c r="CK873" s="15"/>
      <c r="CL873" s="15"/>
      <c r="CM873" s="15"/>
      <c r="CN873" s="15"/>
      <c r="CO873" s="15"/>
      <c r="CP873" s="15"/>
      <c r="CQ873" s="15"/>
      <c r="CR873" s="15"/>
      <c r="CS873" s="16"/>
      <c r="CT873" s="96"/>
      <c r="CU873" s="97"/>
      <c r="CV873" s="98"/>
      <c r="CW873" s="305"/>
      <c r="CX873" s="306"/>
      <c r="CY873" s="306"/>
      <c r="CZ873" s="306"/>
      <c r="DA873" s="306"/>
      <c r="DB873" s="306"/>
      <c r="DC873" s="306"/>
      <c r="DD873" s="306"/>
      <c r="DE873" s="306"/>
      <c r="ER873" s="96"/>
      <c r="ES873" s="96"/>
      <c r="ET873" s="98"/>
      <c r="FA873" s="291"/>
      <c r="GG873" s="306"/>
      <c r="GH873" s="306"/>
      <c r="GI873" s="306"/>
      <c r="GJ873" s="306"/>
      <c r="GK873" s="306"/>
      <c r="GL873" s="306"/>
      <c r="GM873" s="306"/>
      <c r="GN873" s="306"/>
      <c r="GO873" s="306"/>
      <c r="GP873" s="307"/>
      <c r="GQ873" s="96"/>
      <c r="GR873" s="97"/>
      <c r="GS873" s="98"/>
      <c r="GT873" s="49"/>
      <c r="GU873" s="49"/>
      <c r="GV873" s="49"/>
      <c r="GW873" s="49"/>
      <c r="GX873" s="49"/>
      <c r="GY873" s="49"/>
      <c r="GZ873" s="49"/>
      <c r="HA873" s="208"/>
      <c r="HB873" s="231"/>
      <c r="HC873" s="231"/>
      <c r="HD873" s="231"/>
      <c r="HE873" s="231"/>
      <c r="HF873" s="231"/>
      <c r="HG873" s="231"/>
      <c r="HH873" s="231"/>
      <c r="HI873" s="232"/>
      <c r="KM873" s="12"/>
      <c r="KN873" s="317"/>
      <c r="KO873" s="317"/>
      <c r="KP873" s="317"/>
      <c r="KQ873" s="317"/>
      <c r="KR873" s="317"/>
      <c r="KS873" s="317"/>
      <c r="KT873" s="317"/>
      <c r="KU873" s="317"/>
      <c r="KV873" s="317"/>
      <c r="KW873" s="317"/>
      <c r="KX873" s="317"/>
      <c r="KY873" s="317"/>
      <c r="KZ873" s="317"/>
      <c r="LA873" s="317"/>
      <c r="LB873" s="317"/>
      <c r="LC873" s="317"/>
      <c r="LD873" s="317"/>
      <c r="LE873" s="317"/>
      <c r="LF873" s="317"/>
      <c r="LG873" s="317"/>
      <c r="LH873" s="317"/>
      <c r="LI873" s="317"/>
      <c r="LJ873" s="317"/>
      <c r="LK873" s="317"/>
      <c r="LL873" s="317"/>
      <c r="LM873" s="317"/>
      <c r="LN873" s="317"/>
      <c r="LO873" s="317"/>
      <c r="LP873" s="317"/>
      <c r="LQ873" s="317"/>
      <c r="LR873" s="317"/>
      <c r="LS873" s="317"/>
      <c r="LT873" s="317"/>
      <c r="LU873" s="317"/>
      <c r="LV873" s="317"/>
      <c r="LW873" s="317"/>
      <c r="LX873" s="317"/>
      <c r="LY873" s="317"/>
      <c r="LZ873" s="317"/>
      <c r="MA873" s="317"/>
      <c r="MB873" s="317"/>
      <c r="MC873" s="317"/>
      <c r="MD873" s="317"/>
      <c r="ME873" s="317"/>
      <c r="MF873" s="317"/>
      <c r="MG873" s="317"/>
      <c r="MH873" s="317"/>
      <c r="MI873" s="317"/>
      <c r="MJ873" s="317"/>
      <c r="MK873" s="317"/>
      <c r="ML873" s="317"/>
      <c r="MM873" s="317"/>
      <c r="MN873" s="317"/>
      <c r="MO873" s="317"/>
      <c r="MP873" s="317"/>
      <c r="MQ873" s="317"/>
      <c r="MR873" s="317"/>
      <c r="MS873" s="317"/>
      <c r="MT873" s="13"/>
      <c r="MU873" s="317"/>
      <c r="MV873" s="317"/>
      <c r="MW873" s="317"/>
      <c r="MX873" s="317"/>
      <c r="MY873" s="317"/>
      <c r="MZ873" s="13"/>
      <c r="NA873" s="12"/>
      <c r="NB873" s="317"/>
      <c r="NC873" s="317"/>
      <c r="ND873" s="317"/>
      <c r="NE873" s="317"/>
      <c r="NF873" s="317"/>
      <c r="NG873" s="317"/>
      <c r="NH873" s="317"/>
      <c r="NI873" s="317"/>
      <c r="NJ873" s="317"/>
      <c r="NK873" s="317"/>
      <c r="NL873" s="317"/>
      <c r="NM873" s="12"/>
      <c r="NN873" s="317"/>
      <c r="NO873" s="317"/>
      <c r="NP873" s="317"/>
      <c r="NQ873" s="317"/>
      <c r="NR873" s="317"/>
      <c r="NS873" s="317"/>
      <c r="NT873" s="317"/>
      <c r="NU873" s="317"/>
      <c r="NV873" s="317"/>
      <c r="NW873" s="317"/>
      <c r="NX873" s="317"/>
      <c r="NY873" s="317"/>
      <c r="NZ873" s="317"/>
      <c r="OA873" s="317"/>
      <c r="OB873" s="317"/>
      <c r="OC873" s="317"/>
      <c r="OD873" s="317"/>
      <c r="OE873" s="317"/>
      <c r="OF873" s="317"/>
      <c r="OG873" s="317"/>
      <c r="OH873" s="317"/>
      <c r="OI873" s="317"/>
      <c r="OJ873" s="317"/>
      <c r="OK873" s="317"/>
      <c r="OL873" s="317"/>
      <c r="OM873" s="317"/>
      <c r="ON873" s="317"/>
      <c r="OO873" s="317"/>
      <c r="OP873" s="317"/>
      <c r="OQ873" s="317"/>
      <c r="OR873" s="317"/>
      <c r="OS873" s="317"/>
      <c r="OT873" s="317"/>
      <c r="OU873" s="317"/>
      <c r="OV873" s="13"/>
      <c r="OW873" s="317"/>
      <c r="OX873" s="317"/>
      <c r="OY873" s="317"/>
      <c r="OZ873" s="317"/>
      <c r="PA873" s="317"/>
      <c r="PB873" s="317"/>
      <c r="PC873" s="317"/>
      <c r="PD873" s="317"/>
      <c r="PE873" s="317"/>
      <c r="PF873" s="317"/>
      <c r="PG873" s="317"/>
      <c r="PH873" s="317"/>
      <c r="PI873" s="317"/>
      <c r="PJ873" s="317"/>
      <c r="PK873" s="317"/>
      <c r="PL873" s="317"/>
      <c r="PM873" s="317"/>
      <c r="PN873" s="317"/>
      <c r="PO873" s="317"/>
      <c r="PP873" s="317"/>
      <c r="PQ873" s="317"/>
      <c r="PR873" s="12"/>
      <c r="PS873" s="317"/>
      <c r="PT873" s="317"/>
      <c r="PU873" s="317"/>
      <c r="PV873" s="317"/>
      <c r="PW873" s="317"/>
      <c r="PX873" s="317"/>
      <c r="PY873" s="317"/>
      <c r="PZ873" s="317"/>
      <c r="QA873" s="317"/>
      <c r="QB873" s="317"/>
      <c r="QC873" s="13"/>
      <c r="QD873" s="317"/>
      <c r="QE873" s="317"/>
      <c r="QF873" s="317"/>
      <c r="QG873" s="317"/>
      <c r="QH873" s="317"/>
      <c r="QI873" s="317"/>
      <c r="QJ873" s="317"/>
      <c r="QK873" s="317"/>
      <c r="QL873" s="317"/>
      <c r="QM873" s="317"/>
      <c r="QN873" s="317"/>
      <c r="QO873" s="317"/>
      <c r="QP873" s="317"/>
      <c r="QQ873" s="317"/>
      <c r="QR873" s="317"/>
      <c r="QS873" s="317"/>
      <c r="QT873" s="317"/>
      <c r="QU873" s="317"/>
      <c r="QV873" s="317"/>
      <c r="QW873" s="317"/>
      <c r="QX873" s="317"/>
      <c r="QY873" s="317"/>
      <c r="QZ873" s="317"/>
      <c r="RA873" s="317"/>
      <c r="RB873" s="317"/>
      <c r="RC873" s="317"/>
      <c r="RD873" s="317"/>
      <c r="RE873" s="317"/>
      <c r="RF873" s="317"/>
      <c r="RG873" s="317"/>
      <c r="RH873" s="317"/>
      <c r="RI873" s="317"/>
      <c r="RJ873" s="317"/>
      <c r="RK873" s="317"/>
      <c r="RL873" s="317"/>
      <c r="RM873" s="13"/>
      <c r="RN873" s="317"/>
      <c r="RO873" s="317"/>
      <c r="RP873" s="13"/>
      <c r="RQ873" s="317"/>
      <c r="RR873" s="317"/>
      <c r="RS873" s="317"/>
      <c r="RT873" s="317"/>
      <c r="RU873" s="317"/>
      <c r="RV873" s="13"/>
      <c r="TV873" s="12"/>
      <c r="WL873" s="13"/>
    </row>
    <row r="874" spans="82:610" ht="10.75" customHeight="1">
      <c r="CJ874" s="12"/>
      <c r="CS874" s="13"/>
      <c r="CT874" s="96"/>
      <c r="CU874" s="97"/>
      <c r="CV874" s="98"/>
      <c r="CW874" s="12"/>
      <c r="ER874" s="96"/>
      <c r="ES874" s="96"/>
      <c r="ET874" s="98"/>
      <c r="FA874" s="291"/>
      <c r="GP874" s="13"/>
      <c r="GQ874" s="96"/>
      <c r="GR874" s="97"/>
      <c r="GS874" s="98"/>
      <c r="GT874" s="49"/>
      <c r="GU874" s="49"/>
      <c r="GV874" s="49"/>
      <c r="GW874" s="49"/>
      <c r="GX874" s="49"/>
      <c r="GY874" s="49"/>
      <c r="GZ874" s="49"/>
      <c r="HA874" s="208"/>
      <c r="HB874" s="231"/>
      <c r="HC874" s="231"/>
      <c r="HD874" s="231"/>
      <c r="HE874" s="231"/>
      <c r="HF874" s="231"/>
      <c r="HG874" s="231"/>
      <c r="HH874" s="231"/>
      <c r="HI874" s="232"/>
      <c r="KM874" s="12"/>
      <c r="KN874" s="317"/>
      <c r="KO874" s="317"/>
      <c r="KP874" s="317"/>
      <c r="KQ874" s="317"/>
      <c r="KR874" s="317"/>
      <c r="KS874" s="317"/>
      <c r="KT874" s="317"/>
      <c r="KU874" s="317"/>
      <c r="KV874" s="317"/>
      <c r="KW874" s="317"/>
      <c r="KX874" s="317"/>
      <c r="KY874" s="317"/>
      <c r="KZ874" s="317"/>
      <c r="LA874" s="317"/>
      <c r="LB874" s="317"/>
      <c r="LC874" s="317"/>
      <c r="LD874" s="317"/>
      <c r="LE874" s="317"/>
      <c r="LF874" s="317"/>
      <c r="LG874" s="317"/>
      <c r="LH874" s="317"/>
      <c r="LI874" s="317"/>
      <c r="LJ874" s="317"/>
      <c r="LK874" s="317"/>
      <c r="LL874" s="317"/>
      <c r="LM874" s="317"/>
      <c r="LN874" s="317"/>
      <c r="LO874" s="317"/>
      <c r="LP874" s="317"/>
      <c r="LQ874" s="317"/>
      <c r="LR874" s="317"/>
      <c r="LS874" s="317"/>
      <c r="LT874" s="317"/>
      <c r="LU874" s="317"/>
      <c r="LV874" s="317"/>
      <c r="LW874" s="317"/>
      <c r="LX874" s="317"/>
      <c r="LY874" s="317"/>
      <c r="LZ874" s="317"/>
      <c r="MA874" s="317"/>
      <c r="MB874" s="317"/>
      <c r="MC874" s="317"/>
      <c r="MD874" s="317"/>
      <c r="ME874" s="317"/>
      <c r="MF874" s="317"/>
      <c r="MG874" s="317"/>
      <c r="MH874" s="317"/>
      <c r="MI874" s="317"/>
      <c r="MJ874" s="317"/>
      <c r="MK874" s="317"/>
      <c r="ML874" s="317"/>
      <c r="MM874" s="317"/>
      <c r="MN874" s="317"/>
      <c r="MO874" s="317"/>
      <c r="MP874" s="317"/>
      <c r="MQ874" s="317"/>
      <c r="MR874" s="317"/>
      <c r="MS874" s="317"/>
      <c r="MT874" s="13"/>
      <c r="MU874" s="317"/>
      <c r="MV874" s="317"/>
      <c r="MW874" s="317"/>
      <c r="MX874" s="317"/>
      <c r="MY874" s="317"/>
      <c r="MZ874" s="13"/>
      <c r="NA874" s="12"/>
      <c r="NB874" s="317"/>
      <c r="NC874" s="317"/>
      <c r="ND874" s="317"/>
      <c r="NE874" s="317"/>
      <c r="NF874" s="317"/>
      <c r="NG874" s="317"/>
      <c r="NH874" s="317"/>
      <c r="NI874" s="317"/>
      <c r="NJ874" s="317"/>
      <c r="NK874" s="317"/>
      <c r="NL874" s="317"/>
      <c r="NM874" s="12"/>
      <c r="NN874" s="317"/>
      <c r="NO874" s="317"/>
      <c r="NP874" s="317"/>
      <c r="NQ874" s="317"/>
      <c r="NR874" s="317"/>
      <c r="NS874" s="317"/>
      <c r="NT874" s="317"/>
      <c r="NU874" s="317"/>
      <c r="NV874" s="317"/>
      <c r="NW874" s="317"/>
      <c r="NX874" s="317"/>
      <c r="NY874" s="317"/>
      <c r="NZ874" s="317"/>
      <c r="OA874" s="317"/>
      <c r="OB874" s="317"/>
      <c r="OC874" s="317"/>
      <c r="OD874" s="317"/>
      <c r="OE874" s="317"/>
      <c r="OF874" s="317"/>
      <c r="OG874" s="317"/>
      <c r="OH874" s="317"/>
      <c r="OI874" s="317"/>
      <c r="OJ874" s="317"/>
      <c r="OK874" s="317"/>
      <c r="OL874" s="317"/>
      <c r="OM874" s="317"/>
      <c r="ON874" s="317"/>
      <c r="OO874" s="317"/>
      <c r="OP874" s="317"/>
      <c r="OQ874" s="317"/>
      <c r="OR874" s="317"/>
      <c r="OS874" s="317"/>
      <c r="OT874" s="317"/>
      <c r="OU874" s="317"/>
      <c r="OV874" s="13"/>
      <c r="OW874" s="317"/>
      <c r="OX874" s="317"/>
      <c r="OY874" s="317"/>
      <c r="OZ874" s="317"/>
      <c r="PA874" s="317"/>
      <c r="PB874" s="317"/>
      <c r="PC874" s="317"/>
      <c r="PD874" s="317"/>
      <c r="PE874" s="317"/>
      <c r="PF874" s="317"/>
      <c r="PG874" s="317"/>
      <c r="PH874" s="317"/>
      <c r="PI874" s="317"/>
      <c r="PJ874" s="317"/>
      <c r="PK874" s="317"/>
      <c r="PL874" s="317"/>
      <c r="PM874" s="317"/>
      <c r="PN874" s="317"/>
      <c r="PO874" s="317"/>
      <c r="PP874" s="317"/>
      <c r="PQ874" s="317"/>
      <c r="PR874" s="12"/>
      <c r="PS874" s="317"/>
      <c r="PT874" s="317"/>
      <c r="PU874" s="317"/>
      <c r="PV874" s="317"/>
      <c r="PW874" s="317"/>
      <c r="PX874" s="317"/>
      <c r="PY874" s="317"/>
      <c r="PZ874" s="317"/>
      <c r="QA874" s="317"/>
      <c r="QB874" s="317"/>
      <c r="QC874" s="13"/>
      <c r="QD874" s="317"/>
      <c r="QE874" s="317"/>
      <c r="QF874" s="317"/>
      <c r="QG874" s="317"/>
      <c r="QH874" s="317"/>
      <c r="QI874" s="317"/>
      <c r="QJ874" s="317"/>
      <c r="QK874" s="317"/>
      <c r="QL874" s="317"/>
      <c r="QM874" s="317"/>
      <c r="QN874" s="317"/>
      <c r="QO874" s="317"/>
      <c r="QP874" s="317"/>
      <c r="QQ874" s="317"/>
      <c r="QR874" s="317"/>
      <c r="QS874" s="317"/>
      <c r="QT874" s="317"/>
      <c r="QU874" s="317"/>
      <c r="QV874" s="317"/>
      <c r="QW874" s="317"/>
      <c r="QX874" s="317"/>
      <c r="QY874" s="317"/>
      <c r="QZ874" s="317"/>
      <c r="RA874" s="317"/>
      <c r="RB874" s="317"/>
      <c r="RC874" s="317"/>
      <c r="RD874" s="317"/>
      <c r="RE874" s="317"/>
      <c r="RF874" s="317"/>
      <c r="RG874" s="317"/>
      <c r="RH874" s="317"/>
      <c r="RI874" s="317"/>
      <c r="RJ874" s="317"/>
      <c r="RK874" s="317"/>
      <c r="RL874" s="317"/>
      <c r="RM874" s="13"/>
      <c r="RN874" s="317"/>
      <c r="RO874" s="317"/>
      <c r="RP874" s="13"/>
      <c r="RQ874" s="317"/>
      <c r="RR874" s="317"/>
      <c r="RS874" s="317"/>
      <c r="RT874" s="317"/>
      <c r="RU874" s="317"/>
      <c r="RV874" s="13"/>
      <c r="TV874" s="12"/>
      <c r="WL874" s="13"/>
    </row>
    <row r="875" spans="82:610" ht="10.75" customHeight="1" thickBot="1">
      <c r="CJ875" s="12"/>
      <c r="CS875" s="13"/>
      <c r="CT875" s="59"/>
      <c r="CU875" s="60"/>
      <c r="CV875" s="61"/>
      <c r="CW875" s="303"/>
      <c r="CX875" s="304"/>
      <c r="CY875" s="304"/>
      <c r="CZ875" s="304"/>
      <c r="DA875" s="304"/>
      <c r="DB875" s="304"/>
      <c r="DC875" s="304"/>
      <c r="DD875" s="304"/>
      <c r="DE875" s="304"/>
      <c r="ER875" s="59"/>
      <c r="ES875" s="59"/>
      <c r="ET875" s="61"/>
      <c r="FA875" s="291"/>
      <c r="GG875" s="304"/>
      <c r="GH875" s="304"/>
      <c r="GI875" s="304"/>
      <c r="GJ875" s="304"/>
      <c r="GK875" s="304"/>
      <c r="GL875" s="304"/>
      <c r="GM875" s="304"/>
      <c r="GN875" s="304"/>
      <c r="GO875" s="304"/>
      <c r="GP875" s="308"/>
      <c r="GQ875" s="59"/>
      <c r="GR875" s="60"/>
      <c r="GS875" s="61"/>
      <c r="GT875" s="49"/>
      <c r="GU875" s="49"/>
      <c r="GV875" s="49"/>
      <c r="GW875" s="49"/>
      <c r="GX875" s="49"/>
      <c r="GY875" s="49"/>
      <c r="GZ875" s="49"/>
      <c r="HA875" s="208"/>
      <c r="HB875" s="231"/>
      <c r="HC875" s="231"/>
      <c r="HD875" s="231"/>
      <c r="HE875" s="231"/>
      <c r="HF875" s="231"/>
      <c r="HG875" s="231"/>
      <c r="HH875" s="231"/>
      <c r="HI875" s="232"/>
      <c r="KM875" s="12"/>
      <c r="KN875" s="317"/>
      <c r="KO875" s="317"/>
      <c r="KP875" s="317"/>
      <c r="KQ875" s="317"/>
      <c r="KR875" s="317"/>
      <c r="KS875" s="317"/>
      <c r="KT875" s="317"/>
      <c r="KU875" s="317"/>
      <c r="KV875" s="317"/>
      <c r="KW875" s="317"/>
      <c r="KX875" s="317"/>
      <c r="KY875" s="317"/>
      <c r="KZ875" s="317"/>
      <c r="LA875" s="317"/>
      <c r="LB875" s="317"/>
      <c r="LC875" s="317"/>
      <c r="LD875" s="317"/>
      <c r="LE875" s="317"/>
      <c r="LF875" s="317"/>
      <c r="LG875" s="317"/>
      <c r="LH875" s="317"/>
      <c r="LI875" s="317"/>
      <c r="LJ875" s="317"/>
      <c r="LK875" s="317"/>
      <c r="LL875" s="317"/>
      <c r="LM875" s="317"/>
      <c r="LN875" s="317"/>
      <c r="LO875" s="317"/>
      <c r="LP875" s="317"/>
      <c r="LQ875" s="317"/>
      <c r="LR875" s="317"/>
      <c r="LS875" s="317"/>
      <c r="LT875" s="317"/>
      <c r="LU875" s="317"/>
      <c r="LV875" s="317"/>
      <c r="LW875" s="317"/>
      <c r="LX875" s="317"/>
      <c r="LY875" s="317"/>
      <c r="LZ875" s="317"/>
      <c r="MA875" s="317"/>
      <c r="MB875" s="317"/>
      <c r="MC875" s="317"/>
      <c r="MD875" s="317"/>
      <c r="ME875" s="317"/>
      <c r="MF875" s="317"/>
      <c r="MG875" s="317"/>
      <c r="MH875" s="317"/>
      <c r="MI875" s="317"/>
      <c r="MJ875" s="317"/>
      <c r="MK875" s="317"/>
      <c r="ML875" s="317"/>
      <c r="MM875" s="317"/>
      <c r="MN875" s="317"/>
      <c r="MO875" s="317"/>
      <c r="MP875" s="317"/>
      <c r="MQ875" s="317"/>
      <c r="MR875" s="317"/>
      <c r="MS875" s="317"/>
      <c r="MT875" s="13"/>
      <c r="MU875" s="317"/>
      <c r="MV875" s="317"/>
      <c r="MW875" s="317"/>
      <c r="MX875" s="317"/>
      <c r="MY875" s="317"/>
      <c r="MZ875" s="13"/>
      <c r="NA875" s="12"/>
      <c r="NB875" s="317"/>
      <c r="NC875" s="317"/>
      <c r="ND875" s="317"/>
      <c r="NE875" s="317"/>
      <c r="NF875" s="317"/>
      <c r="NG875" s="317"/>
      <c r="NH875" s="317"/>
      <c r="NI875" s="317"/>
      <c r="NJ875" s="317"/>
      <c r="NK875" s="317"/>
      <c r="NL875" s="317"/>
      <c r="NM875" s="12"/>
      <c r="NN875" s="317"/>
      <c r="NO875" s="317"/>
      <c r="NP875" s="317"/>
      <c r="NQ875" s="317"/>
      <c r="NR875" s="317"/>
      <c r="NS875" s="317"/>
      <c r="NT875" s="317"/>
      <c r="NU875" s="317"/>
      <c r="NV875" s="317"/>
      <c r="NW875" s="317"/>
      <c r="NX875" s="317"/>
      <c r="NY875" s="317"/>
      <c r="NZ875" s="317"/>
      <c r="OA875" s="317"/>
      <c r="OB875" s="317"/>
      <c r="OC875" s="317"/>
      <c r="OD875" s="317"/>
      <c r="OE875" s="317"/>
      <c r="OF875" s="317"/>
      <c r="OG875" s="317"/>
      <c r="OH875" s="317"/>
      <c r="OI875" s="317"/>
      <c r="OJ875" s="317"/>
      <c r="OK875" s="317"/>
      <c r="OL875" s="317"/>
      <c r="OM875" s="317"/>
      <c r="ON875" s="317"/>
      <c r="OO875" s="317"/>
      <c r="OP875" s="317"/>
      <c r="OQ875" s="317"/>
      <c r="OR875" s="317"/>
      <c r="OS875" s="317"/>
      <c r="OT875" s="317"/>
      <c r="OU875" s="317"/>
      <c r="OV875" s="13"/>
      <c r="OW875" s="317"/>
      <c r="OX875" s="317"/>
      <c r="OY875" s="317"/>
      <c r="OZ875" s="317"/>
      <c r="PA875" s="317"/>
      <c r="PB875" s="317"/>
      <c r="PC875" s="317"/>
      <c r="PD875" s="317"/>
      <c r="PE875" s="317"/>
      <c r="PF875" s="317"/>
      <c r="PG875" s="317"/>
      <c r="PH875" s="317"/>
      <c r="PI875" s="317"/>
      <c r="PJ875" s="317"/>
      <c r="PK875" s="317"/>
      <c r="PL875" s="317"/>
      <c r="PM875" s="317"/>
      <c r="PN875" s="317"/>
      <c r="PO875" s="317"/>
      <c r="PP875" s="317"/>
      <c r="PQ875" s="317"/>
      <c r="PR875" s="14"/>
      <c r="PS875" s="15"/>
      <c r="PT875" s="15"/>
      <c r="PU875" s="15"/>
      <c r="PV875" s="15"/>
      <c r="PW875" s="15"/>
      <c r="PX875" s="15"/>
      <c r="PY875" s="15"/>
      <c r="PZ875" s="15"/>
      <c r="QA875" s="15"/>
      <c r="QB875" s="15"/>
      <c r="QC875" s="16"/>
      <c r="QD875" s="317"/>
      <c r="QE875" s="317"/>
      <c r="QF875" s="317"/>
      <c r="QG875" s="317"/>
      <c r="QH875" s="317"/>
      <c r="QI875" s="317"/>
      <c r="QJ875" s="317"/>
      <c r="QK875" s="317"/>
      <c r="QL875" s="317"/>
      <c r="QM875" s="317"/>
      <c r="QN875" s="317"/>
      <c r="QO875" s="317"/>
      <c r="QP875" s="317"/>
      <c r="QQ875" s="317"/>
      <c r="QR875" s="317"/>
      <c r="QS875" s="317"/>
      <c r="QT875" s="317"/>
      <c r="QU875" s="317"/>
      <c r="QV875" s="317"/>
      <c r="QW875" s="317"/>
      <c r="QX875" s="317"/>
      <c r="QY875" s="317"/>
      <c r="QZ875" s="317"/>
      <c r="RA875" s="317"/>
      <c r="RB875" s="317"/>
      <c r="RC875" s="317"/>
      <c r="RD875" s="317"/>
      <c r="RE875" s="317"/>
      <c r="RF875" s="317"/>
      <c r="RG875" s="317"/>
      <c r="RH875" s="317"/>
      <c r="RI875" s="317"/>
      <c r="RJ875" s="317"/>
      <c r="RK875" s="317"/>
      <c r="RL875" s="317"/>
      <c r="RM875" s="13"/>
      <c r="RN875" s="317"/>
      <c r="RO875" s="317"/>
      <c r="RP875" s="13"/>
      <c r="RQ875" s="317"/>
      <c r="RR875" s="317"/>
      <c r="RS875" s="317"/>
      <c r="RT875" s="317"/>
      <c r="RU875" s="317"/>
      <c r="RV875" s="13"/>
      <c r="TV875" s="12"/>
      <c r="WL875" s="13"/>
    </row>
    <row r="876" spans="82:610" ht="10.75" customHeight="1">
      <c r="CJ876" s="12"/>
      <c r="CS876" s="13"/>
      <c r="CT876" s="40"/>
      <c r="CU876" s="41"/>
      <c r="CV876" s="44"/>
      <c r="CW876" s="12"/>
      <c r="ES876" s="160"/>
      <c r="ET876" s="161"/>
      <c r="FA876" s="291"/>
      <c r="GP876" s="13"/>
      <c r="GQ876" s="43"/>
      <c r="GR876" s="43"/>
      <c r="GS876" s="45"/>
      <c r="GT876" s="49"/>
      <c r="GU876" s="49"/>
      <c r="GV876" s="49"/>
      <c r="GW876" s="49"/>
      <c r="GX876" s="49"/>
      <c r="GY876" s="49"/>
      <c r="GZ876" s="49"/>
      <c r="HA876" s="208"/>
      <c r="HB876" s="231"/>
      <c r="HC876" s="231"/>
      <c r="HD876" s="231"/>
      <c r="HE876" s="231"/>
      <c r="HF876" s="231"/>
      <c r="HG876" s="231"/>
      <c r="HH876" s="231"/>
      <c r="HI876" s="232"/>
      <c r="KM876" s="12"/>
      <c r="KN876" s="317"/>
      <c r="KO876" s="317"/>
      <c r="KP876" s="317"/>
      <c r="KQ876" s="317"/>
      <c r="KR876" s="317"/>
      <c r="KS876" s="317"/>
      <c r="KT876" s="317"/>
      <c r="KU876" s="317"/>
      <c r="KV876" s="317"/>
      <c r="KW876" s="317"/>
      <c r="KX876" s="317"/>
      <c r="KY876" s="317"/>
      <c r="KZ876" s="317"/>
      <c r="LA876" s="317"/>
      <c r="LB876" s="317"/>
      <c r="LC876" s="317"/>
      <c r="LD876" s="317"/>
      <c r="LE876" s="317"/>
      <c r="LF876" s="317"/>
      <c r="LG876" s="317"/>
      <c r="LH876" s="317"/>
      <c r="LI876" s="317"/>
      <c r="LJ876" s="317"/>
      <c r="LK876" s="317"/>
      <c r="LL876" s="317"/>
      <c r="LM876" s="317"/>
      <c r="LN876" s="317"/>
      <c r="LO876" s="317"/>
      <c r="LP876" s="317"/>
      <c r="LQ876" s="317"/>
      <c r="LR876" s="317"/>
      <c r="LS876" s="317"/>
      <c r="LT876" s="317"/>
      <c r="LU876" s="317"/>
      <c r="LV876" s="317"/>
      <c r="LW876" s="317"/>
      <c r="LX876" s="317"/>
      <c r="LY876" s="317"/>
      <c r="LZ876" s="317"/>
      <c r="MA876" s="317"/>
      <c r="MB876" s="317"/>
      <c r="MC876" s="317"/>
      <c r="MD876" s="317"/>
      <c r="ME876" s="317"/>
      <c r="MF876" s="317"/>
      <c r="MG876" s="317"/>
      <c r="MH876" s="317"/>
      <c r="MI876" s="317"/>
      <c r="MJ876" s="317"/>
      <c r="MK876" s="317"/>
      <c r="ML876" s="317"/>
      <c r="MM876" s="317"/>
      <c r="MN876" s="317"/>
      <c r="MO876" s="317"/>
      <c r="MP876" s="317"/>
      <c r="MQ876" s="317"/>
      <c r="MR876" s="317"/>
      <c r="MS876" s="317"/>
      <c r="MT876" s="13"/>
      <c r="MU876" s="317"/>
      <c r="MV876" s="317"/>
      <c r="MW876" s="317"/>
      <c r="MX876" s="317"/>
      <c r="MY876" s="317"/>
      <c r="MZ876" s="13"/>
      <c r="NA876" s="12"/>
      <c r="NB876" s="317"/>
      <c r="NC876" s="317"/>
      <c r="ND876" s="317"/>
      <c r="NE876" s="317"/>
      <c r="NF876" s="317"/>
      <c r="NG876" s="317"/>
      <c r="NH876" s="317"/>
      <c r="NI876" s="317"/>
      <c r="NJ876" s="317"/>
      <c r="NK876" s="317"/>
      <c r="NL876" s="317"/>
      <c r="NM876" s="12"/>
      <c r="NN876" s="317"/>
      <c r="NO876" s="317"/>
      <c r="NP876" s="317"/>
      <c r="NQ876" s="317"/>
      <c r="NR876" s="317"/>
      <c r="NS876" s="317"/>
      <c r="NT876" s="317"/>
      <c r="NU876" s="317"/>
      <c r="NV876" s="317"/>
      <c r="NW876" s="317"/>
      <c r="NX876" s="317"/>
      <c r="NY876" s="317"/>
      <c r="NZ876" s="317"/>
      <c r="OA876" s="317"/>
      <c r="OB876" s="317"/>
      <c r="OC876" s="317"/>
      <c r="OD876" s="317"/>
      <c r="OE876" s="317"/>
      <c r="OF876" s="317"/>
      <c r="OG876" s="317"/>
      <c r="OH876" s="317"/>
      <c r="OI876" s="317"/>
      <c r="OJ876" s="317"/>
      <c r="OK876" s="317"/>
      <c r="OL876" s="317"/>
      <c r="OM876" s="317"/>
      <c r="ON876" s="317"/>
      <c r="OO876" s="317"/>
      <c r="OP876" s="317"/>
      <c r="OQ876" s="317"/>
      <c r="OR876" s="317"/>
      <c r="OS876" s="317"/>
      <c r="OT876" s="317"/>
      <c r="OU876" s="317"/>
      <c r="OV876" s="13"/>
      <c r="OW876" s="317"/>
      <c r="OX876" s="317"/>
      <c r="OY876" s="317"/>
      <c r="OZ876" s="317"/>
      <c r="PA876" s="317"/>
      <c r="PB876" s="317"/>
      <c r="PC876" s="317"/>
      <c r="PD876" s="317"/>
      <c r="PE876" s="317"/>
      <c r="PF876" s="317"/>
      <c r="PG876" s="317"/>
      <c r="PH876" s="317"/>
      <c r="PI876" s="317"/>
      <c r="PJ876" s="317"/>
      <c r="PK876" s="317"/>
      <c r="PL876" s="317"/>
      <c r="PM876" s="317"/>
      <c r="PN876" s="317"/>
      <c r="PO876" s="317"/>
      <c r="PP876" s="317"/>
      <c r="PQ876" s="317"/>
      <c r="PR876" s="317"/>
      <c r="PS876" s="317"/>
      <c r="PT876" s="317"/>
      <c r="PU876" s="317"/>
      <c r="PV876" s="317"/>
      <c r="PW876" s="317"/>
      <c r="PX876" s="317"/>
      <c r="PY876" s="317"/>
      <c r="PZ876" s="317"/>
      <c r="QA876" s="317"/>
      <c r="QB876" s="317"/>
      <c r="QC876" s="317"/>
      <c r="QD876" s="9"/>
      <c r="QE876" s="10"/>
      <c r="QF876" s="10"/>
      <c r="QG876" s="10"/>
      <c r="QH876" s="10"/>
      <c r="QI876" s="10"/>
      <c r="QJ876" s="10"/>
      <c r="QK876" s="10"/>
      <c r="QL876" s="10"/>
      <c r="QM876" s="10"/>
      <c r="QN876" s="10"/>
      <c r="QO876" s="11"/>
      <c r="QP876" s="317"/>
      <c r="QQ876" s="317"/>
      <c r="QR876" s="317"/>
      <c r="QS876" s="317"/>
      <c r="QT876" s="317"/>
      <c r="QU876" s="317"/>
      <c r="QV876" s="317"/>
      <c r="QW876" s="317"/>
      <c r="QX876" s="317"/>
      <c r="QY876" s="317"/>
      <c r="QZ876" s="317"/>
      <c r="RA876" s="317"/>
      <c r="RB876" s="317"/>
      <c r="RC876" s="317"/>
      <c r="RD876" s="317"/>
      <c r="RE876" s="317"/>
      <c r="RF876" s="317"/>
      <c r="RG876" s="317"/>
      <c r="RH876" s="317"/>
      <c r="RI876" s="317"/>
      <c r="RJ876" s="317"/>
      <c r="RK876" s="317"/>
      <c r="RL876" s="317"/>
      <c r="RM876" s="13"/>
      <c r="RN876" s="317"/>
      <c r="RO876" s="317"/>
      <c r="RP876" s="13"/>
      <c r="RQ876" s="317"/>
      <c r="RR876" s="317"/>
      <c r="RS876" s="317"/>
      <c r="RT876" s="317"/>
      <c r="RU876" s="317"/>
      <c r="RV876" s="13"/>
      <c r="TV876" s="12"/>
      <c r="WL876" s="13"/>
    </row>
    <row r="877" spans="82:610" ht="10.75" customHeight="1">
      <c r="CJ877" s="12"/>
      <c r="CS877" s="13"/>
      <c r="CT877" s="42"/>
      <c r="CU877" s="43"/>
      <c r="CV877" s="45"/>
      <c r="CW877" s="12"/>
      <c r="ES877" s="160"/>
      <c r="ET877" s="161"/>
      <c r="FA877" s="291"/>
      <c r="GP877" s="13"/>
      <c r="GQ877" s="43"/>
      <c r="GR877" s="43"/>
      <c r="GS877" s="45"/>
      <c r="GT877" s="49"/>
      <c r="GU877" s="49"/>
      <c r="GV877" s="49"/>
      <c r="GW877" s="49"/>
      <c r="GX877" s="49"/>
      <c r="GY877" s="49"/>
      <c r="GZ877" s="49"/>
      <c r="HA877" s="208"/>
      <c r="HB877" s="231"/>
      <c r="HC877" s="231"/>
      <c r="HD877" s="231"/>
      <c r="HE877" s="231"/>
      <c r="HF877" s="231"/>
      <c r="HG877" s="231"/>
      <c r="HH877" s="231"/>
      <c r="HI877" s="232"/>
      <c r="KM877" s="12"/>
      <c r="KN877" s="317"/>
      <c r="KO877" s="317"/>
      <c r="KP877" s="317"/>
      <c r="KQ877" s="317"/>
      <c r="KR877" s="317"/>
      <c r="KS877" s="317"/>
      <c r="KT877" s="317"/>
      <c r="KU877" s="317"/>
      <c r="KV877" s="317"/>
      <c r="KW877" s="317"/>
      <c r="KX877" s="317"/>
      <c r="KY877" s="317"/>
      <c r="KZ877" s="317"/>
      <c r="LA877" s="317"/>
      <c r="LB877" s="317"/>
      <c r="LC877" s="317"/>
      <c r="LD877" s="317"/>
      <c r="LE877" s="317"/>
      <c r="LF877" s="317"/>
      <c r="LG877" s="317"/>
      <c r="LH877" s="317"/>
      <c r="LI877" s="317"/>
      <c r="LJ877" s="317"/>
      <c r="LK877" s="317"/>
      <c r="LL877" s="317"/>
      <c r="LM877" s="317"/>
      <c r="LN877" s="317"/>
      <c r="LO877" s="317"/>
      <c r="LP877" s="317"/>
      <c r="LQ877" s="317"/>
      <c r="LR877" s="317"/>
      <c r="LS877" s="317"/>
      <c r="LT877" s="317"/>
      <c r="LU877" s="317"/>
      <c r="LV877" s="317"/>
      <c r="LW877" s="317"/>
      <c r="LX877" s="317"/>
      <c r="LY877" s="317"/>
      <c r="LZ877" s="317"/>
      <c r="MA877" s="317"/>
      <c r="MB877" s="317"/>
      <c r="MC877" s="317"/>
      <c r="MD877" s="317"/>
      <c r="ME877" s="317"/>
      <c r="MF877" s="317"/>
      <c r="MG877" s="317"/>
      <c r="MH877" s="317"/>
      <c r="MI877" s="317"/>
      <c r="MJ877" s="317"/>
      <c r="MK877" s="317"/>
      <c r="ML877" s="317"/>
      <c r="MM877" s="317"/>
      <c r="MN877" s="317"/>
      <c r="MO877" s="317"/>
      <c r="MP877" s="317"/>
      <c r="MQ877" s="317"/>
      <c r="MR877" s="317"/>
      <c r="MS877" s="317"/>
      <c r="MT877" s="13"/>
      <c r="MU877" s="317"/>
      <c r="MV877" s="317"/>
      <c r="MW877" s="317"/>
      <c r="MX877" s="317"/>
      <c r="MY877" s="317"/>
      <c r="MZ877" s="13"/>
      <c r="NA877" s="12"/>
      <c r="NB877" s="317"/>
      <c r="NC877" s="317"/>
      <c r="ND877" s="317"/>
      <c r="NE877" s="317"/>
      <c r="NF877" s="317"/>
      <c r="NG877" s="317"/>
      <c r="NH877" s="317"/>
      <c r="NI877" s="317"/>
      <c r="NJ877" s="317"/>
      <c r="NK877" s="317"/>
      <c r="NL877" s="317"/>
      <c r="NM877" s="12"/>
      <c r="NN877" s="317"/>
      <c r="NO877" s="317"/>
      <c r="NP877" s="317"/>
      <c r="NQ877" s="317"/>
      <c r="NR877" s="317"/>
      <c r="NS877" s="317"/>
      <c r="NT877" s="317"/>
      <c r="NU877" s="317"/>
      <c r="NV877" s="317"/>
      <c r="NW877" s="317"/>
      <c r="NX877" s="317"/>
      <c r="NY877" s="317"/>
      <c r="NZ877" s="317"/>
      <c r="OA877" s="317"/>
      <c r="OB877" s="317"/>
      <c r="OC877" s="317"/>
      <c r="OD877" s="317"/>
      <c r="OE877" s="317"/>
      <c r="OF877" s="317"/>
      <c r="OG877" s="317"/>
      <c r="OH877" s="317"/>
      <c r="OI877" s="317"/>
      <c r="OJ877" s="317"/>
      <c r="OK877" s="317"/>
      <c r="OL877" s="317"/>
      <c r="OM877" s="317"/>
      <c r="ON877" s="317"/>
      <c r="OO877" s="317"/>
      <c r="OP877" s="317"/>
      <c r="OQ877" s="317"/>
      <c r="OR877" s="317"/>
      <c r="OS877" s="317"/>
      <c r="OT877" s="317"/>
      <c r="OU877" s="317"/>
      <c r="OV877" s="13"/>
      <c r="OW877" s="317"/>
      <c r="OX877" s="317"/>
      <c r="OY877" s="317"/>
      <c r="OZ877" s="317"/>
      <c r="PA877" s="317"/>
      <c r="PB877" s="317"/>
      <c r="PC877" s="317"/>
      <c r="PD877" s="317"/>
      <c r="PE877" s="317"/>
      <c r="PF877" s="317"/>
      <c r="PG877" s="317"/>
      <c r="PH877" s="317"/>
      <c r="PI877" s="317"/>
      <c r="PJ877" s="317"/>
      <c r="PK877" s="317"/>
      <c r="PL877" s="317"/>
      <c r="PM877" s="317"/>
      <c r="PN877" s="317"/>
      <c r="PO877" s="317"/>
      <c r="PP877" s="317"/>
      <c r="PQ877" s="317"/>
      <c r="PR877" s="317"/>
      <c r="PS877" s="317"/>
      <c r="PT877" s="317"/>
      <c r="PU877" s="317"/>
      <c r="PV877" s="317"/>
      <c r="PW877" s="317"/>
      <c r="PX877" s="317"/>
      <c r="PY877" s="317"/>
      <c r="PZ877" s="317"/>
      <c r="QA877" s="317"/>
      <c r="QB877" s="317"/>
      <c r="QC877" s="317"/>
      <c r="QD877" s="12"/>
      <c r="QE877" s="317"/>
      <c r="QF877" s="317"/>
      <c r="QG877" s="317"/>
      <c r="QH877" s="317"/>
      <c r="QI877" s="317"/>
      <c r="QJ877" s="317"/>
      <c r="QK877" s="317"/>
      <c r="QL877" s="317"/>
      <c r="QM877" s="317"/>
      <c r="QN877" s="317"/>
      <c r="QO877" s="13"/>
      <c r="QP877" s="317"/>
      <c r="QQ877" s="317"/>
      <c r="QR877" s="317"/>
      <c r="QS877" s="317"/>
      <c r="QT877" s="317"/>
      <c r="QU877" s="317"/>
      <c r="QV877" s="317"/>
      <c r="QW877" s="317"/>
      <c r="QX877" s="317"/>
      <c r="QY877" s="317"/>
      <c r="QZ877" s="317"/>
      <c r="RA877" s="317"/>
      <c r="RB877" s="317"/>
      <c r="RC877" s="317"/>
      <c r="RD877" s="317"/>
      <c r="RE877" s="317"/>
      <c r="RF877" s="317"/>
      <c r="RG877" s="317"/>
      <c r="RH877" s="317"/>
      <c r="RI877" s="317"/>
      <c r="RJ877" s="317"/>
      <c r="RK877" s="317"/>
      <c r="RL877" s="317"/>
      <c r="RM877" s="13"/>
      <c r="RN877" s="317"/>
      <c r="RO877" s="317"/>
      <c r="RP877" s="13"/>
      <c r="RQ877" s="317"/>
      <c r="RR877" s="317"/>
      <c r="RS877" s="317"/>
      <c r="RT877" s="317"/>
      <c r="RU877" s="317"/>
      <c r="RV877" s="13"/>
      <c r="TV877" s="12"/>
      <c r="WL877" s="13"/>
    </row>
    <row r="878" spans="82:610" ht="10.75" customHeight="1">
      <c r="CJ878" s="9"/>
      <c r="CK878" s="10"/>
      <c r="CL878" s="10"/>
      <c r="CM878" s="10"/>
      <c r="CN878" s="10"/>
      <c r="CO878" s="10"/>
      <c r="CP878" s="10"/>
      <c r="CQ878" s="10"/>
      <c r="CR878" s="10"/>
      <c r="CS878" s="11"/>
      <c r="CT878" s="42"/>
      <c r="CU878" s="43"/>
      <c r="CV878" s="45"/>
      <c r="CW878" s="12"/>
      <c r="ES878" s="160"/>
      <c r="ET878" s="161"/>
      <c r="FA878" s="291"/>
      <c r="GP878" s="13"/>
      <c r="GQ878" s="43"/>
      <c r="GR878" s="43"/>
      <c r="GS878" s="45"/>
      <c r="GT878" s="49"/>
      <c r="GU878" s="49"/>
      <c r="GV878" s="49"/>
      <c r="GW878" s="49"/>
      <c r="GX878" s="49"/>
      <c r="GY878" s="49"/>
      <c r="GZ878" s="49"/>
      <c r="HA878" s="208"/>
      <c r="HB878" s="231"/>
      <c r="HC878" s="231"/>
      <c r="HD878" s="231"/>
      <c r="HE878" s="231"/>
      <c r="HF878" s="231"/>
      <c r="HG878" s="231"/>
      <c r="HH878" s="231"/>
      <c r="HI878" s="232"/>
      <c r="KM878" s="12"/>
      <c r="KN878" s="317"/>
      <c r="KO878" s="317"/>
      <c r="KP878" s="317"/>
      <c r="KQ878" s="317"/>
      <c r="KR878" s="317"/>
      <c r="KS878" s="317"/>
      <c r="KT878" s="317"/>
      <c r="KU878" s="317"/>
      <c r="KV878" s="317"/>
      <c r="KW878" s="317"/>
      <c r="KX878" s="317"/>
      <c r="KY878" s="317"/>
      <c r="KZ878" s="317"/>
      <c r="LA878" s="317"/>
      <c r="LB878" s="317"/>
      <c r="LC878" s="317"/>
      <c r="LD878" s="317"/>
      <c r="LE878" s="317"/>
      <c r="LF878" s="317"/>
      <c r="LG878" s="317"/>
      <c r="LH878" s="317"/>
      <c r="LI878" s="317"/>
      <c r="LJ878" s="317"/>
      <c r="LK878" s="317"/>
      <c r="LL878" s="317"/>
      <c r="LM878" s="317"/>
      <c r="LN878" s="317"/>
      <c r="LO878" s="317"/>
      <c r="LP878" s="317"/>
      <c r="LQ878" s="317"/>
      <c r="LR878" s="317"/>
      <c r="LS878" s="317"/>
      <c r="LT878" s="317"/>
      <c r="LU878" s="317"/>
      <c r="LV878" s="317"/>
      <c r="LW878" s="317"/>
      <c r="LX878" s="317"/>
      <c r="LY878" s="317"/>
      <c r="LZ878" s="317"/>
      <c r="MA878" s="317"/>
      <c r="MB878" s="317"/>
      <c r="MC878" s="317"/>
      <c r="MD878" s="317"/>
      <c r="ME878" s="317"/>
      <c r="MF878" s="317"/>
      <c r="MG878" s="317"/>
      <c r="MH878" s="317"/>
      <c r="MI878" s="317"/>
      <c r="MJ878" s="317"/>
      <c r="MK878" s="317"/>
      <c r="ML878" s="317"/>
      <c r="MM878" s="317"/>
      <c r="MN878" s="317"/>
      <c r="MO878" s="317"/>
      <c r="MP878" s="317"/>
      <c r="MQ878" s="317"/>
      <c r="MR878" s="317"/>
      <c r="MS878" s="317"/>
      <c r="MT878" s="13"/>
      <c r="MU878" s="317"/>
      <c r="MV878" s="317"/>
      <c r="MW878" s="317"/>
      <c r="MX878" s="317"/>
      <c r="MY878" s="317"/>
      <c r="MZ878" s="13"/>
      <c r="NA878" s="12"/>
      <c r="NB878" s="317"/>
      <c r="NC878" s="317"/>
      <c r="ND878" s="317"/>
      <c r="NE878" s="317"/>
      <c r="NF878" s="317"/>
      <c r="NG878" s="317"/>
      <c r="NH878" s="317"/>
      <c r="NI878" s="317"/>
      <c r="NJ878" s="317"/>
      <c r="NK878" s="317"/>
      <c r="NL878" s="317"/>
      <c r="NM878" s="12"/>
      <c r="NN878" s="317"/>
      <c r="NO878" s="317"/>
      <c r="NP878" s="317"/>
      <c r="NQ878" s="317"/>
      <c r="NR878" s="317"/>
      <c r="NS878" s="317"/>
      <c r="NT878" s="317"/>
      <c r="NU878" s="317"/>
      <c r="NV878" s="317"/>
      <c r="NW878" s="317"/>
      <c r="NX878" s="317"/>
      <c r="NY878" s="317"/>
      <c r="NZ878" s="317"/>
      <c r="OA878" s="317"/>
      <c r="OB878" s="317"/>
      <c r="OC878" s="317"/>
      <c r="OD878" s="317"/>
      <c r="OE878" s="317"/>
      <c r="OF878" s="317"/>
      <c r="OG878" s="317"/>
      <c r="OH878" s="317"/>
      <c r="OI878" s="317"/>
      <c r="OJ878" s="317"/>
      <c r="OK878" s="317"/>
      <c r="OL878" s="317"/>
      <c r="OM878" s="317"/>
      <c r="ON878" s="317"/>
      <c r="OO878" s="317"/>
      <c r="OP878" s="317"/>
      <c r="OQ878" s="317"/>
      <c r="OR878" s="317"/>
      <c r="OS878" s="317"/>
      <c r="OT878" s="317"/>
      <c r="OU878" s="317"/>
      <c r="OV878" s="13"/>
      <c r="OW878" s="317"/>
      <c r="OX878" s="317"/>
      <c r="OY878" s="317"/>
      <c r="OZ878" s="317"/>
      <c r="PA878" s="317"/>
      <c r="PB878" s="317"/>
      <c r="PC878" s="317"/>
      <c r="PD878" s="317"/>
      <c r="PE878" s="317"/>
      <c r="PF878" s="317"/>
      <c r="PG878" s="317"/>
      <c r="PH878" s="317"/>
      <c r="PI878" s="317"/>
      <c r="PJ878" s="317"/>
      <c r="PK878" s="317"/>
      <c r="PL878" s="317"/>
      <c r="PM878" s="317"/>
      <c r="PN878" s="317"/>
      <c r="PO878" s="317"/>
      <c r="PP878" s="317"/>
      <c r="PQ878" s="317"/>
      <c r="PR878" s="317"/>
      <c r="PS878" s="317"/>
      <c r="PT878" s="317"/>
      <c r="PU878" s="317"/>
      <c r="PV878" s="317"/>
      <c r="PW878" s="317"/>
      <c r="PX878" s="317"/>
      <c r="PY878" s="317"/>
      <c r="PZ878" s="317"/>
      <c r="QA878" s="317"/>
      <c r="QB878" s="317"/>
      <c r="QC878" s="317"/>
      <c r="QD878" s="12"/>
      <c r="QE878" s="317"/>
      <c r="QF878" s="317"/>
      <c r="QG878" s="317"/>
      <c r="QH878" s="317"/>
      <c r="QI878" s="317"/>
      <c r="QJ878" s="317"/>
      <c r="QK878" s="317"/>
      <c r="QL878" s="317"/>
      <c r="QM878" s="317"/>
      <c r="QN878" s="317"/>
      <c r="QO878" s="13"/>
      <c r="QP878" s="317"/>
      <c r="QQ878" s="317"/>
      <c r="QR878" s="317"/>
      <c r="QS878" s="317"/>
      <c r="QT878" s="317"/>
      <c r="QU878" s="317"/>
      <c r="QV878" s="317"/>
      <c r="QW878" s="317"/>
      <c r="QX878" s="317"/>
      <c r="QY878" s="317"/>
      <c r="QZ878" s="317"/>
      <c r="RA878" s="317"/>
      <c r="RB878" s="317"/>
      <c r="RC878" s="317"/>
      <c r="RD878" s="317"/>
      <c r="RE878" s="317"/>
      <c r="RF878" s="317"/>
      <c r="RG878" s="317"/>
      <c r="RH878" s="317"/>
      <c r="RI878" s="317"/>
      <c r="RJ878" s="317"/>
      <c r="RK878" s="317"/>
      <c r="RL878" s="317"/>
      <c r="RM878" s="13"/>
      <c r="RN878" s="317"/>
      <c r="RO878" s="317"/>
      <c r="RP878" s="13"/>
      <c r="RQ878" s="317"/>
      <c r="RR878" s="317"/>
      <c r="RS878" s="317"/>
      <c r="RT878" s="317"/>
      <c r="RU878" s="317"/>
      <c r="RV878" s="13"/>
      <c r="TV878" s="12"/>
      <c r="WL878" s="13"/>
    </row>
    <row r="879" spans="82:610" ht="10.75" customHeight="1">
      <c r="CJ879" s="12"/>
      <c r="CS879" s="13"/>
      <c r="CT879" s="42"/>
      <c r="CU879" s="43"/>
      <c r="CV879" s="45"/>
      <c r="CW879" s="12"/>
      <c r="ES879" s="160"/>
      <c r="ET879" s="161"/>
      <c r="FA879" s="291"/>
      <c r="GP879" s="13"/>
      <c r="GQ879" s="43"/>
      <c r="GR879" s="43"/>
      <c r="GS879" s="45"/>
      <c r="GT879" s="49"/>
      <c r="GU879" s="49"/>
      <c r="GV879" s="49"/>
      <c r="GW879" s="49"/>
      <c r="GX879" s="49"/>
      <c r="GY879" s="49"/>
      <c r="GZ879" s="49"/>
      <c r="HA879" s="208"/>
      <c r="HB879" s="231"/>
      <c r="HC879" s="231"/>
      <c r="HD879" s="231"/>
      <c r="HE879" s="231"/>
      <c r="HF879" s="231"/>
      <c r="HG879" s="231"/>
      <c r="HH879" s="231"/>
      <c r="HI879" s="232"/>
      <c r="KM879" s="12"/>
      <c r="KN879" s="317"/>
      <c r="KO879" s="317"/>
      <c r="KP879" s="317"/>
      <c r="KQ879" s="317"/>
      <c r="KR879" s="317"/>
      <c r="KS879" s="317"/>
      <c r="KT879" s="317"/>
      <c r="KU879" s="317"/>
      <c r="KV879" s="317"/>
      <c r="KW879" s="317"/>
      <c r="KX879" s="317"/>
      <c r="KY879" s="317"/>
      <c r="KZ879" s="317"/>
      <c r="LA879" s="317"/>
      <c r="LB879" s="317"/>
      <c r="LC879" s="317"/>
      <c r="LD879" s="317"/>
      <c r="LE879" s="317"/>
      <c r="LF879" s="317"/>
      <c r="LG879" s="317"/>
      <c r="LH879" s="317"/>
      <c r="LI879" s="317"/>
      <c r="LJ879" s="317"/>
      <c r="LK879" s="317"/>
      <c r="LL879" s="317"/>
      <c r="LM879" s="317"/>
      <c r="LN879" s="317"/>
      <c r="LO879" s="317"/>
      <c r="LP879" s="317"/>
      <c r="LQ879" s="317"/>
      <c r="LR879" s="317"/>
      <c r="LS879" s="317"/>
      <c r="LT879" s="317"/>
      <c r="LU879" s="317"/>
      <c r="LV879" s="317"/>
      <c r="LW879" s="317"/>
      <c r="LX879" s="317"/>
      <c r="LY879" s="317"/>
      <c r="LZ879" s="317"/>
      <c r="MA879" s="317"/>
      <c r="MB879" s="317"/>
      <c r="MC879" s="317"/>
      <c r="MD879" s="317"/>
      <c r="ME879" s="317"/>
      <c r="MF879" s="317"/>
      <c r="MG879" s="317"/>
      <c r="MH879" s="317"/>
      <c r="MI879" s="317"/>
      <c r="MJ879" s="317"/>
      <c r="MK879" s="317"/>
      <c r="ML879" s="317"/>
      <c r="MM879" s="317"/>
      <c r="MN879" s="317"/>
      <c r="MO879" s="317"/>
      <c r="MP879" s="317"/>
      <c r="MQ879" s="317"/>
      <c r="MR879" s="317"/>
      <c r="MS879" s="317"/>
      <c r="MT879" s="13"/>
      <c r="MU879" s="317"/>
      <c r="MV879" s="317"/>
      <c r="MW879" s="317"/>
      <c r="MX879" s="317"/>
      <c r="MY879" s="317"/>
      <c r="MZ879" s="13"/>
      <c r="NA879" s="12"/>
      <c r="NB879" s="317"/>
      <c r="NC879" s="317"/>
      <c r="ND879" s="317"/>
      <c r="NE879" s="317"/>
      <c r="NF879" s="317"/>
      <c r="NG879" s="317"/>
      <c r="NH879" s="317"/>
      <c r="NI879" s="317"/>
      <c r="NJ879" s="317"/>
      <c r="NK879" s="317"/>
      <c r="NL879" s="317"/>
      <c r="NM879" s="12"/>
      <c r="NN879" s="317"/>
      <c r="NO879" s="317"/>
      <c r="NP879" s="317"/>
      <c r="NQ879" s="317"/>
      <c r="NR879" s="317"/>
      <c r="NS879" s="317"/>
      <c r="NT879" s="317"/>
      <c r="NU879" s="317"/>
      <c r="NV879" s="317"/>
      <c r="NW879" s="317"/>
      <c r="NX879" s="317"/>
      <c r="NY879" s="317"/>
      <c r="NZ879" s="317"/>
      <c r="OA879" s="317"/>
      <c r="OB879" s="317"/>
      <c r="OC879" s="317"/>
      <c r="OD879" s="317"/>
      <c r="OE879" s="317"/>
      <c r="OF879" s="317"/>
      <c r="OG879" s="317"/>
      <c r="OH879" s="317"/>
      <c r="OI879" s="317"/>
      <c r="OJ879" s="317"/>
      <c r="OK879" s="317"/>
      <c r="OL879" s="317"/>
      <c r="OM879" s="317"/>
      <c r="ON879" s="317"/>
      <c r="OO879" s="317"/>
      <c r="OP879" s="317"/>
      <c r="OQ879" s="317"/>
      <c r="OR879" s="317"/>
      <c r="OS879" s="317"/>
      <c r="OT879" s="317"/>
      <c r="OU879" s="317"/>
      <c r="OV879" s="13"/>
      <c r="OW879" s="317"/>
      <c r="OX879" s="317"/>
      <c r="OY879" s="317"/>
      <c r="OZ879" s="317"/>
      <c r="PA879" s="317"/>
      <c r="PB879" s="317"/>
      <c r="PC879" s="317"/>
      <c r="PD879" s="317"/>
      <c r="PE879" s="317"/>
      <c r="PF879" s="317"/>
      <c r="PG879" s="317"/>
      <c r="PH879" s="317"/>
      <c r="PI879" s="317"/>
      <c r="PJ879" s="317"/>
      <c r="PK879" s="317"/>
      <c r="PL879" s="317"/>
      <c r="PM879" s="317"/>
      <c r="PN879" s="317"/>
      <c r="PO879" s="317"/>
      <c r="PP879" s="317"/>
      <c r="PQ879" s="317"/>
      <c r="PR879" s="317"/>
      <c r="PS879" s="317"/>
      <c r="PT879" s="317"/>
      <c r="PU879" s="317"/>
      <c r="PV879" s="317"/>
      <c r="PW879" s="317"/>
      <c r="PX879" s="317"/>
      <c r="PY879" s="317"/>
      <c r="PZ879" s="317"/>
      <c r="QA879" s="317"/>
      <c r="QB879" s="317"/>
      <c r="QC879" s="317"/>
      <c r="QD879" s="12"/>
      <c r="QE879" s="317"/>
      <c r="QF879" s="317"/>
      <c r="QG879" s="317"/>
      <c r="QH879" s="317"/>
      <c r="QI879" s="317"/>
      <c r="QJ879" s="317"/>
      <c r="QK879" s="317"/>
      <c r="QL879" s="317"/>
      <c r="QM879" s="317"/>
      <c r="QN879" s="317"/>
      <c r="QO879" s="13"/>
      <c r="QP879" s="317"/>
      <c r="QQ879" s="317"/>
      <c r="QR879" s="317"/>
      <c r="QS879" s="317"/>
      <c r="QT879" s="317"/>
      <c r="QU879" s="317"/>
      <c r="QV879" s="317"/>
      <c r="QW879" s="317"/>
      <c r="QX879" s="317"/>
      <c r="QY879" s="317"/>
      <c r="QZ879" s="317"/>
      <c r="RA879" s="317"/>
      <c r="RB879" s="317"/>
      <c r="RC879" s="317"/>
      <c r="RD879" s="317"/>
      <c r="RE879" s="317"/>
      <c r="RF879" s="317"/>
      <c r="RG879" s="317"/>
      <c r="RH879" s="317"/>
      <c r="RI879" s="317"/>
      <c r="RJ879" s="317"/>
      <c r="RK879" s="317"/>
      <c r="RL879" s="317"/>
      <c r="RM879" s="13"/>
      <c r="RN879" s="317"/>
      <c r="RO879" s="317"/>
      <c r="RP879" s="13"/>
      <c r="RQ879" s="317"/>
      <c r="RR879" s="317"/>
      <c r="RS879" s="317"/>
      <c r="RT879" s="317"/>
      <c r="RU879" s="317"/>
      <c r="RV879" s="13"/>
      <c r="TV879" s="12"/>
      <c r="WL879" s="13"/>
    </row>
    <row r="880" spans="82:610" ht="10.75" customHeight="1">
      <c r="CJ880" s="12"/>
      <c r="CS880" s="13"/>
      <c r="CT880" s="42"/>
      <c r="CU880" s="43"/>
      <c r="CV880" s="45"/>
      <c r="CW880" s="12"/>
      <c r="ES880" s="160"/>
      <c r="ET880" s="161"/>
      <c r="FA880" s="291"/>
      <c r="GP880" s="13"/>
      <c r="GQ880" s="43"/>
      <c r="GR880" s="43"/>
      <c r="GS880" s="45"/>
      <c r="GT880" s="49"/>
      <c r="GU880" s="49"/>
      <c r="GV880" s="49"/>
      <c r="GW880" s="49"/>
      <c r="GX880" s="49"/>
      <c r="GY880" s="49"/>
      <c r="GZ880" s="49"/>
      <c r="HA880" s="208"/>
      <c r="HB880" s="231"/>
      <c r="HC880" s="231"/>
      <c r="HD880" s="231"/>
      <c r="HE880" s="231"/>
      <c r="HF880" s="231"/>
      <c r="HG880" s="231"/>
      <c r="HH880" s="231"/>
      <c r="HI880" s="232"/>
      <c r="KM880" s="12"/>
      <c r="KN880" s="317"/>
      <c r="KO880" s="317"/>
      <c r="KP880" s="317"/>
      <c r="KQ880" s="317"/>
      <c r="KR880" s="317"/>
      <c r="KS880" s="317"/>
      <c r="KT880" s="317"/>
      <c r="KU880" s="317"/>
      <c r="KV880" s="317"/>
      <c r="KW880" s="317"/>
      <c r="KX880" s="317"/>
      <c r="KY880" s="317"/>
      <c r="KZ880" s="317"/>
      <c r="LA880" s="317"/>
      <c r="LB880" s="317"/>
      <c r="LC880" s="317"/>
      <c r="LD880" s="317"/>
      <c r="LE880" s="317"/>
      <c r="LF880" s="317"/>
      <c r="LG880" s="317"/>
      <c r="LH880" s="317"/>
      <c r="LI880" s="317"/>
      <c r="LJ880" s="317"/>
      <c r="LK880" s="317"/>
      <c r="LL880" s="317"/>
      <c r="LM880" s="317"/>
      <c r="LN880" s="317"/>
      <c r="LO880" s="317"/>
      <c r="LP880" s="317"/>
      <c r="LQ880" s="317"/>
      <c r="LR880" s="317"/>
      <c r="LS880" s="317"/>
      <c r="LT880" s="317"/>
      <c r="LU880" s="317"/>
      <c r="LV880" s="317"/>
      <c r="LW880" s="317"/>
      <c r="LX880" s="317"/>
      <c r="LY880" s="317"/>
      <c r="LZ880" s="317"/>
      <c r="MA880" s="317"/>
      <c r="MB880" s="317"/>
      <c r="MC880" s="317"/>
      <c r="MD880" s="317"/>
      <c r="ME880" s="317"/>
      <c r="MF880" s="317"/>
      <c r="MG880" s="317"/>
      <c r="MH880" s="317"/>
      <c r="MI880" s="317"/>
      <c r="MJ880" s="317"/>
      <c r="MK880" s="317"/>
      <c r="ML880" s="317"/>
      <c r="MM880" s="317"/>
      <c r="MN880" s="317"/>
      <c r="MO880" s="317"/>
      <c r="MP880" s="317"/>
      <c r="MQ880" s="317"/>
      <c r="MR880" s="317"/>
      <c r="MS880" s="317"/>
      <c r="MT880" s="13"/>
      <c r="MU880" s="317"/>
      <c r="MV880" s="317"/>
      <c r="MW880" s="317"/>
      <c r="MX880" s="317"/>
      <c r="MY880" s="317"/>
      <c r="MZ880" s="13"/>
      <c r="NA880" s="12"/>
      <c r="NB880" s="317"/>
      <c r="NC880" s="317"/>
      <c r="ND880" s="317"/>
      <c r="NE880" s="317"/>
      <c r="NF880" s="317"/>
      <c r="NG880" s="317"/>
      <c r="NH880" s="317"/>
      <c r="NI880" s="317"/>
      <c r="NJ880" s="317"/>
      <c r="NK880" s="317"/>
      <c r="NL880" s="317"/>
      <c r="NM880" s="12"/>
      <c r="NN880" s="317"/>
      <c r="NO880" s="317"/>
      <c r="NP880" s="317"/>
      <c r="NQ880" s="317"/>
      <c r="NR880" s="317"/>
      <c r="NS880" s="317"/>
      <c r="NT880" s="317"/>
      <c r="NU880" s="317"/>
      <c r="NV880" s="317"/>
      <c r="NW880" s="317"/>
      <c r="NX880" s="317"/>
      <c r="NY880" s="317"/>
      <c r="NZ880" s="317"/>
      <c r="OA880" s="317"/>
      <c r="OB880" s="317"/>
      <c r="OC880" s="317"/>
      <c r="OD880" s="317"/>
      <c r="OE880" s="317"/>
      <c r="OF880" s="317"/>
      <c r="OG880" s="317"/>
      <c r="OH880" s="317"/>
      <c r="OI880" s="317"/>
      <c r="OJ880" s="317"/>
      <c r="OK880" s="317"/>
      <c r="OL880" s="317"/>
      <c r="OM880" s="317"/>
      <c r="ON880" s="317"/>
      <c r="OO880" s="317"/>
      <c r="OP880" s="317"/>
      <c r="OQ880" s="317"/>
      <c r="OR880" s="317"/>
      <c r="OS880" s="317"/>
      <c r="OT880" s="317"/>
      <c r="OU880" s="317"/>
      <c r="OV880" s="13"/>
      <c r="OW880" s="317"/>
      <c r="OX880" s="317"/>
      <c r="OY880" s="317"/>
      <c r="OZ880" s="317"/>
      <c r="PA880" s="317"/>
      <c r="PB880" s="317"/>
      <c r="PC880" s="317"/>
      <c r="PD880" s="317"/>
      <c r="PE880" s="317"/>
      <c r="PF880" s="317"/>
      <c r="PG880" s="317"/>
      <c r="PH880" s="317"/>
      <c r="PI880" s="317"/>
      <c r="PJ880" s="317"/>
      <c r="PK880" s="317"/>
      <c r="PL880" s="317"/>
      <c r="PM880" s="317"/>
      <c r="PN880" s="317"/>
      <c r="PO880" s="317"/>
      <c r="PP880" s="317"/>
      <c r="PQ880" s="317"/>
      <c r="PR880" s="317"/>
      <c r="PS880" s="317"/>
      <c r="PT880" s="317"/>
      <c r="PU880" s="317"/>
      <c r="PV880" s="317"/>
      <c r="PW880" s="317"/>
      <c r="PX880" s="317"/>
      <c r="PY880" s="317"/>
      <c r="PZ880" s="317"/>
      <c r="QA880" s="317"/>
      <c r="QB880" s="317"/>
      <c r="QC880" s="317"/>
      <c r="QD880" s="12"/>
      <c r="QE880" s="317"/>
      <c r="QF880" s="317"/>
      <c r="QG880" s="317"/>
      <c r="QH880" s="317"/>
      <c r="QI880" s="317"/>
      <c r="QJ880" s="317"/>
      <c r="QK880" s="317"/>
      <c r="QL880" s="317"/>
      <c r="QM880" s="317"/>
      <c r="QN880" s="317"/>
      <c r="QO880" s="13"/>
      <c r="QP880" s="317"/>
      <c r="QQ880" s="317"/>
      <c r="QR880" s="317"/>
      <c r="QS880" s="317"/>
      <c r="QT880" s="317"/>
      <c r="QU880" s="317"/>
      <c r="QV880" s="317"/>
      <c r="QW880" s="317"/>
      <c r="QX880" s="317"/>
      <c r="QY880" s="317"/>
      <c r="QZ880" s="317"/>
      <c r="RA880" s="317"/>
      <c r="RB880" s="317"/>
      <c r="RC880" s="317"/>
      <c r="RD880" s="317"/>
      <c r="RE880" s="317"/>
      <c r="RF880" s="317"/>
      <c r="RG880" s="317"/>
      <c r="RH880" s="317"/>
      <c r="RI880" s="317"/>
      <c r="RJ880" s="317"/>
      <c r="RK880" s="317"/>
      <c r="RL880" s="317"/>
      <c r="RM880" s="13"/>
      <c r="RN880" s="317"/>
      <c r="RO880" s="317"/>
      <c r="RP880" s="13"/>
      <c r="RQ880" s="317"/>
      <c r="RR880" s="317"/>
      <c r="RS880" s="317"/>
      <c r="RT880" s="317"/>
      <c r="RU880" s="317"/>
      <c r="RV880" s="13"/>
      <c r="TV880" s="12"/>
      <c r="WL880" s="13"/>
    </row>
    <row r="881" spans="88:610" ht="10.75" customHeight="1">
      <c r="CJ881" s="14"/>
      <c r="CK881" s="15"/>
      <c r="CL881" s="15"/>
      <c r="CM881" s="15"/>
      <c r="CN881" s="15"/>
      <c r="CO881" s="15"/>
      <c r="CP881" s="15"/>
      <c r="CQ881" s="15"/>
      <c r="CR881" s="15"/>
      <c r="CS881" s="16"/>
      <c r="CT881" s="42"/>
      <c r="CU881" s="43"/>
      <c r="CV881" s="45"/>
      <c r="CW881" s="12"/>
      <c r="ES881" s="160"/>
      <c r="ET881" s="161"/>
      <c r="FA881" s="291"/>
      <c r="GP881" s="13"/>
      <c r="GQ881" s="43"/>
      <c r="GR881" s="43"/>
      <c r="GS881" s="45"/>
      <c r="GT881" s="49"/>
      <c r="GU881" s="49"/>
      <c r="GV881" s="49"/>
      <c r="GW881" s="49"/>
      <c r="GX881" s="49"/>
      <c r="GY881" s="49"/>
      <c r="GZ881" s="49"/>
      <c r="HA881" s="208"/>
      <c r="HB881" s="231"/>
      <c r="HC881" s="231"/>
      <c r="HD881" s="231"/>
      <c r="HE881" s="231"/>
      <c r="HF881" s="231"/>
      <c r="HG881" s="231"/>
      <c r="HH881" s="231"/>
      <c r="HI881" s="232"/>
      <c r="KM881" s="12"/>
      <c r="KN881" s="317"/>
      <c r="KO881" s="317"/>
      <c r="KP881" s="317"/>
      <c r="KQ881" s="317"/>
      <c r="KR881" s="317"/>
      <c r="KS881" s="317"/>
      <c r="KT881" s="317"/>
      <c r="KU881" s="317"/>
      <c r="KV881" s="317"/>
      <c r="KW881" s="317"/>
      <c r="KX881" s="317"/>
      <c r="KY881" s="317"/>
      <c r="KZ881" s="317"/>
      <c r="LA881" s="317"/>
      <c r="LB881" s="317"/>
      <c r="LC881" s="317"/>
      <c r="LD881" s="317"/>
      <c r="LE881" s="317"/>
      <c r="LF881" s="317"/>
      <c r="LG881" s="317"/>
      <c r="LH881" s="317"/>
      <c r="LI881" s="317"/>
      <c r="LJ881" s="317"/>
      <c r="LK881" s="317"/>
      <c r="LL881" s="317"/>
      <c r="LM881" s="317"/>
      <c r="LN881" s="317"/>
      <c r="LO881" s="317"/>
      <c r="LP881" s="317"/>
      <c r="LQ881" s="317"/>
      <c r="LR881" s="317"/>
      <c r="LS881" s="317"/>
      <c r="LT881" s="317"/>
      <c r="LU881" s="317"/>
      <c r="LV881" s="317"/>
      <c r="LW881" s="317"/>
      <c r="LX881" s="317"/>
      <c r="LY881" s="317"/>
      <c r="LZ881" s="317"/>
      <c r="MA881" s="317"/>
      <c r="MB881" s="317"/>
      <c r="MC881" s="317"/>
      <c r="MD881" s="317"/>
      <c r="ME881" s="317"/>
      <c r="MF881" s="317"/>
      <c r="MG881" s="317"/>
      <c r="MH881" s="317"/>
      <c r="MI881" s="317"/>
      <c r="MJ881" s="317"/>
      <c r="MK881" s="317"/>
      <c r="ML881" s="317"/>
      <c r="MM881" s="317"/>
      <c r="MN881" s="317"/>
      <c r="MO881" s="317"/>
      <c r="MP881" s="317"/>
      <c r="MQ881" s="317"/>
      <c r="MR881" s="317"/>
      <c r="MS881" s="317"/>
      <c r="MT881" s="13"/>
      <c r="MU881" s="317"/>
      <c r="MV881" s="317"/>
      <c r="MW881" s="317"/>
      <c r="MX881" s="317"/>
      <c r="MY881" s="317"/>
      <c r="MZ881" s="13"/>
      <c r="NA881" s="12"/>
      <c r="NB881" s="317"/>
      <c r="NC881" s="317"/>
      <c r="ND881" s="317"/>
      <c r="NE881" s="317"/>
      <c r="NF881" s="317"/>
      <c r="NG881" s="317"/>
      <c r="NH881" s="317"/>
      <c r="NI881" s="317"/>
      <c r="NJ881" s="317"/>
      <c r="NK881" s="317"/>
      <c r="NL881" s="317"/>
      <c r="NM881" s="12"/>
      <c r="NN881" s="317"/>
      <c r="NO881" s="317"/>
      <c r="NP881" s="317"/>
      <c r="NQ881" s="317"/>
      <c r="NR881" s="317"/>
      <c r="NS881" s="317"/>
      <c r="NT881" s="317"/>
      <c r="NU881" s="317"/>
      <c r="NV881" s="317"/>
      <c r="NW881" s="317"/>
      <c r="NX881" s="317"/>
      <c r="NY881" s="317"/>
      <c r="NZ881" s="317"/>
      <c r="OA881" s="317"/>
      <c r="OB881" s="317"/>
      <c r="OC881" s="317"/>
      <c r="OD881" s="317"/>
      <c r="OE881" s="317"/>
      <c r="OF881" s="317"/>
      <c r="OG881" s="317"/>
      <c r="OH881" s="317"/>
      <c r="OI881" s="317"/>
      <c r="OJ881" s="317"/>
      <c r="OK881" s="317"/>
      <c r="OL881" s="317"/>
      <c r="OM881" s="317"/>
      <c r="ON881" s="317"/>
      <c r="OO881" s="317"/>
      <c r="OP881" s="317"/>
      <c r="OQ881" s="317"/>
      <c r="OR881" s="317"/>
      <c r="OS881" s="317"/>
      <c r="OT881" s="317"/>
      <c r="OU881" s="317"/>
      <c r="OV881" s="13"/>
      <c r="OW881" s="317"/>
      <c r="OX881" s="317"/>
      <c r="OY881" s="317"/>
      <c r="OZ881" s="317"/>
      <c r="PA881" s="317"/>
      <c r="PB881" s="317"/>
      <c r="PC881" s="317"/>
      <c r="PD881" s="317"/>
      <c r="PE881" s="317"/>
      <c r="PF881" s="317"/>
      <c r="PG881" s="317"/>
      <c r="PH881" s="317"/>
      <c r="PI881" s="317"/>
      <c r="PJ881" s="317"/>
      <c r="PK881" s="317"/>
      <c r="PL881" s="317"/>
      <c r="PM881" s="317"/>
      <c r="PN881" s="317"/>
      <c r="PO881" s="317"/>
      <c r="PP881" s="317"/>
      <c r="PQ881" s="317"/>
      <c r="PR881" s="317"/>
      <c r="PS881" s="317"/>
      <c r="PT881" s="317"/>
      <c r="PU881" s="317"/>
      <c r="PV881" s="317"/>
      <c r="PW881" s="317"/>
      <c r="PX881" s="317"/>
      <c r="PY881" s="317"/>
      <c r="PZ881" s="317"/>
      <c r="QA881" s="317"/>
      <c r="QB881" s="317"/>
      <c r="QC881" s="317"/>
      <c r="QD881" s="12"/>
      <c r="QE881" s="317"/>
      <c r="QF881" s="317"/>
      <c r="QG881" s="317"/>
      <c r="QH881" s="317"/>
      <c r="QI881" s="317"/>
      <c r="QJ881" s="317"/>
      <c r="QK881" s="317"/>
      <c r="QL881" s="317"/>
      <c r="QM881" s="317"/>
      <c r="QN881" s="317"/>
      <c r="QO881" s="13"/>
      <c r="QP881" s="317"/>
      <c r="QQ881" s="317"/>
      <c r="QR881" s="317"/>
      <c r="QS881" s="317"/>
      <c r="QT881" s="317"/>
      <c r="QU881" s="317"/>
      <c r="QV881" s="317"/>
      <c r="QW881" s="317"/>
      <c r="QX881" s="317"/>
      <c r="QY881" s="317"/>
      <c r="QZ881" s="317"/>
      <c r="RA881" s="317"/>
      <c r="RB881" s="317"/>
      <c r="RC881" s="317"/>
      <c r="RD881" s="317"/>
      <c r="RE881" s="317"/>
      <c r="RF881" s="317"/>
      <c r="RG881" s="317"/>
      <c r="RH881" s="317"/>
      <c r="RI881" s="317"/>
      <c r="RJ881" s="317"/>
      <c r="RK881" s="317"/>
      <c r="RL881" s="317"/>
      <c r="RM881" s="13"/>
      <c r="RN881" s="317"/>
      <c r="RO881" s="317"/>
      <c r="RP881" s="13"/>
      <c r="RQ881" s="317"/>
      <c r="RR881" s="317"/>
      <c r="RS881" s="317"/>
      <c r="RT881" s="317"/>
      <c r="RU881" s="317"/>
      <c r="RV881" s="13"/>
      <c r="TV881" s="12"/>
      <c r="WL881" s="13"/>
    </row>
    <row r="882" spans="88:610" ht="10.75" customHeight="1">
      <c r="CJ882" s="9"/>
      <c r="CK882" s="10"/>
      <c r="CL882" s="10"/>
      <c r="CM882" s="10"/>
      <c r="CN882" s="10"/>
      <c r="CO882" s="10"/>
      <c r="CP882" s="10"/>
      <c r="CQ882" s="10"/>
      <c r="CR882" s="10"/>
      <c r="CS882" s="11"/>
      <c r="CT882" s="42"/>
      <c r="CU882" s="43"/>
      <c r="CV882" s="45"/>
      <c r="CW882" s="12"/>
      <c r="ES882" s="160"/>
      <c r="ET882" s="161"/>
      <c r="FA882" s="291"/>
      <c r="GP882" s="13"/>
      <c r="GQ882" s="43"/>
      <c r="GR882" s="43"/>
      <c r="GS882" s="45"/>
      <c r="GT882" s="49"/>
      <c r="GU882" s="49"/>
      <c r="GV882" s="49"/>
      <c r="GW882" s="49"/>
      <c r="GX882" s="49"/>
      <c r="GY882" s="49"/>
      <c r="GZ882" s="49"/>
      <c r="HA882" s="208"/>
      <c r="HB882" s="231"/>
      <c r="HC882" s="231"/>
      <c r="HD882" s="231"/>
      <c r="HE882" s="231"/>
      <c r="HF882" s="231"/>
      <c r="HG882" s="231"/>
      <c r="HH882" s="231"/>
      <c r="HI882" s="232"/>
      <c r="KM882" s="12"/>
      <c r="KN882" s="317"/>
      <c r="KO882" s="317"/>
      <c r="KP882" s="317"/>
      <c r="KQ882" s="317"/>
      <c r="KR882" s="317"/>
      <c r="KS882" s="317"/>
      <c r="KT882" s="317"/>
      <c r="KU882" s="317"/>
      <c r="KV882" s="317"/>
      <c r="KW882" s="317"/>
      <c r="KX882" s="317"/>
      <c r="KY882" s="317"/>
      <c r="KZ882" s="317"/>
      <c r="LA882" s="317"/>
      <c r="LB882" s="317"/>
      <c r="LC882" s="317"/>
      <c r="LD882" s="317"/>
      <c r="LE882" s="317"/>
      <c r="LF882" s="317"/>
      <c r="LG882" s="317"/>
      <c r="LH882" s="317"/>
      <c r="LI882" s="317"/>
      <c r="LJ882" s="317"/>
      <c r="LK882" s="317"/>
      <c r="LL882" s="317"/>
      <c r="LM882" s="317"/>
      <c r="LN882" s="317"/>
      <c r="LO882" s="317"/>
      <c r="LP882" s="317"/>
      <c r="LQ882" s="317"/>
      <c r="LR882" s="317"/>
      <c r="LS882" s="317"/>
      <c r="LT882" s="317"/>
      <c r="LU882" s="317"/>
      <c r="LV882" s="317"/>
      <c r="LW882" s="317"/>
      <c r="LX882" s="317"/>
      <c r="LY882" s="317"/>
      <c r="LZ882" s="317"/>
      <c r="MA882" s="317"/>
      <c r="MB882" s="317"/>
      <c r="MC882" s="317"/>
      <c r="MD882" s="317"/>
      <c r="ME882" s="317"/>
      <c r="MF882" s="317"/>
      <c r="MG882" s="317"/>
      <c r="MH882" s="317"/>
      <c r="MI882" s="317"/>
      <c r="MJ882" s="317"/>
      <c r="MK882" s="317"/>
      <c r="ML882" s="317"/>
      <c r="MM882" s="317"/>
      <c r="MN882" s="317"/>
      <c r="MO882" s="317"/>
      <c r="MP882" s="317"/>
      <c r="MQ882" s="317"/>
      <c r="MR882" s="317"/>
      <c r="MS882" s="317"/>
      <c r="MT882" s="13"/>
      <c r="MU882" s="317"/>
      <c r="MV882" s="317"/>
      <c r="MW882" s="317"/>
      <c r="MX882" s="317"/>
      <c r="MY882" s="317"/>
      <c r="MZ882" s="13"/>
      <c r="NA882" s="12"/>
      <c r="NB882" s="317"/>
      <c r="NC882" s="317"/>
      <c r="ND882" s="317"/>
      <c r="NE882" s="317"/>
      <c r="NF882" s="317"/>
      <c r="NG882" s="317"/>
      <c r="NH882" s="317"/>
      <c r="NI882" s="317"/>
      <c r="NJ882" s="317"/>
      <c r="NK882" s="317"/>
      <c r="NL882" s="317"/>
      <c r="NM882" s="12"/>
      <c r="NN882" s="317"/>
      <c r="NO882" s="317"/>
      <c r="NP882" s="317"/>
      <c r="NQ882" s="317"/>
      <c r="NR882" s="317"/>
      <c r="NS882" s="317"/>
      <c r="NT882" s="317"/>
      <c r="NU882" s="317"/>
      <c r="NV882" s="317"/>
      <c r="NW882" s="317"/>
      <c r="NX882" s="317"/>
      <c r="NY882" s="317"/>
      <c r="NZ882" s="317"/>
      <c r="OA882" s="317"/>
      <c r="OB882" s="317"/>
      <c r="OC882" s="317"/>
      <c r="OD882" s="317"/>
      <c r="OE882" s="317"/>
      <c r="OF882" s="317"/>
      <c r="OG882" s="317"/>
      <c r="OH882" s="317"/>
      <c r="OI882" s="317"/>
      <c r="OJ882" s="317"/>
      <c r="OK882" s="317"/>
      <c r="OL882" s="317"/>
      <c r="OM882" s="317"/>
      <c r="ON882" s="317"/>
      <c r="OO882" s="317"/>
      <c r="OP882" s="317"/>
      <c r="OQ882" s="317"/>
      <c r="OR882" s="317"/>
      <c r="OS882" s="317"/>
      <c r="OT882" s="317"/>
      <c r="OU882" s="317"/>
      <c r="OV882" s="13"/>
      <c r="OW882" s="317"/>
      <c r="OX882" s="317"/>
      <c r="OY882" s="317"/>
      <c r="OZ882" s="317"/>
      <c r="PA882" s="317"/>
      <c r="PB882" s="317"/>
      <c r="PC882" s="317"/>
      <c r="PD882" s="317"/>
      <c r="PE882" s="317"/>
      <c r="PF882" s="317"/>
      <c r="PG882" s="317"/>
      <c r="PH882" s="317"/>
      <c r="PI882" s="317"/>
      <c r="PJ882" s="317"/>
      <c r="PK882" s="317"/>
      <c r="PL882" s="317"/>
      <c r="PM882" s="317"/>
      <c r="PN882" s="317"/>
      <c r="PO882" s="317"/>
      <c r="PP882" s="317"/>
      <c r="PQ882" s="317"/>
      <c r="PR882" s="317"/>
      <c r="PS882" s="317"/>
      <c r="PT882" s="317"/>
      <c r="PU882" s="317"/>
      <c r="PV882" s="317"/>
      <c r="PW882" s="317"/>
      <c r="PX882" s="317"/>
      <c r="PY882" s="317"/>
      <c r="PZ882" s="317"/>
      <c r="QA882" s="317"/>
      <c r="QB882" s="317"/>
      <c r="QC882" s="317"/>
      <c r="QD882" s="14"/>
      <c r="QE882" s="15"/>
      <c r="QF882" s="15"/>
      <c r="QG882" s="15"/>
      <c r="QH882" s="15"/>
      <c r="QI882" s="15"/>
      <c r="QJ882" s="15"/>
      <c r="QK882" s="15"/>
      <c r="QL882" s="15"/>
      <c r="QM882" s="15"/>
      <c r="QN882" s="15"/>
      <c r="QO882" s="16"/>
      <c r="QP882" s="317"/>
      <c r="QQ882" s="317"/>
      <c r="QR882" s="317"/>
      <c r="QS882" s="317"/>
      <c r="QT882" s="317"/>
      <c r="QU882" s="317"/>
      <c r="QV882" s="317"/>
      <c r="QW882" s="317"/>
      <c r="QX882" s="317"/>
      <c r="QY882" s="317"/>
      <c r="QZ882" s="317"/>
      <c r="RA882" s="317"/>
      <c r="RB882" s="317"/>
      <c r="RC882" s="317"/>
      <c r="RD882" s="317"/>
      <c r="RE882" s="317"/>
      <c r="RF882" s="317"/>
      <c r="RG882" s="317"/>
      <c r="RH882" s="317"/>
      <c r="RI882" s="317"/>
      <c r="RJ882" s="317"/>
      <c r="RK882" s="317"/>
      <c r="RL882" s="317"/>
      <c r="RM882" s="13"/>
      <c r="RN882" s="317"/>
      <c r="RO882" s="317"/>
      <c r="RP882" s="13"/>
      <c r="RQ882" s="317"/>
      <c r="RR882" s="317"/>
      <c r="RS882" s="317"/>
      <c r="RT882" s="317"/>
      <c r="RU882" s="317"/>
      <c r="RV882" s="13"/>
      <c r="TV882" s="12"/>
      <c r="WL882" s="13"/>
    </row>
    <row r="883" spans="88:610" ht="10.75" customHeight="1">
      <c r="CJ883" s="12"/>
      <c r="CS883" s="13"/>
      <c r="CT883" s="42"/>
      <c r="CU883" s="43"/>
      <c r="CV883" s="45"/>
      <c r="CW883" s="12"/>
      <c r="ES883" s="160"/>
      <c r="ET883" s="161"/>
      <c r="FA883" s="291"/>
      <c r="GP883" s="13"/>
      <c r="GQ883" s="43"/>
      <c r="GR883" s="43"/>
      <c r="GS883" s="45"/>
      <c r="GT883" s="49"/>
      <c r="GU883" s="49"/>
      <c r="GV883" s="49"/>
      <c r="GW883" s="49"/>
      <c r="GX883" s="49"/>
      <c r="GY883" s="49"/>
      <c r="GZ883" s="49"/>
      <c r="HA883" s="208"/>
      <c r="HB883" s="231"/>
      <c r="HC883" s="231"/>
      <c r="HD883" s="231"/>
      <c r="HE883" s="231"/>
      <c r="HF883" s="231"/>
      <c r="HG883" s="231"/>
      <c r="HH883" s="231"/>
      <c r="HI883" s="232"/>
      <c r="KM883" s="12"/>
      <c r="KN883" s="317"/>
      <c r="KO883" s="317"/>
      <c r="KP883" s="317"/>
      <c r="KQ883" s="317"/>
      <c r="KR883" s="317"/>
      <c r="KS883" s="317"/>
      <c r="KT883" s="317"/>
      <c r="KU883" s="317"/>
      <c r="KV883" s="317"/>
      <c r="KW883" s="317"/>
      <c r="KX883" s="317"/>
      <c r="KY883" s="317"/>
      <c r="KZ883" s="317"/>
      <c r="LA883" s="317"/>
      <c r="LB883" s="317"/>
      <c r="LC883" s="317"/>
      <c r="LD883" s="317"/>
      <c r="LE883" s="317"/>
      <c r="LF883" s="317"/>
      <c r="LG883" s="317"/>
      <c r="LH883" s="317"/>
      <c r="LI883" s="317"/>
      <c r="LJ883" s="317"/>
      <c r="LK883" s="317"/>
      <c r="LL883" s="317"/>
      <c r="LM883" s="317"/>
      <c r="LN883" s="317"/>
      <c r="LO883" s="317"/>
      <c r="LP883" s="317"/>
      <c r="LQ883" s="317"/>
      <c r="LR883" s="317"/>
      <c r="LS883" s="317"/>
      <c r="LT883" s="317"/>
      <c r="LU883" s="317"/>
      <c r="LV883" s="317"/>
      <c r="LW883" s="317"/>
      <c r="LX883" s="317"/>
      <c r="LY883" s="317"/>
      <c r="LZ883" s="317"/>
      <c r="MA883" s="317"/>
      <c r="MB883" s="317"/>
      <c r="MC883" s="317"/>
      <c r="MD883" s="317"/>
      <c r="ME883" s="317"/>
      <c r="MF883" s="317"/>
      <c r="MG883" s="317"/>
      <c r="MH883" s="317"/>
      <c r="MI883" s="317"/>
      <c r="MJ883" s="317"/>
      <c r="MK883" s="317"/>
      <c r="ML883" s="317"/>
      <c r="MM883" s="317"/>
      <c r="MN883" s="317"/>
      <c r="MO883" s="317"/>
      <c r="MP883" s="317"/>
      <c r="MQ883" s="317"/>
      <c r="MR883" s="317"/>
      <c r="MS883" s="317"/>
      <c r="MT883" s="13"/>
      <c r="MU883" s="317"/>
      <c r="MV883" s="317"/>
      <c r="MW883" s="317"/>
      <c r="MX883" s="317"/>
      <c r="MY883" s="317"/>
      <c r="MZ883" s="13"/>
      <c r="NA883" s="12"/>
      <c r="NB883" s="317"/>
      <c r="NC883" s="317"/>
      <c r="ND883" s="317"/>
      <c r="NE883" s="317"/>
      <c r="NF883" s="317"/>
      <c r="NG883" s="317"/>
      <c r="NH883" s="317"/>
      <c r="NI883" s="317"/>
      <c r="NJ883" s="317"/>
      <c r="NK883" s="317"/>
      <c r="NL883" s="317"/>
      <c r="NM883" s="12"/>
      <c r="NN883" s="317"/>
      <c r="NO883" s="317"/>
      <c r="NP883" s="317"/>
      <c r="NQ883" s="317"/>
      <c r="NR883" s="317"/>
      <c r="NS883" s="317"/>
      <c r="NT883" s="317"/>
      <c r="NU883" s="317"/>
      <c r="NV883" s="317"/>
      <c r="NW883" s="317"/>
      <c r="NX883" s="317"/>
      <c r="NY883" s="317"/>
      <c r="NZ883" s="317"/>
      <c r="OA883" s="317"/>
      <c r="OB883" s="317"/>
      <c r="OC883" s="317"/>
      <c r="OD883" s="317"/>
      <c r="OE883" s="317"/>
      <c r="OF883" s="317"/>
      <c r="OG883" s="317"/>
      <c r="OH883" s="317"/>
      <c r="OI883" s="317"/>
      <c r="OJ883" s="317"/>
      <c r="OK883" s="317"/>
      <c r="OL883" s="317"/>
      <c r="OM883" s="317"/>
      <c r="ON883" s="317"/>
      <c r="OO883" s="317"/>
      <c r="OP883" s="317"/>
      <c r="OQ883" s="317"/>
      <c r="OR883" s="317"/>
      <c r="OS883" s="317"/>
      <c r="OT883" s="317"/>
      <c r="OU883" s="317"/>
      <c r="OV883" s="13"/>
      <c r="OW883" s="317"/>
      <c r="OX883" s="317"/>
      <c r="OY883" s="317"/>
      <c r="OZ883" s="317"/>
      <c r="PA883" s="317"/>
      <c r="PB883" s="317"/>
      <c r="PC883" s="317"/>
      <c r="PD883" s="317"/>
      <c r="PE883" s="317"/>
      <c r="PF883" s="317"/>
      <c r="PG883" s="317"/>
      <c r="PH883" s="317"/>
      <c r="PI883" s="317"/>
      <c r="PJ883" s="317"/>
      <c r="PK883" s="317"/>
      <c r="PL883" s="317"/>
      <c r="PM883" s="317"/>
      <c r="PN883" s="317"/>
      <c r="PO883" s="317"/>
      <c r="PP883" s="317"/>
      <c r="PQ883" s="317"/>
      <c r="PR883" s="317"/>
      <c r="PS883" s="317"/>
      <c r="PT883" s="317"/>
      <c r="PU883" s="317"/>
      <c r="PV883" s="317"/>
      <c r="PW883" s="317"/>
      <c r="PX883" s="317"/>
      <c r="PY883" s="317"/>
      <c r="PZ883" s="317"/>
      <c r="QA883" s="317"/>
      <c r="QB883" s="317"/>
      <c r="QC883" s="317"/>
      <c r="QD883" s="317"/>
      <c r="QE883" s="317"/>
      <c r="QF883" s="317"/>
      <c r="QG883" s="317"/>
      <c r="QH883" s="317"/>
      <c r="QI883" s="317"/>
      <c r="QJ883" s="317"/>
      <c r="QK883" s="317"/>
      <c r="QL883" s="317"/>
      <c r="QM883" s="317"/>
      <c r="QN883" s="317"/>
      <c r="QO883" s="317"/>
      <c r="QP883" s="9"/>
      <c r="QQ883" s="10"/>
      <c r="QR883" s="10"/>
      <c r="QS883" s="10"/>
      <c r="QT883" s="10"/>
      <c r="QU883" s="10"/>
      <c r="QV883" s="10"/>
      <c r="QW883" s="10"/>
      <c r="QX883" s="10"/>
      <c r="QY883" s="10"/>
      <c r="QZ883" s="10"/>
      <c r="RA883" s="11"/>
      <c r="RB883" s="317"/>
      <c r="RC883" s="317"/>
      <c r="RD883" s="317"/>
      <c r="RE883" s="317"/>
      <c r="RF883" s="317"/>
      <c r="RG883" s="317"/>
      <c r="RH883" s="317"/>
      <c r="RI883" s="317"/>
      <c r="RJ883" s="317"/>
      <c r="RK883" s="317"/>
      <c r="RL883" s="317"/>
      <c r="RM883" s="13"/>
      <c r="RN883" s="317"/>
      <c r="RO883" s="317"/>
      <c r="RP883" s="13"/>
      <c r="RQ883" s="317"/>
      <c r="RR883" s="317"/>
      <c r="RS883" s="317"/>
      <c r="RT883" s="317"/>
      <c r="RU883" s="317"/>
      <c r="RV883" s="13"/>
      <c r="TV883" s="12"/>
      <c r="WL883" s="13"/>
    </row>
    <row r="884" spans="88:610" ht="10.75" customHeight="1">
      <c r="CJ884" s="12"/>
      <c r="CS884" s="13"/>
      <c r="CT884" s="42"/>
      <c r="CU884" s="43"/>
      <c r="CV884" s="45"/>
      <c r="CW884" s="12"/>
      <c r="ES884" s="160"/>
      <c r="ET884" s="161"/>
      <c r="FA884" s="291"/>
      <c r="GP884" s="13"/>
      <c r="GQ884" s="43"/>
      <c r="GR884" s="43"/>
      <c r="GS884" s="45"/>
      <c r="GT884" s="49"/>
      <c r="GU884" s="49"/>
      <c r="GV884" s="49"/>
      <c r="GW884" s="49"/>
      <c r="GX884" s="49"/>
      <c r="GY884" s="49"/>
      <c r="GZ884" s="49"/>
      <c r="HA884" s="208"/>
      <c r="HB884" s="231"/>
      <c r="HC884" s="231"/>
      <c r="HD884" s="231"/>
      <c r="HE884" s="231"/>
      <c r="HF884" s="231"/>
      <c r="HG884" s="231"/>
      <c r="HH884" s="231"/>
      <c r="HI884" s="232"/>
      <c r="KM884" s="12"/>
      <c r="KN884" s="317"/>
      <c r="KO884" s="317"/>
      <c r="KP884" s="317"/>
      <c r="KQ884" s="317"/>
      <c r="KR884" s="317"/>
      <c r="KS884" s="317"/>
      <c r="KT884" s="317"/>
      <c r="KU884" s="317"/>
      <c r="KV884" s="317"/>
      <c r="KW884" s="317"/>
      <c r="KX884" s="317"/>
      <c r="KY884" s="317"/>
      <c r="KZ884" s="317"/>
      <c r="LA884" s="317"/>
      <c r="LB884" s="317"/>
      <c r="LC884" s="317"/>
      <c r="LD884" s="317"/>
      <c r="LE884" s="317"/>
      <c r="LF884" s="317"/>
      <c r="LG884" s="317"/>
      <c r="LH884" s="317"/>
      <c r="LI884" s="317"/>
      <c r="LJ884" s="317"/>
      <c r="LK884" s="317"/>
      <c r="LL884" s="317"/>
      <c r="LM884" s="317"/>
      <c r="LN884" s="317"/>
      <c r="LO884" s="317"/>
      <c r="LP884" s="317"/>
      <c r="LQ884" s="317"/>
      <c r="LR884" s="317"/>
      <c r="LS884" s="317"/>
      <c r="LT884" s="317"/>
      <c r="LU884" s="317"/>
      <c r="LV884" s="317"/>
      <c r="LW884" s="317"/>
      <c r="LX884" s="317"/>
      <c r="LY884" s="317"/>
      <c r="LZ884" s="317"/>
      <c r="MA884" s="317"/>
      <c r="MB884" s="317"/>
      <c r="MC884" s="317"/>
      <c r="MD884" s="317"/>
      <c r="ME884" s="317"/>
      <c r="MF884" s="317"/>
      <c r="MG884" s="317"/>
      <c r="MH884" s="317"/>
      <c r="MI884" s="317"/>
      <c r="MJ884" s="317"/>
      <c r="MK884" s="317"/>
      <c r="ML884" s="317"/>
      <c r="MM884" s="317"/>
      <c r="MN884" s="317"/>
      <c r="MO884" s="317"/>
      <c r="MP884" s="317"/>
      <c r="MQ884" s="317"/>
      <c r="MR884" s="317"/>
      <c r="MS884" s="317"/>
      <c r="MT884" s="13"/>
      <c r="MU884" s="317"/>
      <c r="MV884" s="317"/>
      <c r="MW884" s="317"/>
      <c r="MX884" s="317"/>
      <c r="MY884" s="317"/>
      <c r="MZ884" s="13"/>
      <c r="NA884" s="12"/>
      <c r="NB884" s="317"/>
      <c r="NC884" s="317"/>
      <c r="ND884" s="317"/>
      <c r="NE884" s="317"/>
      <c r="NF884" s="317"/>
      <c r="NG884" s="317"/>
      <c r="NH884" s="317"/>
      <c r="NI884" s="317"/>
      <c r="NJ884" s="317"/>
      <c r="NK884" s="317"/>
      <c r="NL884" s="317"/>
      <c r="NM884" s="12"/>
      <c r="NN884" s="317"/>
      <c r="NO884" s="317"/>
      <c r="NP884" s="317"/>
      <c r="NQ884" s="317"/>
      <c r="NR884" s="317"/>
      <c r="NS884" s="317"/>
      <c r="NT884" s="317"/>
      <c r="NU884" s="317"/>
      <c r="NV884" s="317"/>
      <c r="NW884" s="317"/>
      <c r="NX884" s="317"/>
      <c r="NY884" s="317"/>
      <c r="NZ884" s="317"/>
      <c r="OA884" s="317"/>
      <c r="OB884" s="317"/>
      <c r="OC884" s="317"/>
      <c r="OD884" s="317"/>
      <c r="OE884" s="317"/>
      <c r="OF884" s="317"/>
      <c r="OG884" s="317"/>
      <c r="OH884" s="317"/>
      <c r="OI884" s="317"/>
      <c r="OJ884" s="317"/>
      <c r="OK884" s="317"/>
      <c r="OL884" s="317"/>
      <c r="OM884" s="317"/>
      <c r="ON884" s="317"/>
      <c r="OO884" s="317"/>
      <c r="OP884" s="317"/>
      <c r="OQ884" s="317"/>
      <c r="OR884" s="317"/>
      <c r="OS884" s="317"/>
      <c r="OT884" s="317"/>
      <c r="OU884" s="317"/>
      <c r="OV884" s="13"/>
      <c r="OW884" s="317"/>
      <c r="OX884" s="317"/>
      <c r="OY884" s="317"/>
      <c r="OZ884" s="317"/>
      <c r="PA884" s="317"/>
      <c r="PB884" s="317"/>
      <c r="PC884" s="317"/>
      <c r="PD884" s="317"/>
      <c r="PE884" s="317"/>
      <c r="PF884" s="317"/>
      <c r="PG884" s="317"/>
      <c r="PH884" s="317"/>
      <c r="PI884" s="317"/>
      <c r="PJ884" s="317"/>
      <c r="PK884" s="317"/>
      <c r="PL884" s="317"/>
      <c r="PM884" s="317"/>
      <c r="PN884" s="317"/>
      <c r="PO884" s="317"/>
      <c r="PP884" s="317"/>
      <c r="PQ884" s="317"/>
      <c r="PR884" s="317"/>
      <c r="PS884" s="317"/>
      <c r="PT884" s="317"/>
      <c r="PU884" s="317"/>
      <c r="PV884" s="317"/>
      <c r="PW884" s="317"/>
      <c r="PX884" s="317"/>
      <c r="PY884" s="317"/>
      <c r="PZ884" s="317"/>
      <c r="QA884" s="317"/>
      <c r="QB884" s="317"/>
      <c r="QC884" s="317"/>
      <c r="QD884" s="317"/>
      <c r="QE884" s="317"/>
      <c r="QF884" s="317"/>
      <c r="QG884" s="317"/>
      <c r="QH884" s="317"/>
      <c r="QI884" s="317"/>
      <c r="QJ884" s="317"/>
      <c r="QK884" s="317"/>
      <c r="QL884" s="317"/>
      <c r="QM884" s="317"/>
      <c r="QN884" s="317"/>
      <c r="QO884" s="317"/>
      <c r="QP884" s="12"/>
      <c r="QQ884" s="317"/>
      <c r="QR884" s="317"/>
      <c r="QS884" s="317"/>
      <c r="QT884" s="317"/>
      <c r="QU884" s="317"/>
      <c r="QV884" s="317"/>
      <c r="QW884" s="317"/>
      <c r="QX884" s="317"/>
      <c r="QY884" s="317"/>
      <c r="QZ884" s="317"/>
      <c r="RA884" s="13"/>
      <c r="RB884" s="317"/>
      <c r="RC884" s="317"/>
      <c r="RD884" s="317"/>
      <c r="RE884" s="317"/>
      <c r="RF884" s="317"/>
      <c r="RG884" s="317"/>
      <c r="RH884" s="317"/>
      <c r="RI884" s="317"/>
      <c r="RJ884" s="317"/>
      <c r="RK884" s="317"/>
      <c r="RL884" s="317"/>
      <c r="RM884" s="13"/>
      <c r="RN884" s="317"/>
      <c r="RO884" s="317"/>
      <c r="RP884" s="13"/>
      <c r="RQ884" s="317"/>
      <c r="RR884" s="317"/>
      <c r="RS884" s="317"/>
      <c r="RT884" s="317"/>
      <c r="RU884" s="317"/>
      <c r="RV884" s="13"/>
      <c r="TV884" s="12"/>
      <c r="WL884" s="13"/>
    </row>
    <row r="885" spans="88:610" ht="10.75" customHeight="1">
      <c r="CJ885" s="14"/>
      <c r="CK885" s="15"/>
      <c r="CL885" s="15"/>
      <c r="CM885" s="15"/>
      <c r="CN885" s="15"/>
      <c r="CO885" s="15"/>
      <c r="CP885" s="15"/>
      <c r="CQ885" s="15"/>
      <c r="CR885" s="15"/>
      <c r="CS885" s="16"/>
      <c r="CT885" s="42"/>
      <c r="CU885" s="43"/>
      <c r="CV885" s="45"/>
      <c r="CW885" s="12"/>
      <c r="ES885" s="160"/>
      <c r="ET885" s="161"/>
      <c r="FA885" s="291"/>
      <c r="GP885" s="13"/>
      <c r="GQ885" s="43"/>
      <c r="GR885" s="43"/>
      <c r="GS885" s="45"/>
      <c r="GT885" s="49"/>
      <c r="GU885" s="49"/>
      <c r="GV885" s="49"/>
      <c r="GW885" s="49"/>
      <c r="GX885" s="49"/>
      <c r="GY885" s="49"/>
      <c r="GZ885" s="49"/>
      <c r="HA885" s="208"/>
      <c r="HB885" s="231"/>
      <c r="HC885" s="231"/>
      <c r="HD885" s="231"/>
      <c r="HE885" s="231"/>
      <c r="HF885" s="231"/>
      <c r="HG885" s="231"/>
      <c r="HH885" s="231"/>
      <c r="HI885" s="232"/>
      <c r="KM885" s="12"/>
      <c r="KN885" s="317"/>
      <c r="KO885" s="317"/>
      <c r="KP885" s="317"/>
      <c r="KQ885" s="317"/>
      <c r="KR885" s="317"/>
      <c r="KS885" s="317"/>
      <c r="KT885" s="317"/>
      <c r="KU885" s="317"/>
      <c r="KV885" s="317"/>
      <c r="KW885" s="317"/>
      <c r="KX885" s="317"/>
      <c r="KY885" s="317"/>
      <c r="KZ885" s="317"/>
      <c r="LA885" s="317"/>
      <c r="LB885" s="317"/>
      <c r="LC885" s="317"/>
      <c r="LD885" s="317"/>
      <c r="LE885" s="317"/>
      <c r="LF885" s="317"/>
      <c r="LG885" s="317"/>
      <c r="LH885" s="317"/>
      <c r="LI885" s="317"/>
      <c r="LJ885" s="317"/>
      <c r="LK885" s="317"/>
      <c r="LL885" s="317"/>
      <c r="LM885" s="317"/>
      <c r="LN885" s="317"/>
      <c r="LO885" s="317"/>
      <c r="LP885" s="317"/>
      <c r="LQ885" s="317"/>
      <c r="LR885" s="317"/>
      <c r="LS885" s="317"/>
      <c r="LT885" s="317"/>
      <c r="LU885" s="317"/>
      <c r="LV885" s="317"/>
      <c r="LW885" s="317"/>
      <c r="LX885" s="317"/>
      <c r="LY885" s="317"/>
      <c r="LZ885" s="317"/>
      <c r="MA885" s="317"/>
      <c r="MB885" s="317"/>
      <c r="MC885" s="317"/>
      <c r="MD885" s="317"/>
      <c r="ME885" s="317"/>
      <c r="MF885" s="317"/>
      <c r="MG885" s="317"/>
      <c r="MH885" s="317"/>
      <c r="MI885" s="317"/>
      <c r="MJ885" s="317"/>
      <c r="MK885" s="317"/>
      <c r="ML885" s="317"/>
      <c r="MM885" s="317"/>
      <c r="MN885" s="317"/>
      <c r="MO885" s="317"/>
      <c r="MP885" s="317"/>
      <c r="MQ885" s="317"/>
      <c r="MR885" s="317"/>
      <c r="MS885" s="317"/>
      <c r="MT885" s="13"/>
      <c r="MU885" s="317"/>
      <c r="MV885" s="317"/>
      <c r="MW885" s="317"/>
      <c r="MX885" s="317"/>
      <c r="MY885" s="317"/>
      <c r="MZ885" s="13"/>
      <c r="NA885" s="12"/>
      <c r="NB885" s="317"/>
      <c r="NC885" s="317"/>
      <c r="ND885" s="317"/>
      <c r="NE885" s="317"/>
      <c r="NF885" s="317"/>
      <c r="NG885" s="317"/>
      <c r="NH885" s="317"/>
      <c r="NI885" s="317"/>
      <c r="NJ885" s="317"/>
      <c r="NK885" s="317"/>
      <c r="NL885" s="317"/>
      <c r="NM885" s="12"/>
      <c r="NN885" s="317"/>
      <c r="NO885" s="317"/>
      <c r="NP885" s="317"/>
      <c r="NQ885" s="317"/>
      <c r="NR885" s="317"/>
      <c r="NS885" s="317"/>
      <c r="NT885" s="317"/>
      <c r="NU885" s="317"/>
      <c r="NV885" s="317"/>
      <c r="NW885" s="317"/>
      <c r="NX885" s="317"/>
      <c r="NY885" s="317"/>
      <c r="NZ885" s="317"/>
      <c r="OA885" s="317"/>
      <c r="OB885" s="317"/>
      <c r="OC885" s="317"/>
      <c r="OD885" s="317"/>
      <c r="OE885" s="317"/>
      <c r="OF885" s="317"/>
      <c r="OG885" s="317"/>
      <c r="OH885" s="317"/>
      <c r="OI885" s="317"/>
      <c r="OJ885" s="317"/>
      <c r="OK885" s="317"/>
      <c r="OL885" s="317"/>
      <c r="OM885" s="317"/>
      <c r="ON885" s="317"/>
      <c r="OO885" s="317"/>
      <c r="OP885" s="317"/>
      <c r="OQ885" s="317"/>
      <c r="OR885" s="317"/>
      <c r="OS885" s="317"/>
      <c r="OT885" s="317"/>
      <c r="OU885" s="317"/>
      <c r="OV885" s="13"/>
      <c r="OW885" s="317"/>
      <c r="OX885" s="317"/>
      <c r="OY885" s="317"/>
      <c r="OZ885" s="317"/>
      <c r="PA885" s="317"/>
      <c r="PB885" s="317"/>
      <c r="PC885" s="317"/>
      <c r="PD885" s="317"/>
      <c r="PE885" s="317"/>
      <c r="PF885" s="317"/>
      <c r="PG885" s="317"/>
      <c r="PH885" s="317"/>
      <c r="PI885" s="317"/>
      <c r="PJ885" s="317"/>
      <c r="PK885" s="317"/>
      <c r="PL885" s="317"/>
      <c r="PM885" s="317"/>
      <c r="PN885" s="317"/>
      <c r="PO885" s="317"/>
      <c r="PP885" s="317"/>
      <c r="PQ885" s="317"/>
      <c r="PR885" s="317"/>
      <c r="PS885" s="317"/>
      <c r="PT885" s="317"/>
      <c r="PU885" s="317"/>
      <c r="PV885" s="317"/>
      <c r="PW885" s="317"/>
      <c r="PX885" s="317"/>
      <c r="PY885" s="317"/>
      <c r="PZ885" s="317"/>
      <c r="QA885" s="317"/>
      <c r="QB885" s="317"/>
      <c r="QC885" s="317"/>
      <c r="QD885" s="317"/>
      <c r="QE885" s="317"/>
      <c r="QF885" s="317"/>
      <c r="QG885" s="317"/>
      <c r="QH885" s="317"/>
      <c r="QI885" s="317"/>
      <c r="QJ885" s="317"/>
      <c r="QK885" s="317"/>
      <c r="QL885" s="317"/>
      <c r="QM885" s="317"/>
      <c r="QN885" s="317"/>
      <c r="QO885" s="317"/>
      <c r="QP885" s="12"/>
      <c r="QQ885" s="317"/>
      <c r="QR885" s="317"/>
      <c r="QS885" s="317"/>
      <c r="QT885" s="317"/>
      <c r="QU885" s="317"/>
      <c r="QV885" s="317"/>
      <c r="QW885" s="317"/>
      <c r="QX885" s="317"/>
      <c r="QY885" s="317"/>
      <c r="QZ885" s="317"/>
      <c r="RA885" s="13"/>
      <c r="RB885" s="317"/>
      <c r="RC885" s="317"/>
      <c r="RD885" s="317"/>
      <c r="RE885" s="317"/>
      <c r="RF885" s="317"/>
      <c r="RG885" s="317"/>
      <c r="RH885" s="317"/>
      <c r="RI885" s="317"/>
      <c r="RJ885" s="317"/>
      <c r="RK885" s="317"/>
      <c r="RL885" s="317"/>
      <c r="RM885" s="13"/>
      <c r="RN885" s="317"/>
      <c r="RO885" s="317"/>
      <c r="RP885" s="13"/>
      <c r="RQ885" s="317"/>
      <c r="RR885" s="317"/>
      <c r="RS885" s="317"/>
      <c r="RT885" s="317"/>
      <c r="RU885" s="317"/>
      <c r="RV885" s="13"/>
      <c r="TV885" s="12"/>
      <c r="WL885" s="13"/>
    </row>
    <row r="886" spans="88:610" ht="10.75" customHeight="1">
      <c r="CJ886" s="12"/>
      <c r="CS886" s="13"/>
      <c r="CT886" s="42"/>
      <c r="CU886" s="43"/>
      <c r="CV886" s="45"/>
      <c r="CW886" s="12"/>
      <c r="ES886" s="160"/>
      <c r="ET886" s="161"/>
      <c r="FA886" s="291"/>
      <c r="GP886" s="13"/>
      <c r="GQ886" s="43"/>
      <c r="GR886" s="43"/>
      <c r="GS886" s="45"/>
      <c r="GT886" s="49"/>
      <c r="GU886" s="49"/>
      <c r="GV886" s="49"/>
      <c r="GW886" s="49"/>
      <c r="GX886" s="49"/>
      <c r="GY886" s="49"/>
      <c r="GZ886" s="49"/>
      <c r="HA886" s="208"/>
      <c r="HB886" s="231"/>
      <c r="HC886" s="231"/>
      <c r="HD886" s="231"/>
      <c r="HE886" s="231"/>
      <c r="HF886" s="231"/>
      <c r="HG886" s="231"/>
      <c r="HH886" s="231"/>
      <c r="HI886" s="232"/>
      <c r="KM886" s="12"/>
      <c r="KN886" s="317"/>
      <c r="KO886" s="317"/>
      <c r="KP886" s="317"/>
      <c r="KQ886" s="317"/>
      <c r="KR886" s="317"/>
      <c r="KS886" s="317"/>
      <c r="KT886" s="317"/>
      <c r="KU886" s="317"/>
      <c r="KV886" s="317"/>
      <c r="KW886" s="317"/>
      <c r="KX886" s="317"/>
      <c r="KY886" s="317"/>
      <c r="KZ886" s="317"/>
      <c r="LA886" s="317"/>
      <c r="LB886" s="317"/>
      <c r="LC886" s="317"/>
      <c r="LD886" s="317"/>
      <c r="LE886" s="317"/>
      <c r="LF886" s="317"/>
      <c r="LG886" s="317"/>
      <c r="LH886" s="317"/>
      <c r="LI886" s="317"/>
      <c r="LJ886" s="317"/>
      <c r="LK886" s="317"/>
      <c r="LL886" s="317"/>
      <c r="LM886" s="317"/>
      <c r="LN886" s="317"/>
      <c r="LO886" s="317"/>
      <c r="LP886" s="317"/>
      <c r="LQ886" s="317"/>
      <c r="LR886" s="317"/>
      <c r="LS886" s="317"/>
      <c r="LT886" s="317"/>
      <c r="LU886" s="317"/>
      <c r="LV886" s="317"/>
      <c r="LW886" s="317"/>
      <c r="LX886" s="317"/>
      <c r="LY886" s="317"/>
      <c r="LZ886" s="317"/>
      <c r="MA886" s="317"/>
      <c r="MB886" s="317"/>
      <c r="MC886" s="317"/>
      <c r="MD886" s="317"/>
      <c r="ME886" s="317"/>
      <c r="MF886" s="317"/>
      <c r="MG886" s="317"/>
      <c r="MH886" s="317"/>
      <c r="MI886" s="317"/>
      <c r="MJ886" s="317"/>
      <c r="MK886" s="317"/>
      <c r="ML886" s="317"/>
      <c r="MM886" s="317"/>
      <c r="MN886" s="317"/>
      <c r="MO886" s="317"/>
      <c r="MP886" s="317"/>
      <c r="MQ886" s="317"/>
      <c r="MR886" s="317"/>
      <c r="MS886" s="317"/>
      <c r="MT886" s="13"/>
      <c r="MU886" s="317"/>
      <c r="MV886" s="317"/>
      <c r="MW886" s="317"/>
      <c r="MX886" s="317"/>
      <c r="MY886" s="317"/>
      <c r="MZ886" s="13"/>
      <c r="NA886" s="12"/>
      <c r="NB886" s="317"/>
      <c r="NC886" s="317"/>
      <c r="ND886" s="317"/>
      <c r="NE886" s="317"/>
      <c r="NF886" s="317"/>
      <c r="NG886" s="317"/>
      <c r="NH886" s="317"/>
      <c r="NI886" s="317"/>
      <c r="NJ886" s="317"/>
      <c r="NK886" s="317"/>
      <c r="NL886" s="317"/>
      <c r="NM886" s="12"/>
      <c r="NN886" s="317"/>
      <c r="NO886" s="317"/>
      <c r="NP886" s="317"/>
      <c r="NQ886" s="317"/>
      <c r="NR886" s="317"/>
      <c r="NS886" s="317"/>
      <c r="NT886" s="317"/>
      <c r="NU886" s="317"/>
      <c r="NV886" s="317"/>
      <c r="NW886" s="317"/>
      <c r="NX886" s="317"/>
      <c r="NY886" s="317"/>
      <c r="NZ886" s="317"/>
      <c r="OA886" s="317"/>
      <c r="OB886" s="317"/>
      <c r="OC886" s="317"/>
      <c r="OD886" s="317"/>
      <c r="OE886" s="317"/>
      <c r="OF886" s="317"/>
      <c r="OG886" s="317"/>
      <c r="OH886" s="317"/>
      <c r="OI886" s="317"/>
      <c r="OJ886" s="317"/>
      <c r="OK886" s="317"/>
      <c r="OL886" s="317"/>
      <c r="OM886" s="317"/>
      <c r="ON886" s="317"/>
      <c r="OO886" s="317"/>
      <c r="OP886" s="317"/>
      <c r="OQ886" s="317"/>
      <c r="OR886" s="317"/>
      <c r="OS886" s="317"/>
      <c r="OT886" s="317"/>
      <c r="OU886" s="317"/>
      <c r="OV886" s="13"/>
      <c r="OW886" s="317"/>
      <c r="OX886" s="317"/>
      <c r="OY886" s="317"/>
      <c r="OZ886" s="317"/>
      <c r="PA886" s="317"/>
      <c r="PB886" s="317"/>
      <c r="PC886" s="317"/>
      <c r="PD886" s="317"/>
      <c r="PE886" s="317"/>
      <c r="PF886" s="317"/>
      <c r="PG886" s="317"/>
      <c r="PH886" s="317"/>
      <c r="PI886" s="317"/>
      <c r="PJ886" s="317"/>
      <c r="PK886" s="317"/>
      <c r="PL886" s="317"/>
      <c r="PM886" s="317"/>
      <c r="PN886" s="317"/>
      <c r="PO886" s="317"/>
      <c r="PP886" s="317"/>
      <c r="PQ886" s="317"/>
      <c r="PR886" s="317"/>
      <c r="PS886" s="317"/>
      <c r="PT886" s="317"/>
      <c r="PU886" s="317"/>
      <c r="PV886" s="317"/>
      <c r="PW886" s="317"/>
      <c r="PX886" s="317"/>
      <c r="PY886" s="317"/>
      <c r="PZ886" s="317"/>
      <c r="QA886" s="317"/>
      <c r="QB886" s="317"/>
      <c r="QC886" s="317"/>
      <c r="QD886" s="317"/>
      <c r="QE886" s="317"/>
      <c r="QF886" s="317"/>
      <c r="QG886" s="317"/>
      <c r="QH886" s="317"/>
      <c r="QI886" s="317"/>
      <c r="QJ886" s="317"/>
      <c r="QK886" s="317"/>
      <c r="QL886" s="317"/>
      <c r="QM886" s="317"/>
      <c r="QN886" s="317"/>
      <c r="QO886" s="317"/>
      <c r="QP886" s="12"/>
      <c r="QQ886" s="317"/>
      <c r="QR886" s="317"/>
      <c r="QS886" s="317"/>
      <c r="QT886" s="317"/>
      <c r="QU886" s="317"/>
      <c r="QV886" s="317"/>
      <c r="QW886" s="317"/>
      <c r="QX886" s="317"/>
      <c r="QY886" s="317"/>
      <c r="QZ886" s="317"/>
      <c r="RA886" s="13"/>
      <c r="RB886" s="317"/>
      <c r="RC886" s="317"/>
      <c r="RD886" s="317"/>
      <c r="RE886" s="317"/>
      <c r="RF886" s="317"/>
      <c r="RG886" s="317"/>
      <c r="RH886" s="317"/>
      <c r="RI886" s="317"/>
      <c r="RJ886" s="317"/>
      <c r="RK886" s="317"/>
      <c r="RL886" s="317"/>
      <c r="RM886" s="13"/>
      <c r="RN886" s="317"/>
      <c r="RO886" s="317"/>
      <c r="RP886" s="13"/>
      <c r="RQ886" s="317"/>
      <c r="RR886" s="317"/>
      <c r="RS886" s="317"/>
      <c r="RT886" s="317"/>
      <c r="RU886" s="317"/>
      <c r="RV886" s="13"/>
      <c r="TV886" s="12"/>
      <c r="WL886" s="13"/>
    </row>
    <row r="887" spans="88:610" ht="10.75" customHeight="1">
      <c r="CJ887" s="12"/>
      <c r="CS887" s="13"/>
      <c r="CT887" s="42"/>
      <c r="CU887" s="43"/>
      <c r="CV887" s="45"/>
      <c r="CW887" s="14"/>
      <c r="CX887" s="15"/>
      <c r="CY887" s="15"/>
      <c r="CZ887" s="15"/>
      <c r="DA887" s="15"/>
      <c r="DB887" s="15"/>
      <c r="DC887" s="15"/>
      <c r="DD887" s="15"/>
      <c r="DE887" s="15"/>
      <c r="DF887" s="15"/>
      <c r="DG887" s="15"/>
      <c r="DH887" s="15"/>
      <c r="DI887" s="15"/>
      <c r="DJ887" s="15"/>
      <c r="DK887" s="15"/>
      <c r="DL887" s="15"/>
      <c r="DM887" s="15"/>
      <c r="DN887" s="15"/>
      <c r="DO887" s="15"/>
      <c r="DP887" s="15"/>
      <c r="DQ887" s="15"/>
      <c r="DR887" s="15"/>
      <c r="DS887" s="15"/>
      <c r="DT887" s="15"/>
      <c r="DU887" s="15"/>
      <c r="DV887" s="15"/>
      <c r="DW887" s="15"/>
      <c r="DX887" s="15"/>
      <c r="DY887" s="15"/>
      <c r="DZ887" s="15"/>
      <c r="EA887" s="15"/>
      <c r="EB887" s="15"/>
      <c r="EC887" s="15"/>
      <c r="ED887" s="15"/>
      <c r="EE887" s="15"/>
      <c r="EF887" s="15"/>
      <c r="EG887" s="15"/>
      <c r="EH887" s="15"/>
      <c r="EI887" s="15"/>
      <c r="EJ887" s="15"/>
      <c r="EK887" s="15"/>
      <c r="EL887" s="15"/>
      <c r="EM887" s="15"/>
      <c r="EN887" s="15"/>
      <c r="EO887" s="15"/>
      <c r="EP887" s="15"/>
      <c r="EQ887" s="15"/>
      <c r="ER887" s="15"/>
      <c r="ES887" s="160"/>
      <c r="ET887" s="161"/>
      <c r="EZ887" s="294"/>
      <c r="FA887" s="293"/>
      <c r="GP887" s="13"/>
      <c r="GQ887" s="43"/>
      <c r="GR887" s="43"/>
      <c r="GS887" s="45"/>
      <c r="GT887" s="49"/>
      <c r="GU887" s="49"/>
      <c r="GV887" s="49"/>
      <c r="GW887" s="49"/>
      <c r="GX887" s="49"/>
      <c r="GY887" s="49"/>
      <c r="GZ887" s="49"/>
      <c r="HA887" s="208"/>
      <c r="HB887" s="231"/>
      <c r="HC887" s="231"/>
      <c r="HD887" s="231"/>
      <c r="HE887" s="231"/>
      <c r="HF887" s="231"/>
      <c r="HG887" s="231"/>
      <c r="HH887" s="231"/>
      <c r="HI887" s="232"/>
      <c r="KM887" s="12"/>
      <c r="KN887" s="317"/>
      <c r="KO887" s="317"/>
      <c r="KP887" s="317"/>
      <c r="KQ887" s="317"/>
      <c r="KR887" s="317"/>
      <c r="KS887" s="317"/>
      <c r="KT887" s="317"/>
      <c r="KU887" s="317"/>
      <c r="KV887" s="317"/>
      <c r="KW887" s="317"/>
      <c r="KX887" s="317"/>
      <c r="KY887" s="317"/>
      <c r="KZ887" s="317"/>
      <c r="LA887" s="317"/>
      <c r="LB887" s="317"/>
      <c r="LC887" s="317"/>
      <c r="LD887" s="317"/>
      <c r="LE887" s="317"/>
      <c r="LF887" s="317"/>
      <c r="LG887" s="317"/>
      <c r="LH887" s="317"/>
      <c r="LI887" s="317"/>
      <c r="LJ887" s="317"/>
      <c r="LK887" s="317"/>
      <c r="LL887" s="317"/>
      <c r="LM887" s="317"/>
      <c r="LN887" s="317"/>
      <c r="LO887" s="317"/>
      <c r="LP887" s="317"/>
      <c r="LQ887" s="317"/>
      <c r="LR887" s="317"/>
      <c r="LS887" s="317"/>
      <c r="LT887" s="317"/>
      <c r="LU887" s="317"/>
      <c r="LV887" s="317"/>
      <c r="LW887" s="317"/>
      <c r="LX887" s="317"/>
      <c r="LY887" s="317"/>
      <c r="LZ887" s="317"/>
      <c r="MA887" s="317"/>
      <c r="MB887" s="317"/>
      <c r="MC887" s="317"/>
      <c r="MD887" s="317"/>
      <c r="ME887" s="317"/>
      <c r="MF887" s="317"/>
      <c r="MG887" s="317"/>
      <c r="MH887" s="317"/>
      <c r="MI887" s="317"/>
      <c r="MJ887" s="317"/>
      <c r="MK887" s="317"/>
      <c r="ML887" s="317"/>
      <c r="MM887" s="317"/>
      <c r="MN887" s="317"/>
      <c r="MO887" s="317"/>
      <c r="MP887" s="317"/>
      <c r="MQ887" s="317"/>
      <c r="MR887" s="317"/>
      <c r="MS887" s="317"/>
      <c r="MT887" s="13"/>
      <c r="MU887" s="317"/>
      <c r="MV887" s="317"/>
      <c r="MW887" s="317"/>
      <c r="MX887" s="317"/>
      <c r="MY887" s="317"/>
      <c r="MZ887" s="13"/>
      <c r="NA887" s="12"/>
      <c r="NB887" s="317"/>
      <c r="NC887" s="317"/>
      <c r="ND887" s="317"/>
      <c r="NE887" s="317"/>
      <c r="NF887" s="317"/>
      <c r="NG887" s="317"/>
      <c r="NH887" s="317"/>
      <c r="NI887" s="317"/>
      <c r="NJ887" s="317"/>
      <c r="NK887" s="317"/>
      <c r="NL887" s="317"/>
      <c r="NM887" s="12"/>
      <c r="NN887" s="317"/>
      <c r="NO887" s="317"/>
      <c r="NP887" s="317"/>
      <c r="NQ887" s="317"/>
      <c r="NR887" s="317"/>
      <c r="NS887" s="317"/>
      <c r="NT887" s="317"/>
      <c r="NU887" s="317"/>
      <c r="NV887" s="317"/>
      <c r="NW887" s="317"/>
      <c r="NX887" s="317"/>
      <c r="NY887" s="317"/>
      <c r="NZ887" s="317"/>
      <c r="OA887" s="317"/>
      <c r="OB887" s="317"/>
      <c r="OC887" s="317"/>
      <c r="OD887" s="317"/>
      <c r="OE887" s="317"/>
      <c r="OF887" s="317"/>
      <c r="OG887" s="317"/>
      <c r="OH887" s="317"/>
      <c r="OI887" s="317"/>
      <c r="OJ887" s="317"/>
      <c r="OK887" s="317"/>
      <c r="OL887" s="317"/>
      <c r="OM887" s="317"/>
      <c r="ON887" s="317"/>
      <c r="OO887" s="317"/>
      <c r="OP887" s="317"/>
      <c r="OQ887" s="317"/>
      <c r="OR887" s="317"/>
      <c r="OS887" s="317"/>
      <c r="OT887" s="317"/>
      <c r="OU887" s="317"/>
      <c r="OV887" s="13"/>
      <c r="OW887" s="317"/>
      <c r="OX887" s="317"/>
      <c r="OY887" s="317"/>
      <c r="OZ887" s="317"/>
      <c r="PA887" s="317"/>
      <c r="PB887" s="317"/>
      <c r="PC887" s="317"/>
      <c r="PD887" s="317"/>
      <c r="PE887" s="317"/>
      <c r="PF887" s="317"/>
      <c r="PG887" s="317"/>
      <c r="PH887" s="317"/>
      <c r="PI887" s="317"/>
      <c r="PJ887" s="317"/>
      <c r="PK887" s="317"/>
      <c r="PL887" s="317"/>
      <c r="PM887" s="317"/>
      <c r="PN887" s="317"/>
      <c r="PO887" s="317"/>
      <c r="PP887" s="317"/>
      <c r="PQ887" s="317"/>
      <c r="PR887" s="317"/>
      <c r="PS887" s="317"/>
      <c r="PT887" s="317"/>
      <c r="PU887" s="317"/>
      <c r="PV887" s="317"/>
      <c r="PW887" s="317"/>
      <c r="PX887" s="317"/>
      <c r="PY887" s="317"/>
      <c r="PZ887" s="317"/>
      <c r="QA887" s="317"/>
      <c r="QB887" s="317"/>
      <c r="QC887" s="317"/>
      <c r="QD887" s="317"/>
      <c r="QE887" s="317"/>
      <c r="QF887" s="317"/>
      <c r="QG887" s="317"/>
      <c r="QH887" s="317"/>
      <c r="QI887" s="317"/>
      <c r="QJ887" s="317"/>
      <c r="QK887" s="317"/>
      <c r="QL887" s="317"/>
      <c r="QM887" s="317"/>
      <c r="QN887" s="317"/>
      <c r="QO887" s="317"/>
      <c r="QP887" s="12"/>
      <c r="QQ887" s="317"/>
      <c r="QR887" s="317"/>
      <c r="QS887" s="317"/>
      <c r="QT887" s="317"/>
      <c r="QU887" s="317"/>
      <c r="QV887" s="317"/>
      <c r="QW887" s="317"/>
      <c r="QX887" s="317"/>
      <c r="QY887" s="317"/>
      <c r="QZ887" s="317"/>
      <c r="RA887" s="13"/>
      <c r="RB887" s="317"/>
      <c r="RC887" s="317"/>
      <c r="RD887" s="317"/>
      <c r="RE887" s="317"/>
      <c r="RF887" s="317"/>
      <c r="RG887" s="317"/>
      <c r="RH887" s="317"/>
      <c r="RI887" s="317"/>
      <c r="RJ887" s="317"/>
      <c r="RK887" s="317"/>
      <c r="RL887" s="317"/>
      <c r="RM887" s="13"/>
      <c r="RN887" s="317"/>
      <c r="RO887" s="317"/>
      <c r="RP887" s="13"/>
      <c r="RQ887" s="317"/>
      <c r="RR887" s="317"/>
      <c r="RS887" s="317"/>
      <c r="RT887" s="317"/>
      <c r="RU887" s="317"/>
      <c r="RV887" s="13"/>
      <c r="TV887" s="12"/>
      <c r="WL887" s="13"/>
    </row>
    <row r="888" spans="88:610" ht="10.75" customHeight="1">
      <c r="CJ888" s="12"/>
      <c r="CS888" s="13"/>
      <c r="CT888" s="42"/>
      <c r="CU888" s="43"/>
      <c r="CV888" s="45"/>
      <c r="CW888" s="160"/>
      <c r="CX888" s="162"/>
      <c r="CY888" s="162"/>
      <c r="CZ888" s="162"/>
      <c r="DA888" s="162"/>
      <c r="DB888" s="162"/>
      <c r="DC888" s="162"/>
      <c r="DD888" s="162"/>
      <c r="DE888" s="162"/>
      <c r="DF888" s="162"/>
      <c r="DG888" s="162"/>
      <c r="DH888" s="162"/>
      <c r="DI888" s="162"/>
      <c r="DJ888" s="162"/>
      <c r="DK888" s="162"/>
      <c r="DL888" s="162"/>
      <c r="DM888" s="162"/>
      <c r="DN888" s="162"/>
      <c r="DO888" s="162"/>
      <c r="DP888" s="162"/>
      <c r="DQ888" s="162"/>
      <c r="DR888" s="162"/>
      <c r="DS888" s="162"/>
      <c r="DT888" s="162"/>
      <c r="DU888" s="162"/>
      <c r="DV888" s="162"/>
      <c r="DW888" s="162"/>
      <c r="DX888" s="162"/>
      <c r="DY888" s="162"/>
      <c r="DZ888" s="162"/>
      <c r="EA888" s="162"/>
      <c r="EB888" s="162"/>
      <c r="EC888" s="162"/>
      <c r="ED888" s="162"/>
      <c r="EE888" s="162"/>
      <c r="EF888" s="162"/>
      <c r="EG888" s="162"/>
      <c r="EH888" s="162"/>
      <c r="EI888" s="162"/>
      <c r="EJ888" s="162"/>
      <c r="EK888" s="162"/>
      <c r="EL888" s="162"/>
      <c r="EM888" s="162"/>
      <c r="EN888" s="162"/>
      <c r="EO888" s="162"/>
      <c r="EP888" s="162"/>
      <c r="EQ888" s="162"/>
      <c r="ER888" s="158"/>
      <c r="ES888" s="162"/>
      <c r="ET888" s="161"/>
      <c r="GP888" s="13"/>
      <c r="GQ888" s="43"/>
      <c r="GR888" s="43"/>
      <c r="GS888" s="45"/>
      <c r="GT888" s="49"/>
      <c r="GU888" s="49"/>
      <c r="GV888" s="49"/>
      <c r="GW888" s="49"/>
      <c r="GX888" s="49"/>
      <c r="GY888" s="49"/>
      <c r="GZ888" s="49"/>
      <c r="HA888" s="208"/>
      <c r="HB888" s="231"/>
      <c r="HC888" s="231"/>
      <c r="HD888" s="231"/>
      <c r="HE888" s="231"/>
      <c r="HF888" s="231"/>
      <c r="HG888" s="231"/>
      <c r="HH888" s="231"/>
      <c r="HI888" s="232"/>
      <c r="KM888" s="12"/>
      <c r="KN888" s="317"/>
      <c r="KO888" s="317"/>
      <c r="KP888" s="317"/>
      <c r="KQ888" s="317"/>
      <c r="KR888" s="317"/>
      <c r="KS888" s="317"/>
      <c r="KT888" s="317"/>
      <c r="KU888" s="317"/>
      <c r="KV888" s="317"/>
      <c r="KW888" s="317"/>
      <c r="KX888" s="317"/>
      <c r="KY888" s="317"/>
      <c r="KZ888" s="317"/>
      <c r="LA888" s="317"/>
      <c r="LB888" s="317"/>
      <c r="LC888" s="317"/>
      <c r="LD888" s="317"/>
      <c r="LE888" s="317"/>
      <c r="LF888" s="317"/>
      <c r="LG888" s="317"/>
      <c r="LH888" s="317"/>
      <c r="LI888" s="317"/>
      <c r="LJ888" s="317"/>
      <c r="LK888" s="317"/>
      <c r="LL888" s="317"/>
      <c r="LM888" s="317"/>
      <c r="LN888" s="317"/>
      <c r="LO888" s="317"/>
      <c r="LP888" s="317"/>
      <c r="LQ888" s="317"/>
      <c r="LR888" s="317"/>
      <c r="LS888" s="317"/>
      <c r="LT888" s="317"/>
      <c r="LU888" s="317"/>
      <c r="LV888" s="317"/>
      <c r="LW888" s="317"/>
      <c r="LX888" s="317"/>
      <c r="LY888" s="317"/>
      <c r="LZ888" s="317"/>
      <c r="MA888" s="317"/>
      <c r="MB888" s="317"/>
      <c r="MC888" s="317"/>
      <c r="MD888" s="317"/>
      <c r="ME888" s="317"/>
      <c r="MF888" s="317"/>
      <c r="MG888" s="317"/>
      <c r="MH888" s="317"/>
      <c r="MI888" s="317"/>
      <c r="MJ888" s="317"/>
      <c r="MK888" s="317"/>
      <c r="ML888" s="317"/>
      <c r="MM888" s="317"/>
      <c r="MN888" s="317"/>
      <c r="MO888" s="317"/>
      <c r="MP888" s="317"/>
      <c r="MQ888" s="317"/>
      <c r="MR888" s="317"/>
      <c r="MS888" s="317"/>
      <c r="MT888" s="13"/>
      <c r="MU888" s="317"/>
      <c r="MV888" s="317"/>
      <c r="MW888" s="317"/>
      <c r="MX888" s="317"/>
      <c r="MY888" s="317"/>
      <c r="MZ888" s="13"/>
      <c r="NA888" s="12"/>
      <c r="NB888" s="317"/>
      <c r="NC888" s="317"/>
      <c r="ND888" s="317"/>
      <c r="NE888" s="317"/>
      <c r="NF888" s="317"/>
      <c r="NG888" s="317"/>
      <c r="NH888" s="317"/>
      <c r="NI888" s="317"/>
      <c r="NJ888" s="317"/>
      <c r="NK888" s="317"/>
      <c r="NL888" s="317"/>
      <c r="NM888" s="12"/>
      <c r="NN888" s="317"/>
      <c r="NO888" s="317"/>
      <c r="NP888" s="317"/>
      <c r="NQ888" s="317"/>
      <c r="NR888" s="317"/>
      <c r="NS888" s="317"/>
      <c r="NT888" s="317"/>
      <c r="NU888" s="317"/>
      <c r="NV888" s="317"/>
      <c r="NW888" s="317"/>
      <c r="NX888" s="317"/>
      <c r="NY888" s="317"/>
      <c r="NZ888" s="317"/>
      <c r="OA888" s="317"/>
      <c r="OB888" s="317"/>
      <c r="OC888" s="317"/>
      <c r="OD888" s="317"/>
      <c r="OE888" s="317"/>
      <c r="OF888" s="317"/>
      <c r="OG888" s="317"/>
      <c r="OH888" s="317"/>
      <c r="OI888" s="317"/>
      <c r="OJ888" s="317"/>
      <c r="OK888" s="317"/>
      <c r="OL888" s="317"/>
      <c r="OM888" s="317"/>
      <c r="ON888" s="317"/>
      <c r="OO888" s="317"/>
      <c r="OP888" s="317"/>
      <c r="OQ888" s="317"/>
      <c r="OR888" s="317"/>
      <c r="OS888" s="317"/>
      <c r="OT888" s="317"/>
      <c r="OU888" s="317"/>
      <c r="OV888" s="13"/>
      <c r="OW888" s="317"/>
      <c r="OX888" s="317"/>
      <c r="OY888" s="317"/>
      <c r="OZ888" s="317"/>
      <c r="PA888" s="317"/>
      <c r="PB888" s="317"/>
      <c r="PC888" s="317"/>
      <c r="PD888" s="317"/>
      <c r="PE888" s="317"/>
      <c r="PF888" s="317"/>
      <c r="PG888" s="317"/>
      <c r="PH888" s="317"/>
      <c r="PI888" s="317"/>
      <c r="PJ888" s="317"/>
      <c r="PK888" s="317"/>
      <c r="PL888" s="317"/>
      <c r="PM888" s="317"/>
      <c r="PN888" s="317"/>
      <c r="PO888" s="317"/>
      <c r="PP888" s="317"/>
      <c r="PQ888" s="317"/>
      <c r="PR888" s="317"/>
      <c r="PS888" s="317"/>
      <c r="PT888" s="317"/>
      <c r="PU888" s="317"/>
      <c r="PV888" s="317"/>
      <c r="PW888" s="317"/>
      <c r="PX888" s="317"/>
      <c r="PY888" s="317"/>
      <c r="PZ888" s="317"/>
      <c r="QA888" s="317"/>
      <c r="QB888" s="317"/>
      <c r="QC888" s="317"/>
      <c r="QD888" s="317"/>
      <c r="QE888" s="317"/>
      <c r="QF888" s="317"/>
      <c r="QG888" s="317"/>
      <c r="QH888" s="317"/>
      <c r="QI888" s="317"/>
      <c r="QJ888" s="317"/>
      <c r="QK888" s="317"/>
      <c r="QL888" s="317"/>
      <c r="QM888" s="317"/>
      <c r="QN888" s="317"/>
      <c r="QO888" s="317"/>
      <c r="QP888" s="12"/>
      <c r="QQ888" s="317"/>
      <c r="QR888" s="317"/>
      <c r="QS888" s="317"/>
      <c r="QT888" s="317"/>
      <c r="QU888" s="317"/>
      <c r="QV888" s="317"/>
      <c r="QW888" s="317"/>
      <c r="QX888" s="317"/>
      <c r="QY888" s="317"/>
      <c r="QZ888" s="317"/>
      <c r="RA888" s="13"/>
      <c r="RB888" s="317"/>
      <c r="RC888" s="317"/>
      <c r="RD888" s="317"/>
      <c r="RE888" s="317"/>
      <c r="RF888" s="317"/>
      <c r="RG888" s="317"/>
      <c r="RH888" s="317"/>
      <c r="RI888" s="317"/>
      <c r="RJ888" s="317"/>
      <c r="RK888" s="317"/>
      <c r="RL888" s="317"/>
      <c r="RM888" s="13"/>
      <c r="RN888" s="317"/>
      <c r="RO888" s="317"/>
      <c r="RP888" s="13"/>
      <c r="RQ888" s="317"/>
      <c r="RR888" s="317"/>
      <c r="RS888" s="317"/>
      <c r="RT888" s="317"/>
      <c r="RU888" s="317"/>
      <c r="RV888" s="13"/>
      <c r="TV888" s="12"/>
      <c r="WL888" s="13"/>
    </row>
    <row r="889" spans="88:610" ht="10.75" customHeight="1">
      <c r="CJ889" s="12"/>
      <c r="CS889" s="13"/>
      <c r="CT889" s="42"/>
      <c r="CU889" s="43"/>
      <c r="CV889" s="45"/>
      <c r="CW889" s="290"/>
      <c r="CX889" s="163"/>
      <c r="CY889" s="163"/>
      <c r="CZ889" s="163"/>
      <c r="DA889" s="163"/>
      <c r="DB889" s="163"/>
      <c r="DC889" s="163"/>
      <c r="DD889" s="163"/>
      <c r="DE889" s="163"/>
      <c r="DF889" s="163"/>
      <c r="DG889" s="163"/>
      <c r="DH889" s="163"/>
      <c r="DI889" s="163"/>
      <c r="DJ889" s="163"/>
      <c r="DK889" s="163"/>
      <c r="DL889" s="163"/>
      <c r="DM889" s="163"/>
      <c r="DN889" s="163"/>
      <c r="DO889" s="163"/>
      <c r="DP889" s="163"/>
      <c r="DQ889" s="163"/>
      <c r="DR889" s="163"/>
      <c r="DS889" s="163"/>
      <c r="DT889" s="163"/>
      <c r="DU889" s="163"/>
      <c r="DV889" s="163"/>
      <c r="DW889" s="163"/>
      <c r="DX889" s="163"/>
      <c r="DY889" s="163"/>
      <c r="DZ889" s="163"/>
      <c r="EA889" s="163"/>
      <c r="EB889" s="163"/>
      <c r="EC889" s="163"/>
      <c r="ED889" s="163"/>
      <c r="EE889" s="163"/>
      <c r="EF889" s="163"/>
      <c r="EG889" s="163"/>
      <c r="EH889" s="163"/>
      <c r="EI889" s="163"/>
      <c r="EJ889" s="163"/>
      <c r="EK889" s="163"/>
      <c r="EL889" s="163"/>
      <c r="EM889" s="163"/>
      <c r="EN889" s="163"/>
      <c r="EO889" s="163"/>
      <c r="EP889" s="163"/>
      <c r="EQ889" s="163"/>
      <c r="ER889" s="163"/>
      <c r="ES889" s="163"/>
      <c r="ET889" s="164"/>
      <c r="GP889" s="13"/>
      <c r="GQ889" s="43"/>
      <c r="GR889" s="43"/>
      <c r="GS889" s="45"/>
      <c r="GT889" s="49"/>
      <c r="GU889" s="49"/>
      <c r="GV889" s="49"/>
      <c r="GW889" s="49"/>
      <c r="GX889" s="49"/>
      <c r="GY889" s="49"/>
      <c r="GZ889" s="49"/>
      <c r="HA889" s="208"/>
      <c r="HB889" s="231"/>
      <c r="HC889" s="231"/>
      <c r="HD889" s="231"/>
      <c r="HE889" s="231"/>
      <c r="HF889" s="231"/>
      <c r="HG889" s="231"/>
      <c r="HH889" s="231"/>
      <c r="HI889" s="232"/>
      <c r="KM889" s="12"/>
      <c r="KN889" s="317"/>
      <c r="KO889" s="317"/>
      <c r="KP889" s="317"/>
      <c r="KQ889" s="317"/>
      <c r="KR889" s="317"/>
      <c r="KS889" s="317"/>
      <c r="KT889" s="317"/>
      <c r="KU889" s="317"/>
      <c r="KV889" s="317"/>
      <c r="KW889" s="317"/>
      <c r="KX889" s="317"/>
      <c r="KY889" s="317"/>
      <c r="KZ889" s="317"/>
      <c r="LA889" s="317"/>
      <c r="LB889" s="317"/>
      <c r="LC889" s="317"/>
      <c r="LD889" s="317"/>
      <c r="LE889" s="317"/>
      <c r="LF889" s="317"/>
      <c r="LG889" s="317"/>
      <c r="LH889" s="317"/>
      <c r="LI889" s="317"/>
      <c r="LJ889" s="317"/>
      <c r="LK889" s="317"/>
      <c r="LL889" s="317"/>
      <c r="LM889" s="317"/>
      <c r="LN889" s="317"/>
      <c r="LO889" s="317"/>
      <c r="LP889" s="317"/>
      <c r="LQ889" s="317"/>
      <c r="LR889" s="317"/>
      <c r="LS889" s="317"/>
      <c r="LT889" s="317"/>
      <c r="LU889" s="317"/>
      <c r="LV889" s="317"/>
      <c r="LW889" s="317"/>
      <c r="LX889" s="317"/>
      <c r="LY889" s="317"/>
      <c r="LZ889" s="317"/>
      <c r="MA889" s="317"/>
      <c r="MB889" s="317"/>
      <c r="MC889" s="317"/>
      <c r="MD889" s="317"/>
      <c r="ME889" s="317"/>
      <c r="MF889" s="317"/>
      <c r="MG889" s="317"/>
      <c r="MH889" s="317"/>
      <c r="MI889" s="317"/>
      <c r="MJ889" s="317"/>
      <c r="MK889" s="317"/>
      <c r="ML889" s="317"/>
      <c r="MM889" s="317"/>
      <c r="MN889" s="317"/>
      <c r="MO889" s="317"/>
      <c r="MP889" s="317"/>
      <c r="MQ889" s="317"/>
      <c r="MR889" s="317"/>
      <c r="MS889" s="317"/>
      <c r="MT889" s="13"/>
      <c r="MU889" s="317"/>
      <c r="MV889" s="317"/>
      <c r="MW889" s="317"/>
      <c r="MX889" s="317"/>
      <c r="MY889" s="317"/>
      <c r="MZ889" s="13"/>
      <c r="NA889" s="12"/>
      <c r="NB889" s="317"/>
      <c r="NC889" s="317"/>
      <c r="ND889" s="317"/>
      <c r="NE889" s="317"/>
      <c r="NF889" s="317"/>
      <c r="NG889" s="317"/>
      <c r="NH889" s="317"/>
      <c r="NI889" s="317"/>
      <c r="NJ889" s="317"/>
      <c r="NK889" s="317"/>
      <c r="NL889" s="317"/>
      <c r="NM889" s="12"/>
      <c r="NN889" s="317"/>
      <c r="NO889" s="317"/>
      <c r="NP889" s="317"/>
      <c r="NQ889" s="317"/>
      <c r="NR889" s="317"/>
      <c r="NS889" s="317"/>
      <c r="NT889" s="317"/>
      <c r="NU889" s="317"/>
      <c r="NV889" s="317"/>
      <c r="NW889" s="317"/>
      <c r="NX889" s="317"/>
      <c r="NY889" s="317"/>
      <c r="NZ889" s="317"/>
      <c r="OA889" s="317"/>
      <c r="OB889" s="317"/>
      <c r="OC889" s="317"/>
      <c r="OD889" s="317"/>
      <c r="OE889" s="317"/>
      <c r="OF889" s="317"/>
      <c r="OG889" s="317"/>
      <c r="OH889" s="317"/>
      <c r="OI889" s="317"/>
      <c r="OJ889" s="317"/>
      <c r="OK889" s="317"/>
      <c r="OL889" s="317"/>
      <c r="OM889" s="317"/>
      <c r="ON889" s="317"/>
      <c r="OO889" s="317"/>
      <c r="OP889" s="317"/>
      <c r="OQ889" s="317"/>
      <c r="OR889" s="317"/>
      <c r="OS889" s="317"/>
      <c r="OT889" s="317"/>
      <c r="OU889" s="317"/>
      <c r="OV889" s="13"/>
      <c r="OW889" s="317"/>
      <c r="OX889" s="317"/>
      <c r="OY889" s="317"/>
      <c r="OZ889" s="317"/>
      <c r="PA889" s="317"/>
      <c r="PB889" s="317"/>
      <c r="PC889" s="317"/>
      <c r="PD889" s="317"/>
      <c r="PE889" s="317"/>
      <c r="PF889" s="317"/>
      <c r="PG889" s="317"/>
      <c r="PH889" s="317"/>
      <c r="PI889" s="317"/>
      <c r="PJ889" s="317"/>
      <c r="PK889" s="317"/>
      <c r="PL889" s="317"/>
      <c r="PM889" s="317"/>
      <c r="PN889" s="317"/>
      <c r="PO889" s="317"/>
      <c r="PP889" s="317"/>
      <c r="PQ889" s="317"/>
      <c r="PR889" s="317"/>
      <c r="PS889" s="317"/>
      <c r="PT889" s="317"/>
      <c r="PU889" s="317"/>
      <c r="PV889" s="317"/>
      <c r="PW889" s="317"/>
      <c r="PX889" s="317"/>
      <c r="PY889" s="317"/>
      <c r="PZ889" s="317"/>
      <c r="QA889" s="317"/>
      <c r="QB889" s="317"/>
      <c r="QC889" s="317"/>
      <c r="QD889" s="317"/>
      <c r="QE889" s="317"/>
      <c r="QF889" s="317"/>
      <c r="QG889" s="317"/>
      <c r="QH889" s="317"/>
      <c r="QI889" s="317"/>
      <c r="QJ889" s="317"/>
      <c r="QK889" s="317"/>
      <c r="QL889" s="317"/>
      <c r="QM889" s="317"/>
      <c r="QN889" s="317"/>
      <c r="QO889" s="317"/>
      <c r="QP889" s="14"/>
      <c r="QQ889" s="15"/>
      <c r="QR889" s="15"/>
      <c r="QS889" s="15"/>
      <c r="QT889" s="15"/>
      <c r="QU889" s="15"/>
      <c r="QV889" s="15"/>
      <c r="QW889" s="15"/>
      <c r="QX889" s="15"/>
      <c r="QY889" s="15"/>
      <c r="QZ889" s="15"/>
      <c r="RA889" s="16"/>
      <c r="RB889" s="317"/>
      <c r="RC889" s="317"/>
      <c r="RD889" s="317"/>
      <c r="RE889" s="317"/>
      <c r="RF889" s="317"/>
      <c r="RG889" s="15"/>
      <c r="RH889" s="15"/>
      <c r="RI889" s="15"/>
      <c r="RJ889" s="15"/>
      <c r="RK889" s="15"/>
      <c r="RL889" s="15"/>
      <c r="RM889" s="16"/>
      <c r="RN889" s="317"/>
      <c r="RO889" s="317"/>
      <c r="RP889" s="13"/>
      <c r="RQ889" s="317"/>
      <c r="RR889" s="317"/>
      <c r="RS889" s="317"/>
      <c r="RT889" s="317"/>
      <c r="RU889" s="317"/>
      <c r="RV889" s="13"/>
      <c r="TV889" s="12"/>
      <c r="WL889" s="13"/>
    </row>
    <row r="890" spans="88:610" ht="10.75" customHeight="1">
      <c r="CJ890" s="9"/>
      <c r="CK890" s="10"/>
      <c r="CL890" s="10"/>
      <c r="CM890" s="10"/>
      <c r="CN890" s="10"/>
      <c r="CO890" s="10"/>
      <c r="CP890" s="10"/>
      <c r="CQ890" s="10"/>
      <c r="CR890" s="10"/>
      <c r="CS890" s="11"/>
      <c r="CT890" s="42"/>
      <c r="CU890" s="43"/>
      <c r="CV890" s="45"/>
      <c r="CW890" s="9"/>
      <c r="CX890" s="10"/>
      <c r="CY890" s="10"/>
      <c r="CZ890" s="10"/>
      <c r="DA890" s="10"/>
      <c r="DB890" s="10"/>
      <c r="DC890" s="10"/>
      <c r="DD890" s="10"/>
      <c r="DE890" s="10"/>
      <c r="DF890" s="10"/>
      <c r="DG890" s="10"/>
      <c r="DH890" s="10"/>
      <c r="DI890" s="10"/>
      <c r="DJ890" s="10"/>
      <c r="DK890" s="10"/>
      <c r="DL890" s="10"/>
      <c r="DM890" s="10"/>
      <c r="DN890" s="10"/>
      <c r="DO890" s="10"/>
      <c r="DP890" s="10"/>
      <c r="DQ890" s="10"/>
      <c r="DR890" s="10"/>
      <c r="DS890" s="10"/>
      <c r="DT890" s="10"/>
      <c r="DU890" s="10"/>
      <c r="DV890" s="10"/>
      <c r="DW890" s="10"/>
      <c r="DX890" s="10"/>
      <c r="DY890" s="10"/>
      <c r="DZ890" s="10"/>
      <c r="EA890" s="10"/>
      <c r="EB890" s="10"/>
      <c r="EC890" s="10"/>
      <c r="ED890" s="10"/>
      <c r="EE890" s="10"/>
      <c r="EF890" s="10"/>
      <c r="EG890" s="10"/>
      <c r="EH890" s="10"/>
      <c r="EI890" s="10"/>
      <c r="EJ890" s="10"/>
      <c r="EK890" s="10"/>
      <c r="EL890" s="10"/>
      <c r="EM890" s="10"/>
      <c r="EN890" s="10"/>
      <c r="EO890" s="10"/>
      <c r="EP890" s="10"/>
      <c r="EQ890" s="10"/>
      <c r="ER890" s="11"/>
      <c r="ET890" s="13"/>
      <c r="EZ890" s="300"/>
      <c r="FA890" s="301"/>
      <c r="GP890" s="13"/>
      <c r="GQ890" s="43"/>
      <c r="GR890" s="43"/>
      <c r="GS890" s="45"/>
      <c r="GT890" s="49"/>
      <c r="GU890" s="49"/>
      <c r="GV890" s="49"/>
      <c r="GW890" s="49"/>
      <c r="GX890" s="49"/>
      <c r="GY890" s="49"/>
      <c r="GZ890" s="49"/>
      <c r="HA890" s="208"/>
      <c r="HB890" s="231"/>
      <c r="HC890" s="231"/>
      <c r="HD890" s="231"/>
      <c r="HE890" s="231"/>
      <c r="HF890" s="231"/>
      <c r="HG890" s="231"/>
      <c r="HH890" s="231"/>
      <c r="HI890" s="232"/>
      <c r="KM890" s="12"/>
      <c r="KN890" s="317"/>
      <c r="KO890" s="317"/>
      <c r="KP890" s="317"/>
      <c r="KQ890" s="317"/>
      <c r="KR890" s="317"/>
      <c r="KS890" s="317"/>
      <c r="KT890" s="317"/>
      <c r="KU890" s="317"/>
      <c r="KV890" s="317"/>
      <c r="KW890" s="317"/>
      <c r="KX890" s="317"/>
      <c r="KY890" s="317"/>
      <c r="KZ890" s="317"/>
      <c r="LA890" s="317"/>
      <c r="LB890" s="317"/>
      <c r="LC890" s="317"/>
      <c r="LD890" s="317"/>
      <c r="LE890" s="317"/>
      <c r="LF890" s="317"/>
      <c r="LG890" s="317"/>
      <c r="LH890" s="317"/>
      <c r="LI890" s="317"/>
      <c r="LJ890" s="317"/>
      <c r="LK890" s="317"/>
      <c r="LL890" s="317"/>
      <c r="LM890" s="317"/>
      <c r="LN890" s="317"/>
      <c r="LO890" s="317"/>
      <c r="LP890" s="317"/>
      <c r="LQ890" s="317"/>
      <c r="LR890" s="317"/>
      <c r="LS890" s="317"/>
      <c r="LT890" s="317"/>
      <c r="LU890" s="317"/>
      <c r="LV890" s="317"/>
      <c r="LW890" s="317"/>
      <c r="LX890" s="317"/>
      <c r="LY890" s="317"/>
      <c r="LZ890" s="317"/>
      <c r="MA890" s="317"/>
      <c r="MB890" s="317"/>
      <c r="MC890" s="317"/>
      <c r="MD890" s="317"/>
      <c r="ME890" s="317"/>
      <c r="MF890" s="317"/>
      <c r="MG890" s="317"/>
      <c r="MH890" s="317"/>
      <c r="MI890" s="317"/>
      <c r="MJ890" s="317"/>
      <c r="MK890" s="317"/>
      <c r="ML890" s="317"/>
      <c r="MM890" s="317"/>
      <c r="MN890" s="317"/>
      <c r="MO890" s="317"/>
      <c r="MP890" s="317"/>
      <c r="MQ890" s="317"/>
      <c r="MR890" s="317"/>
      <c r="MS890" s="317"/>
      <c r="MT890" s="13"/>
      <c r="MU890" s="317"/>
      <c r="MV890" s="317"/>
      <c r="MW890" s="317"/>
      <c r="MX890" s="317"/>
      <c r="MY890" s="317"/>
      <c r="MZ890" s="13"/>
      <c r="NA890" s="12"/>
      <c r="NB890" s="317"/>
      <c r="NC890" s="317"/>
      <c r="ND890" s="317"/>
      <c r="NE890" s="317"/>
      <c r="NF890" s="317"/>
      <c r="NG890" s="317"/>
      <c r="NH890" s="317"/>
      <c r="NI890" s="317"/>
      <c r="NJ890" s="317"/>
      <c r="NK890" s="317"/>
      <c r="NL890" s="317"/>
      <c r="NM890" s="12"/>
      <c r="NN890" s="317"/>
      <c r="NO890" s="317"/>
      <c r="NP890" s="317"/>
      <c r="NQ890" s="317"/>
      <c r="NR890" s="317"/>
      <c r="NS890" s="317"/>
      <c r="NT890" s="317"/>
      <c r="NU890" s="317"/>
      <c r="NV890" s="317"/>
      <c r="NW890" s="317"/>
      <c r="NX890" s="317"/>
      <c r="NY890" s="317"/>
      <c r="NZ890" s="317"/>
      <c r="OA890" s="317"/>
      <c r="OB890" s="317"/>
      <c r="OC890" s="317"/>
      <c r="OD890" s="317"/>
      <c r="OE890" s="317"/>
      <c r="OF890" s="317"/>
      <c r="OG890" s="317"/>
      <c r="OH890" s="317"/>
      <c r="OI890" s="317"/>
      <c r="OJ890" s="317"/>
      <c r="OK890" s="317"/>
      <c r="OL890" s="317"/>
      <c r="OM890" s="317"/>
      <c r="ON890" s="317"/>
      <c r="OO890" s="317"/>
      <c r="OP890" s="317"/>
      <c r="OQ890" s="317"/>
      <c r="OR890" s="317"/>
      <c r="OS890" s="317"/>
      <c r="OT890" s="317"/>
      <c r="OU890" s="317"/>
      <c r="OV890" s="13"/>
      <c r="OW890" s="317"/>
      <c r="OX890" s="317"/>
      <c r="OY890" s="317"/>
      <c r="OZ890" s="317"/>
      <c r="PA890" s="317"/>
      <c r="PB890" s="317"/>
      <c r="PC890" s="317"/>
      <c r="PD890" s="317"/>
      <c r="PE890" s="317"/>
      <c r="PF890" s="317"/>
      <c r="PG890" s="317"/>
      <c r="PH890" s="317"/>
      <c r="PI890" s="317"/>
      <c r="PJ890" s="317"/>
      <c r="PK890" s="317"/>
      <c r="PL890" s="317"/>
      <c r="PM890" s="317"/>
      <c r="PN890" s="317"/>
      <c r="PO890" s="317"/>
      <c r="PP890" s="317"/>
      <c r="PQ890" s="317"/>
      <c r="PR890" s="317"/>
      <c r="PS890" s="317"/>
      <c r="PT890" s="317"/>
      <c r="PU890" s="317"/>
      <c r="PV890" s="317"/>
      <c r="PW890" s="317"/>
      <c r="PX890" s="317"/>
      <c r="PY890" s="317"/>
      <c r="PZ890" s="317"/>
      <c r="QA890" s="317"/>
      <c r="QB890" s="317"/>
      <c r="QC890" s="317"/>
      <c r="QD890" s="317"/>
      <c r="QE890" s="317"/>
      <c r="QF890" s="317"/>
      <c r="QG890" s="317"/>
      <c r="QH890" s="317"/>
      <c r="QI890" s="317"/>
      <c r="QJ890" s="317"/>
      <c r="QK890" s="317"/>
      <c r="QL890" s="317"/>
      <c r="QM890" s="317"/>
      <c r="QN890" s="317"/>
      <c r="QO890" s="317"/>
      <c r="QP890" s="317"/>
      <c r="QQ890" s="317"/>
      <c r="QR890" s="317"/>
      <c r="QS890" s="317"/>
      <c r="QT890" s="317"/>
      <c r="QU890" s="317"/>
      <c r="QV890" s="317"/>
      <c r="QW890" s="317"/>
      <c r="QX890" s="317"/>
      <c r="QY890" s="317"/>
      <c r="QZ890" s="317"/>
      <c r="RA890" s="317"/>
      <c r="RB890" s="9"/>
      <c r="RC890" s="10"/>
      <c r="RD890" s="10"/>
      <c r="RE890" s="10"/>
      <c r="RF890" s="10"/>
      <c r="RG890" s="10"/>
      <c r="RH890" s="10"/>
      <c r="RI890" s="10"/>
      <c r="RJ890" s="10"/>
      <c r="RK890" s="10"/>
      <c r="RL890" s="10"/>
      <c r="RM890" s="11"/>
      <c r="RN890" s="317"/>
      <c r="RO890" s="317"/>
      <c r="RP890" s="13"/>
      <c r="RQ890" s="317"/>
      <c r="RR890" s="317"/>
      <c r="RS890" s="317"/>
      <c r="RT890" s="317"/>
      <c r="RU890" s="317"/>
      <c r="RV890" s="13"/>
      <c r="TV890" s="12"/>
      <c r="WL890" s="13"/>
    </row>
    <row r="891" spans="88:610" ht="10.75" customHeight="1">
      <c r="CJ891" s="12"/>
      <c r="CS891" s="13"/>
      <c r="CT891" s="42"/>
      <c r="CU891" s="43"/>
      <c r="CV891" s="45"/>
      <c r="CW891" s="12"/>
      <c r="ER891" s="13"/>
      <c r="ET891" s="13"/>
      <c r="EZ891" s="297"/>
      <c r="GP891" s="13"/>
      <c r="GQ891" s="43"/>
      <c r="GR891" s="43"/>
      <c r="GS891" s="45"/>
      <c r="GT891" s="49"/>
      <c r="GU891" s="49"/>
      <c r="GV891" s="49"/>
      <c r="GW891" s="49"/>
      <c r="GX891" s="49"/>
      <c r="GY891" s="49"/>
      <c r="GZ891" s="49"/>
      <c r="HA891" s="208"/>
      <c r="HB891" s="231"/>
      <c r="HC891" s="231"/>
      <c r="HD891" s="231"/>
      <c r="HE891" s="231"/>
      <c r="HF891" s="231"/>
      <c r="HG891" s="231"/>
      <c r="HH891" s="231"/>
      <c r="HI891" s="232"/>
      <c r="KM891" s="12"/>
      <c r="KN891" s="317"/>
      <c r="KO891" s="317"/>
      <c r="KP891" s="317"/>
      <c r="KQ891" s="317"/>
      <c r="KR891" s="317"/>
      <c r="KS891" s="317"/>
      <c r="KT891" s="317"/>
      <c r="KU891" s="317"/>
      <c r="KV891" s="317"/>
      <c r="KW891" s="317"/>
      <c r="KX891" s="317"/>
      <c r="KY891" s="317"/>
      <c r="KZ891" s="317"/>
      <c r="LA891" s="317"/>
      <c r="LB891" s="317"/>
      <c r="LC891" s="317"/>
      <c r="LD891" s="317"/>
      <c r="LE891" s="317"/>
      <c r="LF891" s="317"/>
      <c r="LG891" s="317"/>
      <c r="LH891" s="317"/>
      <c r="LI891" s="317"/>
      <c r="LJ891" s="317"/>
      <c r="LK891" s="317"/>
      <c r="LL891" s="317"/>
      <c r="LM891" s="317"/>
      <c r="LN891" s="317"/>
      <c r="LO891" s="317"/>
      <c r="LP891" s="317"/>
      <c r="LQ891" s="317"/>
      <c r="LR891" s="317"/>
      <c r="LS891" s="317"/>
      <c r="LT891" s="317"/>
      <c r="LU891" s="317"/>
      <c r="LV891" s="317"/>
      <c r="LW891" s="317"/>
      <c r="LX891" s="317"/>
      <c r="LY891" s="317"/>
      <c r="LZ891" s="317"/>
      <c r="MA891" s="317"/>
      <c r="MB891" s="317"/>
      <c r="MC891" s="317"/>
      <c r="MD891" s="317"/>
      <c r="ME891" s="317"/>
      <c r="MF891" s="317"/>
      <c r="MG891" s="317"/>
      <c r="MH891" s="317"/>
      <c r="MI891" s="317"/>
      <c r="MJ891" s="317"/>
      <c r="MK891" s="317"/>
      <c r="ML891" s="317"/>
      <c r="MM891" s="317"/>
      <c r="MN891" s="317"/>
      <c r="MO891" s="317"/>
      <c r="MP891" s="317"/>
      <c r="MQ891" s="317"/>
      <c r="MR891" s="317"/>
      <c r="MS891" s="317"/>
      <c r="MT891" s="13"/>
      <c r="MU891" s="317"/>
      <c r="MV891" s="317"/>
      <c r="MW891" s="317"/>
      <c r="MX891" s="317"/>
      <c r="MY891" s="317"/>
      <c r="MZ891" s="13"/>
      <c r="NA891" s="12"/>
      <c r="NB891" s="317"/>
      <c r="NC891" s="317"/>
      <c r="ND891" s="317"/>
      <c r="NE891" s="317"/>
      <c r="NF891" s="317"/>
      <c r="NG891" s="317"/>
      <c r="NH891" s="317"/>
      <c r="NI891" s="317"/>
      <c r="NJ891" s="317"/>
      <c r="NK891" s="317"/>
      <c r="NL891" s="317"/>
      <c r="NM891" s="12"/>
      <c r="NN891" s="317"/>
      <c r="NO891" s="317"/>
      <c r="NP891" s="317"/>
      <c r="NQ891" s="317"/>
      <c r="NR891" s="317"/>
      <c r="NS891" s="317"/>
      <c r="NT891" s="317"/>
      <c r="NU891" s="317"/>
      <c r="NV891" s="317"/>
      <c r="NW891" s="317"/>
      <c r="NX891" s="317"/>
      <c r="NY891" s="317"/>
      <c r="NZ891" s="317"/>
      <c r="OA891" s="317"/>
      <c r="OB891" s="317"/>
      <c r="OC891" s="317"/>
      <c r="OD891" s="317"/>
      <c r="OE891" s="317"/>
      <c r="OF891" s="317"/>
      <c r="OG891" s="317"/>
      <c r="OH891" s="317"/>
      <c r="OI891" s="317"/>
      <c r="OJ891" s="317"/>
      <c r="OK891" s="317"/>
      <c r="OL891" s="317"/>
      <c r="OM891" s="317"/>
      <c r="ON891" s="317"/>
      <c r="OO891" s="317"/>
      <c r="OP891" s="317"/>
      <c r="OQ891" s="317"/>
      <c r="OR891" s="317"/>
      <c r="OS891" s="317"/>
      <c r="OT891" s="317"/>
      <c r="OU891" s="317"/>
      <c r="OV891" s="13"/>
      <c r="OW891" s="317"/>
      <c r="OX891" s="317"/>
      <c r="OY891" s="317"/>
      <c r="OZ891" s="317"/>
      <c r="PA891" s="317"/>
      <c r="PB891" s="317"/>
      <c r="PC891" s="317"/>
      <c r="PD891" s="317"/>
      <c r="PE891" s="317"/>
      <c r="PF891" s="317"/>
      <c r="PG891" s="317"/>
      <c r="PH891" s="317"/>
      <c r="PI891" s="317"/>
      <c r="PJ891" s="317"/>
      <c r="PK891" s="317"/>
      <c r="PL891" s="317"/>
      <c r="PM891" s="317"/>
      <c r="PN891" s="317"/>
      <c r="PO891" s="317"/>
      <c r="PP891" s="317"/>
      <c r="PQ891" s="317"/>
      <c r="PR891" s="317"/>
      <c r="PS891" s="317"/>
      <c r="PT891" s="317"/>
      <c r="PU891" s="317"/>
      <c r="PV891" s="317"/>
      <c r="PW891" s="317"/>
      <c r="PX891" s="317"/>
      <c r="PY891" s="317"/>
      <c r="PZ891" s="317"/>
      <c r="QA891" s="317"/>
      <c r="QB891" s="317"/>
      <c r="QC891" s="317"/>
      <c r="QD891" s="317"/>
      <c r="QE891" s="317"/>
      <c r="QF891" s="317"/>
      <c r="QG891" s="317"/>
      <c r="QH891" s="317"/>
      <c r="QI891" s="317"/>
      <c r="QJ891" s="317"/>
      <c r="QK891" s="317"/>
      <c r="QL891" s="317"/>
      <c r="QM891" s="317"/>
      <c r="QN891" s="317"/>
      <c r="QO891" s="317"/>
      <c r="QP891" s="317"/>
      <c r="QQ891" s="317"/>
      <c r="QR891" s="317"/>
      <c r="QS891" s="317"/>
      <c r="QT891" s="317"/>
      <c r="QU891" s="317"/>
      <c r="QV891" s="317"/>
      <c r="QW891" s="317"/>
      <c r="QX891" s="317"/>
      <c r="QY891" s="317"/>
      <c r="QZ891" s="317"/>
      <c r="RA891" s="317"/>
      <c r="RB891" s="12"/>
      <c r="RC891" s="317"/>
      <c r="RD891" s="317"/>
      <c r="RE891" s="317"/>
      <c r="RF891" s="317"/>
      <c r="RG891" s="317"/>
      <c r="RH891" s="317"/>
      <c r="RI891" s="317"/>
      <c r="RJ891" s="317"/>
      <c r="RK891" s="317"/>
      <c r="RL891" s="317"/>
      <c r="RM891" s="13"/>
      <c r="RN891" s="317"/>
      <c r="RO891" s="317"/>
      <c r="RP891" s="13"/>
      <c r="RQ891" s="317"/>
      <c r="RR891" s="317"/>
      <c r="RS891" s="317"/>
      <c r="RT891" s="317"/>
      <c r="RU891" s="317"/>
      <c r="RV891" s="13"/>
      <c r="TV891" s="12"/>
      <c r="WL891" s="13"/>
    </row>
    <row r="892" spans="88:610" ht="10.75" customHeight="1">
      <c r="CJ892" s="12"/>
      <c r="CS892" s="13"/>
      <c r="CT892" s="42"/>
      <c r="CU892" s="43"/>
      <c r="CV892" s="45"/>
      <c r="CW892" s="12"/>
      <c r="ER892" s="13"/>
      <c r="ET892" s="13"/>
      <c r="EZ892" s="297"/>
      <c r="GP892" s="13"/>
      <c r="GQ892" s="43"/>
      <c r="GR892" s="43"/>
      <c r="GS892" s="45"/>
      <c r="GT892" s="49"/>
      <c r="GU892" s="49"/>
      <c r="GV892" s="49"/>
      <c r="GW892" s="49"/>
      <c r="GX892" s="49"/>
      <c r="GY892" s="49"/>
      <c r="GZ892" s="49"/>
      <c r="HA892" s="208"/>
      <c r="HB892" s="231"/>
      <c r="HC892" s="231"/>
      <c r="HD892" s="231"/>
      <c r="HE892" s="231"/>
      <c r="HF892" s="231"/>
      <c r="HG892" s="231"/>
      <c r="HH892" s="231"/>
      <c r="HI892" s="232"/>
      <c r="KM892" s="12"/>
      <c r="KN892" s="317"/>
      <c r="KO892" s="317"/>
      <c r="KP892" s="317"/>
      <c r="KQ892" s="317"/>
      <c r="KR892" s="317"/>
      <c r="KS892" s="317"/>
      <c r="KT892" s="317"/>
      <c r="KU892" s="317"/>
      <c r="KV892" s="317"/>
      <c r="KW892" s="317"/>
      <c r="KX892" s="317"/>
      <c r="KY892" s="317"/>
      <c r="KZ892" s="317"/>
      <c r="LA892" s="317"/>
      <c r="LB892" s="317"/>
      <c r="LC892" s="317"/>
      <c r="LD892" s="317"/>
      <c r="LE892" s="317"/>
      <c r="LF892" s="317"/>
      <c r="LG892" s="317"/>
      <c r="LH892" s="317"/>
      <c r="LI892" s="317"/>
      <c r="LJ892" s="317"/>
      <c r="LK892" s="317"/>
      <c r="LL892" s="317"/>
      <c r="LM892" s="317"/>
      <c r="LN892" s="317"/>
      <c r="LO892" s="317"/>
      <c r="LP892" s="317"/>
      <c r="LQ892" s="317"/>
      <c r="LR892" s="317"/>
      <c r="LS892" s="317"/>
      <c r="LT892" s="317"/>
      <c r="LU892" s="317"/>
      <c r="LV892" s="317"/>
      <c r="LW892" s="317"/>
      <c r="LX892" s="317"/>
      <c r="LY892" s="317"/>
      <c r="LZ892" s="317"/>
      <c r="MA892" s="317"/>
      <c r="MB892" s="317"/>
      <c r="MC892" s="317"/>
      <c r="MD892" s="317"/>
      <c r="ME892" s="317"/>
      <c r="MF892" s="317"/>
      <c r="MG892" s="317"/>
      <c r="MH892" s="317"/>
      <c r="MI892" s="317"/>
      <c r="MJ892" s="317"/>
      <c r="MK892" s="317"/>
      <c r="ML892" s="317"/>
      <c r="MM892" s="317"/>
      <c r="MN892" s="317"/>
      <c r="MO892" s="317"/>
      <c r="MP892" s="317"/>
      <c r="MQ892" s="317"/>
      <c r="MR892" s="317"/>
      <c r="MS892" s="317"/>
      <c r="MT892" s="13"/>
      <c r="MU892" s="317"/>
      <c r="MV892" s="317"/>
      <c r="MW892" s="317"/>
      <c r="MX892" s="317"/>
      <c r="MY892" s="317"/>
      <c r="MZ892" s="13"/>
      <c r="NA892" s="12"/>
      <c r="NB892" s="317"/>
      <c r="NC892" s="317"/>
      <c r="ND892" s="317"/>
      <c r="NE892" s="317"/>
      <c r="NF892" s="317"/>
      <c r="NG892" s="317"/>
      <c r="NH892" s="317"/>
      <c r="NI892" s="317"/>
      <c r="NJ892" s="317"/>
      <c r="NK892" s="317"/>
      <c r="NL892" s="317"/>
      <c r="NM892" s="12"/>
      <c r="NN892" s="317"/>
      <c r="NO892" s="317"/>
      <c r="NP892" s="317"/>
      <c r="NQ892" s="317"/>
      <c r="NR892" s="317"/>
      <c r="NS892" s="317"/>
      <c r="NT892" s="317"/>
      <c r="NU892" s="317"/>
      <c r="NV892" s="317"/>
      <c r="NW892" s="317"/>
      <c r="NX892" s="317"/>
      <c r="NY892" s="317"/>
      <c r="NZ892" s="317"/>
      <c r="OA892" s="317"/>
      <c r="OB892" s="317"/>
      <c r="OC892" s="317"/>
      <c r="OD892" s="317"/>
      <c r="OE892" s="317"/>
      <c r="OF892" s="317"/>
      <c r="OG892" s="317"/>
      <c r="OH892" s="317"/>
      <c r="OI892" s="317"/>
      <c r="OJ892" s="317"/>
      <c r="OK892" s="317"/>
      <c r="OL892" s="317"/>
      <c r="OM892" s="317"/>
      <c r="ON892" s="317"/>
      <c r="OO892" s="317"/>
      <c r="OP892" s="317"/>
      <c r="OQ892" s="317"/>
      <c r="OR892" s="317"/>
      <c r="OS892" s="317"/>
      <c r="OT892" s="317"/>
      <c r="OU892" s="317"/>
      <c r="OV892" s="13"/>
      <c r="OW892" s="317"/>
      <c r="OX892" s="317"/>
      <c r="OY892" s="317"/>
      <c r="OZ892" s="317"/>
      <c r="PA892" s="317"/>
      <c r="PB892" s="317"/>
      <c r="PC892" s="317"/>
      <c r="PD892" s="317"/>
      <c r="PE892" s="317"/>
      <c r="PF892" s="317"/>
      <c r="PG892" s="317"/>
      <c r="PH892" s="317"/>
      <c r="PI892" s="317"/>
      <c r="PJ892" s="317"/>
      <c r="PK892" s="317"/>
      <c r="PL892" s="317"/>
      <c r="PM892" s="317"/>
      <c r="PN892" s="317"/>
      <c r="PO892" s="317"/>
      <c r="PP892" s="317"/>
      <c r="PQ892" s="317"/>
      <c r="PR892" s="317"/>
      <c r="PS892" s="317"/>
      <c r="PT892" s="317"/>
      <c r="PU892" s="317"/>
      <c r="PV892" s="317"/>
      <c r="PW892" s="317"/>
      <c r="PX892" s="317"/>
      <c r="PY892" s="317"/>
      <c r="PZ892" s="317"/>
      <c r="QA892" s="317"/>
      <c r="QB892" s="317"/>
      <c r="QC892" s="317"/>
      <c r="QD892" s="317"/>
      <c r="QE892" s="317"/>
      <c r="QF892" s="317"/>
      <c r="QG892" s="317"/>
      <c r="QH892" s="317"/>
      <c r="QI892" s="317"/>
      <c r="QJ892" s="317"/>
      <c r="QK892" s="317"/>
      <c r="QL892" s="317"/>
      <c r="QM892" s="317"/>
      <c r="QN892" s="317"/>
      <c r="QO892" s="317"/>
      <c r="QP892" s="317"/>
      <c r="QQ892" s="317"/>
      <c r="QR892" s="317"/>
      <c r="QS892" s="317"/>
      <c r="QT892" s="317"/>
      <c r="QU892" s="317"/>
      <c r="QV892" s="317"/>
      <c r="QW892" s="317"/>
      <c r="QX892" s="317"/>
      <c r="QY892" s="317"/>
      <c r="QZ892" s="317"/>
      <c r="RA892" s="317"/>
      <c r="RB892" s="12"/>
      <c r="RC892" s="317"/>
      <c r="RD892" s="317"/>
      <c r="RE892" s="317"/>
      <c r="RF892" s="317"/>
      <c r="RG892" s="317"/>
      <c r="RH892" s="317"/>
      <c r="RI892" s="317"/>
      <c r="RJ892" s="317"/>
      <c r="RK892" s="317"/>
      <c r="RL892" s="317"/>
      <c r="RM892" s="13"/>
      <c r="RN892" s="317"/>
      <c r="RO892" s="317"/>
      <c r="RP892" s="13"/>
      <c r="RQ892" s="317"/>
      <c r="RR892" s="317"/>
      <c r="RS892" s="317"/>
      <c r="RT892" s="317"/>
      <c r="RU892" s="317"/>
      <c r="RV892" s="13"/>
      <c r="TV892" s="12"/>
      <c r="WL892" s="13"/>
    </row>
    <row r="893" spans="88:610" ht="10.75" customHeight="1">
      <c r="CJ893" s="14"/>
      <c r="CK893" s="15"/>
      <c r="CL893" s="15"/>
      <c r="CM893" s="15"/>
      <c r="CN893" s="15"/>
      <c r="CO893" s="15"/>
      <c r="CP893" s="15"/>
      <c r="CQ893" s="15"/>
      <c r="CR893" s="15"/>
      <c r="CS893" s="16"/>
      <c r="CT893" s="42"/>
      <c r="CU893" s="43"/>
      <c r="CV893" s="45"/>
      <c r="CW893" s="12"/>
      <c r="DE893" s="291"/>
      <c r="EJ893" s="297"/>
      <c r="ER893" s="13"/>
      <c r="ET893" s="13"/>
      <c r="EZ893" s="297"/>
      <c r="GP893" s="13"/>
      <c r="GQ893" s="43"/>
      <c r="GR893" s="43"/>
      <c r="GS893" s="45"/>
      <c r="GT893" s="49"/>
      <c r="GU893" s="49"/>
      <c r="GV893" s="49"/>
      <c r="GW893" s="49"/>
      <c r="GX893" s="49"/>
      <c r="GY893" s="49"/>
      <c r="GZ893" s="49"/>
      <c r="HA893" s="208"/>
      <c r="HB893" s="231"/>
      <c r="HC893" s="231"/>
      <c r="HD893" s="231"/>
      <c r="HE893" s="231"/>
      <c r="HF893" s="231"/>
      <c r="HG893" s="231"/>
      <c r="HH893" s="231"/>
      <c r="HI893" s="232"/>
      <c r="KM893" s="12"/>
      <c r="KN893" s="317"/>
      <c r="KO893" s="317"/>
      <c r="KP893" s="317"/>
      <c r="KQ893" s="317"/>
      <c r="KR893" s="317"/>
      <c r="KS893" s="317"/>
      <c r="KT893" s="317"/>
      <c r="KU893" s="317"/>
      <c r="KV893" s="317"/>
      <c r="KW893" s="317"/>
      <c r="KX893" s="317"/>
      <c r="KY893" s="317"/>
      <c r="KZ893" s="317"/>
      <c r="LA893" s="317"/>
      <c r="LB893" s="317"/>
      <c r="LC893" s="317"/>
      <c r="LD893" s="317"/>
      <c r="LE893" s="317"/>
      <c r="LF893" s="317"/>
      <c r="LG893" s="317"/>
      <c r="LH893" s="317"/>
      <c r="LI893" s="317"/>
      <c r="LJ893" s="317"/>
      <c r="LK893" s="317"/>
      <c r="LL893" s="317"/>
      <c r="LM893" s="317"/>
      <c r="LN893" s="317"/>
      <c r="LO893" s="317"/>
      <c r="LP893" s="317"/>
      <c r="LQ893" s="317"/>
      <c r="LR893" s="317"/>
      <c r="LS893" s="317"/>
      <c r="LT893" s="317"/>
      <c r="LU893" s="317"/>
      <c r="LV893" s="317"/>
      <c r="LW893" s="317"/>
      <c r="LX893" s="317"/>
      <c r="LY893" s="317"/>
      <c r="LZ893" s="317"/>
      <c r="MA893" s="317"/>
      <c r="MB893" s="317"/>
      <c r="MC893" s="317"/>
      <c r="MD893" s="317"/>
      <c r="ME893" s="317"/>
      <c r="MF893" s="317"/>
      <c r="MG893" s="317"/>
      <c r="MH893" s="317"/>
      <c r="MI893" s="317"/>
      <c r="MJ893" s="317"/>
      <c r="MK893" s="317"/>
      <c r="ML893" s="317"/>
      <c r="MM893" s="317"/>
      <c r="MN893" s="317"/>
      <c r="MO893" s="317"/>
      <c r="MP893" s="317"/>
      <c r="MQ893" s="317"/>
      <c r="MR893" s="317"/>
      <c r="MS893" s="317"/>
      <c r="MT893" s="13"/>
      <c r="MU893" s="317"/>
      <c r="MV893" s="317"/>
      <c r="MW893" s="317"/>
      <c r="MX893" s="317"/>
      <c r="MY893" s="317"/>
      <c r="MZ893" s="13"/>
      <c r="NA893" s="12"/>
      <c r="NB893" s="317"/>
      <c r="NC893" s="317"/>
      <c r="ND893" s="317"/>
      <c r="NE893" s="317"/>
      <c r="NF893" s="317"/>
      <c r="NG893" s="317"/>
      <c r="NH893" s="317"/>
      <c r="NI893" s="317"/>
      <c r="NJ893" s="317"/>
      <c r="NK893" s="317"/>
      <c r="NL893" s="317"/>
      <c r="NM893" s="12"/>
      <c r="NN893" s="317"/>
      <c r="NO893" s="317"/>
      <c r="NP893" s="317"/>
      <c r="NQ893" s="317"/>
      <c r="NR893" s="317"/>
      <c r="NS893" s="317"/>
      <c r="NT893" s="317"/>
      <c r="NU893" s="317"/>
      <c r="NV893" s="317"/>
      <c r="NW893" s="317"/>
      <c r="NX893" s="317"/>
      <c r="NY893" s="317"/>
      <c r="NZ893" s="317"/>
      <c r="OA893" s="317"/>
      <c r="OB893" s="317"/>
      <c r="OC893" s="317"/>
      <c r="OD893" s="317"/>
      <c r="OE893" s="317"/>
      <c r="OF893" s="317"/>
      <c r="OG893" s="317"/>
      <c r="OH893" s="317"/>
      <c r="OI893" s="317"/>
      <c r="OJ893" s="317"/>
      <c r="OK893" s="317"/>
      <c r="OL893" s="317"/>
      <c r="OM893" s="317"/>
      <c r="ON893" s="317"/>
      <c r="OO893" s="317"/>
      <c r="OP893" s="317"/>
      <c r="OQ893" s="317"/>
      <c r="OR893" s="317"/>
      <c r="OS893" s="317"/>
      <c r="OT893" s="317"/>
      <c r="OU893" s="317"/>
      <c r="OV893" s="13"/>
      <c r="OW893" s="317"/>
      <c r="OX893" s="317"/>
      <c r="OY893" s="317"/>
      <c r="OZ893" s="317"/>
      <c r="PA893" s="317"/>
      <c r="PB893" s="317"/>
      <c r="PC893" s="317"/>
      <c r="PD893" s="317"/>
      <c r="PE893" s="317"/>
      <c r="PF893" s="317"/>
      <c r="PG893" s="317"/>
      <c r="PH893" s="317"/>
      <c r="PI893" s="317"/>
      <c r="PJ893" s="317"/>
      <c r="PK893" s="317"/>
      <c r="PL893" s="317"/>
      <c r="PM893" s="317"/>
      <c r="PN893" s="317"/>
      <c r="PO893" s="317"/>
      <c r="PP893" s="317"/>
      <c r="PQ893" s="317"/>
      <c r="PR893" s="317"/>
      <c r="PS893" s="317"/>
      <c r="PT893" s="317"/>
      <c r="PU893" s="317"/>
      <c r="PV893" s="317"/>
      <c r="PW893" s="317"/>
      <c r="PX893" s="317"/>
      <c r="PY893" s="317"/>
      <c r="PZ893" s="317"/>
      <c r="QA893" s="317"/>
      <c r="QB893" s="317"/>
      <c r="QC893" s="317"/>
      <c r="QD893" s="317"/>
      <c r="QE893" s="317"/>
      <c r="QF893" s="317"/>
      <c r="QG893" s="317"/>
      <c r="QH893" s="317"/>
      <c r="QI893" s="317"/>
      <c r="QJ893" s="317"/>
      <c r="QK893" s="317"/>
      <c r="QL893" s="317"/>
      <c r="QM893" s="317"/>
      <c r="QN893" s="317"/>
      <c r="QO893" s="317"/>
      <c r="QP893" s="317"/>
      <c r="QQ893" s="317"/>
      <c r="QR893" s="317"/>
      <c r="QS893" s="317"/>
      <c r="QT893" s="317"/>
      <c r="QU893" s="317"/>
      <c r="QV893" s="317"/>
      <c r="QW893" s="317"/>
      <c r="QX893" s="317"/>
      <c r="QY893" s="317"/>
      <c r="QZ893" s="317"/>
      <c r="RA893" s="317"/>
      <c r="RB893" s="12"/>
      <c r="RC893" s="317"/>
      <c r="RD893" s="317"/>
      <c r="RE893" s="317"/>
      <c r="RF893" s="317"/>
      <c r="RG893" s="317"/>
      <c r="RH893" s="317"/>
      <c r="RI893" s="317"/>
      <c r="RJ893" s="317"/>
      <c r="RK893" s="317"/>
      <c r="RL893" s="317"/>
      <c r="RM893" s="13"/>
      <c r="RN893" s="317"/>
      <c r="RO893" s="317"/>
      <c r="RP893" s="13"/>
      <c r="RQ893" s="317"/>
      <c r="RR893" s="317"/>
      <c r="RS893" s="317"/>
      <c r="RT893" s="317"/>
      <c r="RU893" s="317"/>
      <c r="RV893" s="13"/>
      <c r="TV893" s="12"/>
      <c r="WL893" s="13"/>
    </row>
    <row r="894" spans="88:610" ht="10.75" customHeight="1">
      <c r="CJ894" s="12"/>
      <c r="CL894" s="259"/>
      <c r="CM894" s="141"/>
      <c r="CN894" s="141"/>
      <c r="CO894" s="141"/>
      <c r="CP894" s="141"/>
      <c r="CQ894" s="141"/>
      <c r="CR894" s="141"/>
      <c r="CS894" s="235"/>
      <c r="CT894" s="43"/>
      <c r="CU894" s="43"/>
      <c r="CV894" s="45"/>
      <c r="CW894" s="12"/>
      <c r="DE894" s="302"/>
      <c r="DF894" s="301"/>
      <c r="DG894" s="301"/>
      <c r="DH894" s="301"/>
      <c r="DI894" s="301"/>
      <c r="DJ894" s="301"/>
      <c r="DK894" s="301"/>
      <c r="DL894" s="301"/>
      <c r="DM894" s="301"/>
      <c r="DN894" s="301"/>
      <c r="DO894" s="301"/>
      <c r="DP894" s="301"/>
      <c r="DQ894" s="301"/>
      <c r="DR894" s="301"/>
      <c r="DS894" s="301"/>
      <c r="DT894" s="301"/>
      <c r="DU894" s="301"/>
      <c r="DV894" s="301"/>
      <c r="DW894" s="301"/>
      <c r="DX894" s="301"/>
      <c r="DY894" s="301"/>
      <c r="DZ894" s="301"/>
      <c r="EA894" s="301"/>
      <c r="EB894" s="301"/>
      <c r="EC894" s="301"/>
      <c r="ED894" s="301"/>
      <c r="EE894" s="301"/>
      <c r="EF894" s="301"/>
      <c r="EG894" s="301"/>
      <c r="EH894" s="301"/>
      <c r="EI894" s="301"/>
      <c r="EJ894" s="300"/>
      <c r="ER894" s="13"/>
      <c r="ET894" s="13"/>
      <c r="EZ894" s="297"/>
      <c r="GP894" s="13"/>
      <c r="GQ894" s="43"/>
      <c r="GR894" s="43"/>
      <c r="GS894" s="45"/>
      <c r="GT894" s="49"/>
      <c r="GU894" s="49"/>
      <c r="GV894" s="49"/>
      <c r="GW894" s="49"/>
      <c r="GX894" s="49"/>
      <c r="GY894" s="49"/>
      <c r="GZ894" s="49"/>
      <c r="HA894" s="208"/>
      <c r="HB894" s="231"/>
      <c r="HC894" s="231"/>
      <c r="HD894" s="231"/>
      <c r="HE894" s="231"/>
      <c r="HF894" s="231"/>
      <c r="HG894" s="231"/>
      <c r="HH894" s="231"/>
      <c r="HI894" s="232"/>
      <c r="KM894" s="12"/>
      <c r="KN894" s="317"/>
      <c r="KO894" s="317"/>
      <c r="KP894" s="317"/>
      <c r="KQ894" s="317"/>
      <c r="KR894" s="317"/>
      <c r="KS894" s="317"/>
      <c r="KT894" s="317"/>
      <c r="KU894" s="317"/>
      <c r="KV894" s="317"/>
      <c r="KW894" s="317"/>
      <c r="KX894" s="317"/>
      <c r="KY894" s="317"/>
      <c r="KZ894" s="317"/>
      <c r="LA894" s="317"/>
      <c r="LB894" s="317"/>
      <c r="LC894" s="317"/>
      <c r="LD894" s="317"/>
      <c r="LE894" s="317"/>
      <c r="LF894" s="317"/>
      <c r="LG894" s="317"/>
      <c r="LH894" s="317"/>
      <c r="LI894" s="317"/>
      <c r="LJ894" s="317"/>
      <c r="LK894" s="317"/>
      <c r="LL894" s="317"/>
      <c r="LM894" s="317"/>
      <c r="LN894" s="317"/>
      <c r="LO894" s="317"/>
      <c r="LP894" s="317"/>
      <c r="LQ894" s="317"/>
      <c r="LR894" s="317"/>
      <c r="LS894" s="317"/>
      <c r="LT894" s="317"/>
      <c r="LU894" s="317"/>
      <c r="LV894" s="317"/>
      <c r="LW894" s="317"/>
      <c r="LX894" s="317"/>
      <c r="LY894" s="317"/>
      <c r="LZ894" s="317"/>
      <c r="MA894" s="317"/>
      <c r="MB894" s="317"/>
      <c r="MC894" s="317"/>
      <c r="MD894" s="317"/>
      <c r="ME894" s="317"/>
      <c r="MF894" s="317"/>
      <c r="MG894" s="317"/>
      <c r="MH894" s="317"/>
      <c r="MI894" s="317"/>
      <c r="MJ894" s="317"/>
      <c r="MK894" s="317"/>
      <c r="ML894" s="317"/>
      <c r="MM894" s="317"/>
      <c r="MN894" s="317"/>
      <c r="MO894" s="317"/>
      <c r="MP894" s="317"/>
      <c r="MQ894" s="317"/>
      <c r="MR894" s="317"/>
      <c r="MS894" s="317"/>
      <c r="MT894" s="13"/>
      <c r="MU894" s="317"/>
      <c r="MV894" s="317"/>
      <c r="MW894" s="317"/>
      <c r="MX894" s="317"/>
      <c r="MY894" s="317"/>
      <c r="MZ894" s="13"/>
      <c r="NA894" s="12"/>
      <c r="NB894" s="317"/>
      <c r="NC894" s="317"/>
      <c r="ND894" s="317"/>
      <c r="NE894" s="317"/>
      <c r="NF894" s="317"/>
      <c r="NG894" s="317"/>
      <c r="NH894" s="317"/>
      <c r="NI894" s="317"/>
      <c r="NJ894" s="317"/>
      <c r="NK894" s="317"/>
      <c r="NL894" s="317"/>
      <c r="NM894" s="12"/>
      <c r="NN894" s="317"/>
      <c r="NO894" s="317"/>
      <c r="NP894" s="317"/>
      <c r="NQ894" s="317"/>
      <c r="NR894" s="317"/>
      <c r="NS894" s="317"/>
      <c r="NT894" s="317"/>
      <c r="NU894" s="317"/>
      <c r="NV894" s="317"/>
      <c r="NW894" s="317"/>
      <c r="NX894" s="317"/>
      <c r="NY894" s="317"/>
      <c r="NZ894" s="317"/>
      <c r="OA894" s="317"/>
      <c r="OB894" s="317"/>
      <c r="OC894" s="317"/>
      <c r="OD894" s="317"/>
      <c r="OE894" s="317"/>
      <c r="OF894" s="317"/>
      <c r="OG894" s="317"/>
      <c r="OH894" s="317"/>
      <c r="OI894" s="317"/>
      <c r="OJ894" s="317"/>
      <c r="OK894" s="317"/>
      <c r="OL894" s="317"/>
      <c r="OM894" s="317"/>
      <c r="ON894" s="317"/>
      <c r="OO894" s="317"/>
      <c r="OP894" s="317"/>
      <c r="OQ894" s="317"/>
      <c r="OR894" s="317"/>
      <c r="OS894" s="317"/>
      <c r="OT894" s="317"/>
      <c r="OU894" s="317"/>
      <c r="OV894" s="13"/>
      <c r="OW894" s="317"/>
      <c r="OX894" s="317"/>
      <c r="OY894" s="317"/>
      <c r="OZ894" s="317"/>
      <c r="PA894" s="317"/>
      <c r="PB894" s="317"/>
      <c r="PC894" s="317"/>
      <c r="PD894" s="317"/>
      <c r="PE894" s="317"/>
      <c r="PF894" s="317"/>
      <c r="PG894" s="317"/>
      <c r="PH894" s="317"/>
      <c r="PI894" s="317"/>
      <c r="PJ894" s="317"/>
      <c r="PK894" s="317"/>
      <c r="PL894" s="317"/>
      <c r="PM894" s="317"/>
      <c r="PN894" s="317"/>
      <c r="PO894" s="317"/>
      <c r="PP894" s="317"/>
      <c r="PQ894" s="317"/>
      <c r="PR894" s="317"/>
      <c r="PS894" s="317"/>
      <c r="PT894" s="317"/>
      <c r="PU894" s="317"/>
      <c r="PV894" s="317"/>
      <c r="PW894" s="317"/>
      <c r="PX894" s="317"/>
      <c r="PY894" s="317"/>
      <c r="PZ894" s="317"/>
      <c r="QA894" s="317"/>
      <c r="QB894" s="317"/>
      <c r="QC894" s="317"/>
      <c r="QD894" s="317"/>
      <c r="QE894" s="317"/>
      <c r="QF894" s="317"/>
      <c r="QG894" s="317"/>
      <c r="QH894" s="317"/>
      <c r="QI894" s="317"/>
      <c r="QJ894" s="317"/>
      <c r="QK894" s="317"/>
      <c r="QL894" s="317"/>
      <c r="QM894" s="317"/>
      <c r="QN894" s="317"/>
      <c r="QO894" s="317"/>
      <c r="QP894" s="317"/>
      <c r="QQ894" s="317"/>
      <c r="QR894" s="317"/>
      <c r="QS894" s="317"/>
      <c r="QT894" s="317"/>
      <c r="QU894" s="317"/>
      <c r="QV894" s="317"/>
      <c r="QW894" s="317"/>
      <c r="QX894" s="317"/>
      <c r="QY894" s="317"/>
      <c r="QZ894" s="317"/>
      <c r="RA894" s="317"/>
      <c r="RB894" s="12"/>
      <c r="RC894" s="317"/>
      <c r="RD894" s="317"/>
      <c r="RE894" s="317"/>
      <c r="RF894" s="317"/>
      <c r="RG894" s="317"/>
      <c r="RH894" s="317"/>
      <c r="RI894" s="317"/>
      <c r="RJ894" s="317"/>
      <c r="RK894" s="317"/>
      <c r="RL894" s="317"/>
      <c r="RM894" s="13"/>
      <c r="RN894" s="317"/>
      <c r="RO894" s="317"/>
      <c r="RP894" s="13"/>
      <c r="RQ894" s="317"/>
      <c r="RR894" s="317"/>
      <c r="RS894" s="317"/>
      <c r="RT894" s="317"/>
      <c r="RU894" s="317"/>
      <c r="RV894" s="13"/>
      <c r="TV894" s="12"/>
      <c r="WL894" s="13"/>
    </row>
    <row r="895" spans="88:610" ht="10.75" customHeight="1">
      <c r="CJ895" s="12"/>
      <c r="CL895" s="214"/>
      <c r="CM895" s="49"/>
      <c r="CN895" s="49"/>
      <c r="CO895" s="49"/>
      <c r="CP895" s="49"/>
      <c r="CQ895" s="49"/>
      <c r="CR895" s="49"/>
      <c r="CS895" s="208"/>
      <c r="CT895" s="43"/>
      <c r="CU895" s="43"/>
      <c r="CV895" s="45"/>
      <c r="CW895" s="12"/>
      <c r="ER895" s="13"/>
      <c r="ET895" s="13"/>
      <c r="EZ895" s="297"/>
      <c r="GP895" s="13"/>
      <c r="GQ895" s="43"/>
      <c r="GR895" s="43"/>
      <c r="GS895" s="45"/>
      <c r="GT895" s="49"/>
      <c r="GU895" s="49"/>
      <c r="GV895" s="49"/>
      <c r="GW895" s="49"/>
      <c r="GX895" s="49"/>
      <c r="GY895" s="49"/>
      <c r="GZ895" s="49"/>
      <c r="HA895" s="208"/>
      <c r="HB895" s="231"/>
      <c r="HC895" s="231"/>
      <c r="HD895" s="231"/>
      <c r="HE895" s="231"/>
      <c r="HF895" s="231"/>
      <c r="HG895" s="231"/>
      <c r="HH895" s="231"/>
      <c r="HI895" s="232"/>
      <c r="KM895" s="12"/>
      <c r="KN895" s="317"/>
      <c r="KO895" s="317"/>
      <c r="KP895" s="317"/>
      <c r="KQ895" s="317"/>
      <c r="KR895" s="317"/>
      <c r="KS895" s="317"/>
      <c r="KT895" s="317"/>
      <c r="KU895" s="317"/>
      <c r="KV895" s="317"/>
      <c r="KW895" s="317"/>
      <c r="KX895" s="317"/>
      <c r="KY895" s="317"/>
      <c r="KZ895" s="317"/>
      <c r="LA895" s="317"/>
      <c r="LB895" s="317"/>
      <c r="LC895" s="317"/>
      <c r="LD895" s="317"/>
      <c r="LE895" s="317"/>
      <c r="LF895" s="317"/>
      <c r="LG895" s="317"/>
      <c r="LH895" s="317"/>
      <c r="LI895" s="317"/>
      <c r="LJ895" s="317"/>
      <c r="LK895" s="317"/>
      <c r="LL895" s="317"/>
      <c r="LM895" s="317"/>
      <c r="LN895" s="317"/>
      <c r="LO895" s="317"/>
      <c r="LP895" s="317"/>
      <c r="LQ895" s="317"/>
      <c r="LR895" s="317"/>
      <c r="LS895" s="317"/>
      <c r="LT895" s="317"/>
      <c r="LU895" s="317"/>
      <c r="LV895" s="317"/>
      <c r="LW895" s="317"/>
      <c r="LX895" s="317"/>
      <c r="LY895" s="317"/>
      <c r="LZ895" s="317"/>
      <c r="MA895" s="317"/>
      <c r="MB895" s="317"/>
      <c r="MC895" s="317"/>
      <c r="MD895" s="317"/>
      <c r="ME895" s="317"/>
      <c r="MF895" s="317"/>
      <c r="MG895" s="317"/>
      <c r="MH895" s="317"/>
      <c r="MI895" s="317"/>
      <c r="MJ895" s="317"/>
      <c r="MK895" s="317"/>
      <c r="ML895" s="317"/>
      <c r="MM895" s="317"/>
      <c r="MN895" s="317"/>
      <c r="MO895" s="317"/>
      <c r="MP895" s="317"/>
      <c r="MQ895" s="317"/>
      <c r="MR895" s="317"/>
      <c r="MS895" s="317"/>
      <c r="MT895" s="13"/>
      <c r="MU895" s="317"/>
      <c r="MV895" s="317"/>
      <c r="MW895" s="317"/>
      <c r="MX895" s="317"/>
      <c r="MY895" s="317"/>
      <c r="MZ895" s="13"/>
      <c r="NA895" s="12"/>
      <c r="NB895" s="317"/>
      <c r="NC895" s="317"/>
      <c r="ND895" s="317"/>
      <c r="NE895" s="317"/>
      <c r="NF895" s="317"/>
      <c r="NG895" s="317"/>
      <c r="NH895" s="317"/>
      <c r="NI895" s="317"/>
      <c r="NJ895" s="317"/>
      <c r="NK895" s="317"/>
      <c r="NL895" s="317"/>
      <c r="NM895" s="12"/>
      <c r="NN895" s="317"/>
      <c r="NO895" s="317"/>
      <c r="NP895" s="317"/>
      <c r="NQ895" s="317"/>
      <c r="NR895" s="317"/>
      <c r="NS895" s="317"/>
      <c r="NT895" s="317"/>
      <c r="NU895" s="317"/>
      <c r="NV895" s="317"/>
      <c r="NW895" s="317"/>
      <c r="NX895" s="317"/>
      <c r="NY895" s="317"/>
      <c r="NZ895" s="317"/>
      <c r="OA895" s="317"/>
      <c r="OB895" s="317"/>
      <c r="OC895" s="317"/>
      <c r="OD895" s="317"/>
      <c r="OE895" s="317"/>
      <c r="OF895" s="317"/>
      <c r="OG895" s="317"/>
      <c r="OH895" s="317"/>
      <c r="OI895" s="317"/>
      <c r="OJ895" s="317"/>
      <c r="OK895" s="317"/>
      <c r="OL895" s="317"/>
      <c r="OM895" s="317"/>
      <c r="ON895" s="317"/>
      <c r="OO895" s="317"/>
      <c r="OP895" s="317"/>
      <c r="OQ895" s="317"/>
      <c r="OR895" s="317"/>
      <c r="OS895" s="317"/>
      <c r="OT895" s="317"/>
      <c r="OU895" s="317"/>
      <c r="OV895" s="13"/>
      <c r="OW895" s="317"/>
      <c r="OX895" s="317"/>
      <c r="OY895" s="317"/>
      <c r="OZ895" s="317"/>
      <c r="PA895" s="317"/>
      <c r="PB895" s="317"/>
      <c r="PC895" s="317"/>
      <c r="PD895" s="317"/>
      <c r="PE895" s="317"/>
      <c r="PF895" s="317"/>
      <c r="PG895" s="317"/>
      <c r="PH895" s="317"/>
      <c r="PI895" s="317"/>
      <c r="PJ895" s="317"/>
      <c r="PK895" s="317"/>
      <c r="PL895" s="317"/>
      <c r="PM895" s="317"/>
      <c r="PN895" s="317"/>
      <c r="PO895" s="317"/>
      <c r="PP895" s="317"/>
      <c r="PQ895" s="317"/>
      <c r="PR895" s="317"/>
      <c r="PS895" s="317"/>
      <c r="PT895" s="317"/>
      <c r="PU895" s="317"/>
      <c r="PV895" s="317"/>
      <c r="PW895" s="317"/>
      <c r="PX895" s="317"/>
      <c r="PY895" s="317"/>
      <c r="PZ895" s="317"/>
      <c r="QA895" s="317"/>
      <c r="QB895" s="317"/>
      <c r="QC895" s="317"/>
      <c r="QD895" s="317"/>
      <c r="QE895" s="317"/>
      <c r="QF895" s="317"/>
      <c r="QG895" s="317"/>
      <c r="QH895" s="317"/>
      <c r="QI895" s="317"/>
      <c r="QJ895" s="317"/>
      <c r="QK895" s="317"/>
      <c r="QL895" s="317"/>
      <c r="QM895" s="317"/>
      <c r="QN895" s="317"/>
      <c r="QO895" s="317"/>
      <c r="QP895" s="317"/>
      <c r="QQ895" s="317"/>
      <c r="QR895" s="317"/>
      <c r="QS895" s="317"/>
      <c r="QT895" s="317"/>
      <c r="QU895" s="317"/>
      <c r="QV895" s="317"/>
      <c r="QW895" s="317"/>
      <c r="QX895" s="317"/>
      <c r="QY895" s="317"/>
      <c r="QZ895" s="317"/>
      <c r="RA895" s="317"/>
      <c r="RB895" s="12"/>
      <c r="RC895" s="317"/>
      <c r="RD895" s="317"/>
      <c r="RE895" s="317"/>
      <c r="RF895" s="317"/>
      <c r="RG895" s="317"/>
      <c r="RH895" s="317"/>
      <c r="RI895" s="317"/>
      <c r="RJ895" s="317"/>
      <c r="RK895" s="317"/>
      <c r="RL895" s="317"/>
      <c r="RM895" s="13"/>
      <c r="RN895" s="317"/>
      <c r="RO895" s="317"/>
      <c r="RP895" s="13"/>
      <c r="RQ895" s="317"/>
      <c r="RR895" s="317"/>
      <c r="RS895" s="317"/>
      <c r="RT895" s="317"/>
      <c r="RU895" s="317"/>
      <c r="RV895" s="13"/>
      <c r="TV895" s="12"/>
      <c r="WL895" s="13"/>
    </row>
    <row r="896" spans="88:610" ht="10.75" customHeight="1">
      <c r="CJ896" s="12"/>
      <c r="CL896" s="214"/>
      <c r="CM896" s="49"/>
      <c r="CN896" s="49"/>
      <c r="CO896" s="49"/>
      <c r="CP896" s="49"/>
      <c r="CQ896" s="49"/>
      <c r="CR896" s="49"/>
      <c r="CS896" s="208"/>
      <c r="CT896" s="43"/>
      <c r="CU896" s="43"/>
      <c r="CV896" s="45"/>
      <c r="CW896" s="12"/>
      <c r="ER896" s="13"/>
      <c r="ET896" s="13"/>
      <c r="EZ896" s="297"/>
      <c r="GP896" s="13"/>
      <c r="GQ896" s="43"/>
      <c r="GR896" s="43"/>
      <c r="GS896" s="45"/>
      <c r="GT896" s="49"/>
      <c r="GU896" s="49"/>
      <c r="GV896" s="49"/>
      <c r="GW896" s="49"/>
      <c r="GX896" s="49"/>
      <c r="GY896" s="49"/>
      <c r="GZ896" s="49"/>
      <c r="HA896" s="208"/>
      <c r="HB896" s="231"/>
      <c r="HC896" s="231"/>
      <c r="HD896" s="231"/>
      <c r="HE896" s="231"/>
      <c r="HF896" s="231"/>
      <c r="HG896" s="231"/>
      <c r="HH896" s="231"/>
      <c r="HI896" s="232"/>
      <c r="KM896" s="12"/>
      <c r="KN896" s="317"/>
      <c r="KO896" s="317"/>
      <c r="KP896" s="317"/>
      <c r="KQ896" s="317"/>
      <c r="KR896" s="317"/>
      <c r="KS896" s="317"/>
      <c r="KT896" s="317"/>
      <c r="KU896" s="317"/>
      <c r="KV896" s="317"/>
      <c r="KW896" s="317"/>
      <c r="KX896" s="317"/>
      <c r="KY896" s="317"/>
      <c r="KZ896" s="317"/>
      <c r="LA896" s="317"/>
      <c r="LB896" s="317"/>
      <c r="LC896" s="317"/>
      <c r="LD896" s="317"/>
      <c r="LE896" s="317"/>
      <c r="LF896" s="317"/>
      <c r="LG896" s="317"/>
      <c r="LH896" s="317"/>
      <c r="LI896" s="317"/>
      <c r="LJ896" s="317"/>
      <c r="LK896" s="317"/>
      <c r="LL896" s="317"/>
      <c r="LM896" s="317"/>
      <c r="LN896" s="317"/>
      <c r="LO896" s="317"/>
      <c r="LP896" s="317"/>
      <c r="LQ896" s="317"/>
      <c r="LR896" s="317"/>
      <c r="LS896" s="317"/>
      <c r="LT896" s="317"/>
      <c r="LU896" s="317"/>
      <c r="LV896" s="317"/>
      <c r="LW896" s="317"/>
      <c r="LX896" s="317"/>
      <c r="LY896" s="317"/>
      <c r="LZ896" s="317"/>
      <c r="MA896" s="317"/>
      <c r="MB896" s="317"/>
      <c r="MC896" s="317"/>
      <c r="MD896" s="317"/>
      <c r="ME896" s="317"/>
      <c r="MF896" s="317"/>
      <c r="MG896" s="317"/>
      <c r="MH896" s="317"/>
      <c r="MI896" s="317"/>
      <c r="MJ896" s="317"/>
      <c r="MK896" s="317"/>
      <c r="ML896" s="317"/>
      <c r="MM896" s="317"/>
      <c r="MN896" s="317"/>
      <c r="MO896" s="317"/>
      <c r="MP896" s="317"/>
      <c r="MQ896" s="317"/>
      <c r="MR896" s="317"/>
      <c r="MS896" s="317"/>
      <c r="MT896" s="13"/>
      <c r="MU896" s="317"/>
      <c r="MV896" s="317"/>
      <c r="MW896" s="317"/>
      <c r="MX896" s="317"/>
      <c r="MY896" s="317"/>
      <c r="MZ896" s="13"/>
      <c r="NA896" s="12"/>
      <c r="NB896" s="317"/>
      <c r="NC896" s="317"/>
      <c r="ND896" s="317"/>
      <c r="NE896" s="317"/>
      <c r="NF896" s="317"/>
      <c r="NG896" s="317"/>
      <c r="NH896" s="317"/>
      <c r="NI896" s="317"/>
      <c r="NJ896" s="317"/>
      <c r="NK896" s="317"/>
      <c r="NL896" s="317"/>
      <c r="NM896" s="12"/>
      <c r="NN896" s="317"/>
      <c r="NO896" s="317"/>
      <c r="NP896" s="317"/>
      <c r="NQ896" s="317"/>
      <c r="NR896" s="317"/>
      <c r="NS896" s="317"/>
      <c r="NT896" s="317"/>
      <c r="NU896" s="317"/>
      <c r="NV896" s="317"/>
      <c r="NW896" s="317"/>
      <c r="NX896" s="317"/>
      <c r="NY896" s="317"/>
      <c r="NZ896" s="317"/>
      <c r="OA896" s="317"/>
      <c r="OB896" s="317"/>
      <c r="OC896" s="317"/>
      <c r="OD896" s="317"/>
      <c r="OE896" s="317"/>
      <c r="OF896" s="317"/>
      <c r="OG896" s="317"/>
      <c r="OH896" s="317"/>
      <c r="OI896" s="317"/>
      <c r="OJ896" s="317"/>
      <c r="OK896" s="317"/>
      <c r="OL896" s="317"/>
      <c r="OM896" s="317"/>
      <c r="ON896" s="317"/>
      <c r="OO896" s="317"/>
      <c r="OP896" s="317"/>
      <c r="OQ896" s="317"/>
      <c r="OR896" s="317"/>
      <c r="OS896" s="317"/>
      <c r="OT896" s="317"/>
      <c r="OU896" s="317"/>
      <c r="OV896" s="13"/>
      <c r="OW896" s="317"/>
      <c r="OX896" s="317"/>
      <c r="OY896" s="317"/>
      <c r="OZ896" s="317"/>
      <c r="PA896" s="317"/>
      <c r="PB896" s="317"/>
      <c r="PC896" s="317"/>
      <c r="PD896" s="317"/>
      <c r="PE896" s="317"/>
      <c r="PF896" s="317"/>
      <c r="PG896" s="317"/>
      <c r="PH896" s="317"/>
      <c r="PI896" s="317"/>
      <c r="PJ896" s="317"/>
      <c r="PK896" s="317"/>
      <c r="PL896" s="317"/>
      <c r="PM896" s="317"/>
      <c r="PN896" s="317"/>
      <c r="PO896" s="317"/>
      <c r="PP896" s="317"/>
      <c r="PQ896" s="317"/>
      <c r="PR896" s="317"/>
      <c r="PS896" s="317"/>
      <c r="PT896" s="317"/>
      <c r="PU896" s="317"/>
      <c r="PV896" s="317"/>
      <c r="PW896" s="317"/>
      <c r="PX896" s="317"/>
      <c r="PY896" s="317"/>
      <c r="PZ896" s="317"/>
      <c r="QA896" s="317"/>
      <c r="QB896" s="317"/>
      <c r="QC896" s="317"/>
      <c r="QD896" s="317"/>
      <c r="QE896" s="317"/>
      <c r="QF896" s="317"/>
      <c r="QG896" s="317"/>
      <c r="QH896" s="317"/>
      <c r="QI896" s="317"/>
      <c r="QJ896" s="317"/>
      <c r="QK896" s="317"/>
      <c r="QL896" s="317"/>
      <c r="QM896" s="317"/>
      <c r="QN896" s="317"/>
      <c r="QO896" s="317"/>
      <c r="QP896" s="317"/>
      <c r="QQ896" s="317"/>
      <c r="QR896" s="317"/>
      <c r="QS896" s="317"/>
      <c r="QT896" s="317"/>
      <c r="QU896" s="317"/>
      <c r="QV896" s="317"/>
      <c r="QW896" s="317"/>
      <c r="QX896" s="317"/>
      <c r="QY896" s="317"/>
      <c r="QZ896" s="317"/>
      <c r="RA896" s="317"/>
      <c r="RB896" s="14"/>
      <c r="RC896" s="15"/>
      <c r="RD896" s="15"/>
      <c r="RE896" s="15"/>
      <c r="RF896" s="15"/>
      <c r="RG896" s="15"/>
      <c r="RH896" s="15"/>
      <c r="RI896" s="15"/>
      <c r="RJ896" s="15"/>
      <c r="RK896" s="15"/>
      <c r="RL896" s="15"/>
      <c r="RM896" s="16"/>
      <c r="RN896" s="317"/>
      <c r="RO896" s="317"/>
      <c r="RP896" s="13"/>
      <c r="RQ896" s="317"/>
      <c r="RR896" s="317"/>
      <c r="RS896" s="317"/>
      <c r="RT896" s="317"/>
      <c r="RU896" s="317"/>
      <c r="RV896" s="13"/>
      <c r="TV896" s="12"/>
      <c r="WL896" s="13"/>
    </row>
    <row r="897" spans="88:610" ht="10.75" customHeight="1">
      <c r="CJ897" s="12"/>
      <c r="CL897" s="214"/>
      <c r="CM897" s="49"/>
      <c r="CN897" s="49"/>
      <c r="CO897" s="49"/>
      <c r="CP897" s="49"/>
      <c r="CQ897" s="49"/>
      <c r="CR897" s="49"/>
      <c r="CS897" s="208"/>
      <c r="CT897" s="43"/>
      <c r="CU897" s="43"/>
      <c r="CV897" s="45"/>
      <c r="CW897" s="12"/>
      <c r="ER897" s="13"/>
      <c r="ET897" s="13"/>
      <c r="EZ897" s="297"/>
      <c r="GP897" s="13"/>
      <c r="GQ897" s="43"/>
      <c r="GR897" s="43"/>
      <c r="GS897" s="45"/>
      <c r="GT897" s="49"/>
      <c r="GU897" s="49"/>
      <c r="GV897" s="49"/>
      <c r="GW897" s="49"/>
      <c r="GX897" s="49"/>
      <c r="GY897" s="49"/>
      <c r="GZ897" s="49"/>
      <c r="HA897" s="208"/>
      <c r="HB897" s="231"/>
      <c r="HC897" s="231"/>
      <c r="HD897" s="231"/>
      <c r="HE897" s="231"/>
      <c r="HF897" s="231"/>
      <c r="HG897" s="231"/>
      <c r="HH897" s="231"/>
      <c r="HI897" s="232"/>
      <c r="KM897" s="12"/>
      <c r="KN897" s="317"/>
      <c r="KO897" s="317"/>
      <c r="KP897" s="317"/>
      <c r="KQ897" s="317"/>
      <c r="KR897" s="317"/>
      <c r="KS897" s="317"/>
      <c r="KT897" s="317"/>
      <c r="KU897" s="317"/>
      <c r="KV897" s="317"/>
      <c r="KW897" s="317"/>
      <c r="KX897" s="317"/>
      <c r="KY897" s="317"/>
      <c r="KZ897" s="317"/>
      <c r="LA897" s="317"/>
      <c r="LB897" s="317"/>
      <c r="LC897" s="317"/>
      <c r="LD897" s="317"/>
      <c r="LE897" s="317"/>
      <c r="LF897" s="317"/>
      <c r="LG897" s="317"/>
      <c r="LH897" s="317"/>
      <c r="LI897" s="317"/>
      <c r="LJ897" s="317"/>
      <c r="LK897" s="317"/>
      <c r="LL897" s="317"/>
      <c r="LM897" s="317"/>
      <c r="LN897" s="317"/>
      <c r="LO897" s="317"/>
      <c r="LP897" s="317"/>
      <c r="LQ897" s="317"/>
      <c r="LR897" s="317"/>
      <c r="LS897" s="317"/>
      <c r="LT897" s="317"/>
      <c r="LU897" s="317"/>
      <c r="LV897" s="317"/>
      <c r="LW897" s="317"/>
      <c r="LX897" s="317"/>
      <c r="LY897" s="317"/>
      <c r="LZ897" s="317"/>
      <c r="MA897" s="317"/>
      <c r="MB897" s="317"/>
      <c r="MC897" s="317"/>
      <c r="MD897" s="317"/>
      <c r="ME897" s="317"/>
      <c r="MF897" s="317"/>
      <c r="MG897" s="317"/>
      <c r="MH897" s="317"/>
      <c r="MI897" s="317"/>
      <c r="MJ897" s="317"/>
      <c r="MK897" s="317"/>
      <c r="ML897" s="317"/>
      <c r="MM897" s="317"/>
      <c r="MN897" s="317"/>
      <c r="MO897" s="317"/>
      <c r="MP897" s="317"/>
      <c r="MQ897" s="317"/>
      <c r="MR897" s="317"/>
      <c r="MS897" s="317"/>
      <c r="MT897" s="13"/>
      <c r="MU897" s="317"/>
      <c r="MV897" s="317"/>
      <c r="MW897" s="317"/>
      <c r="MX897" s="317"/>
      <c r="MY897" s="317"/>
      <c r="MZ897" s="13"/>
      <c r="NA897" s="12"/>
      <c r="NB897" s="317"/>
      <c r="NC897" s="317"/>
      <c r="ND897" s="317"/>
      <c r="NE897" s="317"/>
      <c r="NF897" s="317"/>
      <c r="NG897" s="317"/>
      <c r="NH897" s="317"/>
      <c r="NI897" s="317"/>
      <c r="NJ897" s="317"/>
      <c r="NK897" s="317"/>
      <c r="NL897" s="317"/>
      <c r="NM897" s="12"/>
      <c r="NN897" s="317"/>
      <c r="NO897" s="317"/>
      <c r="NP897" s="317"/>
      <c r="NQ897" s="317"/>
      <c r="NR897" s="317"/>
      <c r="NS897" s="317"/>
      <c r="NT897" s="317"/>
      <c r="NU897" s="317"/>
      <c r="NV897" s="317"/>
      <c r="NW897" s="317"/>
      <c r="NX897" s="317"/>
      <c r="NY897" s="317"/>
      <c r="NZ897" s="317"/>
      <c r="OA897" s="317"/>
      <c r="OB897" s="317"/>
      <c r="OC897" s="317"/>
      <c r="OD897" s="317"/>
      <c r="OE897" s="317"/>
      <c r="OF897" s="317"/>
      <c r="OG897" s="317"/>
      <c r="OH897" s="317"/>
      <c r="OI897" s="317"/>
      <c r="OJ897" s="317"/>
      <c r="OK897" s="317"/>
      <c r="OL897" s="317"/>
      <c r="OM897" s="317"/>
      <c r="ON897" s="317"/>
      <c r="OO897" s="317"/>
      <c r="OP897" s="317"/>
      <c r="OQ897" s="317"/>
      <c r="OR897" s="317"/>
      <c r="OS897" s="317"/>
      <c r="OT897" s="317"/>
      <c r="OU897" s="317"/>
      <c r="OV897" s="13"/>
      <c r="OW897" s="317"/>
      <c r="OX897" s="317"/>
      <c r="OY897" s="317"/>
      <c r="OZ897" s="317"/>
      <c r="PA897" s="317"/>
      <c r="PB897" s="317"/>
      <c r="PC897" s="317"/>
      <c r="PD897" s="317"/>
      <c r="PE897" s="317"/>
      <c r="PF897" s="317"/>
      <c r="PG897" s="317"/>
      <c r="PH897" s="317"/>
      <c r="PI897" s="317"/>
      <c r="PJ897" s="317"/>
      <c r="PK897" s="317"/>
      <c r="PL897" s="317"/>
      <c r="PM897" s="317"/>
      <c r="PN897" s="317"/>
      <c r="PO897" s="317"/>
      <c r="PP897" s="317"/>
      <c r="PQ897" s="317"/>
      <c r="PR897" s="317"/>
      <c r="PS897" s="317"/>
      <c r="PT897" s="317"/>
      <c r="PU897" s="317"/>
      <c r="PV897" s="317"/>
      <c r="PW897" s="317"/>
      <c r="PX897" s="317"/>
      <c r="PY897" s="317"/>
      <c r="PZ897" s="317"/>
      <c r="QA897" s="317"/>
      <c r="QB897" s="317"/>
      <c r="QC897" s="317"/>
      <c r="QD897" s="317"/>
      <c r="QE897" s="317"/>
      <c r="QF897" s="317"/>
      <c r="QG897" s="317"/>
      <c r="QH897" s="317"/>
      <c r="QI897" s="317"/>
      <c r="QJ897" s="317"/>
      <c r="QK897" s="317"/>
      <c r="QL897" s="317"/>
      <c r="QM897" s="317"/>
      <c r="QN897" s="317"/>
      <c r="QO897" s="317"/>
      <c r="QP897" s="317"/>
      <c r="QQ897" s="317"/>
      <c r="QR897" s="317"/>
      <c r="QS897" s="317"/>
      <c r="QT897" s="317"/>
      <c r="QU897" s="317"/>
      <c r="QV897" s="317"/>
      <c r="QW897" s="317"/>
      <c r="QX897" s="317"/>
      <c r="QY897" s="317"/>
      <c r="QZ897" s="317"/>
      <c r="RA897" s="317"/>
      <c r="RB897" s="317"/>
      <c r="RC897" s="317"/>
      <c r="RD897" s="317"/>
      <c r="RE897" s="317"/>
      <c r="RF897" s="317"/>
      <c r="RG897" s="317"/>
      <c r="RH897" s="317"/>
      <c r="RI897" s="317"/>
      <c r="RJ897" s="317"/>
      <c r="RK897" s="317"/>
      <c r="RL897" s="317"/>
      <c r="RM897" s="317"/>
      <c r="RN897" s="9"/>
      <c r="RO897" s="10"/>
      <c r="RP897" s="11"/>
      <c r="RQ897" s="10"/>
      <c r="RR897" s="10"/>
      <c r="RS897" s="10"/>
      <c r="RT897" s="10"/>
      <c r="RU897" s="10"/>
      <c r="RV897" s="11"/>
      <c r="RW897" s="10"/>
      <c r="RX897" s="10"/>
      <c r="RY897" s="11"/>
      <c r="TV897" s="12"/>
      <c r="WL897" s="13"/>
    </row>
    <row r="898" spans="88:610" ht="10.75" customHeight="1">
      <c r="CJ898" s="9"/>
      <c r="CK898" s="10"/>
      <c r="CL898" s="259"/>
      <c r="CM898" s="141"/>
      <c r="CN898" s="141"/>
      <c r="CO898" s="141"/>
      <c r="CP898" s="141"/>
      <c r="CQ898" s="141"/>
      <c r="CR898" s="141"/>
      <c r="CS898" s="235"/>
      <c r="CT898" s="43"/>
      <c r="CU898" s="43"/>
      <c r="CV898" s="45"/>
      <c r="CW898" s="12"/>
      <c r="DE898" s="9"/>
      <c r="DF898" s="10"/>
      <c r="DG898" s="10"/>
      <c r="DH898" s="10"/>
      <c r="DI898" s="10"/>
      <c r="DJ898" s="10"/>
      <c r="DK898" s="10"/>
      <c r="DL898" s="10"/>
      <c r="DM898" s="10"/>
      <c r="DN898" s="10"/>
      <c r="DO898" s="10"/>
      <c r="DP898" s="10"/>
      <c r="DQ898" s="10"/>
      <c r="DR898" s="10"/>
      <c r="DS898" s="10"/>
      <c r="DT898" s="10"/>
      <c r="DU898" s="10"/>
      <c r="DV898" s="10"/>
      <c r="DW898" s="10"/>
      <c r="DX898" s="10"/>
      <c r="DY898" s="10"/>
      <c r="DZ898" s="10"/>
      <c r="EA898" s="10"/>
      <c r="EB898" s="10"/>
      <c r="EC898" s="10"/>
      <c r="ED898" s="10"/>
      <c r="EE898" s="10"/>
      <c r="EF898" s="10"/>
      <c r="EG898" s="10"/>
      <c r="EH898" s="10"/>
      <c r="EI898" s="10"/>
      <c r="EJ898" s="11"/>
      <c r="ER898" s="13"/>
      <c r="ET898" s="13"/>
      <c r="EZ898" s="297"/>
      <c r="GP898" s="13"/>
      <c r="GQ898" s="43"/>
      <c r="GR898" s="43"/>
      <c r="GS898" s="45"/>
      <c r="GT898" s="49"/>
      <c r="GU898" s="49"/>
      <c r="GV898" s="49"/>
      <c r="GW898" s="49"/>
      <c r="GX898" s="49"/>
      <c r="GY898" s="49"/>
      <c r="GZ898" s="49"/>
      <c r="HA898" s="208"/>
      <c r="HB898" s="231"/>
      <c r="HC898" s="231"/>
      <c r="HD898" s="231"/>
      <c r="HE898" s="231"/>
      <c r="HF898" s="231"/>
      <c r="HG898" s="231"/>
      <c r="HH898" s="231"/>
      <c r="HI898" s="232"/>
      <c r="KM898" s="12"/>
      <c r="KN898" s="317"/>
      <c r="KO898" s="317"/>
      <c r="KP898" s="317"/>
      <c r="KQ898" s="317"/>
      <c r="KR898" s="317"/>
      <c r="KS898" s="317"/>
      <c r="KT898" s="317"/>
      <c r="KU898" s="317"/>
      <c r="KV898" s="317"/>
      <c r="KW898" s="317"/>
      <c r="KX898" s="317"/>
      <c r="KY898" s="317"/>
      <c r="KZ898" s="317"/>
      <c r="LA898" s="317"/>
      <c r="LB898" s="317"/>
      <c r="LC898" s="317"/>
      <c r="LD898" s="317"/>
      <c r="LE898" s="317"/>
      <c r="LF898" s="317"/>
      <c r="LG898" s="317"/>
      <c r="LH898" s="317"/>
      <c r="LI898" s="317"/>
      <c r="LJ898" s="317"/>
      <c r="LK898" s="317"/>
      <c r="LL898" s="317"/>
      <c r="LM898" s="317"/>
      <c r="LN898" s="317"/>
      <c r="LO898" s="317"/>
      <c r="LP898" s="317"/>
      <c r="LQ898" s="317"/>
      <c r="LR898" s="317"/>
      <c r="LS898" s="317"/>
      <c r="LT898" s="317"/>
      <c r="LU898" s="317"/>
      <c r="LV898" s="317"/>
      <c r="LW898" s="317"/>
      <c r="LX898" s="317"/>
      <c r="LY898" s="317"/>
      <c r="LZ898" s="317"/>
      <c r="MA898" s="317"/>
      <c r="MB898" s="317"/>
      <c r="MC898" s="317"/>
      <c r="MD898" s="317"/>
      <c r="ME898" s="317"/>
      <c r="MF898" s="317"/>
      <c r="MG898" s="317"/>
      <c r="MH898" s="317"/>
      <c r="MI898" s="317"/>
      <c r="MJ898" s="317"/>
      <c r="MK898" s="317"/>
      <c r="ML898" s="317"/>
      <c r="MM898" s="317"/>
      <c r="MN898" s="317"/>
      <c r="MO898" s="317"/>
      <c r="MP898" s="317"/>
      <c r="MQ898" s="317"/>
      <c r="MR898" s="317"/>
      <c r="MS898" s="317"/>
      <c r="MT898" s="13"/>
      <c r="MU898" s="317"/>
      <c r="MV898" s="317"/>
      <c r="MW898" s="317"/>
      <c r="MX898" s="317"/>
      <c r="MY898" s="317"/>
      <c r="MZ898" s="13"/>
      <c r="NA898" s="12"/>
      <c r="NB898" s="317"/>
      <c r="NC898" s="317"/>
      <c r="ND898" s="317"/>
      <c r="NE898" s="317"/>
      <c r="NF898" s="317"/>
      <c r="NG898" s="317"/>
      <c r="NH898" s="317"/>
      <c r="NI898" s="317"/>
      <c r="NJ898" s="317"/>
      <c r="NK898" s="317"/>
      <c r="NL898" s="317"/>
      <c r="NM898" s="12"/>
      <c r="NN898" s="317"/>
      <c r="NO898" s="317"/>
      <c r="NP898" s="317"/>
      <c r="NQ898" s="317"/>
      <c r="NR898" s="317"/>
      <c r="NS898" s="317"/>
      <c r="NT898" s="317"/>
      <c r="NU898" s="317"/>
      <c r="NV898" s="317"/>
      <c r="NW898" s="317"/>
      <c r="NX898" s="317"/>
      <c r="NY898" s="317"/>
      <c r="NZ898" s="317"/>
      <c r="OA898" s="317"/>
      <c r="OB898" s="317"/>
      <c r="OC898" s="317"/>
      <c r="OD898" s="317"/>
      <c r="OE898" s="317"/>
      <c r="OF898" s="317"/>
      <c r="OG898" s="317"/>
      <c r="OH898" s="317"/>
      <c r="OI898" s="317"/>
      <c r="OJ898" s="317"/>
      <c r="OK898" s="317"/>
      <c r="OL898" s="317"/>
      <c r="OM898" s="317"/>
      <c r="ON898" s="317"/>
      <c r="OO898" s="317"/>
      <c r="OP898" s="317"/>
      <c r="OQ898" s="317"/>
      <c r="OR898" s="317"/>
      <c r="OS898" s="317"/>
      <c r="OT898" s="317"/>
      <c r="OU898" s="317"/>
      <c r="OV898" s="13"/>
      <c r="OW898" s="317"/>
      <c r="OX898" s="317"/>
      <c r="OY898" s="317"/>
      <c r="OZ898" s="317"/>
      <c r="PA898" s="317"/>
      <c r="PB898" s="317"/>
      <c r="PC898" s="317"/>
      <c r="PD898" s="317"/>
      <c r="PE898" s="317"/>
      <c r="PF898" s="317"/>
      <c r="PG898" s="317"/>
      <c r="PH898" s="317"/>
      <c r="PI898" s="317"/>
      <c r="PJ898" s="317"/>
      <c r="PK898" s="317"/>
      <c r="PL898" s="317"/>
      <c r="PM898" s="317"/>
      <c r="PN898" s="317"/>
      <c r="PO898" s="317"/>
      <c r="PP898" s="317"/>
      <c r="PQ898" s="317"/>
      <c r="PR898" s="317"/>
      <c r="PS898" s="317"/>
      <c r="PT898" s="317"/>
      <c r="PU898" s="317"/>
      <c r="PV898" s="317"/>
      <c r="PW898" s="317"/>
      <c r="PX898" s="317"/>
      <c r="PY898" s="317"/>
      <c r="PZ898" s="317"/>
      <c r="QA898" s="317"/>
      <c r="QB898" s="317"/>
      <c r="QC898" s="317"/>
      <c r="QD898" s="317"/>
      <c r="QE898" s="317"/>
      <c r="QF898" s="317"/>
      <c r="QG898" s="317"/>
      <c r="QH898" s="317"/>
      <c r="QI898" s="317"/>
      <c r="QJ898" s="317"/>
      <c r="QK898" s="317"/>
      <c r="QL898" s="317"/>
      <c r="QM898" s="317"/>
      <c r="QN898" s="317"/>
      <c r="QO898" s="317"/>
      <c r="QP898" s="317"/>
      <c r="QQ898" s="317"/>
      <c r="QR898" s="317"/>
      <c r="QS898" s="317"/>
      <c r="QT898" s="317"/>
      <c r="QU898" s="317"/>
      <c r="QV898" s="317"/>
      <c r="QW898" s="317"/>
      <c r="QX898" s="317"/>
      <c r="QY898" s="317"/>
      <c r="QZ898" s="317"/>
      <c r="RA898" s="317"/>
      <c r="RB898" s="317"/>
      <c r="RC898" s="317"/>
      <c r="RD898" s="317"/>
      <c r="RE898" s="317"/>
      <c r="RF898" s="317"/>
      <c r="RG898" s="317"/>
      <c r="RH898" s="317"/>
      <c r="RI898" s="317"/>
      <c r="RJ898" s="317"/>
      <c r="RK898" s="317"/>
      <c r="RL898" s="317"/>
      <c r="RM898" s="317"/>
      <c r="RN898" s="12"/>
      <c r="RO898" s="317"/>
      <c r="RP898" s="13"/>
      <c r="RQ898" s="317"/>
      <c r="RR898" s="317"/>
      <c r="RS898" s="317"/>
      <c r="RT898" s="317"/>
      <c r="RU898" s="317"/>
      <c r="RV898" s="13"/>
      <c r="RY898" s="13"/>
      <c r="TV898" s="12"/>
      <c r="WL898" s="13"/>
    </row>
    <row r="899" spans="88:610" ht="10.75" customHeight="1">
      <c r="CJ899" s="12"/>
      <c r="CL899" s="214"/>
      <c r="CM899" s="49"/>
      <c r="CN899" s="49"/>
      <c r="CO899" s="49"/>
      <c r="CP899" s="49"/>
      <c r="CQ899" s="49"/>
      <c r="CR899" s="49"/>
      <c r="CS899" s="208"/>
      <c r="CT899" s="43"/>
      <c r="CU899" s="43"/>
      <c r="CV899" s="45"/>
      <c r="CW899" s="12"/>
      <c r="DE899" s="12"/>
      <c r="EJ899" s="13"/>
      <c r="ER899" s="13"/>
      <c r="ET899" s="13"/>
      <c r="EZ899" s="297"/>
      <c r="GP899" s="13"/>
      <c r="GQ899" s="43"/>
      <c r="GR899" s="43"/>
      <c r="GS899" s="45"/>
      <c r="GT899" s="49"/>
      <c r="GU899" s="49"/>
      <c r="GV899" s="49"/>
      <c r="GW899" s="49"/>
      <c r="GX899" s="49"/>
      <c r="GY899" s="49"/>
      <c r="GZ899" s="49"/>
      <c r="HA899" s="208"/>
      <c r="HB899" s="231"/>
      <c r="HC899" s="231"/>
      <c r="HD899" s="231"/>
      <c r="HE899" s="231"/>
      <c r="HF899" s="231"/>
      <c r="HG899" s="231"/>
      <c r="HH899" s="231"/>
      <c r="HI899" s="232"/>
      <c r="KM899" s="12"/>
      <c r="KN899" s="317"/>
      <c r="KO899" s="317"/>
      <c r="KP899" s="317"/>
      <c r="KQ899" s="317"/>
      <c r="KR899" s="317"/>
      <c r="KS899" s="317"/>
      <c r="KT899" s="317"/>
      <c r="KU899" s="317"/>
      <c r="KV899" s="317"/>
      <c r="KW899" s="317"/>
      <c r="KX899" s="317"/>
      <c r="KY899" s="317"/>
      <c r="KZ899" s="317"/>
      <c r="LA899" s="317"/>
      <c r="LB899" s="317"/>
      <c r="LC899" s="317"/>
      <c r="LD899" s="317"/>
      <c r="LE899" s="317"/>
      <c r="LF899" s="317"/>
      <c r="LG899" s="317"/>
      <c r="LH899" s="317"/>
      <c r="LI899" s="317"/>
      <c r="LJ899" s="317"/>
      <c r="LK899" s="317"/>
      <c r="LL899" s="317"/>
      <c r="LM899" s="317"/>
      <c r="LN899" s="317"/>
      <c r="LO899" s="317"/>
      <c r="LP899" s="317"/>
      <c r="LQ899" s="317"/>
      <c r="LR899" s="317"/>
      <c r="LS899" s="317"/>
      <c r="LT899" s="317"/>
      <c r="LU899" s="317"/>
      <c r="LV899" s="317"/>
      <c r="LW899" s="317"/>
      <c r="LX899" s="317"/>
      <c r="LY899" s="317"/>
      <c r="LZ899" s="317"/>
      <c r="MA899" s="317"/>
      <c r="MB899" s="317"/>
      <c r="MC899" s="317"/>
      <c r="MD899" s="317"/>
      <c r="ME899" s="317"/>
      <c r="MF899" s="317"/>
      <c r="MG899" s="317"/>
      <c r="MH899" s="317"/>
      <c r="MI899" s="317"/>
      <c r="MJ899" s="317"/>
      <c r="MK899" s="317"/>
      <c r="ML899" s="317"/>
      <c r="MM899" s="317"/>
      <c r="MN899" s="317"/>
      <c r="MO899" s="317"/>
      <c r="MP899" s="317"/>
      <c r="MQ899" s="317"/>
      <c r="MR899" s="317"/>
      <c r="MS899" s="317"/>
      <c r="MT899" s="13"/>
      <c r="MU899" s="317"/>
      <c r="MV899" s="317"/>
      <c r="MW899" s="317"/>
      <c r="MX899" s="317"/>
      <c r="MY899" s="317"/>
      <c r="MZ899" s="13"/>
      <c r="NA899" s="12"/>
      <c r="NB899" s="317"/>
      <c r="NC899" s="317"/>
      <c r="ND899" s="317"/>
      <c r="NE899" s="317"/>
      <c r="NF899" s="317"/>
      <c r="NG899" s="317"/>
      <c r="NH899" s="317"/>
      <c r="NI899" s="317"/>
      <c r="NJ899" s="317"/>
      <c r="NK899" s="317"/>
      <c r="NL899" s="317"/>
      <c r="NM899" s="12"/>
      <c r="NN899" s="317"/>
      <c r="NO899" s="317"/>
      <c r="NP899" s="317"/>
      <c r="NQ899" s="317"/>
      <c r="NR899" s="317"/>
      <c r="NS899" s="317"/>
      <c r="NT899" s="317"/>
      <c r="NU899" s="317"/>
      <c r="NV899" s="317"/>
      <c r="NW899" s="317"/>
      <c r="NX899" s="317"/>
      <c r="NY899" s="317"/>
      <c r="NZ899" s="317"/>
      <c r="OA899" s="317"/>
      <c r="OB899" s="317"/>
      <c r="OC899" s="317"/>
      <c r="OD899" s="317"/>
      <c r="OE899" s="317"/>
      <c r="OF899" s="317"/>
      <c r="OG899" s="317"/>
      <c r="OH899" s="317"/>
      <c r="OI899" s="317"/>
      <c r="OJ899" s="317"/>
      <c r="OK899" s="317"/>
      <c r="OL899" s="317"/>
      <c r="OM899" s="317"/>
      <c r="ON899" s="317"/>
      <c r="OO899" s="317"/>
      <c r="OP899" s="317"/>
      <c r="OQ899" s="317"/>
      <c r="OR899" s="317"/>
      <c r="OS899" s="317"/>
      <c r="OT899" s="317"/>
      <c r="OU899" s="317"/>
      <c r="OV899" s="13"/>
      <c r="OW899" s="317"/>
      <c r="OX899" s="317"/>
      <c r="OY899" s="317"/>
      <c r="OZ899" s="317"/>
      <c r="PA899" s="317"/>
      <c r="PB899" s="317"/>
      <c r="PC899" s="317"/>
      <c r="PD899" s="317"/>
      <c r="PE899" s="317"/>
      <c r="PF899" s="317"/>
      <c r="PG899" s="317"/>
      <c r="PH899" s="317"/>
      <c r="PI899" s="317"/>
      <c r="PJ899" s="317"/>
      <c r="PK899" s="317"/>
      <c r="PL899" s="317"/>
      <c r="PM899" s="317"/>
      <c r="PN899" s="317"/>
      <c r="PO899" s="317"/>
      <c r="PP899" s="317"/>
      <c r="PQ899" s="317"/>
      <c r="PR899" s="317"/>
      <c r="PS899" s="317"/>
      <c r="PT899" s="317"/>
      <c r="PU899" s="317"/>
      <c r="PV899" s="317"/>
      <c r="PW899" s="317"/>
      <c r="PX899" s="317"/>
      <c r="PY899" s="317"/>
      <c r="PZ899" s="317"/>
      <c r="QA899" s="317"/>
      <c r="QB899" s="317"/>
      <c r="QC899" s="317"/>
      <c r="QD899" s="317"/>
      <c r="QE899" s="317"/>
      <c r="QF899" s="317"/>
      <c r="QG899" s="317"/>
      <c r="QH899" s="317"/>
      <c r="QI899" s="317"/>
      <c r="QJ899" s="317"/>
      <c r="QK899" s="317"/>
      <c r="QL899" s="317"/>
      <c r="QM899" s="317"/>
      <c r="QN899" s="317"/>
      <c r="QO899" s="317"/>
      <c r="QP899" s="317"/>
      <c r="QQ899" s="317"/>
      <c r="QR899" s="317"/>
      <c r="QS899" s="317"/>
      <c r="QT899" s="317"/>
      <c r="QU899" s="317"/>
      <c r="QV899" s="317"/>
      <c r="QW899" s="317"/>
      <c r="QX899" s="317"/>
      <c r="QY899" s="317"/>
      <c r="QZ899" s="317"/>
      <c r="RA899" s="317"/>
      <c r="RB899" s="317"/>
      <c r="RC899" s="317"/>
      <c r="RD899" s="317"/>
      <c r="RE899" s="317"/>
      <c r="RF899" s="317"/>
      <c r="RG899" s="317"/>
      <c r="RH899" s="317"/>
      <c r="RI899" s="317"/>
      <c r="RJ899" s="317"/>
      <c r="RK899" s="317"/>
      <c r="RL899" s="317"/>
      <c r="RM899" s="317"/>
      <c r="RN899" s="12"/>
      <c r="RO899" s="317"/>
      <c r="RP899" s="13"/>
      <c r="RQ899" s="317"/>
      <c r="RR899" s="317"/>
      <c r="RS899" s="317"/>
      <c r="RT899" s="317"/>
      <c r="RU899" s="317"/>
      <c r="RV899" s="13"/>
      <c r="RY899" s="13"/>
      <c r="TV899" s="12"/>
      <c r="WL899" s="13"/>
    </row>
    <row r="900" spans="88:610" ht="10.75" customHeight="1">
      <c r="CJ900" s="12"/>
      <c r="CL900" s="214"/>
      <c r="CM900" s="49"/>
      <c r="CN900" s="49"/>
      <c r="CO900" s="49"/>
      <c r="CP900" s="49"/>
      <c r="CQ900" s="49"/>
      <c r="CR900" s="49"/>
      <c r="CS900" s="208"/>
      <c r="CT900" s="43"/>
      <c r="CU900" s="43"/>
      <c r="CV900" s="45"/>
      <c r="CW900" s="12"/>
      <c r="DE900" s="12"/>
      <c r="EJ900" s="13"/>
      <c r="ER900" s="13"/>
      <c r="ET900" s="13"/>
      <c r="EZ900" s="297"/>
      <c r="GP900" s="13"/>
      <c r="GQ900" s="43"/>
      <c r="GR900" s="43"/>
      <c r="GS900" s="45"/>
      <c r="GT900" s="49"/>
      <c r="GU900" s="49"/>
      <c r="GV900" s="49"/>
      <c r="GW900" s="49"/>
      <c r="GX900" s="49"/>
      <c r="GY900" s="49"/>
      <c r="GZ900" s="49"/>
      <c r="HA900" s="208"/>
      <c r="HB900" s="231"/>
      <c r="HC900" s="231"/>
      <c r="HD900" s="231"/>
      <c r="HE900" s="231"/>
      <c r="HF900" s="231"/>
      <c r="HG900" s="231"/>
      <c r="HH900" s="231"/>
      <c r="HI900" s="232"/>
      <c r="KM900" s="12"/>
      <c r="KN900" s="317"/>
      <c r="KO900" s="317"/>
      <c r="KP900" s="317"/>
      <c r="KQ900" s="317"/>
      <c r="KR900" s="317"/>
      <c r="KS900" s="317"/>
      <c r="KT900" s="317"/>
      <c r="KU900" s="317"/>
      <c r="KV900" s="317"/>
      <c r="KW900" s="317"/>
      <c r="KX900" s="317"/>
      <c r="KY900" s="317"/>
      <c r="KZ900" s="317"/>
      <c r="LA900" s="317"/>
      <c r="LB900" s="317"/>
      <c r="LC900" s="317"/>
      <c r="LD900" s="317"/>
      <c r="LE900" s="317"/>
      <c r="LF900" s="317"/>
      <c r="LG900" s="317"/>
      <c r="LH900" s="317"/>
      <c r="LI900" s="317"/>
      <c r="LJ900" s="317"/>
      <c r="LK900" s="317"/>
      <c r="LL900" s="317"/>
      <c r="LM900" s="317"/>
      <c r="LN900" s="317"/>
      <c r="LO900" s="317"/>
      <c r="LP900" s="317"/>
      <c r="LQ900" s="317"/>
      <c r="LR900" s="317"/>
      <c r="LS900" s="317"/>
      <c r="LT900" s="317"/>
      <c r="LU900" s="317"/>
      <c r="LV900" s="317"/>
      <c r="LW900" s="317"/>
      <c r="LX900" s="317"/>
      <c r="LY900" s="317"/>
      <c r="LZ900" s="317"/>
      <c r="MA900" s="317"/>
      <c r="MB900" s="317"/>
      <c r="MC900" s="317"/>
      <c r="MD900" s="317"/>
      <c r="ME900" s="317"/>
      <c r="MF900" s="317"/>
      <c r="MG900" s="317"/>
      <c r="MH900" s="317"/>
      <c r="MI900" s="317"/>
      <c r="MJ900" s="317"/>
      <c r="MK900" s="317"/>
      <c r="ML900" s="317"/>
      <c r="MM900" s="317"/>
      <c r="MN900" s="317"/>
      <c r="MO900" s="317"/>
      <c r="MP900" s="317"/>
      <c r="MQ900" s="317"/>
      <c r="MR900" s="317"/>
      <c r="MS900" s="317"/>
      <c r="MT900" s="13"/>
      <c r="MU900" s="317"/>
      <c r="MV900" s="317"/>
      <c r="MW900" s="317"/>
      <c r="MX900" s="317"/>
      <c r="MY900" s="317"/>
      <c r="MZ900" s="13"/>
      <c r="NA900" s="12"/>
      <c r="NB900" s="317"/>
      <c r="NC900" s="317"/>
      <c r="ND900" s="317"/>
      <c r="NE900" s="317"/>
      <c r="NF900" s="317"/>
      <c r="NG900" s="317"/>
      <c r="NH900" s="317"/>
      <c r="NI900" s="317"/>
      <c r="NJ900" s="317"/>
      <c r="NK900" s="317"/>
      <c r="NL900" s="317"/>
      <c r="NM900" s="12"/>
      <c r="NN900" s="317"/>
      <c r="NO900" s="317"/>
      <c r="NP900" s="317"/>
      <c r="NQ900" s="317"/>
      <c r="NR900" s="317"/>
      <c r="NS900" s="317"/>
      <c r="NT900" s="317"/>
      <c r="NU900" s="317"/>
      <c r="NV900" s="317"/>
      <c r="NW900" s="317"/>
      <c r="NX900" s="317"/>
      <c r="NY900" s="317"/>
      <c r="NZ900" s="317"/>
      <c r="OA900" s="317"/>
      <c r="OB900" s="317"/>
      <c r="OC900" s="317"/>
      <c r="OD900" s="317"/>
      <c r="OE900" s="317"/>
      <c r="OF900" s="317"/>
      <c r="OG900" s="317"/>
      <c r="OH900" s="317"/>
      <c r="OI900" s="317"/>
      <c r="OJ900" s="317"/>
      <c r="OK900" s="317"/>
      <c r="OL900" s="317"/>
      <c r="OM900" s="317"/>
      <c r="ON900" s="317"/>
      <c r="OO900" s="317"/>
      <c r="OP900" s="317"/>
      <c r="OQ900" s="317"/>
      <c r="OR900" s="317"/>
      <c r="OS900" s="317"/>
      <c r="OT900" s="317"/>
      <c r="OU900" s="317"/>
      <c r="OV900" s="13"/>
      <c r="OW900" s="317"/>
      <c r="OX900" s="317"/>
      <c r="OY900" s="317"/>
      <c r="OZ900" s="317"/>
      <c r="PA900" s="317"/>
      <c r="PB900" s="317"/>
      <c r="PC900" s="317"/>
      <c r="PD900" s="317"/>
      <c r="PE900" s="317"/>
      <c r="PF900" s="317"/>
      <c r="PG900" s="317"/>
      <c r="PH900" s="317"/>
      <c r="PI900" s="317"/>
      <c r="PJ900" s="317"/>
      <c r="PK900" s="317"/>
      <c r="PL900" s="317"/>
      <c r="PM900" s="317"/>
      <c r="PN900" s="317"/>
      <c r="PO900" s="317"/>
      <c r="PP900" s="317"/>
      <c r="PQ900" s="317"/>
      <c r="PR900" s="317"/>
      <c r="PS900" s="317"/>
      <c r="PT900" s="317"/>
      <c r="PU900" s="317"/>
      <c r="PV900" s="317"/>
      <c r="PW900" s="317"/>
      <c r="PX900" s="317"/>
      <c r="PY900" s="317"/>
      <c r="PZ900" s="317"/>
      <c r="QA900" s="317"/>
      <c r="QB900" s="317"/>
      <c r="QC900" s="317"/>
      <c r="QD900" s="317"/>
      <c r="QE900" s="317"/>
      <c r="QF900" s="317"/>
      <c r="QG900" s="317"/>
      <c r="QH900" s="317"/>
      <c r="QI900" s="317"/>
      <c r="QJ900" s="317"/>
      <c r="QK900" s="317"/>
      <c r="QL900" s="317"/>
      <c r="QM900" s="317"/>
      <c r="QN900" s="317"/>
      <c r="QO900" s="317"/>
      <c r="QP900" s="317"/>
      <c r="QQ900" s="317"/>
      <c r="QR900" s="317"/>
      <c r="QS900" s="317"/>
      <c r="QT900" s="317"/>
      <c r="QU900" s="317"/>
      <c r="QV900" s="317"/>
      <c r="QW900" s="317"/>
      <c r="QX900" s="317"/>
      <c r="QY900" s="317"/>
      <c r="QZ900" s="317"/>
      <c r="RA900" s="317"/>
      <c r="RB900" s="317"/>
      <c r="RC900" s="317"/>
      <c r="RD900" s="317"/>
      <c r="RE900" s="317"/>
      <c r="RF900" s="317"/>
      <c r="RG900" s="317"/>
      <c r="RH900" s="317"/>
      <c r="RI900" s="317"/>
      <c r="RJ900" s="317"/>
      <c r="RK900" s="317"/>
      <c r="RL900" s="317"/>
      <c r="RM900" s="317"/>
      <c r="RN900" s="12"/>
      <c r="RO900" s="317"/>
      <c r="RP900" s="13"/>
      <c r="RQ900" s="317"/>
      <c r="RR900" s="317"/>
      <c r="RS900" s="317"/>
      <c r="RT900" s="317"/>
      <c r="RU900" s="317"/>
      <c r="RV900" s="13"/>
      <c r="RY900" s="13"/>
      <c r="TV900" s="12"/>
      <c r="WL900" s="13"/>
    </row>
    <row r="901" spans="88:610" ht="10.75" customHeight="1">
      <c r="CJ901" s="14"/>
      <c r="CK901" s="15"/>
      <c r="CL901" s="236"/>
      <c r="CM901" s="258"/>
      <c r="CN901" s="258"/>
      <c r="CO901" s="258"/>
      <c r="CP901" s="258"/>
      <c r="CQ901" s="258"/>
      <c r="CR901" s="258"/>
      <c r="CS901" s="209"/>
      <c r="CT901" s="43"/>
      <c r="CU901" s="43"/>
      <c r="CV901" s="45"/>
      <c r="CW901" s="12"/>
      <c r="DE901" s="12"/>
      <c r="EJ901" s="13"/>
      <c r="ER901" s="13"/>
      <c r="ET901" s="13"/>
      <c r="EZ901" s="297"/>
      <c r="GP901" s="13"/>
      <c r="GQ901" s="43"/>
      <c r="GR901" s="43"/>
      <c r="GS901" s="45"/>
      <c r="GT901" s="49"/>
      <c r="GU901" s="49"/>
      <c r="GV901" s="49"/>
      <c r="GW901" s="49"/>
      <c r="GX901" s="49"/>
      <c r="GY901" s="49"/>
      <c r="GZ901" s="49"/>
      <c r="HA901" s="208"/>
      <c r="HB901" s="231"/>
      <c r="HC901" s="231"/>
      <c r="HD901" s="231"/>
      <c r="HE901" s="231"/>
      <c r="HF901" s="231"/>
      <c r="HG901" s="231"/>
      <c r="HH901" s="231"/>
      <c r="HI901" s="232"/>
      <c r="KM901" s="12"/>
      <c r="KN901" s="317"/>
      <c r="KO901" s="317"/>
      <c r="KP901" s="317"/>
      <c r="KQ901" s="317"/>
      <c r="KR901" s="317"/>
      <c r="KS901" s="317"/>
      <c r="KT901" s="317"/>
      <c r="KU901" s="317"/>
      <c r="KV901" s="317"/>
      <c r="KW901" s="317"/>
      <c r="KX901" s="317"/>
      <c r="KY901" s="317"/>
      <c r="KZ901" s="317"/>
      <c r="LA901" s="317"/>
      <c r="LB901" s="317"/>
      <c r="LC901" s="317"/>
      <c r="LD901" s="317"/>
      <c r="LE901" s="317"/>
      <c r="LF901" s="317"/>
      <c r="LG901" s="317"/>
      <c r="LH901" s="317"/>
      <c r="LI901" s="317"/>
      <c r="LJ901" s="317"/>
      <c r="LK901" s="317"/>
      <c r="LL901" s="317"/>
      <c r="LM901" s="317"/>
      <c r="LN901" s="317"/>
      <c r="LO901" s="317"/>
      <c r="LP901" s="317"/>
      <c r="LQ901" s="317"/>
      <c r="LR901" s="317"/>
      <c r="LS901" s="317"/>
      <c r="LT901" s="317"/>
      <c r="LU901" s="317"/>
      <c r="LV901" s="317"/>
      <c r="LW901" s="317"/>
      <c r="LX901" s="317"/>
      <c r="LY901" s="317"/>
      <c r="LZ901" s="317"/>
      <c r="MA901" s="317"/>
      <c r="MB901" s="317"/>
      <c r="MC901" s="317"/>
      <c r="MD901" s="317"/>
      <c r="ME901" s="317"/>
      <c r="MF901" s="317"/>
      <c r="MG901" s="317"/>
      <c r="MH901" s="317"/>
      <c r="MI901" s="317"/>
      <c r="MJ901" s="317"/>
      <c r="MK901" s="317"/>
      <c r="ML901" s="317"/>
      <c r="MM901" s="317"/>
      <c r="MN901" s="317"/>
      <c r="MO901" s="317"/>
      <c r="MP901" s="317"/>
      <c r="MQ901" s="317"/>
      <c r="MR901" s="317"/>
      <c r="MS901" s="317"/>
      <c r="MT901" s="13"/>
      <c r="MU901" s="317"/>
      <c r="MV901" s="317"/>
      <c r="MW901" s="317"/>
      <c r="MX901" s="317"/>
      <c r="MY901" s="317"/>
      <c r="MZ901" s="13"/>
      <c r="NA901" s="12"/>
      <c r="NB901" s="317"/>
      <c r="NC901" s="317"/>
      <c r="ND901" s="317"/>
      <c r="NE901" s="317"/>
      <c r="NF901" s="317"/>
      <c r="NG901" s="317"/>
      <c r="NH901" s="317"/>
      <c r="NI901" s="317"/>
      <c r="NJ901" s="317"/>
      <c r="NK901" s="317"/>
      <c r="NL901" s="317"/>
      <c r="NM901" s="14"/>
      <c r="NN901" s="15"/>
      <c r="NO901" s="15"/>
      <c r="NP901" s="15"/>
      <c r="NQ901" s="15"/>
      <c r="NR901" s="15"/>
      <c r="NS901" s="15"/>
      <c r="NT901" s="15"/>
      <c r="NU901" s="15"/>
      <c r="NV901" s="15"/>
      <c r="NW901" s="15"/>
      <c r="NX901" s="15"/>
      <c r="NY901" s="15"/>
      <c r="NZ901" s="15"/>
      <c r="OA901" s="15"/>
      <c r="OB901" s="15"/>
      <c r="OC901" s="15"/>
      <c r="OD901" s="15"/>
      <c r="OE901" s="15"/>
      <c r="OF901" s="15"/>
      <c r="OG901" s="15"/>
      <c r="OH901" s="15"/>
      <c r="OI901" s="15"/>
      <c r="OJ901" s="15"/>
      <c r="OK901" s="15"/>
      <c r="OL901" s="15"/>
      <c r="OM901" s="15"/>
      <c r="ON901" s="15"/>
      <c r="OO901" s="15"/>
      <c r="OP901" s="15"/>
      <c r="OQ901" s="15"/>
      <c r="OR901" s="15"/>
      <c r="OS901" s="15"/>
      <c r="OT901" s="15"/>
      <c r="OU901" s="15"/>
      <c r="OV901" s="16"/>
      <c r="OW901" s="317"/>
      <c r="OX901" s="317"/>
      <c r="OY901" s="317"/>
      <c r="OZ901" s="317"/>
      <c r="PA901" s="317"/>
      <c r="PB901" s="317"/>
      <c r="PC901" s="317"/>
      <c r="PD901" s="317"/>
      <c r="PE901" s="317"/>
      <c r="PF901" s="317"/>
      <c r="PG901" s="317"/>
      <c r="PH901" s="317"/>
      <c r="PI901" s="317"/>
      <c r="PJ901" s="317"/>
      <c r="PK901" s="317"/>
      <c r="PL901" s="317"/>
      <c r="PM901" s="317"/>
      <c r="PN901" s="317"/>
      <c r="PO901" s="317"/>
      <c r="PP901" s="317"/>
      <c r="PQ901" s="317"/>
      <c r="PR901" s="317"/>
      <c r="PS901" s="317"/>
      <c r="PT901" s="317"/>
      <c r="PU901" s="317"/>
      <c r="PV901" s="317"/>
      <c r="PW901" s="317"/>
      <c r="PX901" s="317"/>
      <c r="PY901" s="317"/>
      <c r="PZ901" s="317"/>
      <c r="QA901" s="317"/>
      <c r="QB901" s="317"/>
      <c r="QC901" s="317"/>
      <c r="QD901" s="317"/>
      <c r="QE901" s="317"/>
      <c r="QF901" s="317"/>
      <c r="QG901" s="317"/>
      <c r="QH901" s="317"/>
      <c r="QI901" s="317"/>
      <c r="QJ901" s="317"/>
      <c r="QK901" s="317"/>
      <c r="QL901" s="317"/>
      <c r="QM901" s="317"/>
      <c r="QN901" s="317"/>
      <c r="QO901" s="317"/>
      <c r="QP901" s="317"/>
      <c r="QQ901" s="317"/>
      <c r="QR901" s="317"/>
      <c r="QS901" s="317"/>
      <c r="QT901" s="317"/>
      <c r="QU901" s="317"/>
      <c r="QV901" s="317"/>
      <c r="QW901" s="317"/>
      <c r="QX901" s="317"/>
      <c r="QY901" s="317"/>
      <c r="QZ901" s="317"/>
      <c r="RA901" s="317"/>
      <c r="RB901" s="317"/>
      <c r="RC901" s="317"/>
      <c r="RD901" s="317"/>
      <c r="RE901" s="317"/>
      <c r="RF901" s="317"/>
      <c r="RG901" s="317"/>
      <c r="RH901" s="317"/>
      <c r="RI901" s="317"/>
      <c r="RJ901" s="317"/>
      <c r="RK901" s="317"/>
      <c r="RL901" s="317"/>
      <c r="RM901" s="317"/>
      <c r="RN901" s="12"/>
      <c r="RO901" s="317"/>
      <c r="RP901" s="13"/>
      <c r="RQ901" s="317"/>
      <c r="RR901" s="317"/>
      <c r="RS901" s="317"/>
      <c r="RT901" s="317"/>
      <c r="RU901" s="317"/>
      <c r="RV901" s="13"/>
      <c r="RY901" s="13"/>
      <c r="TV901" s="12"/>
      <c r="WL901" s="13"/>
    </row>
    <row r="902" spans="88:610" ht="10.75" customHeight="1">
      <c r="CJ902" s="12"/>
      <c r="CL902" s="214"/>
      <c r="CM902" s="49"/>
      <c r="CN902" s="49"/>
      <c r="CO902" s="49"/>
      <c r="CP902" s="49"/>
      <c r="CQ902" s="49"/>
      <c r="CR902" s="49"/>
      <c r="CS902" s="208"/>
      <c r="CT902" s="43"/>
      <c r="CU902" s="43"/>
      <c r="CV902" s="45"/>
      <c r="CW902" s="12"/>
      <c r="DE902" s="12"/>
      <c r="EJ902" s="13"/>
      <c r="ER902" s="13"/>
      <c r="ET902" s="13"/>
      <c r="EZ902" s="297"/>
      <c r="GP902" s="13"/>
      <c r="GQ902" s="43"/>
      <c r="GR902" s="43"/>
      <c r="GS902" s="45"/>
      <c r="GT902" s="49"/>
      <c r="GU902" s="49"/>
      <c r="GV902" s="49"/>
      <c r="GW902" s="49"/>
      <c r="GX902" s="49"/>
      <c r="GY902" s="49"/>
      <c r="GZ902" s="49"/>
      <c r="HA902" s="208"/>
      <c r="HB902" s="231"/>
      <c r="HC902" s="231"/>
      <c r="HD902" s="231"/>
      <c r="HE902" s="231"/>
      <c r="HF902" s="231"/>
      <c r="HG902" s="231"/>
      <c r="HH902" s="231"/>
      <c r="HI902" s="232"/>
      <c r="KM902" s="12"/>
      <c r="KN902" s="317"/>
      <c r="KO902" s="317"/>
      <c r="KP902" s="317"/>
      <c r="KQ902" s="317"/>
      <c r="KR902" s="317"/>
      <c r="KS902" s="317"/>
      <c r="KT902" s="317"/>
      <c r="KU902" s="317"/>
      <c r="KV902" s="317"/>
      <c r="KW902" s="317"/>
      <c r="KX902" s="317"/>
      <c r="KY902" s="317"/>
      <c r="KZ902" s="317"/>
      <c r="LA902" s="317"/>
      <c r="LB902" s="317"/>
      <c r="LC902" s="317"/>
      <c r="LD902" s="317"/>
      <c r="LE902" s="317"/>
      <c r="LF902" s="317"/>
      <c r="LG902" s="317"/>
      <c r="LH902" s="317"/>
      <c r="LI902" s="317"/>
      <c r="LJ902" s="317"/>
      <c r="LK902" s="317"/>
      <c r="LL902" s="317"/>
      <c r="LM902" s="317"/>
      <c r="LN902" s="317"/>
      <c r="LO902" s="317"/>
      <c r="LP902" s="317"/>
      <c r="LQ902" s="317"/>
      <c r="LR902" s="317"/>
      <c r="LS902" s="317"/>
      <c r="LT902" s="317"/>
      <c r="LU902" s="317"/>
      <c r="LV902" s="317"/>
      <c r="LW902" s="317"/>
      <c r="LX902" s="317"/>
      <c r="LY902" s="317"/>
      <c r="LZ902" s="317"/>
      <c r="MA902" s="317"/>
      <c r="MB902" s="317"/>
      <c r="MC902" s="317"/>
      <c r="MD902" s="317"/>
      <c r="ME902" s="317"/>
      <c r="MF902" s="317"/>
      <c r="MG902" s="317"/>
      <c r="MH902" s="317"/>
      <c r="MI902" s="317"/>
      <c r="MJ902" s="317"/>
      <c r="MK902" s="317"/>
      <c r="ML902" s="317"/>
      <c r="MM902" s="317"/>
      <c r="MN902" s="317"/>
      <c r="MO902" s="317"/>
      <c r="MP902" s="317"/>
      <c r="MQ902" s="317"/>
      <c r="MR902" s="317"/>
      <c r="MS902" s="317"/>
      <c r="MT902" s="13"/>
      <c r="MU902" s="317"/>
      <c r="MV902" s="317"/>
      <c r="MW902" s="317"/>
      <c r="MX902" s="317"/>
      <c r="MY902" s="317"/>
      <c r="MZ902" s="13"/>
      <c r="NA902" s="12"/>
      <c r="NB902" s="317"/>
      <c r="NC902" s="317"/>
      <c r="ND902" s="317"/>
      <c r="NE902" s="317"/>
      <c r="NF902" s="317"/>
      <c r="NG902" s="317"/>
      <c r="NH902" s="317"/>
      <c r="NI902" s="317"/>
      <c r="NJ902" s="317"/>
      <c r="NK902" s="317"/>
      <c r="NL902" s="317"/>
      <c r="NM902" s="317"/>
      <c r="NN902" s="317"/>
      <c r="NO902" s="317"/>
      <c r="NP902" s="317"/>
      <c r="NQ902" s="317"/>
      <c r="NR902" s="317"/>
      <c r="NS902" s="317"/>
      <c r="NT902" s="317"/>
      <c r="NU902" s="317"/>
      <c r="NV902" s="317"/>
      <c r="NW902" s="317"/>
      <c r="NX902" s="317"/>
      <c r="NY902" s="317"/>
      <c r="NZ902" s="317"/>
      <c r="OA902" s="317"/>
      <c r="OB902" s="317"/>
      <c r="OC902" s="317"/>
      <c r="OD902" s="317"/>
      <c r="OE902" s="317"/>
      <c r="OF902" s="317"/>
      <c r="OG902" s="317"/>
      <c r="OH902" s="317"/>
      <c r="OI902" s="317"/>
      <c r="OJ902" s="317"/>
      <c r="OK902" s="317"/>
      <c r="OL902" s="317"/>
      <c r="OM902" s="317"/>
      <c r="ON902" s="317"/>
      <c r="OO902" s="317"/>
      <c r="OP902" s="317"/>
      <c r="OQ902" s="317"/>
      <c r="OR902" s="317"/>
      <c r="OS902" s="317"/>
      <c r="OT902" s="317"/>
      <c r="OU902" s="317"/>
      <c r="OV902" s="317"/>
      <c r="OW902" s="317"/>
      <c r="OX902" s="317"/>
      <c r="OY902" s="317"/>
      <c r="OZ902" s="317"/>
      <c r="PA902" s="317"/>
      <c r="PB902" s="317"/>
      <c r="PC902" s="317"/>
      <c r="PD902" s="317"/>
      <c r="PE902" s="317"/>
      <c r="PF902" s="317"/>
      <c r="PG902" s="317"/>
      <c r="PH902" s="317"/>
      <c r="PI902" s="317"/>
      <c r="PJ902" s="317"/>
      <c r="PK902" s="317"/>
      <c r="PL902" s="317"/>
      <c r="PM902" s="317"/>
      <c r="PN902" s="317"/>
      <c r="PO902" s="317"/>
      <c r="PP902" s="317"/>
      <c r="PQ902" s="317"/>
      <c r="PR902" s="317"/>
      <c r="PS902" s="317"/>
      <c r="PT902" s="317"/>
      <c r="PU902" s="317"/>
      <c r="PV902" s="317"/>
      <c r="PW902" s="317"/>
      <c r="PX902" s="317"/>
      <c r="PY902" s="317"/>
      <c r="PZ902" s="317"/>
      <c r="QA902" s="317"/>
      <c r="QB902" s="317"/>
      <c r="QC902" s="317"/>
      <c r="QD902" s="317"/>
      <c r="QE902" s="317"/>
      <c r="QF902" s="317"/>
      <c r="QG902" s="317"/>
      <c r="QH902" s="317"/>
      <c r="QI902" s="317"/>
      <c r="QJ902" s="317"/>
      <c r="QK902" s="317"/>
      <c r="QL902" s="317"/>
      <c r="QM902" s="317"/>
      <c r="QN902" s="317"/>
      <c r="QO902" s="317"/>
      <c r="QP902" s="317"/>
      <c r="QQ902" s="317"/>
      <c r="QR902" s="317"/>
      <c r="QS902" s="317"/>
      <c r="QT902" s="317"/>
      <c r="QU902" s="317"/>
      <c r="QV902" s="317"/>
      <c r="QW902" s="317"/>
      <c r="QX902" s="317"/>
      <c r="QY902" s="317"/>
      <c r="QZ902" s="317"/>
      <c r="RA902" s="317"/>
      <c r="RB902" s="317"/>
      <c r="RC902" s="317"/>
      <c r="RD902" s="317"/>
      <c r="RE902" s="317"/>
      <c r="RF902" s="317"/>
      <c r="RG902" s="317"/>
      <c r="RH902" s="317"/>
      <c r="RI902" s="317"/>
      <c r="RJ902" s="317"/>
      <c r="RK902" s="317"/>
      <c r="RL902" s="317"/>
      <c r="RM902" s="317"/>
      <c r="RN902" s="12"/>
      <c r="RO902" s="317"/>
      <c r="RP902" s="13"/>
      <c r="RQ902" s="317"/>
      <c r="RR902" s="317"/>
      <c r="RS902" s="317"/>
      <c r="RT902" s="317"/>
      <c r="RU902" s="317"/>
      <c r="RV902" s="13"/>
      <c r="RY902" s="13"/>
      <c r="TV902" s="12"/>
      <c r="WL902" s="13"/>
    </row>
    <row r="903" spans="88:610" ht="10.75" customHeight="1">
      <c r="CJ903" s="12"/>
      <c r="CL903" s="214"/>
      <c r="CM903" s="49"/>
      <c r="CN903" s="49"/>
      <c r="CO903" s="49"/>
      <c r="CP903" s="49"/>
      <c r="CQ903" s="49"/>
      <c r="CR903" s="49"/>
      <c r="CS903" s="208"/>
      <c r="CT903" s="43"/>
      <c r="CU903" s="43"/>
      <c r="CV903" s="45"/>
      <c r="CW903" s="12"/>
      <c r="DE903" s="12"/>
      <c r="EJ903" s="13"/>
      <c r="ER903" s="13"/>
      <c r="ET903" s="13"/>
      <c r="EZ903" s="297"/>
      <c r="GP903" s="13"/>
      <c r="GQ903" s="43"/>
      <c r="GR903" s="43"/>
      <c r="GS903" s="45"/>
      <c r="GT903" s="49"/>
      <c r="GU903" s="49"/>
      <c r="GV903" s="49"/>
      <c r="GW903" s="49"/>
      <c r="GX903" s="49"/>
      <c r="GY903" s="49"/>
      <c r="GZ903" s="49"/>
      <c r="HA903" s="208"/>
      <c r="HB903" s="231"/>
      <c r="HC903" s="231"/>
      <c r="HD903" s="231"/>
      <c r="HE903" s="231"/>
      <c r="HF903" s="231"/>
      <c r="HG903" s="231"/>
      <c r="HH903" s="231"/>
      <c r="HI903" s="232"/>
      <c r="KM903" s="12"/>
      <c r="KN903" s="317"/>
      <c r="KO903" s="317"/>
      <c r="KP903" s="317"/>
      <c r="KQ903" s="317"/>
      <c r="KR903" s="317"/>
      <c r="KS903" s="317"/>
      <c r="KT903" s="317"/>
      <c r="KU903" s="317"/>
      <c r="KV903" s="317"/>
      <c r="KW903" s="317"/>
      <c r="KX903" s="317"/>
      <c r="KY903" s="317"/>
      <c r="KZ903" s="317"/>
      <c r="LA903" s="317"/>
      <c r="LB903" s="317"/>
      <c r="LC903" s="317"/>
      <c r="LD903" s="317"/>
      <c r="LE903" s="317"/>
      <c r="LF903" s="317"/>
      <c r="LG903" s="317"/>
      <c r="LH903" s="317"/>
      <c r="LI903" s="317"/>
      <c r="LJ903" s="317"/>
      <c r="LK903" s="317"/>
      <c r="LL903" s="317"/>
      <c r="LM903" s="317"/>
      <c r="LN903" s="317"/>
      <c r="LO903" s="317"/>
      <c r="LP903" s="317"/>
      <c r="LQ903" s="317"/>
      <c r="LR903" s="317"/>
      <c r="LS903" s="317"/>
      <c r="LT903" s="317"/>
      <c r="LU903" s="317"/>
      <c r="LV903" s="317"/>
      <c r="LW903" s="317"/>
      <c r="LX903" s="317"/>
      <c r="LY903" s="317"/>
      <c r="LZ903" s="317"/>
      <c r="MA903" s="317"/>
      <c r="MB903" s="317"/>
      <c r="MC903" s="317"/>
      <c r="MD903" s="317"/>
      <c r="ME903" s="317"/>
      <c r="MF903" s="317"/>
      <c r="MG903" s="317"/>
      <c r="MH903" s="317"/>
      <c r="MI903" s="317"/>
      <c r="MJ903" s="317"/>
      <c r="MK903" s="317"/>
      <c r="ML903" s="317"/>
      <c r="MM903" s="317"/>
      <c r="MN903" s="317"/>
      <c r="MO903" s="317"/>
      <c r="MP903" s="317"/>
      <c r="MQ903" s="317"/>
      <c r="MR903" s="317"/>
      <c r="MS903" s="317"/>
      <c r="MT903" s="13"/>
      <c r="MU903" s="317"/>
      <c r="MV903" s="317"/>
      <c r="MW903" s="317"/>
      <c r="MX903" s="317"/>
      <c r="MY903" s="317"/>
      <c r="MZ903" s="13"/>
      <c r="NA903" s="12"/>
      <c r="NB903" s="317"/>
      <c r="NC903" s="317"/>
      <c r="ND903" s="317"/>
      <c r="NE903" s="317"/>
      <c r="NF903" s="317"/>
      <c r="NG903" s="317"/>
      <c r="NH903" s="317"/>
      <c r="NI903" s="317"/>
      <c r="NJ903" s="317"/>
      <c r="NK903" s="317"/>
      <c r="NL903" s="317"/>
      <c r="NM903" s="317"/>
      <c r="NN903" s="317"/>
      <c r="NO903" s="317"/>
      <c r="NP903" s="317"/>
      <c r="NQ903" s="317"/>
      <c r="NR903" s="317"/>
      <c r="NS903" s="317"/>
      <c r="NT903" s="317"/>
      <c r="NU903" s="317"/>
      <c r="NV903" s="317"/>
      <c r="NW903" s="317"/>
      <c r="NX903" s="317"/>
      <c r="NY903" s="317"/>
      <c r="NZ903" s="317"/>
      <c r="OA903" s="317"/>
      <c r="OB903" s="317"/>
      <c r="OC903" s="317"/>
      <c r="OD903" s="317"/>
      <c r="OE903" s="317"/>
      <c r="OF903" s="317"/>
      <c r="OG903" s="317"/>
      <c r="OH903" s="317"/>
      <c r="OI903" s="317"/>
      <c r="OJ903" s="317"/>
      <c r="OK903" s="317"/>
      <c r="OL903" s="317"/>
      <c r="OM903" s="317"/>
      <c r="ON903" s="317"/>
      <c r="OO903" s="317"/>
      <c r="OP903" s="317"/>
      <c r="OQ903" s="317"/>
      <c r="OR903" s="317"/>
      <c r="OS903" s="317"/>
      <c r="OT903" s="317"/>
      <c r="OU903" s="317"/>
      <c r="OV903" s="317"/>
      <c r="OW903" s="317"/>
      <c r="OX903" s="317"/>
      <c r="OY903" s="317"/>
      <c r="OZ903" s="317"/>
      <c r="PA903" s="317"/>
      <c r="PB903" s="317"/>
      <c r="PC903" s="317"/>
      <c r="PD903" s="317"/>
      <c r="PE903" s="317"/>
      <c r="PF903" s="317"/>
      <c r="PG903" s="317"/>
      <c r="PH903" s="317"/>
      <c r="PI903" s="317"/>
      <c r="PJ903" s="317"/>
      <c r="PK903" s="317"/>
      <c r="PL903" s="317"/>
      <c r="PM903" s="317"/>
      <c r="PN903" s="317"/>
      <c r="PO903" s="317"/>
      <c r="PP903" s="317"/>
      <c r="PQ903" s="317"/>
      <c r="PR903" s="317"/>
      <c r="PS903" s="317"/>
      <c r="PT903" s="317"/>
      <c r="PU903" s="317"/>
      <c r="PV903" s="317"/>
      <c r="PW903" s="317"/>
      <c r="PX903" s="317"/>
      <c r="PY903" s="317"/>
      <c r="PZ903" s="317"/>
      <c r="QA903" s="317"/>
      <c r="QB903" s="317"/>
      <c r="QC903" s="317"/>
      <c r="QD903" s="317"/>
      <c r="QE903" s="317"/>
      <c r="QF903" s="317"/>
      <c r="QG903" s="317"/>
      <c r="QH903" s="317"/>
      <c r="QI903" s="317"/>
      <c r="QJ903" s="317"/>
      <c r="QK903" s="317"/>
      <c r="QL903" s="317"/>
      <c r="QM903" s="317"/>
      <c r="QN903" s="317"/>
      <c r="QO903" s="317"/>
      <c r="QP903" s="317"/>
      <c r="QQ903" s="317"/>
      <c r="QR903" s="317"/>
      <c r="QS903" s="317"/>
      <c r="QT903" s="317"/>
      <c r="QU903" s="317"/>
      <c r="QV903" s="317"/>
      <c r="QW903" s="317"/>
      <c r="QX903" s="317"/>
      <c r="QY903" s="317"/>
      <c r="QZ903" s="317"/>
      <c r="RA903" s="317"/>
      <c r="RB903" s="317"/>
      <c r="RC903" s="317"/>
      <c r="RD903" s="317"/>
      <c r="RE903" s="317"/>
      <c r="RF903" s="317"/>
      <c r="RG903" s="317"/>
      <c r="RH903" s="317"/>
      <c r="RI903" s="317"/>
      <c r="RJ903" s="317"/>
      <c r="RK903" s="317"/>
      <c r="RL903" s="317"/>
      <c r="RM903" s="317"/>
      <c r="RN903" s="14"/>
      <c r="RO903" s="15"/>
      <c r="RP903" s="16"/>
      <c r="RQ903" s="15"/>
      <c r="RR903" s="15"/>
      <c r="RS903" s="15"/>
      <c r="RT903" s="15"/>
      <c r="RU903" s="15"/>
      <c r="RV903" s="16"/>
      <c r="RW903" s="15"/>
      <c r="RX903" s="15"/>
      <c r="RY903" s="16"/>
      <c r="TV903" s="12"/>
      <c r="WL903" s="13"/>
    </row>
    <row r="904" spans="88:610" ht="10.75" customHeight="1">
      <c r="CJ904" s="12"/>
      <c r="CL904" s="214"/>
      <c r="CM904" s="49"/>
      <c r="CN904" s="49"/>
      <c r="CO904" s="49"/>
      <c r="CP904" s="49"/>
      <c r="CQ904" s="49"/>
      <c r="CR904" s="49"/>
      <c r="CS904" s="208"/>
      <c r="CT904" s="43"/>
      <c r="CU904" s="43"/>
      <c r="CV904" s="45"/>
      <c r="CW904" s="12"/>
      <c r="DE904" s="12"/>
      <c r="EJ904" s="13"/>
      <c r="ER904" s="13"/>
      <c r="ET904" s="13"/>
      <c r="EZ904" s="297"/>
      <c r="GP904" s="13"/>
      <c r="GQ904" s="43"/>
      <c r="GR904" s="43"/>
      <c r="GS904" s="45"/>
      <c r="GT904" s="49"/>
      <c r="GU904" s="49"/>
      <c r="GV904" s="49"/>
      <c r="GW904" s="49"/>
      <c r="GX904" s="49"/>
      <c r="GY904" s="49"/>
      <c r="GZ904" s="49"/>
      <c r="HA904" s="208"/>
      <c r="HB904" s="231"/>
      <c r="HC904" s="231"/>
      <c r="HD904" s="231"/>
      <c r="HE904" s="231"/>
      <c r="HF904" s="231"/>
      <c r="HG904" s="231"/>
      <c r="HH904" s="231"/>
      <c r="HI904" s="232"/>
      <c r="KM904" s="12"/>
      <c r="KN904" s="317"/>
      <c r="KO904" s="317"/>
      <c r="KP904" s="317"/>
      <c r="KQ904" s="317"/>
      <c r="KR904" s="317"/>
      <c r="KS904" s="317"/>
      <c r="KT904" s="317"/>
      <c r="KU904" s="317"/>
      <c r="KV904" s="317"/>
      <c r="KW904" s="317"/>
      <c r="KX904" s="317"/>
      <c r="KY904" s="317"/>
      <c r="KZ904" s="317"/>
      <c r="LA904" s="317"/>
      <c r="LB904" s="317"/>
      <c r="LC904" s="317"/>
      <c r="LD904" s="317"/>
      <c r="LE904" s="317"/>
      <c r="LF904" s="317"/>
      <c r="LG904" s="317"/>
      <c r="LH904" s="317"/>
      <c r="LI904" s="317"/>
      <c r="LJ904" s="317"/>
      <c r="LK904" s="317"/>
      <c r="LL904" s="317"/>
      <c r="LM904" s="317"/>
      <c r="LN904" s="317"/>
      <c r="LO904" s="317"/>
      <c r="LP904" s="317"/>
      <c r="LQ904" s="317"/>
      <c r="LR904" s="317"/>
      <c r="LS904" s="317"/>
      <c r="LT904" s="317"/>
      <c r="LU904" s="317"/>
      <c r="LV904" s="317"/>
      <c r="LW904" s="317"/>
      <c r="LX904" s="317"/>
      <c r="LY904" s="317"/>
      <c r="LZ904" s="317"/>
      <c r="MA904" s="317"/>
      <c r="MB904" s="317"/>
      <c r="MC904" s="317"/>
      <c r="MD904" s="317"/>
      <c r="ME904" s="317"/>
      <c r="MF904" s="317"/>
      <c r="MG904" s="317"/>
      <c r="MH904" s="317"/>
      <c r="MI904" s="317"/>
      <c r="MJ904" s="317"/>
      <c r="MK904" s="317"/>
      <c r="ML904" s="317"/>
      <c r="MM904" s="317"/>
      <c r="MN904" s="317"/>
      <c r="MO904" s="317"/>
      <c r="MP904" s="317"/>
      <c r="MQ904" s="317"/>
      <c r="MR904" s="317"/>
      <c r="MS904" s="317"/>
      <c r="MT904" s="13"/>
      <c r="MU904" s="317"/>
      <c r="MV904" s="317"/>
      <c r="MW904" s="317"/>
      <c r="MX904" s="317"/>
      <c r="MY904" s="317"/>
      <c r="MZ904" s="13"/>
      <c r="NA904" s="12"/>
      <c r="NB904" s="317"/>
      <c r="NC904" s="317"/>
      <c r="ND904" s="317"/>
      <c r="NE904" s="317"/>
      <c r="NF904" s="317"/>
      <c r="NG904" s="317"/>
      <c r="NH904" s="317"/>
      <c r="NI904" s="317"/>
      <c r="NJ904" s="317"/>
      <c r="NK904" s="317"/>
      <c r="NL904" s="317"/>
      <c r="NM904" s="317"/>
      <c r="NN904" s="317"/>
      <c r="NO904" s="317"/>
      <c r="NP904" s="317"/>
      <c r="NQ904" s="317"/>
      <c r="NR904" s="317"/>
      <c r="NS904" s="317"/>
      <c r="NT904" s="317"/>
      <c r="NU904" s="317"/>
      <c r="NV904" s="317"/>
      <c r="NW904" s="317"/>
      <c r="NX904" s="317"/>
      <c r="NY904" s="317"/>
      <c r="NZ904" s="317"/>
      <c r="OA904" s="317"/>
      <c r="OB904" s="317"/>
      <c r="OC904" s="317"/>
      <c r="OD904" s="317"/>
      <c r="OE904" s="317"/>
      <c r="OF904" s="317"/>
      <c r="OG904" s="317"/>
      <c r="OH904" s="317"/>
      <c r="OI904" s="317"/>
      <c r="OJ904" s="317"/>
      <c r="OK904" s="317"/>
      <c r="OL904" s="317"/>
      <c r="OM904" s="317"/>
      <c r="ON904" s="317"/>
      <c r="OO904" s="317"/>
      <c r="OP904" s="317"/>
      <c r="OQ904" s="317"/>
      <c r="OR904" s="317"/>
      <c r="OS904" s="317"/>
      <c r="OT904" s="317"/>
      <c r="OU904" s="317"/>
      <c r="OV904" s="317"/>
      <c r="OW904" s="317"/>
      <c r="OX904" s="317"/>
      <c r="OY904" s="317"/>
      <c r="OZ904" s="317"/>
      <c r="PA904" s="317"/>
      <c r="PB904" s="317"/>
      <c r="PC904" s="317"/>
      <c r="PD904" s="317"/>
      <c r="PE904" s="317"/>
      <c r="PF904" s="317"/>
      <c r="PG904" s="317"/>
      <c r="PH904" s="317"/>
      <c r="PI904" s="317"/>
      <c r="PJ904" s="317"/>
      <c r="PK904" s="317"/>
      <c r="PL904" s="317"/>
      <c r="PM904" s="317"/>
      <c r="PN904" s="317"/>
      <c r="PO904" s="317"/>
      <c r="PP904" s="317"/>
      <c r="PQ904" s="317"/>
      <c r="PR904" s="317"/>
      <c r="PS904" s="317"/>
      <c r="PT904" s="317"/>
      <c r="PU904" s="317"/>
      <c r="PV904" s="317"/>
      <c r="PW904" s="317"/>
      <c r="PX904" s="317"/>
      <c r="PY904" s="317"/>
      <c r="PZ904" s="317"/>
      <c r="QA904" s="317"/>
      <c r="QB904" s="317"/>
      <c r="QC904" s="317"/>
      <c r="QD904" s="317"/>
      <c r="QE904" s="317"/>
      <c r="QF904" s="317"/>
      <c r="QG904" s="317"/>
      <c r="QH904" s="317"/>
      <c r="QI904" s="317"/>
      <c r="QJ904" s="317"/>
      <c r="QK904" s="317"/>
      <c r="QL904" s="317"/>
      <c r="QM904" s="317"/>
      <c r="QN904" s="317"/>
      <c r="QO904" s="317"/>
      <c r="QP904" s="317"/>
      <c r="QQ904" s="317"/>
      <c r="QR904" s="317"/>
      <c r="QS904" s="317"/>
      <c r="QT904" s="317"/>
      <c r="QU904" s="317"/>
      <c r="QV904" s="317"/>
      <c r="QW904" s="317"/>
      <c r="QX904" s="317"/>
      <c r="QY904" s="317"/>
      <c r="QZ904" s="317"/>
      <c r="RA904" s="317"/>
      <c r="RB904" s="317"/>
      <c r="RC904" s="317"/>
      <c r="RD904" s="317"/>
      <c r="RE904" s="317"/>
      <c r="RF904" s="317"/>
      <c r="RG904" s="317"/>
      <c r="RH904" s="317"/>
      <c r="RI904" s="317"/>
      <c r="RJ904" s="317"/>
      <c r="RK904" s="317"/>
      <c r="RL904" s="317"/>
      <c r="RM904" s="317"/>
      <c r="RN904" s="317"/>
      <c r="RO904" s="317"/>
      <c r="RP904" s="13"/>
      <c r="RQ904" s="317"/>
      <c r="RR904" s="317"/>
      <c r="RS904" s="317"/>
      <c r="RT904" s="317"/>
      <c r="RU904" s="317"/>
      <c r="RV904" s="13"/>
      <c r="RZ904" s="9"/>
      <c r="SA904" s="10"/>
      <c r="SB904" s="10"/>
      <c r="SC904" s="10"/>
      <c r="SD904" s="10"/>
      <c r="SE904" s="10"/>
      <c r="SF904" s="10"/>
      <c r="SG904" s="10"/>
      <c r="SH904" s="10"/>
      <c r="SI904" s="10"/>
      <c r="SJ904" s="10"/>
      <c r="SK904" s="11"/>
      <c r="TV904" s="12"/>
      <c r="WL904" s="13"/>
    </row>
    <row r="905" spans="88:610" ht="10.75" customHeight="1">
      <c r="CJ905" s="12"/>
      <c r="CL905" s="214"/>
      <c r="CM905" s="49"/>
      <c r="CN905" s="49"/>
      <c r="CO905" s="49"/>
      <c r="CP905" s="49"/>
      <c r="CQ905" s="49"/>
      <c r="CR905" s="49"/>
      <c r="CS905" s="208"/>
      <c r="CT905" s="43"/>
      <c r="CU905" s="43"/>
      <c r="CV905" s="45"/>
      <c r="CW905" s="12"/>
      <c r="DE905" s="12"/>
      <c r="EJ905" s="13"/>
      <c r="ER905" s="13"/>
      <c r="ET905" s="13"/>
      <c r="EZ905" s="297"/>
      <c r="GP905" s="13"/>
      <c r="GQ905" s="43"/>
      <c r="GR905" s="43"/>
      <c r="GS905" s="45"/>
      <c r="GT905" s="49"/>
      <c r="GU905" s="49"/>
      <c r="GV905" s="49"/>
      <c r="GW905" s="49"/>
      <c r="GX905" s="49"/>
      <c r="GY905" s="49"/>
      <c r="GZ905" s="49"/>
      <c r="HA905" s="208"/>
      <c r="HB905" s="231"/>
      <c r="HC905" s="231"/>
      <c r="HD905" s="231"/>
      <c r="HE905" s="231"/>
      <c r="HF905" s="231"/>
      <c r="HG905" s="231"/>
      <c r="HH905" s="231"/>
      <c r="HI905" s="232"/>
      <c r="KM905" s="12"/>
      <c r="KN905" s="317"/>
      <c r="KO905" s="317"/>
      <c r="KP905" s="317"/>
      <c r="KQ905" s="317"/>
      <c r="KR905" s="317"/>
      <c r="KS905" s="317"/>
      <c r="KT905" s="317"/>
      <c r="KU905" s="317"/>
      <c r="KV905" s="317"/>
      <c r="KW905" s="317"/>
      <c r="KX905" s="317"/>
      <c r="KY905" s="317"/>
      <c r="KZ905" s="317"/>
      <c r="LA905" s="317"/>
      <c r="LB905" s="317"/>
      <c r="LC905" s="317"/>
      <c r="LD905" s="317"/>
      <c r="LE905" s="317"/>
      <c r="LF905" s="317"/>
      <c r="LG905" s="317"/>
      <c r="LH905" s="317"/>
      <c r="LI905" s="317"/>
      <c r="LJ905" s="317"/>
      <c r="LK905" s="317"/>
      <c r="LL905" s="317"/>
      <c r="LM905" s="317"/>
      <c r="LN905" s="317"/>
      <c r="LO905" s="317"/>
      <c r="LP905" s="317"/>
      <c r="LQ905" s="317"/>
      <c r="LR905" s="317"/>
      <c r="LS905" s="317"/>
      <c r="LT905" s="317"/>
      <c r="LU905" s="317"/>
      <c r="LV905" s="317"/>
      <c r="LW905" s="317"/>
      <c r="LX905" s="317"/>
      <c r="LY905" s="317"/>
      <c r="LZ905" s="317"/>
      <c r="MA905" s="317"/>
      <c r="MB905" s="317"/>
      <c r="MC905" s="317"/>
      <c r="MD905" s="317"/>
      <c r="ME905" s="317"/>
      <c r="MF905" s="317"/>
      <c r="MG905" s="317"/>
      <c r="MH905" s="317"/>
      <c r="MI905" s="317"/>
      <c r="MJ905" s="317"/>
      <c r="MK905" s="317"/>
      <c r="ML905" s="317"/>
      <c r="MM905" s="317"/>
      <c r="MN905" s="317"/>
      <c r="MO905" s="317"/>
      <c r="MP905" s="317"/>
      <c r="MQ905" s="317"/>
      <c r="MR905" s="317"/>
      <c r="MS905" s="317"/>
      <c r="MT905" s="13"/>
      <c r="MU905" s="317"/>
      <c r="MV905" s="317"/>
      <c r="MW905" s="317"/>
      <c r="MX905" s="317"/>
      <c r="MY905" s="317"/>
      <c r="MZ905" s="13"/>
      <c r="NA905" s="12"/>
      <c r="NB905" s="317"/>
      <c r="NC905" s="317"/>
      <c r="ND905" s="317"/>
      <c r="NE905" s="317"/>
      <c r="NF905" s="317"/>
      <c r="NG905" s="317"/>
      <c r="NH905" s="317"/>
      <c r="NI905" s="317"/>
      <c r="NJ905" s="317"/>
      <c r="NK905" s="317"/>
      <c r="NL905" s="317"/>
      <c r="NM905" s="317"/>
      <c r="NN905" s="317"/>
      <c r="NO905" s="317"/>
      <c r="NP905" s="317"/>
      <c r="NQ905" s="317"/>
      <c r="NR905" s="317"/>
      <c r="NS905" s="317"/>
      <c r="NT905" s="317"/>
      <c r="NU905" s="317"/>
      <c r="NV905" s="317"/>
      <c r="NW905" s="317"/>
      <c r="NX905" s="317"/>
      <c r="NY905" s="317"/>
      <c r="NZ905" s="317"/>
      <c r="OA905" s="317"/>
      <c r="OB905" s="317"/>
      <c r="OC905" s="317"/>
      <c r="OD905" s="317"/>
      <c r="OE905" s="317"/>
      <c r="OF905" s="317"/>
      <c r="OG905" s="317"/>
      <c r="OH905" s="317"/>
      <c r="OI905" s="317"/>
      <c r="OJ905" s="317"/>
      <c r="OK905" s="317"/>
      <c r="OL905" s="317"/>
      <c r="OM905" s="317"/>
      <c r="ON905" s="317"/>
      <c r="OO905" s="317"/>
      <c r="OP905" s="317"/>
      <c r="OQ905" s="317"/>
      <c r="OR905" s="317"/>
      <c r="OS905" s="317"/>
      <c r="OT905" s="317"/>
      <c r="OU905" s="317"/>
      <c r="OV905" s="317"/>
      <c r="OW905" s="317"/>
      <c r="OX905" s="317"/>
      <c r="OY905" s="317"/>
      <c r="OZ905" s="317"/>
      <c r="PA905" s="317"/>
      <c r="PB905" s="317"/>
      <c r="PC905" s="317"/>
      <c r="PD905" s="317"/>
      <c r="PE905" s="317"/>
      <c r="PF905" s="317"/>
      <c r="PG905" s="317"/>
      <c r="PH905" s="317"/>
      <c r="PI905" s="317"/>
      <c r="PJ905" s="317"/>
      <c r="PK905" s="317"/>
      <c r="PL905" s="317"/>
      <c r="PM905" s="317"/>
      <c r="PN905" s="317"/>
      <c r="PO905" s="317"/>
      <c r="PP905" s="317"/>
      <c r="PQ905" s="317"/>
      <c r="PR905" s="317"/>
      <c r="PS905" s="317"/>
      <c r="PT905" s="317"/>
      <c r="PU905" s="317"/>
      <c r="PV905" s="317"/>
      <c r="PW905" s="317"/>
      <c r="PX905" s="317"/>
      <c r="PY905" s="317"/>
      <c r="PZ905" s="317"/>
      <c r="QA905" s="317"/>
      <c r="QB905" s="317"/>
      <c r="QC905" s="317"/>
      <c r="QD905" s="317"/>
      <c r="QE905" s="317"/>
      <c r="QF905" s="317"/>
      <c r="QG905" s="317"/>
      <c r="QH905" s="317"/>
      <c r="QI905" s="317"/>
      <c r="QJ905" s="317"/>
      <c r="QK905" s="317"/>
      <c r="QL905" s="317"/>
      <c r="QM905" s="317"/>
      <c r="QN905" s="317"/>
      <c r="QO905" s="317"/>
      <c r="QP905" s="317"/>
      <c r="QQ905" s="317"/>
      <c r="QR905" s="317"/>
      <c r="QS905" s="317"/>
      <c r="QT905" s="317"/>
      <c r="QU905" s="317"/>
      <c r="QV905" s="317"/>
      <c r="QW905" s="317"/>
      <c r="QX905" s="317"/>
      <c r="QY905" s="317"/>
      <c r="QZ905" s="317"/>
      <c r="RA905" s="317"/>
      <c r="RB905" s="317"/>
      <c r="RC905" s="317"/>
      <c r="RD905" s="317"/>
      <c r="RE905" s="317"/>
      <c r="RF905" s="317"/>
      <c r="RG905" s="317"/>
      <c r="RH905" s="317"/>
      <c r="RI905" s="317"/>
      <c r="RJ905" s="317"/>
      <c r="RK905" s="317"/>
      <c r="RL905" s="317"/>
      <c r="RM905" s="317"/>
      <c r="RN905" s="317"/>
      <c r="RO905" s="317"/>
      <c r="RP905" s="13"/>
      <c r="RQ905" s="317"/>
      <c r="RR905" s="317"/>
      <c r="RS905" s="317"/>
      <c r="RT905" s="317"/>
      <c r="RU905" s="317"/>
      <c r="RV905" s="13"/>
      <c r="RZ905" s="12"/>
      <c r="SK905" s="13"/>
      <c r="TV905" s="12"/>
      <c r="WL905" s="13"/>
    </row>
    <row r="906" spans="88:610" ht="10.75" customHeight="1">
      <c r="CJ906" s="9"/>
      <c r="CK906" s="10"/>
      <c r="CL906" s="259"/>
      <c r="CM906" s="141"/>
      <c r="CN906" s="141"/>
      <c r="CO906" s="141"/>
      <c r="CP906" s="141"/>
      <c r="CQ906" s="141"/>
      <c r="CR906" s="141"/>
      <c r="CS906" s="235"/>
      <c r="CT906" s="43"/>
      <c r="CU906" s="43"/>
      <c r="CV906" s="45"/>
      <c r="CW906" s="12"/>
      <c r="DE906" s="12"/>
      <c r="EJ906" s="13"/>
      <c r="ER906" s="13"/>
      <c r="ET906" s="13"/>
      <c r="EZ906" s="297"/>
      <c r="GP906" s="13"/>
      <c r="GQ906" s="43"/>
      <c r="GR906" s="43"/>
      <c r="GS906" s="45"/>
      <c r="GT906" s="49"/>
      <c r="GU906" s="49"/>
      <c r="GV906" s="49"/>
      <c r="GW906" s="49"/>
      <c r="GX906" s="49"/>
      <c r="GY906" s="49"/>
      <c r="GZ906" s="49"/>
      <c r="HA906" s="208"/>
      <c r="HB906" s="231"/>
      <c r="HC906" s="231"/>
      <c r="HD906" s="231"/>
      <c r="HE906" s="231"/>
      <c r="HF906" s="231"/>
      <c r="HG906" s="231"/>
      <c r="HH906" s="231"/>
      <c r="HI906" s="232"/>
      <c r="KM906" s="12"/>
      <c r="KN906" s="317"/>
      <c r="KO906" s="317"/>
      <c r="KP906" s="317"/>
      <c r="KQ906" s="317"/>
      <c r="KR906" s="317"/>
      <c r="KS906" s="317"/>
      <c r="KT906" s="317"/>
      <c r="KU906" s="317"/>
      <c r="KV906" s="317"/>
      <c r="KW906" s="317"/>
      <c r="KX906" s="317"/>
      <c r="KY906" s="317"/>
      <c r="KZ906" s="317"/>
      <c r="LA906" s="317"/>
      <c r="LB906" s="317"/>
      <c r="LC906" s="317"/>
      <c r="LD906" s="317"/>
      <c r="LE906" s="317"/>
      <c r="LF906" s="317"/>
      <c r="LG906" s="317"/>
      <c r="LH906" s="317"/>
      <c r="LI906" s="317"/>
      <c r="LJ906" s="317"/>
      <c r="LK906" s="317"/>
      <c r="LL906" s="317"/>
      <c r="LM906" s="317"/>
      <c r="LN906" s="317"/>
      <c r="LO906" s="317"/>
      <c r="LP906" s="317"/>
      <c r="LQ906" s="317"/>
      <c r="LR906" s="317"/>
      <c r="LS906" s="317"/>
      <c r="LT906" s="317"/>
      <c r="LU906" s="317"/>
      <c r="LV906" s="317"/>
      <c r="LW906" s="317"/>
      <c r="LX906" s="317"/>
      <c r="LY906" s="317"/>
      <c r="LZ906" s="317"/>
      <c r="MA906" s="317"/>
      <c r="MB906" s="317"/>
      <c r="MC906" s="317"/>
      <c r="MD906" s="317"/>
      <c r="ME906" s="317"/>
      <c r="MF906" s="317"/>
      <c r="MG906" s="317"/>
      <c r="MH906" s="317"/>
      <c r="MI906" s="317"/>
      <c r="MJ906" s="317"/>
      <c r="MK906" s="317"/>
      <c r="ML906" s="317"/>
      <c r="MM906" s="317"/>
      <c r="MN906" s="317"/>
      <c r="MO906" s="317"/>
      <c r="MP906" s="317"/>
      <c r="MQ906" s="317"/>
      <c r="MR906" s="317"/>
      <c r="MS906" s="317"/>
      <c r="MT906" s="13"/>
      <c r="MU906" s="317"/>
      <c r="MV906" s="317"/>
      <c r="MW906" s="317"/>
      <c r="MX906" s="317"/>
      <c r="MY906" s="317"/>
      <c r="MZ906" s="13"/>
      <c r="NA906" s="12"/>
      <c r="NB906" s="317"/>
      <c r="NC906" s="317"/>
      <c r="ND906" s="317"/>
      <c r="NE906" s="317"/>
      <c r="NF906" s="317"/>
      <c r="NG906" s="317"/>
      <c r="NH906" s="317"/>
      <c r="NI906" s="317"/>
      <c r="NJ906" s="317"/>
      <c r="NK906" s="317"/>
      <c r="NL906" s="317"/>
      <c r="NM906" s="317"/>
      <c r="NN906" s="317"/>
      <c r="NO906" s="317"/>
      <c r="NP906" s="317"/>
      <c r="NQ906" s="317"/>
      <c r="NR906" s="317"/>
      <c r="NS906" s="317"/>
      <c r="NT906" s="317"/>
      <c r="NU906" s="317"/>
      <c r="NV906" s="317"/>
      <c r="NW906" s="317"/>
      <c r="NX906" s="317"/>
      <c r="NY906" s="317"/>
      <c r="NZ906" s="317"/>
      <c r="OA906" s="317"/>
      <c r="OB906" s="317"/>
      <c r="OC906" s="317"/>
      <c r="OD906" s="317"/>
      <c r="OE906" s="317"/>
      <c r="OF906" s="317"/>
      <c r="OG906" s="317"/>
      <c r="OH906" s="317"/>
      <c r="OI906" s="317"/>
      <c r="OJ906" s="317"/>
      <c r="OK906" s="317"/>
      <c r="OL906" s="317"/>
      <c r="OM906" s="317"/>
      <c r="ON906" s="317"/>
      <c r="OO906" s="317"/>
      <c r="OP906" s="317"/>
      <c r="OQ906" s="317"/>
      <c r="OR906" s="317"/>
      <c r="OS906" s="317"/>
      <c r="OT906" s="317"/>
      <c r="OU906" s="317"/>
      <c r="OV906" s="317"/>
      <c r="OW906" s="317"/>
      <c r="OX906" s="317"/>
      <c r="OY906" s="317"/>
      <c r="OZ906" s="317"/>
      <c r="PA906" s="317"/>
      <c r="PB906" s="317"/>
      <c r="PC906" s="317"/>
      <c r="PD906" s="317"/>
      <c r="PE906" s="317"/>
      <c r="PF906" s="317"/>
      <c r="PG906" s="317"/>
      <c r="PH906" s="317"/>
      <c r="PI906" s="317"/>
      <c r="PJ906" s="317"/>
      <c r="PK906" s="317"/>
      <c r="PL906" s="317"/>
      <c r="PM906" s="317"/>
      <c r="PN906" s="317"/>
      <c r="PO906" s="317"/>
      <c r="PP906" s="317"/>
      <c r="PQ906" s="317"/>
      <c r="PR906" s="317"/>
      <c r="PS906" s="317"/>
      <c r="PT906" s="317"/>
      <c r="PU906" s="317"/>
      <c r="PV906" s="317"/>
      <c r="PW906" s="317"/>
      <c r="PX906" s="317"/>
      <c r="PY906" s="317"/>
      <c r="PZ906" s="317"/>
      <c r="QA906" s="317"/>
      <c r="QB906" s="317"/>
      <c r="QC906" s="317"/>
      <c r="QD906" s="317"/>
      <c r="QE906" s="317"/>
      <c r="QF906" s="317"/>
      <c r="QG906" s="317"/>
      <c r="QH906" s="317"/>
      <c r="QI906" s="317"/>
      <c r="QJ906" s="317"/>
      <c r="QK906" s="317"/>
      <c r="QL906" s="317"/>
      <c r="QM906" s="317"/>
      <c r="QN906" s="317"/>
      <c r="QO906" s="317"/>
      <c r="QP906" s="317"/>
      <c r="QQ906" s="317"/>
      <c r="QR906" s="317"/>
      <c r="QS906" s="317"/>
      <c r="QT906" s="317"/>
      <c r="QU906" s="317"/>
      <c r="QV906" s="317"/>
      <c r="QW906" s="317"/>
      <c r="QX906" s="317"/>
      <c r="QY906" s="317"/>
      <c r="QZ906" s="317"/>
      <c r="RA906" s="317"/>
      <c r="RB906" s="317"/>
      <c r="RC906" s="317"/>
      <c r="RD906" s="317"/>
      <c r="RE906" s="317"/>
      <c r="RF906" s="317"/>
      <c r="RG906" s="317"/>
      <c r="RH906" s="317"/>
      <c r="RI906" s="317"/>
      <c r="RJ906" s="317"/>
      <c r="RK906" s="317"/>
      <c r="RL906" s="317"/>
      <c r="RM906" s="317"/>
      <c r="RN906" s="317"/>
      <c r="RO906" s="317"/>
      <c r="RP906" s="13"/>
      <c r="RQ906" s="317"/>
      <c r="RR906" s="317"/>
      <c r="RS906" s="317"/>
      <c r="RT906" s="317"/>
      <c r="RU906" s="317"/>
      <c r="RV906" s="13"/>
      <c r="RZ906" s="12"/>
      <c r="SK906" s="13"/>
      <c r="TV906" s="12"/>
      <c r="WL906" s="13"/>
    </row>
    <row r="907" spans="88:610" ht="10.75" customHeight="1">
      <c r="CJ907" s="12"/>
      <c r="CL907" s="214"/>
      <c r="CM907" s="49"/>
      <c r="CN907" s="49"/>
      <c r="CO907" s="49"/>
      <c r="CP907" s="49"/>
      <c r="CQ907" s="49"/>
      <c r="CR907" s="49"/>
      <c r="CS907" s="208"/>
      <c r="CT907" s="43"/>
      <c r="CU907" s="43"/>
      <c r="CV907" s="45"/>
      <c r="CW907" s="12"/>
      <c r="DE907" s="12"/>
      <c r="EJ907" s="13"/>
      <c r="ER907" s="13"/>
      <c r="ET907" s="13"/>
      <c r="EZ907" s="297"/>
      <c r="GP907" s="13"/>
      <c r="GQ907" s="43"/>
      <c r="GR907" s="43"/>
      <c r="GS907" s="45"/>
      <c r="GT907" s="49"/>
      <c r="GU907" s="49"/>
      <c r="GV907" s="49"/>
      <c r="GW907" s="49"/>
      <c r="GX907" s="49"/>
      <c r="GY907" s="49"/>
      <c r="GZ907" s="49"/>
      <c r="HA907" s="208"/>
      <c r="HB907" s="231"/>
      <c r="HC907" s="231"/>
      <c r="HD907" s="231"/>
      <c r="HE907" s="231"/>
      <c r="HF907" s="231"/>
      <c r="HG907" s="231"/>
      <c r="HH907" s="231"/>
      <c r="HI907" s="232"/>
      <c r="KM907" s="12"/>
      <c r="KN907" s="317"/>
      <c r="KO907" s="317"/>
      <c r="KP907" s="317"/>
      <c r="KQ907" s="317"/>
      <c r="KR907" s="317"/>
      <c r="KS907" s="317"/>
      <c r="KT907" s="317"/>
      <c r="KU907" s="317"/>
      <c r="KV907" s="317"/>
      <c r="KW907" s="317"/>
      <c r="KX907" s="317"/>
      <c r="KY907" s="317"/>
      <c r="KZ907" s="317"/>
      <c r="LA907" s="317"/>
      <c r="LB907" s="317"/>
      <c r="LC907" s="317"/>
      <c r="LD907" s="317"/>
      <c r="LE907" s="317"/>
      <c r="LF907" s="317"/>
      <c r="LG907" s="317"/>
      <c r="LH907" s="317"/>
      <c r="LI907" s="317"/>
      <c r="LJ907" s="317"/>
      <c r="LK907" s="317"/>
      <c r="LL907" s="317"/>
      <c r="LM907" s="317"/>
      <c r="LN907" s="317"/>
      <c r="LO907" s="317"/>
      <c r="LP907" s="317"/>
      <c r="LQ907" s="317"/>
      <c r="LR907" s="317"/>
      <c r="LS907" s="317"/>
      <c r="LT907" s="317"/>
      <c r="LU907" s="317"/>
      <c r="LV907" s="317"/>
      <c r="LW907" s="317"/>
      <c r="LX907" s="317"/>
      <c r="LY907" s="317"/>
      <c r="LZ907" s="317"/>
      <c r="MA907" s="317"/>
      <c r="MB907" s="317"/>
      <c r="MC907" s="317"/>
      <c r="MD907" s="317"/>
      <c r="ME907" s="317"/>
      <c r="MF907" s="317"/>
      <c r="MG907" s="317"/>
      <c r="MH907" s="317"/>
      <c r="MI907" s="317"/>
      <c r="MJ907" s="317"/>
      <c r="MK907" s="317"/>
      <c r="ML907" s="317"/>
      <c r="MM907" s="317"/>
      <c r="MN907" s="317"/>
      <c r="MO907" s="317"/>
      <c r="MP907" s="317"/>
      <c r="MQ907" s="317"/>
      <c r="MR907" s="317"/>
      <c r="MS907" s="317"/>
      <c r="MT907" s="13"/>
      <c r="MU907" s="317"/>
      <c r="MV907" s="317"/>
      <c r="MW907" s="317"/>
      <c r="MX907" s="317"/>
      <c r="MY907" s="317"/>
      <c r="MZ907" s="13"/>
      <c r="NA907" s="12"/>
      <c r="NB907" s="317"/>
      <c r="NC907" s="317"/>
      <c r="ND907" s="317"/>
      <c r="NE907" s="317"/>
      <c r="NF907" s="317"/>
      <c r="NG907" s="317"/>
      <c r="NH907" s="317"/>
      <c r="NI907" s="317"/>
      <c r="NJ907" s="317"/>
      <c r="NK907" s="317"/>
      <c r="NL907" s="317"/>
      <c r="NM907" s="317"/>
      <c r="NN907" s="317"/>
      <c r="NO907" s="317"/>
      <c r="NP907" s="317"/>
      <c r="NQ907" s="317"/>
      <c r="NR907" s="317"/>
      <c r="NS907" s="317"/>
      <c r="NT907" s="317"/>
      <c r="NU907" s="317"/>
      <c r="NV907" s="317"/>
      <c r="NW907" s="317"/>
      <c r="NX907" s="317"/>
      <c r="NY907" s="317"/>
      <c r="NZ907" s="317"/>
      <c r="OA907" s="317"/>
      <c r="OB907" s="317"/>
      <c r="OC907" s="317"/>
      <c r="OD907" s="317"/>
      <c r="OE907" s="317"/>
      <c r="OF907" s="317"/>
      <c r="OG907" s="317"/>
      <c r="OH907" s="317"/>
      <c r="OI907" s="317"/>
      <c r="OJ907" s="317"/>
      <c r="OK907" s="317"/>
      <c r="OL907" s="317"/>
      <c r="OM907" s="317"/>
      <c r="ON907" s="317"/>
      <c r="OO907" s="317"/>
      <c r="OP907" s="317"/>
      <c r="OQ907" s="317"/>
      <c r="OR907" s="317"/>
      <c r="OS907" s="317"/>
      <c r="OT907" s="317"/>
      <c r="OU907" s="317"/>
      <c r="OV907" s="317"/>
      <c r="OW907" s="317"/>
      <c r="OX907" s="317"/>
      <c r="OY907" s="317"/>
      <c r="OZ907" s="317"/>
      <c r="PA907" s="317"/>
      <c r="PB907" s="317"/>
      <c r="PC907" s="317"/>
      <c r="PD907" s="317"/>
      <c r="PE907" s="317"/>
      <c r="PF907" s="317"/>
      <c r="PG907" s="317"/>
      <c r="PH907" s="317"/>
      <c r="PI907" s="317"/>
      <c r="PJ907" s="317"/>
      <c r="PK907" s="317"/>
      <c r="PL907" s="317"/>
      <c r="PM907" s="317"/>
      <c r="PN907" s="317"/>
      <c r="PO907" s="317"/>
      <c r="PP907" s="317"/>
      <c r="PQ907" s="317"/>
      <c r="PR907" s="317"/>
      <c r="PS907" s="317"/>
      <c r="PT907" s="317"/>
      <c r="PU907" s="317"/>
      <c r="PV907" s="317"/>
      <c r="PW907" s="317"/>
      <c r="PX907" s="317"/>
      <c r="PY907" s="317"/>
      <c r="PZ907" s="317"/>
      <c r="QA907" s="317"/>
      <c r="QB907" s="317"/>
      <c r="QC907" s="317"/>
      <c r="QD907" s="317"/>
      <c r="QE907" s="317"/>
      <c r="QF907" s="317"/>
      <c r="QG907" s="317"/>
      <c r="QH907" s="317"/>
      <c r="QI907" s="317"/>
      <c r="QJ907" s="317"/>
      <c r="QK907" s="317"/>
      <c r="QL907" s="317"/>
      <c r="QM907" s="317"/>
      <c r="QN907" s="317"/>
      <c r="QO907" s="317"/>
      <c r="QP907" s="317"/>
      <c r="QQ907" s="317"/>
      <c r="QR907" s="317"/>
      <c r="QS907" s="317"/>
      <c r="QT907" s="317"/>
      <c r="QU907" s="317"/>
      <c r="QV907" s="317"/>
      <c r="QW907" s="317"/>
      <c r="QX907" s="317"/>
      <c r="QY907" s="317"/>
      <c r="QZ907" s="317"/>
      <c r="RA907" s="317"/>
      <c r="RB907" s="317"/>
      <c r="RC907" s="317"/>
      <c r="RD907" s="317"/>
      <c r="RE907" s="317"/>
      <c r="RF907" s="317"/>
      <c r="RG907" s="317"/>
      <c r="RH907" s="317"/>
      <c r="RI907" s="317"/>
      <c r="RJ907" s="317"/>
      <c r="RK907" s="317"/>
      <c r="RL907" s="317"/>
      <c r="RM907" s="317"/>
      <c r="RN907" s="317"/>
      <c r="RO907" s="317"/>
      <c r="RP907" s="13"/>
      <c r="RQ907" s="317"/>
      <c r="RR907" s="317"/>
      <c r="RS907" s="317"/>
      <c r="RT907" s="317"/>
      <c r="RU907" s="317"/>
      <c r="RV907" s="13"/>
      <c r="RZ907" s="12"/>
      <c r="SK907" s="13"/>
      <c r="TV907" s="12"/>
      <c r="WL907" s="13"/>
    </row>
    <row r="908" spans="88:610" ht="10.75" customHeight="1">
      <c r="CJ908" s="12"/>
      <c r="CL908" s="214"/>
      <c r="CM908" s="49"/>
      <c r="CN908" s="49"/>
      <c r="CO908" s="49"/>
      <c r="CP908" s="49"/>
      <c r="CQ908" s="49"/>
      <c r="CR908" s="49"/>
      <c r="CS908" s="208"/>
      <c r="CT908" s="43"/>
      <c r="CU908" s="43"/>
      <c r="CV908" s="45"/>
      <c r="CW908" s="12"/>
      <c r="DE908" s="12"/>
      <c r="EJ908" s="13"/>
      <c r="ER908" s="13"/>
      <c r="ET908" s="13"/>
      <c r="EZ908" s="297"/>
      <c r="GP908" s="13"/>
      <c r="GQ908" s="43"/>
      <c r="GR908" s="43"/>
      <c r="GS908" s="45"/>
      <c r="GT908" s="49"/>
      <c r="GU908" s="49"/>
      <c r="GV908" s="49"/>
      <c r="GW908" s="49"/>
      <c r="GX908" s="49"/>
      <c r="GY908" s="49"/>
      <c r="GZ908" s="49"/>
      <c r="HA908" s="208"/>
      <c r="HB908" s="231"/>
      <c r="HC908" s="231"/>
      <c r="HD908" s="231"/>
      <c r="HE908" s="231"/>
      <c r="HF908" s="231"/>
      <c r="HG908" s="231"/>
      <c r="HH908" s="231"/>
      <c r="HI908" s="232"/>
      <c r="KM908" s="12"/>
      <c r="KN908" s="317"/>
      <c r="KO908" s="317"/>
      <c r="KP908" s="317"/>
      <c r="KQ908" s="317"/>
      <c r="KR908" s="317"/>
      <c r="KS908" s="317"/>
      <c r="KT908" s="317"/>
      <c r="KU908" s="317"/>
      <c r="KV908" s="317"/>
      <c r="KW908" s="317"/>
      <c r="KX908" s="317"/>
      <c r="KY908" s="317"/>
      <c r="KZ908" s="317"/>
      <c r="LA908" s="317"/>
      <c r="LB908" s="317"/>
      <c r="LC908" s="317"/>
      <c r="LD908" s="317"/>
      <c r="LE908" s="317"/>
      <c r="LF908" s="317"/>
      <c r="LG908" s="317"/>
      <c r="LH908" s="317"/>
      <c r="LI908" s="317"/>
      <c r="LJ908" s="317"/>
      <c r="LK908" s="317"/>
      <c r="LL908" s="317"/>
      <c r="LM908" s="317"/>
      <c r="LN908" s="317"/>
      <c r="LO908" s="317"/>
      <c r="LP908" s="317"/>
      <c r="LQ908" s="317"/>
      <c r="LR908" s="317"/>
      <c r="LS908" s="317"/>
      <c r="LT908" s="317"/>
      <c r="LU908" s="317"/>
      <c r="LV908" s="317"/>
      <c r="LW908" s="317"/>
      <c r="LX908" s="317"/>
      <c r="LY908" s="317"/>
      <c r="LZ908" s="317"/>
      <c r="MA908" s="317"/>
      <c r="MB908" s="317"/>
      <c r="MC908" s="317"/>
      <c r="MD908" s="317"/>
      <c r="ME908" s="317"/>
      <c r="MF908" s="317"/>
      <c r="MG908" s="317"/>
      <c r="MH908" s="317"/>
      <c r="MI908" s="317"/>
      <c r="MJ908" s="317"/>
      <c r="MK908" s="317"/>
      <c r="ML908" s="317"/>
      <c r="MM908" s="317"/>
      <c r="MN908" s="317"/>
      <c r="MO908" s="317"/>
      <c r="MP908" s="317"/>
      <c r="MQ908" s="317"/>
      <c r="MR908" s="317"/>
      <c r="MS908" s="317"/>
      <c r="MT908" s="13"/>
      <c r="MU908" s="317"/>
      <c r="MV908" s="317"/>
      <c r="MW908" s="317"/>
      <c r="MX908" s="317"/>
      <c r="MY908" s="317"/>
      <c r="MZ908" s="13"/>
      <c r="NA908" s="12"/>
      <c r="NB908" s="317"/>
      <c r="NC908" s="317"/>
      <c r="ND908" s="317"/>
      <c r="NE908" s="317"/>
      <c r="NF908" s="317"/>
      <c r="NG908" s="317"/>
      <c r="NH908" s="317"/>
      <c r="NI908" s="317"/>
      <c r="NJ908" s="317"/>
      <c r="NK908" s="317"/>
      <c r="NL908" s="317"/>
      <c r="NM908" s="317"/>
      <c r="NN908" s="317"/>
      <c r="NO908" s="317"/>
      <c r="NP908" s="317"/>
      <c r="NQ908" s="317"/>
      <c r="NR908" s="317"/>
      <c r="NS908" s="317"/>
      <c r="NT908" s="317"/>
      <c r="NU908" s="317"/>
      <c r="NV908" s="317"/>
      <c r="NW908" s="317"/>
      <c r="NX908" s="317"/>
      <c r="NY908" s="317"/>
      <c r="NZ908" s="317"/>
      <c r="OA908" s="317"/>
      <c r="OB908" s="317"/>
      <c r="OC908" s="317"/>
      <c r="OD908" s="317"/>
      <c r="OE908" s="317"/>
      <c r="OF908" s="317"/>
      <c r="OG908" s="317"/>
      <c r="OH908" s="317"/>
      <c r="OI908" s="317"/>
      <c r="OJ908" s="317"/>
      <c r="OK908" s="317"/>
      <c r="OL908" s="317"/>
      <c r="OM908" s="317"/>
      <c r="ON908" s="317"/>
      <c r="OO908" s="317"/>
      <c r="OP908" s="317"/>
      <c r="OQ908" s="317"/>
      <c r="OR908" s="317"/>
      <c r="OS908" s="317"/>
      <c r="OT908" s="317"/>
      <c r="OU908" s="317"/>
      <c r="OV908" s="317"/>
      <c r="OW908" s="317"/>
      <c r="OX908" s="317"/>
      <c r="OY908" s="317"/>
      <c r="OZ908" s="317"/>
      <c r="PA908" s="317"/>
      <c r="PB908" s="317"/>
      <c r="PC908" s="317"/>
      <c r="PD908" s="317"/>
      <c r="PE908" s="317"/>
      <c r="PF908" s="317"/>
      <c r="PG908" s="317"/>
      <c r="PH908" s="317"/>
      <c r="PI908" s="317"/>
      <c r="PJ908" s="317"/>
      <c r="PK908" s="317"/>
      <c r="PL908" s="317"/>
      <c r="PM908" s="317"/>
      <c r="PN908" s="317"/>
      <c r="PO908" s="317"/>
      <c r="PP908" s="317"/>
      <c r="PQ908" s="317"/>
      <c r="PR908" s="317"/>
      <c r="PS908" s="317"/>
      <c r="PT908" s="317"/>
      <c r="PU908" s="317"/>
      <c r="PV908" s="317"/>
      <c r="PW908" s="317"/>
      <c r="PX908" s="317"/>
      <c r="PY908" s="317"/>
      <c r="PZ908" s="317"/>
      <c r="QA908" s="317"/>
      <c r="QB908" s="317"/>
      <c r="QC908" s="317"/>
      <c r="QD908" s="317"/>
      <c r="QE908" s="317"/>
      <c r="QF908" s="317"/>
      <c r="QG908" s="317"/>
      <c r="QH908" s="317"/>
      <c r="QI908" s="317"/>
      <c r="QJ908" s="317"/>
      <c r="QK908" s="317"/>
      <c r="QL908" s="317"/>
      <c r="QM908" s="317"/>
      <c r="QN908" s="317"/>
      <c r="QO908" s="317"/>
      <c r="QP908" s="317"/>
      <c r="QQ908" s="317"/>
      <c r="QR908" s="317"/>
      <c r="QS908" s="317"/>
      <c r="QT908" s="317"/>
      <c r="QU908" s="317"/>
      <c r="QV908" s="317"/>
      <c r="QW908" s="317"/>
      <c r="QX908" s="317"/>
      <c r="QY908" s="317"/>
      <c r="QZ908" s="317"/>
      <c r="RA908" s="317"/>
      <c r="RB908" s="317"/>
      <c r="RC908" s="317"/>
      <c r="RD908" s="317"/>
      <c r="RE908" s="317"/>
      <c r="RF908" s="317"/>
      <c r="RG908" s="317"/>
      <c r="RH908" s="317"/>
      <c r="RI908" s="317"/>
      <c r="RJ908" s="317"/>
      <c r="RK908" s="317"/>
      <c r="RL908" s="317"/>
      <c r="RM908" s="317"/>
      <c r="RN908" s="317"/>
      <c r="RO908" s="317"/>
      <c r="RP908" s="13"/>
      <c r="RQ908" s="317"/>
      <c r="RR908" s="317"/>
      <c r="RS908" s="317"/>
      <c r="RT908" s="317"/>
      <c r="RU908" s="317"/>
      <c r="RV908" s="13"/>
      <c r="RZ908" s="12"/>
      <c r="SK908" s="13"/>
      <c r="TV908" s="12"/>
      <c r="WL908" s="13"/>
    </row>
    <row r="909" spans="88:610" ht="10.75" customHeight="1">
      <c r="CJ909" s="14"/>
      <c r="CK909" s="15"/>
      <c r="CL909" s="236"/>
      <c r="CM909" s="258"/>
      <c r="CN909" s="258"/>
      <c r="CO909" s="258"/>
      <c r="CP909" s="258"/>
      <c r="CQ909" s="258"/>
      <c r="CR909" s="258"/>
      <c r="CS909" s="209"/>
      <c r="CT909" s="43"/>
      <c r="CU909" s="43"/>
      <c r="CV909" s="45"/>
      <c r="CW909" s="12"/>
      <c r="DE909" s="12"/>
      <c r="EJ909" s="13"/>
      <c r="ER909" s="13"/>
      <c r="ET909" s="13"/>
      <c r="EZ909" s="297"/>
      <c r="GP909" s="13"/>
      <c r="GQ909" s="43"/>
      <c r="GR909" s="43"/>
      <c r="GS909" s="45"/>
      <c r="GT909" s="49"/>
      <c r="GU909" s="49"/>
      <c r="GV909" s="49"/>
      <c r="GW909" s="49"/>
      <c r="GX909" s="49"/>
      <c r="GY909" s="49"/>
      <c r="GZ909" s="49"/>
      <c r="HA909" s="208"/>
      <c r="HB909" s="231"/>
      <c r="HC909" s="231"/>
      <c r="HD909" s="231"/>
      <c r="HE909" s="231"/>
      <c r="HF909" s="231"/>
      <c r="HG909" s="231"/>
      <c r="HH909" s="231"/>
      <c r="HI909" s="232"/>
      <c r="KM909" s="12"/>
      <c r="KN909" s="317"/>
      <c r="KO909" s="317"/>
      <c r="KP909" s="317"/>
      <c r="KQ909" s="317"/>
      <c r="KR909" s="317"/>
      <c r="KS909" s="317"/>
      <c r="KT909" s="317"/>
      <c r="KU909" s="317"/>
      <c r="KV909" s="317"/>
      <c r="KW909" s="317"/>
      <c r="KX909" s="317"/>
      <c r="KY909" s="317"/>
      <c r="KZ909" s="317"/>
      <c r="LA909" s="317"/>
      <c r="LB909" s="317"/>
      <c r="LC909" s="317"/>
      <c r="LD909" s="317"/>
      <c r="LE909" s="317"/>
      <c r="LF909" s="317"/>
      <c r="LG909" s="317"/>
      <c r="LH909" s="317"/>
      <c r="LI909" s="317"/>
      <c r="LJ909" s="317"/>
      <c r="LK909" s="317"/>
      <c r="LL909" s="317"/>
      <c r="LM909" s="317"/>
      <c r="LN909" s="317"/>
      <c r="LO909" s="317"/>
      <c r="LP909" s="317"/>
      <c r="LQ909" s="317"/>
      <c r="LR909" s="317"/>
      <c r="LS909" s="317"/>
      <c r="LT909" s="317"/>
      <c r="LU909" s="317"/>
      <c r="LV909" s="317"/>
      <c r="LW909" s="317"/>
      <c r="LX909" s="317"/>
      <c r="LY909" s="317"/>
      <c r="LZ909" s="317"/>
      <c r="MA909" s="317"/>
      <c r="MB909" s="317"/>
      <c r="MC909" s="317"/>
      <c r="MD909" s="317"/>
      <c r="ME909" s="317"/>
      <c r="MF909" s="317"/>
      <c r="MG909" s="317"/>
      <c r="MH909" s="317"/>
      <c r="MI909" s="317"/>
      <c r="MJ909" s="317"/>
      <c r="MK909" s="317"/>
      <c r="ML909" s="317"/>
      <c r="MM909" s="317"/>
      <c r="MN909" s="317"/>
      <c r="MO909" s="317"/>
      <c r="MP909" s="317"/>
      <c r="MQ909" s="317"/>
      <c r="MR909" s="317"/>
      <c r="MS909" s="317"/>
      <c r="MT909" s="13"/>
      <c r="MU909" s="317"/>
      <c r="MV909" s="317"/>
      <c r="MW909" s="317"/>
      <c r="MX909" s="317"/>
      <c r="MY909" s="317"/>
      <c r="MZ909" s="13"/>
      <c r="NA909" s="12"/>
      <c r="NB909" s="317"/>
      <c r="NC909" s="317"/>
      <c r="ND909" s="317"/>
      <c r="NE909" s="317"/>
      <c r="NF909" s="317"/>
      <c r="NG909" s="317"/>
      <c r="NH909" s="317"/>
      <c r="NI909" s="317"/>
      <c r="NJ909" s="317"/>
      <c r="NK909" s="317"/>
      <c r="NL909" s="317"/>
      <c r="NM909" s="317"/>
      <c r="NN909" s="317"/>
      <c r="NO909" s="317"/>
      <c r="NP909" s="317"/>
      <c r="NQ909" s="317"/>
      <c r="NR909" s="317"/>
      <c r="NS909" s="317"/>
      <c r="NT909" s="317"/>
      <c r="NU909" s="317"/>
      <c r="NV909" s="317"/>
      <c r="NW909" s="317"/>
      <c r="NX909" s="317"/>
      <c r="NY909" s="317"/>
      <c r="NZ909" s="317"/>
      <c r="OA909" s="317"/>
      <c r="OB909" s="317"/>
      <c r="OC909" s="317"/>
      <c r="OD909" s="317"/>
      <c r="OE909" s="317"/>
      <c r="OF909" s="317"/>
      <c r="OG909" s="317"/>
      <c r="OH909" s="317"/>
      <c r="OI909" s="317"/>
      <c r="OJ909" s="317"/>
      <c r="OK909" s="317"/>
      <c r="OL909" s="317"/>
      <c r="OM909" s="317"/>
      <c r="ON909" s="317"/>
      <c r="OO909" s="317"/>
      <c r="OP909" s="317"/>
      <c r="OQ909" s="317"/>
      <c r="OR909" s="317"/>
      <c r="OS909" s="317"/>
      <c r="OT909" s="317"/>
      <c r="OU909" s="317"/>
      <c r="OV909" s="317"/>
      <c r="OW909" s="317"/>
      <c r="OX909" s="317"/>
      <c r="OY909" s="317"/>
      <c r="OZ909" s="317"/>
      <c r="PA909" s="317"/>
      <c r="PB909" s="317"/>
      <c r="PC909" s="317"/>
      <c r="PD909" s="317"/>
      <c r="PE909" s="317"/>
      <c r="PF909" s="317"/>
      <c r="PG909" s="317"/>
      <c r="PH909" s="317"/>
      <c r="PI909" s="317"/>
      <c r="PJ909" s="317"/>
      <c r="PK909" s="317"/>
      <c r="PL909" s="317"/>
      <c r="PM909" s="317"/>
      <c r="PN909" s="317"/>
      <c r="PO909" s="317"/>
      <c r="PP909" s="317"/>
      <c r="PQ909" s="317"/>
      <c r="PR909" s="317"/>
      <c r="PS909" s="317"/>
      <c r="PT909" s="317"/>
      <c r="PU909" s="317"/>
      <c r="PV909" s="317"/>
      <c r="PW909" s="317"/>
      <c r="PX909" s="317"/>
      <c r="PY909" s="317"/>
      <c r="PZ909" s="317"/>
      <c r="QA909" s="317"/>
      <c r="QB909" s="317"/>
      <c r="QC909" s="317"/>
      <c r="QD909" s="317"/>
      <c r="QE909" s="317"/>
      <c r="QF909" s="317"/>
      <c r="QG909" s="317"/>
      <c r="QH909" s="317"/>
      <c r="QI909" s="317"/>
      <c r="QJ909" s="317"/>
      <c r="QK909" s="317"/>
      <c r="QL909" s="317"/>
      <c r="QM909" s="317"/>
      <c r="QN909" s="317"/>
      <c r="QO909" s="317"/>
      <c r="QP909" s="317"/>
      <c r="QQ909" s="317"/>
      <c r="QR909" s="317"/>
      <c r="QS909" s="317"/>
      <c r="QT909" s="317"/>
      <c r="QU909" s="317"/>
      <c r="QV909" s="317"/>
      <c r="QW909" s="317"/>
      <c r="QX909" s="317"/>
      <c r="QY909" s="317"/>
      <c r="QZ909" s="317"/>
      <c r="RA909" s="317"/>
      <c r="RB909" s="317"/>
      <c r="RC909" s="317"/>
      <c r="RD909" s="317"/>
      <c r="RE909" s="317"/>
      <c r="RF909" s="317"/>
      <c r="RG909" s="317"/>
      <c r="RH909" s="317"/>
      <c r="RI909" s="317"/>
      <c r="RJ909" s="317"/>
      <c r="RK909" s="317"/>
      <c r="RL909" s="317"/>
      <c r="RM909" s="317"/>
      <c r="RN909" s="317"/>
      <c r="RO909" s="317"/>
      <c r="RP909" s="13"/>
      <c r="RQ909" s="317"/>
      <c r="RR909" s="317"/>
      <c r="RS909" s="317"/>
      <c r="RT909" s="317"/>
      <c r="RU909" s="317"/>
      <c r="RV909" s="13"/>
      <c r="RZ909" s="12"/>
      <c r="SK909" s="13"/>
      <c r="TV909" s="12"/>
      <c r="WL909" s="13"/>
    </row>
    <row r="910" spans="88:610" ht="10.75" customHeight="1">
      <c r="CJ910" s="12"/>
      <c r="CL910" s="214"/>
      <c r="CM910" s="49"/>
      <c r="CN910" s="49"/>
      <c r="CO910" s="49"/>
      <c r="CP910" s="49"/>
      <c r="CQ910" s="49"/>
      <c r="CR910" s="49"/>
      <c r="CS910" s="208"/>
      <c r="CT910" s="43"/>
      <c r="CU910" s="43"/>
      <c r="CV910" s="45"/>
      <c r="CW910" s="12"/>
      <c r="DE910" s="12"/>
      <c r="EJ910" s="13"/>
      <c r="ER910" s="13"/>
      <c r="ET910" s="13"/>
      <c r="EZ910" s="297"/>
      <c r="GP910" s="13"/>
      <c r="GQ910" s="43"/>
      <c r="GR910" s="43"/>
      <c r="GS910" s="45"/>
      <c r="GT910" s="49"/>
      <c r="GU910" s="49"/>
      <c r="GV910" s="49"/>
      <c r="GW910" s="49"/>
      <c r="GX910" s="49"/>
      <c r="GY910" s="49"/>
      <c r="GZ910" s="49"/>
      <c r="HA910" s="208"/>
      <c r="HB910" s="231"/>
      <c r="HC910" s="231"/>
      <c r="HD910" s="231"/>
      <c r="HE910" s="231"/>
      <c r="HF910" s="231"/>
      <c r="HG910" s="231"/>
      <c r="HH910" s="231"/>
      <c r="HI910" s="232"/>
      <c r="KM910" s="12"/>
      <c r="KN910" s="317"/>
      <c r="KO910" s="317"/>
      <c r="KP910" s="317"/>
      <c r="KQ910" s="317"/>
      <c r="KR910" s="317"/>
      <c r="KS910" s="317"/>
      <c r="KT910" s="317"/>
      <c r="KU910" s="317"/>
      <c r="KV910" s="317"/>
      <c r="KW910" s="317"/>
      <c r="KX910" s="317"/>
      <c r="KY910" s="317"/>
      <c r="KZ910" s="317"/>
      <c r="LA910" s="317"/>
      <c r="LB910" s="317"/>
      <c r="LC910" s="317"/>
      <c r="LD910" s="317"/>
      <c r="LE910" s="317"/>
      <c r="LF910" s="317"/>
      <c r="LG910" s="317"/>
      <c r="LH910" s="317"/>
      <c r="LI910" s="317"/>
      <c r="LJ910" s="317"/>
      <c r="LK910" s="317"/>
      <c r="LL910" s="317"/>
      <c r="LM910" s="317"/>
      <c r="LN910" s="317"/>
      <c r="LO910" s="317"/>
      <c r="LP910" s="317"/>
      <c r="LQ910" s="317"/>
      <c r="LR910" s="317"/>
      <c r="LS910" s="317"/>
      <c r="LT910" s="317"/>
      <c r="LU910" s="317"/>
      <c r="LV910" s="317"/>
      <c r="LW910" s="317"/>
      <c r="LX910" s="317"/>
      <c r="LY910" s="317"/>
      <c r="LZ910" s="317"/>
      <c r="MA910" s="317"/>
      <c r="MB910" s="317"/>
      <c r="MC910" s="317"/>
      <c r="MD910" s="317"/>
      <c r="ME910" s="317"/>
      <c r="MF910" s="317"/>
      <c r="MG910" s="317"/>
      <c r="MH910" s="317"/>
      <c r="MI910" s="317"/>
      <c r="MJ910" s="317"/>
      <c r="MK910" s="317"/>
      <c r="ML910" s="317"/>
      <c r="MM910" s="317"/>
      <c r="MN910" s="317"/>
      <c r="MO910" s="317"/>
      <c r="MP910" s="317"/>
      <c r="MQ910" s="317"/>
      <c r="MR910" s="317"/>
      <c r="MS910" s="317"/>
      <c r="MT910" s="13"/>
      <c r="MU910" s="317"/>
      <c r="MV910" s="317"/>
      <c r="MW910" s="317"/>
      <c r="MX910" s="317"/>
      <c r="MY910" s="317"/>
      <c r="MZ910" s="13"/>
      <c r="NA910" s="12"/>
      <c r="NB910" s="317"/>
      <c r="NC910" s="317"/>
      <c r="ND910" s="317"/>
      <c r="NE910" s="317"/>
      <c r="NF910" s="317"/>
      <c r="NG910" s="317"/>
      <c r="NH910" s="317"/>
      <c r="NI910" s="317"/>
      <c r="NJ910" s="317"/>
      <c r="NK910" s="317"/>
      <c r="NL910" s="317"/>
      <c r="NM910" s="317"/>
      <c r="NN910" s="317"/>
      <c r="NO910" s="317"/>
      <c r="NP910" s="317"/>
      <c r="NQ910" s="317"/>
      <c r="NR910" s="317"/>
      <c r="NS910" s="317"/>
      <c r="NT910" s="317"/>
      <c r="NU910" s="317"/>
      <c r="NV910" s="317"/>
      <c r="NW910" s="317"/>
      <c r="NX910" s="317"/>
      <c r="NY910" s="317"/>
      <c r="NZ910" s="317"/>
      <c r="OA910" s="317"/>
      <c r="OB910" s="317"/>
      <c r="OC910" s="317"/>
      <c r="OD910" s="317"/>
      <c r="OE910" s="317"/>
      <c r="OF910" s="317"/>
      <c r="OG910" s="317"/>
      <c r="OH910" s="317"/>
      <c r="OI910" s="317"/>
      <c r="OJ910" s="317"/>
      <c r="OK910" s="317"/>
      <c r="OL910" s="317"/>
      <c r="OM910" s="317"/>
      <c r="ON910" s="317"/>
      <c r="OO910" s="317"/>
      <c r="OP910" s="317"/>
      <c r="OQ910" s="317"/>
      <c r="OR910" s="317"/>
      <c r="OS910" s="317"/>
      <c r="OT910" s="317"/>
      <c r="OU910" s="317"/>
      <c r="OV910" s="317"/>
      <c r="OW910" s="317"/>
      <c r="OX910" s="317"/>
      <c r="OY910" s="317"/>
      <c r="OZ910" s="317"/>
      <c r="PA910" s="317"/>
      <c r="PB910" s="317"/>
      <c r="PC910" s="317"/>
      <c r="PD910" s="317"/>
      <c r="PE910" s="317"/>
      <c r="PF910" s="317"/>
      <c r="PG910" s="317"/>
      <c r="PH910" s="317"/>
      <c r="PI910" s="317"/>
      <c r="PJ910" s="317"/>
      <c r="PK910" s="317"/>
      <c r="PL910" s="317"/>
      <c r="PM910" s="317"/>
      <c r="PN910" s="317"/>
      <c r="PO910" s="317"/>
      <c r="PP910" s="317"/>
      <c r="PQ910" s="317"/>
      <c r="PR910" s="317"/>
      <c r="PS910" s="317"/>
      <c r="PT910" s="317"/>
      <c r="PU910" s="317"/>
      <c r="PV910" s="317"/>
      <c r="PW910" s="317"/>
      <c r="PX910" s="317"/>
      <c r="PY910" s="317"/>
      <c r="PZ910" s="317"/>
      <c r="QA910" s="317"/>
      <c r="QB910" s="317"/>
      <c r="QC910" s="317"/>
      <c r="QD910" s="317"/>
      <c r="QE910" s="317"/>
      <c r="QF910" s="317"/>
      <c r="QG910" s="317"/>
      <c r="QH910" s="317"/>
      <c r="QI910" s="317"/>
      <c r="QJ910" s="317"/>
      <c r="QK910" s="317"/>
      <c r="QL910" s="317"/>
      <c r="QM910" s="317"/>
      <c r="QN910" s="317"/>
      <c r="QO910" s="317"/>
      <c r="QP910" s="317"/>
      <c r="QQ910" s="317"/>
      <c r="QR910" s="317"/>
      <c r="QS910" s="317"/>
      <c r="QT910" s="317"/>
      <c r="QU910" s="317"/>
      <c r="QV910" s="317"/>
      <c r="QW910" s="317"/>
      <c r="QX910" s="317"/>
      <c r="QY910" s="317"/>
      <c r="QZ910" s="317"/>
      <c r="RA910" s="317"/>
      <c r="RB910" s="317"/>
      <c r="RC910" s="317"/>
      <c r="RD910" s="317"/>
      <c r="RE910" s="317"/>
      <c r="RF910" s="317"/>
      <c r="RG910" s="317"/>
      <c r="RH910" s="317"/>
      <c r="RI910" s="317"/>
      <c r="RJ910" s="317"/>
      <c r="RK910" s="317"/>
      <c r="RL910" s="317"/>
      <c r="RM910" s="317"/>
      <c r="RN910" s="317"/>
      <c r="RO910" s="317"/>
      <c r="RP910" s="13"/>
      <c r="RQ910" s="317"/>
      <c r="RR910" s="317"/>
      <c r="RS910" s="317"/>
      <c r="RT910" s="317"/>
      <c r="RU910" s="317"/>
      <c r="RV910" s="13"/>
      <c r="RZ910" s="14"/>
      <c r="SA910" s="15"/>
      <c r="SB910" s="15"/>
      <c r="SC910" s="15"/>
      <c r="SD910" s="15"/>
      <c r="SE910" s="15"/>
      <c r="SF910" s="15"/>
      <c r="SG910" s="15"/>
      <c r="SH910" s="15"/>
      <c r="SI910" s="15"/>
      <c r="SJ910" s="15"/>
      <c r="SK910" s="16"/>
      <c r="TV910" s="12"/>
      <c r="WL910" s="13"/>
    </row>
    <row r="911" spans="88:610" ht="10.75" customHeight="1">
      <c r="CJ911" s="12"/>
      <c r="CL911" s="214"/>
      <c r="CM911" s="49"/>
      <c r="CN911" s="49"/>
      <c r="CO911" s="49"/>
      <c r="CP911" s="49"/>
      <c r="CQ911" s="49"/>
      <c r="CR911" s="49"/>
      <c r="CS911" s="208"/>
      <c r="CT911" s="43"/>
      <c r="CU911" s="43"/>
      <c r="CV911" s="45"/>
      <c r="CW911" s="12"/>
      <c r="DE911" s="12"/>
      <c r="EJ911" s="13"/>
      <c r="ER911" s="13"/>
      <c r="ET911" s="13"/>
      <c r="EZ911" s="297"/>
      <c r="GP911" s="13"/>
      <c r="GQ911" s="43"/>
      <c r="GR911" s="43"/>
      <c r="GS911" s="45"/>
      <c r="GT911" s="49"/>
      <c r="GU911" s="49"/>
      <c r="GV911" s="49"/>
      <c r="GW911" s="49"/>
      <c r="GX911" s="49"/>
      <c r="GY911" s="49"/>
      <c r="GZ911" s="49"/>
      <c r="HA911" s="208"/>
      <c r="HB911" s="231"/>
      <c r="HC911" s="231"/>
      <c r="HD911" s="231"/>
      <c r="HE911" s="231"/>
      <c r="HF911" s="231"/>
      <c r="HG911" s="231"/>
      <c r="HH911" s="231"/>
      <c r="HI911" s="232"/>
      <c r="KM911" s="12"/>
      <c r="KN911" s="317"/>
      <c r="KO911" s="317"/>
      <c r="KP911" s="317"/>
      <c r="KQ911" s="317"/>
      <c r="KR911" s="317"/>
      <c r="KS911" s="317"/>
      <c r="KT911" s="317"/>
      <c r="KU911" s="317"/>
      <c r="KV911" s="317"/>
      <c r="KW911" s="317"/>
      <c r="KX911" s="317"/>
      <c r="KY911" s="317"/>
      <c r="KZ911" s="317"/>
      <c r="LA911" s="317"/>
      <c r="LB911" s="317"/>
      <c r="LC911" s="317"/>
      <c r="LD911" s="317"/>
      <c r="LE911" s="317"/>
      <c r="LF911" s="317"/>
      <c r="LG911" s="317"/>
      <c r="LH911" s="317"/>
      <c r="LI911" s="317"/>
      <c r="LJ911" s="317"/>
      <c r="LK911" s="317"/>
      <c r="LL911" s="317"/>
      <c r="LM911" s="317"/>
      <c r="LN911" s="317"/>
      <c r="LO911" s="317"/>
      <c r="LP911" s="317"/>
      <c r="LQ911" s="317"/>
      <c r="LR911" s="317"/>
      <c r="LS911" s="317"/>
      <c r="LT911" s="317"/>
      <c r="LU911" s="317"/>
      <c r="LV911" s="317"/>
      <c r="LW911" s="317"/>
      <c r="LX911" s="317"/>
      <c r="LY911" s="317"/>
      <c r="LZ911" s="317"/>
      <c r="MA911" s="317"/>
      <c r="MB911" s="317"/>
      <c r="MC911" s="317"/>
      <c r="MD911" s="317"/>
      <c r="ME911" s="317"/>
      <c r="MF911" s="317"/>
      <c r="MG911" s="317"/>
      <c r="MH911" s="317"/>
      <c r="MI911" s="317"/>
      <c r="MJ911" s="317"/>
      <c r="MK911" s="317"/>
      <c r="ML911" s="317"/>
      <c r="MM911" s="317"/>
      <c r="MN911" s="317"/>
      <c r="MO911" s="317"/>
      <c r="MP911" s="317"/>
      <c r="MQ911" s="317"/>
      <c r="MR911" s="317"/>
      <c r="MS911" s="317"/>
      <c r="MT911" s="13"/>
      <c r="MU911" s="317"/>
      <c r="MV911" s="317"/>
      <c r="MW911" s="317"/>
      <c r="MX911" s="317"/>
      <c r="MY911" s="317"/>
      <c r="MZ911" s="13"/>
      <c r="NA911" s="12"/>
      <c r="NB911" s="317"/>
      <c r="NC911" s="317"/>
      <c r="ND911" s="317"/>
      <c r="NE911" s="317"/>
      <c r="NF911" s="317"/>
      <c r="NG911" s="317"/>
      <c r="NH911" s="317"/>
      <c r="NI911" s="317"/>
      <c r="NJ911" s="317"/>
      <c r="NK911" s="317"/>
      <c r="NL911" s="317"/>
      <c r="NM911" s="317"/>
      <c r="NN911" s="317"/>
      <c r="NO911" s="317"/>
      <c r="NP911" s="317"/>
      <c r="NQ911" s="317"/>
      <c r="NR911" s="317"/>
      <c r="NS911" s="317"/>
      <c r="NT911" s="317"/>
      <c r="NU911" s="317"/>
      <c r="NV911" s="317"/>
      <c r="NW911" s="317"/>
      <c r="NX911" s="317"/>
      <c r="NY911" s="317"/>
      <c r="NZ911" s="317"/>
      <c r="OA911" s="317"/>
      <c r="OB911" s="317"/>
      <c r="OC911" s="317"/>
      <c r="OD911" s="317"/>
      <c r="OE911" s="317"/>
      <c r="OF911" s="317"/>
      <c r="OG911" s="317"/>
      <c r="OH911" s="317"/>
      <c r="OI911" s="317"/>
      <c r="OJ911" s="317"/>
      <c r="OK911" s="317"/>
      <c r="OL911" s="317"/>
      <c r="OM911" s="317"/>
      <c r="ON911" s="317"/>
      <c r="OO911" s="317"/>
      <c r="OP911" s="317"/>
      <c r="OQ911" s="317"/>
      <c r="OR911" s="317"/>
      <c r="OS911" s="317"/>
      <c r="OT911" s="317"/>
      <c r="OU911" s="317"/>
      <c r="OV911" s="317"/>
      <c r="OW911" s="317"/>
      <c r="OX911" s="317"/>
      <c r="OY911" s="317"/>
      <c r="OZ911" s="317"/>
      <c r="PA911" s="317"/>
      <c r="PB911" s="317"/>
      <c r="PC911" s="317"/>
      <c r="PD911" s="317"/>
      <c r="PE911" s="317"/>
      <c r="PF911" s="317"/>
      <c r="PG911" s="317"/>
      <c r="PH911" s="317"/>
      <c r="PI911" s="317"/>
      <c r="PJ911" s="317"/>
      <c r="PK911" s="317"/>
      <c r="PL911" s="317"/>
      <c r="PM911" s="317"/>
      <c r="PN911" s="317"/>
      <c r="PO911" s="317"/>
      <c r="PP911" s="317"/>
      <c r="PQ911" s="317"/>
      <c r="PR911" s="317"/>
      <c r="PS911" s="317"/>
      <c r="PT911" s="317"/>
      <c r="PU911" s="317"/>
      <c r="PV911" s="317"/>
      <c r="PW911" s="317"/>
      <c r="PX911" s="317"/>
      <c r="PY911" s="317"/>
      <c r="PZ911" s="317"/>
      <c r="QA911" s="317"/>
      <c r="QB911" s="317"/>
      <c r="QC911" s="317"/>
      <c r="QD911" s="317"/>
      <c r="QE911" s="317"/>
      <c r="QF911" s="317"/>
      <c r="QG911" s="317"/>
      <c r="QH911" s="317"/>
      <c r="QI911" s="317"/>
      <c r="QJ911" s="317"/>
      <c r="QK911" s="317"/>
      <c r="QL911" s="317"/>
      <c r="QM911" s="317"/>
      <c r="QN911" s="317"/>
      <c r="QO911" s="317"/>
      <c r="QP911" s="317"/>
      <c r="QQ911" s="317"/>
      <c r="QR911" s="317"/>
      <c r="QS911" s="317"/>
      <c r="QT911" s="317"/>
      <c r="QU911" s="317"/>
      <c r="QV911" s="317"/>
      <c r="QW911" s="317"/>
      <c r="QX911" s="317"/>
      <c r="QY911" s="317"/>
      <c r="QZ911" s="317"/>
      <c r="RA911" s="317"/>
      <c r="RB911" s="317"/>
      <c r="RC911" s="317"/>
      <c r="RD911" s="317"/>
      <c r="RE911" s="317"/>
      <c r="RF911" s="317"/>
      <c r="RG911" s="317"/>
      <c r="RH911" s="317"/>
      <c r="RI911" s="317"/>
      <c r="RJ911" s="317"/>
      <c r="RK911" s="317"/>
      <c r="RL911" s="317"/>
      <c r="RM911" s="317"/>
      <c r="RN911" s="317"/>
      <c r="RO911" s="317"/>
      <c r="RP911" s="13"/>
      <c r="RQ911" s="317"/>
      <c r="RR911" s="317"/>
      <c r="RS911" s="317"/>
      <c r="RT911" s="317"/>
      <c r="RU911" s="317"/>
      <c r="RV911" s="13"/>
      <c r="SL911" s="9"/>
      <c r="SM911" s="10"/>
      <c r="SN911" s="10"/>
      <c r="SO911" s="10"/>
      <c r="SP911" s="10"/>
      <c r="SQ911" s="10"/>
      <c r="SR911" s="10"/>
      <c r="SS911" s="10"/>
      <c r="ST911" s="10"/>
      <c r="SU911" s="10"/>
      <c r="SV911" s="10"/>
      <c r="SW911" s="11"/>
      <c r="TV911" s="12"/>
      <c r="WL911" s="13"/>
    </row>
    <row r="912" spans="88:610" ht="10.75" customHeight="1">
      <c r="CJ912" s="12"/>
      <c r="CL912" s="214"/>
      <c r="CM912" s="49"/>
      <c r="CN912" s="49"/>
      <c r="CO912" s="49"/>
      <c r="CP912" s="49"/>
      <c r="CQ912" s="49"/>
      <c r="CR912" s="49"/>
      <c r="CS912" s="208"/>
      <c r="CT912" s="43"/>
      <c r="CU912" s="43"/>
      <c r="CV912" s="45"/>
      <c r="CW912" s="12"/>
      <c r="DE912" s="12"/>
      <c r="EJ912" s="13"/>
      <c r="ER912" s="13"/>
      <c r="ET912" s="13"/>
      <c r="EZ912" s="297"/>
      <c r="GP912" s="13"/>
      <c r="GQ912" s="43"/>
      <c r="GR912" s="43"/>
      <c r="GS912" s="45"/>
      <c r="GT912" s="49"/>
      <c r="GU912" s="49"/>
      <c r="GV912" s="49"/>
      <c r="GW912" s="49"/>
      <c r="GX912" s="49"/>
      <c r="GY912" s="49"/>
      <c r="GZ912" s="49"/>
      <c r="HA912" s="208"/>
      <c r="HB912" s="231"/>
      <c r="HC912" s="231"/>
      <c r="HD912" s="231"/>
      <c r="HE912" s="231"/>
      <c r="HF912" s="231"/>
      <c r="HG912" s="231"/>
      <c r="HH912" s="231"/>
      <c r="HI912" s="232"/>
      <c r="KM912" s="12"/>
      <c r="KN912" s="317"/>
      <c r="KO912" s="317"/>
      <c r="KP912" s="317"/>
      <c r="KQ912" s="317"/>
      <c r="KR912" s="317"/>
      <c r="KS912" s="317"/>
      <c r="KT912" s="317"/>
      <c r="KU912" s="317"/>
      <c r="KV912" s="317"/>
      <c r="KW912" s="317"/>
      <c r="KX912" s="317"/>
      <c r="KY912" s="317"/>
      <c r="KZ912" s="317"/>
      <c r="LA912" s="317"/>
      <c r="LB912" s="317"/>
      <c r="LC912" s="317"/>
      <c r="LD912" s="317"/>
      <c r="LE912" s="317"/>
      <c r="LF912" s="317"/>
      <c r="LG912" s="317"/>
      <c r="LH912" s="317"/>
      <c r="LI912" s="317"/>
      <c r="LJ912" s="317"/>
      <c r="LK912" s="317"/>
      <c r="LL912" s="317"/>
      <c r="LM912" s="317"/>
      <c r="LN912" s="317"/>
      <c r="LO912" s="317"/>
      <c r="LP912" s="317"/>
      <c r="LQ912" s="317"/>
      <c r="LR912" s="317"/>
      <c r="LS912" s="317"/>
      <c r="LT912" s="317"/>
      <c r="LU912" s="317"/>
      <c r="LV912" s="317"/>
      <c r="LW912" s="317"/>
      <c r="LX912" s="317"/>
      <c r="LY912" s="317"/>
      <c r="LZ912" s="317"/>
      <c r="MA912" s="317"/>
      <c r="MB912" s="317"/>
      <c r="MC912" s="317"/>
      <c r="MD912" s="317"/>
      <c r="ME912" s="317"/>
      <c r="MF912" s="317"/>
      <c r="MG912" s="317"/>
      <c r="MH912" s="317"/>
      <c r="MI912" s="317"/>
      <c r="MJ912" s="317"/>
      <c r="MK912" s="317"/>
      <c r="ML912" s="317"/>
      <c r="MM912" s="317"/>
      <c r="MN912" s="317"/>
      <c r="MO912" s="317"/>
      <c r="MP912" s="317"/>
      <c r="MQ912" s="317"/>
      <c r="MR912" s="317"/>
      <c r="MS912" s="317"/>
      <c r="MT912" s="13"/>
      <c r="MU912" s="317"/>
      <c r="MV912" s="317"/>
      <c r="MW912" s="317"/>
      <c r="MX912" s="317"/>
      <c r="MY912" s="317"/>
      <c r="MZ912" s="13"/>
      <c r="NA912" s="12"/>
      <c r="NB912" s="317"/>
      <c r="NC912" s="317"/>
      <c r="ND912" s="317"/>
      <c r="NE912" s="317"/>
      <c r="NF912" s="317"/>
      <c r="NG912" s="317"/>
      <c r="NH912" s="317"/>
      <c r="NI912" s="317"/>
      <c r="NJ912" s="317"/>
      <c r="NK912" s="317"/>
      <c r="NL912" s="317"/>
      <c r="NM912" s="317"/>
      <c r="NN912" s="317"/>
      <c r="NO912" s="317"/>
      <c r="NP912" s="317"/>
      <c r="NQ912" s="317"/>
      <c r="NR912" s="317"/>
      <c r="NS912" s="317"/>
      <c r="NT912" s="317"/>
      <c r="NU912" s="317"/>
      <c r="NV912" s="317"/>
      <c r="NW912" s="317"/>
      <c r="NX912" s="317"/>
      <c r="NY912" s="317"/>
      <c r="NZ912" s="317"/>
      <c r="OA912" s="317"/>
      <c r="OB912" s="317"/>
      <c r="OC912" s="317"/>
      <c r="OD912" s="317"/>
      <c r="OE912" s="317"/>
      <c r="OF912" s="317"/>
      <c r="OG912" s="317"/>
      <c r="OH912" s="317"/>
      <c r="OI912" s="317"/>
      <c r="OJ912" s="317"/>
      <c r="OK912" s="317"/>
      <c r="OL912" s="317"/>
      <c r="OM912" s="317"/>
      <c r="ON912" s="317"/>
      <c r="OO912" s="317"/>
      <c r="OP912" s="317"/>
      <c r="OQ912" s="317"/>
      <c r="OR912" s="317"/>
      <c r="OS912" s="317"/>
      <c r="OT912" s="317"/>
      <c r="OU912" s="317"/>
      <c r="OV912" s="317"/>
      <c r="OW912" s="317"/>
      <c r="OX912" s="317"/>
      <c r="OY912" s="317"/>
      <c r="OZ912" s="317"/>
      <c r="PA912" s="317"/>
      <c r="PB912" s="317"/>
      <c r="PC912" s="317"/>
      <c r="PD912" s="317"/>
      <c r="PE912" s="317"/>
      <c r="PF912" s="317"/>
      <c r="PG912" s="317"/>
      <c r="PH912" s="317"/>
      <c r="PI912" s="317"/>
      <c r="PJ912" s="317"/>
      <c r="PK912" s="317"/>
      <c r="PL912" s="317"/>
      <c r="PM912" s="317"/>
      <c r="PN912" s="317"/>
      <c r="PO912" s="317"/>
      <c r="PP912" s="317"/>
      <c r="PQ912" s="317"/>
      <c r="PR912" s="317"/>
      <c r="PS912" s="317"/>
      <c r="PT912" s="317"/>
      <c r="PU912" s="317"/>
      <c r="PV912" s="317"/>
      <c r="PW912" s="317"/>
      <c r="PX912" s="317"/>
      <c r="PY912" s="317"/>
      <c r="PZ912" s="317"/>
      <c r="QA912" s="317"/>
      <c r="QB912" s="317"/>
      <c r="QC912" s="317"/>
      <c r="QD912" s="317"/>
      <c r="QE912" s="317"/>
      <c r="QF912" s="317"/>
      <c r="QG912" s="317"/>
      <c r="QH912" s="317"/>
      <c r="QI912" s="317"/>
      <c r="QJ912" s="317"/>
      <c r="QK912" s="317"/>
      <c r="QL912" s="317"/>
      <c r="QM912" s="317"/>
      <c r="QN912" s="317"/>
      <c r="QO912" s="317"/>
      <c r="QP912" s="317"/>
      <c r="QQ912" s="317"/>
      <c r="QR912" s="317"/>
      <c r="QS912" s="317"/>
      <c r="QT912" s="317"/>
      <c r="QU912" s="317"/>
      <c r="QV912" s="317"/>
      <c r="QW912" s="317"/>
      <c r="QX912" s="317"/>
      <c r="QY912" s="317"/>
      <c r="QZ912" s="317"/>
      <c r="RA912" s="317"/>
      <c r="RB912" s="317"/>
      <c r="RC912" s="317"/>
      <c r="RD912" s="317"/>
      <c r="RE912" s="317"/>
      <c r="RF912" s="317"/>
      <c r="RG912" s="317"/>
      <c r="RH912" s="317"/>
      <c r="RI912" s="317"/>
      <c r="RJ912" s="317"/>
      <c r="RK912" s="317"/>
      <c r="RL912" s="317"/>
      <c r="RM912" s="317"/>
      <c r="RN912" s="317"/>
      <c r="RO912" s="317"/>
      <c r="RP912" s="13"/>
      <c r="RQ912" s="317"/>
      <c r="RR912" s="317"/>
      <c r="RS912" s="317"/>
      <c r="RT912" s="317"/>
      <c r="RU912" s="317"/>
      <c r="RV912" s="13"/>
      <c r="SL912" s="12"/>
      <c r="SW912" s="13"/>
      <c r="TV912" s="12"/>
      <c r="WL912" s="13"/>
    </row>
    <row r="913" spans="82:610" ht="10.75" customHeight="1">
      <c r="CJ913" s="14"/>
      <c r="CK913" s="15"/>
      <c r="CL913" s="236"/>
      <c r="CM913" s="258"/>
      <c r="CN913" s="258"/>
      <c r="CO913" s="258"/>
      <c r="CP913" s="258"/>
      <c r="CQ913" s="258"/>
      <c r="CR913" s="258"/>
      <c r="CS913" s="209"/>
      <c r="CT913" s="43"/>
      <c r="CU913" s="43"/>
      <c r="CV913" s="45"/>
      <c r="CW913" s="12"/>
      <c r="DE913" s="12"/>
      <c r="EJ913" s="13"/>
      <c r="ER913" s="13"/>
      <c r="ES913" s="15"/>
      <c r="ET913" s="16"/>
      <c r="EZ913" s="299"/>
      <c r="FA913" s="294"/>
      <c r="GP913" s="13"/>
      <c r="GQ913" s="43"/>
      <c r="GR913" s="43"/>
      <c r="GS913" s="45"/>
      <c r="GT913" s="49"/>
      <c r="GU913" s="49"/>
      <c r="GV913" s="49"/>
      <c r="GW913" s="49"/>
      <c r="GX913" s="49"/>
      <c r="GY913" s="49"/>
      <c r="GZ913" s="49"/>
      <c r="HA913" s="208"/>
      <c r="HB913" s="231"/>
      <c r="HC913" s="231"/>
      <c r="HD913" s="231"/>
      <c r="HE913" s="231"/>
      <c r="HF913" s="231"/>
      <c r="HG913" s="231"/>
      <c r="HH913" s="231"/>
      <c r="HI913" s="232"/>
      <c r="KM913" s="12"/>
      <c r="KN913" s="317"/>
      <c r="KO913" s="317"/>
      <c r="KP913" s="317"/>
      <c r="KQ913" s="317"/>
      <c r="KR913" s="317"/>
      <c r="KS913" s="317"/>
      <c r="KT913" s="317"/>
      <c r="KU913" s="317"/>
      <c r="KV913" s="317"/>
      <c r="KW913" s="317"/>
      <c r="KX913" s="317"/>
      <c r="KY913" s="317"/>
      <c r="KZ913" s="317"/>
      <c r="LA913" s="317"/>
      <c r="LB913" s="317"/>
      <c r="LC913" s="317"/>
      <c r="LD913" s="317"/>
      <c r="LE913" s="317"/>
      <c r="LF913" s="317"/>
      <c r="LG913" s="317"/>
      <c r="LH913" s="317"/>
      <c r="LI913" s="317"/>
      <c r="LJ913" s="317"/>
      <c r="LK913" s="317"/>
      <c r="LL913" s="317"/>
      <c r="LM913" s="317"/>
      <c r="LN913" s="317"/>
      <c r="LO913" s="317"/>
      <c r="LP913" s="317"/>
      <c r="LQ913" s="317"/>
      <c r="LR913" s="317"/>
      <c r="LS913" s="317"/>
      <c r="LT913" s="317"/>
      <c r="LU913" s="317"/>
      <c r="LV913" s="317"/>
      <c r="LW913" s="317"/>
      <c r="LX913" s="317"/>
      <c r="LY913" s="317"/>
      <c r="LZ913" s="317"/>
      <c r="MA913" s="317"/>
      <c r="MB913" s="317"/>
      <c r="MC913" s="317"/>
      <c r="MD913" s="317"/>
      <c r="ME913" s="317"/>
      <c r="MF913" s="317"/>
      <c r="MG913" s="317"/>
      <c r="MH913" s="317"/>
      <c r="MI913" s="317"/>
      <c r="MJ913" s="317"/>
      <c r="MK913" s="317"/>
      <c r="ML913" s="317"/>
      <c r="MM913" s="317"/>
      <c r="MN913" s="317"/>
      <c r="MO913" s="317"/>
      <c r="MP913" s="317"/>
      <c r="MQ913" s="317"/>
      <c r="MR913" s="317"/>
      <c r="MS913" s="317"/>
      <c r="MT913" s="13"/>
      <c r="MU913" s="317"/>
      <c r="MV913" s="317"/>
      <c r="MW913" s="317"/>
      <c r="MX913" s="317"/>
      <c r="MY913" s="317"/>
      <c r="MZ913" s="13"/>
      <c r="NA913" s="12"/>
      <c r="NB913" s="317"/>
      <c r="NC913" s="317"/>
      <c r="ND913" s="317"/>
      <c r="NE913" s="317"/>
      <c r="NF913" s="317"/>
      <c r="NG913" s="317"/>
      <c r="NH913" s="317"/>
      <c r="NI913" s="317"/>
      <c r="NJ913" s="317"/>
      <c r="NK913" s="317"/>
      <c r="NL913" s="317"/>
      <c r="NM913" s="317"/>
      <c r="NN913" s="317"/>
      <c r="NO913" s="317"/>
      <c r="NP913" s="317"/>
      <c r="NQ913" s="317"/>
      <c r="NR913" s="317"/>
      <c r="NS913" s="317"/>
      <c r="NT913" s="317"/>
      <c r="NU913" s="317"/>
      <c r="NV913" s="317"/>
      <c r="NW913" s="317"/>
      <c r="NX913" s="317"/>
      <c r="NY913" s="317"/>
      <c r="NZ913" s="317"/>
      <c r="OA913" s="317"/>
      <c r="OB913" s="317"/>
      <c r="OC913" s="317"/>
      <c r="OD913" s="317"/>
      <c r="OE913" s="317"/>
      <c r="OF913" s="317"/>
      <c r="OG913" s="317"/>
      <c r="OH913" s="317"/>
      <c r="OI913" s="317"/>
      <c r="OJ913" s="317"/>
      <c r="OK913" s="317"/>
      <c r="OL913" s="317"/>
      <c r="OM913" s="317"/>
      <c r="ON913" s="317"/>
      <c r="OO913" s="317"/>
      <c r="OP913" s="317"/>
      <c r="OQ913" s="317"/>
      <c r="OR913" s="317"/>
      <c r="OS913" s="317"/>
      <c r="OT913" s="317"/>
      <c r="OU913" s="317"/>
      <c r="OV913" s="317"/>
      <c r="OW913" s="317"/>
      <c r="OX913" s="317"/>
      <c r="OY913" s="317"/>
      <c r="OZ913" s="317"/>
      <c r="PA913" s="317"/>
      <c r="PB913" s="317"/>
      <c r="PC913" s="317"/>
      <c r="PD913" s="317"/>
      <c r="PE913" s="317"/>
      <c r="PF913" s="317"/>
      <c r="PG913" s="317"/>
      <c r="PH913" s="317"/>
      <c r="PI913" s="317"/>
      <c r="PJ913" s="317"/>
      <c r="PK913" s="317"/>
      <c r="PL913" s="317"/>
      <c r="PM913" s="317"/>
      <c r="PN913" s="317"/>
      <c r="PO913" s="317"/>
      <c r="PP913" s="317"/>
      <c r="PQ913" s="317"/>
      <c r="PR913" s="317"/>
      <c r="PS913" s="317"/>
      <c r="PT913" s="317"/>
      <c r="PU913" s="317"/>
      <c r="PV913" s="317"/>
      <c r="PW913" s="317"/>
      <c r="PX913" s="317"/>
      <c r="PY913" s="317"/>
      <c r="PZ913" s="317"/>
      <c r="QA913" s="317"/>
      <c r="QB913" s="317"/>
      <c r="QC913" s="317"/>
      <c r="QD913" s="317"/>
      <c r="QE913" s="317"/>
      <c r="QF913" s="317"/>
      <c r="QG913" s="317"/>
      <c r="QH913" s="317"/>
      <c r="QI913" s="317"/>
      <c r="QJ913" s="317"/>
      <c r="QK913" s="317"/>
      <c r="QL913" s="317"/>
      <c r="QM913" s="317"/>
      <c r="QN913" s="317"/>
      <c r="QO913" s="317"/>
      <c r="QP913" s="317"/>
      <c r="QQ913" s="317"/>
      <c r="QR913" s="317"/>
      <c r="QS913" s="317"/>
      <c r="QT913" s="317"/>
      <c r="QU913" s="317"/>
      <c r="QV913" s="317"/>
      <c r="QW913" s="317"/>
      <c r="QX913" s="317"/>
      <c r="QY913" s="317"/>
      <c r="QZ913" s="317"/>
      <c r="RA913" s="317"/>
      <c r="RB913" s="317"/>
      <c r="RC913" s="317"/>
      <c r="RD913" s="317"/>
      <c r="RE913" s="317"/>
      <c r="RF913" s="317"/>
      <c r="RG913" s="317"/>
      <c r="RH913" s="317"/>
      <c r="RI913" s="317"/>
      <c r="RJ913" s="317"/>
      <c r="RK913" s="317"/>
      <c r="RL913" s="317"/>
      <c r="RM913" s="317"/>
      <c r="RN913" s="317"/>
      <c r="RO913" s="317"/>
      <c r="RP913" s="13"/>
      <c r="RQ913" s="317"/>
      <c r="RR913" s="317"/>
      <c r="RS913" s="317"/>
      <c r="RT913" s="317"/>
      <c r="RU913" s="317"/>
      <c r="RV913" s="13"/>
      <c r="SL913" s="12"/>
      <c r="SW913" s="13"/>
      <c r="TV913" s="12"/>
      <c r="WL913" s="13"/>
    </row>
    <row r="914" spans="82:610" ht="10.75" customHeight="1">
      <c r="CD914" s="226"/>
      <c r="CE914" s="227"/>
      <c r="CF914" s="227"/>
      <c r="CG914" s="227"/>
      <c r="CH914" s="227"/>
      <c r="CI914" s="227"/>
      <c r="CJ914" s="226"/>
      <c r="CK914" s="227"/>
      <c r="CL914" s="259"/>
      <c r="CM914" s="141"/>
      <c r="CN914" s="141"/>
      <c r="CO914" s="141"/>
      <c r="CP914" s="141"/>
      <c r="CQ914" s="141"/>
      <c r="CR914" s="141"/>
      <c r="CS914" s="235"/>
      <c r="CT914" s="43"/>
      <c r="CU914" s="43"/>
      <c r="CV914" s="45"/>
      <c r="CW914" s="9"/>
      <c r="CX914" s="10"/>
      <c r="CY914" s="10"/>
      <c r="CZ914" s="10"/>
      <c r="DA914" s="10"/>
      <c r="DB914" s="10"/>
      <c r="DC914" s="10"/>
      <c r="DD914" s="10"/>
      <c r="EK914" s="10"/>
      <c r="EL914" s="10"/>
      <c r="EM914" s="10"/>
      <c r="EN914" s="10"/>
      <c r="EO914" s="10"/>
      <c r="EP914" s="10"/>
      <c r="EQ914" s="10"/>
      <c r="ER914" s="10"/>
      <c r="ES914" s="10"/>
      <c r="EZ914" s="301"/>
      <c r="FA914" s="302"/>
      <c r="GP914" s="13"/>
      <c r="GQ914" s="43"/>
      <c r="GR914" s="43"/>
      <c r="GS914" s="45"/>
      <c r="GT914" s="49"/>
      <c r="GU914" s="49"/>
      <c r="GV914" s="49"/>
      <c r="GW914" s="49"/>
      <c r="GX914" s="49"/>
      <c r="GY914" s="49"/>
      <c r="GZ914" s="49"/>
      <c r="HA914" s="208"/>
      <c r="HB914" s="231"/>
      <c r="HC914" s="231"/>
      <c r="HD914" s="231"/>
      <c r="HE914" s="231"/>
      <c r="HF914" s="231"/>
      <c r="HG914" s="231"/>
      <c r="HH914" s="231"/>
      <c r="HI914" s="232"/>
      <c r="KM914" s="12"/>
      <c r="KN914" s="317"/>
      <c r="KO914" s="317"/>
      <c r="KP914" s="317"/>
      <c r="KQ914" s="317"/>
      <c r="KR914" s="317"/>
      <c r="KS914" s="317"/>
      <c r="KT914" s="317"/>
      <c r="KU914" s="317"/>
      <c r="KV914" s="317"/>
      <c r="KW914" s="317"/>
      <c r="KX914" s="317"/>
      <c r="KY914" s="317"/>
      <c r="KZ914" s="317"/>
      <c r="LA914" s="317"/>
      <c r="LB914" s="317"/>
      <c r="LC914" s="317"/>
      <c r="LD914" s="317"/>
      <c r="LE914" s="317"/>
      <c r="LF914" s="317"/>
      <c r="LG914" s="317"/>
      <c r="LH914" s="317"/>
      <c r="LI914" s="317"/>
      <c r="LJ914" s="317"/>
      <c r="LK914" s="317"/>
      <c r="LL914" s="317"/>
      <c r="LM914" s="317"/>
      <c r="LN914" s="317"/>
      <c r="LO914" s="317"/>
      <c r="LP914" s="317"/>
      <c r="LQ914" s="317"/>
      <c r="LR914" s="317"/>
      <c r="LS914" s="317"/>
      <c r="LT914" s="317"/>
      <c r="LU914" s="317"/>
      <c r="LV914" s="317"/>
      <c r="LW914" s="317"/>
      <c r="LX914" s="317"/>
      <c r="LY914" s="317"/>
      <c r="LZ914" s="317"/>
      <c r="MA914" s="317"/>
      <c r="MB914" s="317"/>
      <c r="MC914" s="317"/>
      <c r="MD914" s="317"/>
      <c r="ME914" s="317"/>
      <c r="MF914" s="317"/>
      <c r="MG914" s="317"/>
      <c r="MH914" s="317"/>
      <c r="MI914" s="317"/>
      <c r="MJ914" s="317"/>
      <c r="MK914" s="317"/>
      <c r="ML914" s="317"/>
      <c r="MM914" s="317"/>
      <c r="MN914" s="317"/>
      <c r="MO914" s="317"/>
      <c r="MP914" s="317"/>
      <c r="MQ914" s="317"/>
      <c r="MR914" s="317"/>
      <c r="MS914" s="317"/>
      <c r="MT914" s="13"/>
      <c r="MU914" s="317"/>
      <c r="MV914" s="317"/>
      <c r="MW914" s="317"/>
      <c r="MX914" s="317"/>
      <c r="MY914" s="317"/>
      <c r="MZ914" s="13"/>
      <c r="NA914" s="12"/>
      <c r="NB914" s="317"/>
      <c r="NC914" s="317"/>
      <c r="ND914" s="317"/>
      <c r="NE914" s="317"/>
      <c r="NF914" s="317"/>
      <c r="NG914" s="317"/>
      <c r="NH914" s="317"/>
      <c r="NI914" s="317"/>
      <c r="NJ914" s="317"/>
      <c r="NK914" s="317"/>
      <c r="NL914" s="317"/>
      <c r="NM914" s="317"/>
      <c r="NN914" s="317"/>
      <c r="NO914" s="317"/>
      <c r="NP914" s="317"/>
      <c r="NQ914" s="317"/>
      <c r="NR914" s="317"/>
      <c r="NS914" s="317"/>
      <c r="NT914" s="317"/>
      <c r="NU914" s="317"/>
      <c r="NV914" s="317"/>
      <c r="NW914" s="317"/>
      <c r="NX914" s="317"/>
      <c r="NY914" s="317"/>
      <c r="NZ914" s="317"/>
      <c r="OA914" s="317"/>
      <c r="OB914" s="317"/>
      <c r="OC914" s="317"/>
      <c r="OD914" s="317"/>
      <c r="OE914" s="317"/>
      <c r="OF914" s="317"/>
      <c r="OG914" s="317"/>
      <c r="OH914" s="317"/>
      <c r="OI914" s="317"/>
      <c r="OJ914" s="317"/>
      <c r="OK914" s="317"/>
      <c r="OL914" s="317"/>
      <c r="OM914" s="317"/>
      <c r="ON914" s="317"/>
      <c r="OO914" s="317"/>
      <c r="OP914" s="317"/>
      <c r="OQ914" s="317"/>
      <c r="OR914" s="317"/>
      <c r="OS914" s="317"/>
      <c r="OT914" s="317"/>
      <c r="OU914" s="317"/>
      <c r="OV914" s="317"/>
      <c r="OW914" s="317"/>
      <c r="OX914" s="317"/>
      <c r="OY914" s="317"/>
      <c r="OZ914" s="317"/>
      <c r="PA914" s="317"/>
      <c r="PB914" s="317"/>
      <c r="PC914" s="317"/>
      <c r="PD914" s="317"/>
      <c r="PE914" s="317"/>
      <c r="PF914" s="317"/>
      <c r="PG914" s="317"/>
      <c r="PH914" s="317"/>
      <c r="PI914" s="317"/>
      <c r="PJ914" s="317"/>
      <c r="PK914" s="317"/>
      <c r="PL914" s="317"/>
      <c r="PM914" s="317"/>
      <c r="PN914" s="317"/>
      <c r="PO914" s="317"/>
      <c r="PP914" s="317"/>
      <c r="PQ914" s="317"/>
      <c r="PR914" s="317"/>
      <c r="PS914" s="317"/>
      <c r="PT914" s="317"/>
      <c r="PU914" s="317"/>
      <c r="PV914" s="317"/>
      <c r="PW914" s="317"/>
      <c r="PX914" s="317"/>
      <c r="PY914" s="317"/>
      <c r="PZ914" s="317"/>
      <c r="QA914" s="317"/>
      <c r="QB914" s="317"/>
      <c r="QC914" s="317"/>
      <c r="QD914" s="317"/>
      <c r="QE914" s="317"/>
      <c r="QF914" s="317"/>
      <c r="QG914" s="317"/>
      <c r="QH914" s="317"/>
      <c r="QI914" s="317"/>
      <c r="QJ914" s="317"/>
      <c r="QK914" s="317"/>
      <c r="QL914" s="317"/>
      <c r="QM914" s="317"/>
      <c r="QN914" s="317"/>
      <c r="QO914" s="317"/>
      <c r="QP914" s="317"/>
      <c r="QQ914" s="317"/>
      <c r="QR914" s="317"/>
      <c r="QS914" s="317"/>
      <c r="QT914" s="317"/>
      <c r="QU914" s="317"/>
      <c r="QV914" s="317"/>
      <c r="QW914" s="317"/>
      <c r="QX914" s="317"/>
      <c r="QY914" s="317"/>
      <c r="QZ914" s="317"/>
      <c r="RA914" s="317"/>
      <c r="RB914" s="317"/>
      <c r="RC914" s="317"/>
      <c r="RD914" s="317"/>
      <c r="RE914" s="317"/>
      <c r="RF914" s="317"/>
      <c r="RG914" s="317"/>
      <c r="RH914" s="317"/>
      <c r="RI914" s="317"/>
      <c r="RJ914" s="317"/>
      <c r="RK914" s="317"/>
      <c r="RL914" s="317"/>
      <c r="RM914" s="317"/>
      <c r="RN914" s="317"/>
      <c r="RO914" s="317"/>
      <c r="RP914" s="13"/>
      <c r="RQ914" s="317"/>
      <c r="RR914" s="317"/>
      <c r="RS914" s="317"/>
      <c r="RT914" s="317"/>
      <c r="RU914" s="317"/>
      <c r="RV914" s="13"/>
      <c r="SL914" s="12"/>
      <c r="SW914" s="13"/>
      <c r="TV914" s="12"/>
      <c r="WL914" s="13"/>
    </row>
    <row r="915" spans="82:610" ht="10.75" customHeight="1">
      <c r="CD915" s="229"/>
      <c r="CE915" s="231"/>
      <c r="CF915" s="231"/>
      <c r="CG915" s="231"/>
      <c r="CH915" s="231"/>
      <c r="CI915" s="231"/>
      <c r="CJ915" s="229"/>
      <c r="CK915" s="231"/>
      <c r="CL915" s="214"/>
      <c r="CM915" s="49"/>
      <c r="CN915" s="49"/>
      <c r="CO915" s="49"/>
      <c r="CP915" s="49"/>
      <c r="CQ915" s="49"/>
      <c r="CR915" s="49"/>
      <c r="CS915" s="208"/>
      <c r="CT915" s="43"/>
      <c r="CU915" s="119"/>
      <c r="CV915" s="45"/>
      <c r="CW915" s="12"/>
      <c r="FA915" s="291"/>
      <c r="GP915" s="13"/>
      <c r="GQ915" s="43"/>
      <c r="GR915" s="43"/>
      <c r="GS915" s="45"/>
      <c r="GT915" s="49"/>
      <c r="GU915" s="49"/>
      <c r="GV915" s="49"/>
      <c r="GW915" s="49"/>
      <c r="GX915" s="49"/>
      <c r="GY915" s="49"/>
      <c r="GZ915" s="49"/>
      <c r="HA915" s="208"/>
      <c r="HB915" s="231"/>
      <c r="HC915" s="231"/>
      <c r="HD915" s="231"/>
      <c r="HE915" s="231"/>
      <c r="HF915" s="231"/>
      <c r="HG915" s="231"/>
      <c r="HH915" s="231"/>
      <c r="HI915" s="232"/>
      <c r="KM915" s="12"/>
      <c r="KN915" s="317"/>
      <c r="KO915" s="317"/>
      <c r="KP915" s="317"/>
      <c r="KQ915" s="317"/>
      <c r="KR915" s="317"/>
      <c r="KS915" s="317"/>
      <c r="KT915" s="317"/>
      <c r="KU915" s="317"/>
      <c r="KV915" s="317"/>
      <c r="KW915" s="317"/>
      <c r="KX915" s="317"/>
      <c r="KY915" s="317"/>
      <c r="KZ915" s="317"/>
      <c r="LA915" s="317"/>
      <c r="LB915" s="317"/>
      <c r="LC915" s="317"/>
      <c r="LD915" s="317"/>
      <c r="LE915" s="317"/>
      <c r="LF915" s="317"/>
      <c r="LG915" s="317"/>
      <c r="LH915" s="317"/>
      <c r="LI915" s="317"/>
      <c r="LJ915" s="317"/>
      <c r="LK915" s="317"/>
      <c r="LL915" s="317"/>
      <c r="LM915" s="317"/>
      <c r="LN915" s="317"/>
      <c r="LO915" s="317"/>
      <c r="LP915" s="317"/>
      <c r="LQ915" s="317"/>
      <c r="LR915" s="317"/>
      <c r="LS915" s="317"/>
      <c r="LT915" s="317"/>
      <c r="LU915" s="317"/>
      <c r="LV915" s="317"/>
      <c r="LW915" s="317"/>
      <c r="LX915" s="317"/>
      <c r="LY915" s="317"/>
      <c r="LZ915" s="317"/>
      <c r="MA915" s="317"/>
      <c r="MB915" s="317"/>
      <c r="MC915" s="317"/>
      <c r="MD915" s="317"/>
      <c r="ME915" s="317"/>
      <c r="MF915" s="317"/>
      <c r="MG915" s="317"/>
      <c r="MH915" s="317"/>
      <c r="MI915" s="317"/>
      <c r="MJ915" s="317"/>
      <c r="MK915" s="317"/>
      <c r="ML915" s="317"/>
      <c r="MM915" s="317"/>
      <c r="MN915" s="317"/>
      <c r="MO915" s="317"/>
      <c r="MP915" s="317"/>
      <c r="MQ915" s="317"/>
      <c r="MR915" s="317"/>
      <c r="MS915" s="317"/>
      <c r="MT915" s="13"/>
      <c r="MU915" s="317"/>
      <c r="MV915" s="317"/>
      <c r="MW915" s="317"/>
      <c r="MX915" s="317"/>
      <c r="MY915" s="317"/>
      <c r="MZ915" s="13"/>
      <c r="NA915" s="12"/>
      <c r="NB915" s="317"/>
      <c r="NC915" s="317"/>
      <c r="ND915" s="317"/>
      <c r="NE915" s="317"/>
      <c r="NF915" s="317"/>
      <c r="NG915" s="317"/>
      <c r="NH915" s="317"/>
      <c r="NI915" s="317"/>
      <c r="NJ915" s="317"/>
      <c r="NK915" s="317"/>
      <c r="NL915" s="317"/>
      <c r="NM915" s="317"/>
      <c r="NN915" s="317"/>
      <c r="NO915" s="317"/>
      <c r="NP915" s="317"/>
      <c r="NQ915" s="317"/>
      <c r="NR915" s="317"/>
      <c r="NS915" s="317"/>
      <c r="NT915" s="317"/>
      <c r="NU915" s="317"/>
      <c r="NV915" s="317"/>
      <c r="NW915" s="317"/>
      <c r="NX915" s="317"/>
      <c r="NY915" s="317"/>
      <c r="NZ915" s="317"/>
      <c r="OA915" s="317"/>
      <c r="OB915" s="317"/>
      <c r="OC915" s="317"/>
      <c r="OD915" s="317"/>
      <c r="OE915" s="317"/>
      <c r="OF915" s="317"/>
      <c r="OG915" s="317"/>
      <c r="OH915" s="317"/>
      <c r="OI915" s="317"/>
      <c r="OJ915" s="317"/>
      <c r="OK915" s="317"/>
      <c r="OL915" s="317"/>
      <c r="OM915" s="317"/>
      <c r="ON915" s="317"/>
      <c r="OO915" s="317"/>
      <c r="OP915" s="317"/>
      <c r="OQ915" s="317"/>
      <c r="OR915" s="317"/>
      <c r="OS915" s="317"/>
      <c r="OT915" s="317"/>
      <c r="OU915" s="317"/>
      <c r="OV915" s="317"/>
      <c r="OW915" s="317"/>
      <c r="OX915" s="317"/>
      <c r="OY915" s="317"/>
      <c r="OZ915" s="317"/>
      <c r="PA915" s="317"/>
      <c r="PB915" s="317"/>
      <c r="PC915" s="317"/>
      <c r="PD915" s="317"/>
      <c r="PE915" s="317"/>
      <c r="PF915" s="317"/>
      <c r="PG915" s="317"/>
      <c r="PH915" s="317"/>
      <c r="PI915" s="317"/>
      <c r="PJ915" s="317"/>
      <c r="PK915" s="317"/>
      <c r="PL915" s="317"/>
      <c r="PM915" s="317"/>
      <c r="PN915" s="317"/>
      <c r="PO915" s="317"/>
      <c r="PP915" s="317"/>
      <c r="PQ915" s="317"/>
      <c r="PR915" s="317"/>
      <c r="PS915" s="317"/>
      <c r="PT915" s="317"/>
      <c r="PU915" s="317"/>
      <c r="PV915" s="317"/>
      <c r="PW915" s="317"/>
      <c r="PX915" s="317"/>
      <c r="PY915" s="317"/>
      <c r="PZ915" s="317"/>
      <c r="QA915" s="317"/>
      <c r="QB915" s="317"/>
      <c r="QC915" s="317"/>
      <c r="QD915" s="317"/>
      <c r="QE915" s="317"/>
      <c r="QF915" s="317"/>
      <c r="QG915" s="317"/>
      <c r="QH915" s="317"/>
      <c r="QI915" s="317"/>
      <c r="QJ915" s="317"/>
      <c r="QK915" s="317"/>
      <c r="QL915" s="317"/>
      <c r="QM915" s="317"/>
      <c r="QN915" s="317"/>
      <c r="QO915" s="317"/>
      <c r="QP915" s="317"/>
      <c r="QQ915" s="317"/>
      <c r="QR915" s="317"/>
      <c r="QS915" s="317"/>
      <c r="QT915" s="317"/>
      <c r="QU915" s="317"/>
      <c r="QV915" s="317"/>
      <c r="QW915" s="317"/>
      <c r="QX915" s="317"/>
      <c r="QY915" s="317"/>
      <c r="QZ915" s="317"/>
      <c r="RA915" s="317"/>
      <c r="RB915" s="317"/>
      <c r="RC915" s="317"/>
      <c r="RD915" s="317"/>
      <c r="RE915" s="317"/>
      <c r="RF915" s="317"/>
      <c r="RG915" s="317"/>
      <c r="RH915" s="317"/>
      <c r="RI915" s="317"/>
      <c r="RJ915" s="317"/>
      <c r="RK915" s="317"/>
      <c r="RL915" s="317"/>
      <c r="RM915" s="317"/>
      <c r="RN915" s="317"/>
      <c r="RO915" s="317"/>
      <c r="RP915" s="13"/>
      <c r="RQ915" s="317"/>
      <c r="RR915" s="317"/>
      <c r="RS915" s="317"/>
      <c r="RT915" s="317"/>
      <c r="RU915" s="317"/>
      <c r="RV915" s="13"/>
      <c r="SL915" s="12"/>
      <c r="SW915" s="13"/>
      <c r="TV915" s="12"/>
      <c r="WL915" s="13"/>
    </row>
    <row r="916" spans="82:610" ht="10.75" customHeight="1">
      <c r="CD916" s="229"/>
      <c r="CE916" s="231"/>
      <c r="CF916" s="231"/>
      <c r="CG916" s="231"/>
      <c r="CH916" s="231"/>
      <c r="CI916" s="231"/>
      <c r="CJ916" s="229"/>
      <c r="CK916" s="231"/>
      <c r="CL916" s="214"/>
      <c r="CM916" s="49"/>
      <c r="CN916" s="49"/>
      <c r="CO916" s="49"/>
      <c r="CP916" s="49"/>
      <c r="CQ916" s="49"/>
      <c r="CR916" s="49"/>
      <c r="CS916" s="208"/>
      <c r="CT916" s="43"/>
      <c r="CU916" s="119"/>
      <c r="CV916" s="45"/>
      <c r="CW916" s="12"/>
      <c r="FA916" s="291"/>
      <c r="GP916" s="13"/>
      <c r="GQ916" s="43"/>
      <c r="GR916" s="43"/>
      <c r="GS916" s="45"/>
      <c r="GT916" s="49"/>
      <c r="GU916" s="49"/>
      <c r="GV916" s="49"/>
      <c r="GW916" s="49"/>
      <c r="GX916" s="49"/>
      <c r="GY916" s="49"/>
      <c r="GZ916" s="49"/>
      <c r="HA916" s="208"/>
      <c r="HB916" s="231"/>
      <c r="HC916" s="231"/>
      <c r="HD916" s="231"/>
      <c r="HE916" s="231"/>
      <c r="HF916" s="231"/>
      <c r="HG916" s="231"/>
      <c r="HH916" s="231"/>
      <c r="HI916" s="232"/>
      <c r="KM916" s="12"/>
      <c r="KN916" s="317"/>
      <c r="KO916" s="317"/>
      <c r="KP916" s="317"/>
      <c r="KQ916" s="317"/>
      <c r="KR916" s="317"/>
      <c r="KS916" s="317"/>
      <c r="KT916" s="317"/>
      <c r="KU916" s="317"/>
      <c r="KV916" s="317"/>
      <c r="KW916" s="317"/>
      <c r="KX916" s="317"/>
      <c r="KY916" s="317"/>
      <c r="KZ916" s="317"/>
      <c r="LA916" s="317"/>
      <c r="LB916" s="317"/>
      <c r="LC916" s="317"/>
      <c r="LD916" s="317"/>
      <c r="LE916" s="317"/>
      <c r="LF916" s="317"/>
      <c r="LG916" s="317"/>
      <c r="LH916" s="317"/>
      <c r="LI916" s="317"/>
      <c r="LJ916" s="317"/>
      <c r="LK916" s="317"/>
      <c r="LL916" s="317"/>
      <c r="LM916" s="317"/>
      <c r="LN916" s="317"/>
      <c r="LO916" s="317"/>
      <c r="LP916" s="317"/>
      <c r="LQ916" s="317"/>
      <c r="LR916" s="317"/>
      <c r="LS916" s="317"/>
      <c r="LT916" s="317"/>
      <c r="LU916" s="317"/>
      <c r="LV916" s="317"/>
      <c r="LW916" s="317"/>
      <c r="LX916" s="317"/>
      <c r="LY916" s="317"/>
      <c r="LZ916" s="317"/>
      <c r="MA916" s="317"/>
      <c r="MB916" s="317"/>
      <c r="MC916" s="317"/>
      <c r="MD916" s="317"/>
      <c r="ME916" s="317"/>
      <c r="MF916" s="317"/>
      <c r="MG916" s="317"/>
      <c r="MH916" s="317"/>
      <c r="MI916" s="317"/>
      <c r="MJ916" s="317"/>
      <c r="MK916" s="317"/>
      <c r="ML916" s="317"/>
      <c r="MM916" s="317"/>
      <c r="MN916" s="317"/>
      <c r="MO916" s="317"/>
      <c r="MP916" s="317"/>
      <c r="MQ916" s="317"/>
      <c r="MR916" s="317"/>
      <c r="MS916" s="317"/>
      <c r="MT916" s="13"/>
      <c r="MU916" s="317"/>
      <c r="MV916" s="317"/>
      <c r="MW916" s="317"/>
      <c r="MX916" s="317"/>
      <c r="MY916" s="317"/>
      <c r="MZ916" s="13"/>
      <c r="NA916" s="12"/>
      <c r="NB916" s="317"/>
      <c r="NC916" s="317"/>
      <c r="ND916" s="317"/>
      <c r="NE916" s="317"/>
      <c r="NF916" s="317"/>
      <c r="NG916" s="317"/>
      <c r="NH916" s="317"/>
      <c r="NI916" s="317"/>
      <c r="NJ916" s="317"/>
      <c r="NK916" s="317"/>
      <c r="NL916" s="317"/>
      <c r="NM916" s="317"/>
      <c r="NN916" s="317"/>
      <c r="NO916" s="317"/>
      <c r="NP916" s="317"/>
      <c r="NQ916" s="317"/>
      <c r="NR916" s="317"/>
      <c r="NS916" s="317"/>
      <c r="NT916" s="317"/>
      <c r="NU916" s="317"/>
      <c r="NV916" s="317"/>
      <c r="NW916" s="317"/>
      <c r="NX916" s="317"/>
      <c r="NY916" s="317"/>
      <c r="NZ916" s="317"/>
      <c r="OA916" s="317"/>
      <c r="OB916" s="317"/>
      <c r="OC916" s="317"/>
      <c r="OD916" s="317"/>
      <c r="OE916" s="317"/>
      <c r="OF916" s="317"/>
      <c r="OG916" s="317"/>
      <c r="OH916" s="317"/>
      <c r="OI916" s="317"/>
      <c r="OJ916" s="317"/>
      <c r="OK916" s="317"/>
      <c r="OL916" s="317"/>
      <c r="OM916" s="317"/>
      <c r="ON916" s="317"/>
      <c r="OO916" s="317"/>
      <c r="OP916" s="317"/>
      <c r="OQ916" s="317"/>
      <c r="OR916" s="317"/>
      <c r="OS916" s="317"/>
      <c r="OT916" s="317"/>
      <c r="OU916" s="317"/>
      <c r="OV916" s="317"/>
      <c r="OW916" s="317"/>
      <c r="OX916" s="317"/>
      <c r="OY916" s="317"/>
      <c r="OZ916" s="317"/>
      <c r="PA916" s="317"/>
      <c r="PB916" s="317"/>
      <c r="PC916" s="317"/>
      <c r="PD916" s="317"/>
      <c r="PE916" s="317"/>
      <c r="PF916" s="317"/>
      <c r="PG916" s="317"/>
      <c r="PH916" s="317"/>
      <c r="PI916" s="317"/>
      <c r="PJ916" s="317"/>
      <c r="PK916" s="317"/>
      <c r="PL916" s="317"/>
      <c r="PM916" s="317"/>
      <c r="PN916" s="317"/>
      <c r="PO916" s="317"/>
      <c r="PP916" s="317"/>
      <c r="PQ916" s="317"/>
      <c r="PR916" s="317"/>
      <c r="PS916" s="317"/>
      <c r="PT916" s="317"/>
      <c r="PU916" s="317"/>
      <c r="PV916" s="317"/>
      <c r="PW916" s="317"/>
      <c r="PX916" s="317"/>
      <c r="PY916" s="317"/>
      <c r="PZ916" s="317"/>
      <c r="QA916" s="317"/>
      <c r="QB916" s="317"/>
      <c r="QC916" s="317"/>
      <c r="QD916" s="317"/>
      <c r="QE916" s="317"/>
      <c r="QF916" s="317"/>
      <c r="QG916" s="317"/>
      <c r="QH916" s="317"/>
      <c r="QI916" s="317"/>
      <c r="QJ916" s="317"/>
      <c r="QK916" s="317"/>
      <c r="QL916" s="317"/>
      <c r="QM916" s="317"/>
      <c r="QN916" s="317"/>
      <c r="QO916" s="317"/>
      <c r="QP916" s="317"/>
      <c r="QQ916" s="317"/>
      <c r="QR916" s="317"/>
      <c r="QS916" s="317"/>
      <c r="QT916" s="317"/>
      <c r="QU916" s="317"/>
      <c r="QV916" s="317"/>
      <c r="QW916" s="317"/>
      <c r="QX916" s="317"/>
      <c r="QY916" s="317"/>
      <c r="QZ916" s="317"/>
      <c r="RA916" s="317"/>
      <c r="RB916" s="317"/>
      <c r="RC916" s="317"/>
      <c r="RD916" s="317"/>
      <c r="RE916" s="317"/>
      <c r="RF916" s="317"/>
      <c r="RG916" s="317"/>
      <c r="RH916" s="317"/>
      <c r="RI916" s="317"/>
      <c r="RJ916" s="317"/>
      <c r="RK916" s="317"/>
      <c r="RL916" s="317"/>
      <c r="RM916" s="317"/>
      <c r="RN916" s="317"/>
      <c r="RO916" s="317"/>
      <c r="RP916" s="13"/>
      <c r="RQ916" s="317"/>
      <c r="RR916" s="317"/>
      <c r="RS916" s="317"/>
      <c r="RT916" s="317"/>
      <c r="RU916" s="317"/>
      <c r="RV916" s="13"/>
      <c r="SL916" s="12"/>
      <c r="SW916" s="13"/>
      <c r="TV916" s="12"/>
      <c r="WL916" s="13"/>
    </row>
    <row r="917" spans="82:610" ht="10.75" customHeight="1">
      <c r="CD917" s="229"/>
      <c r="CE917" s="231"/>
      <c r="CF917" s="231"/>
      <c r="CG917" s="231"/>
      <c r="CH917" s="231"/>
      <c r="CI917" s="231"/>
      <c r="CJ917" s="229"/>
      <c r="CK917" s="231"/>
      <c r="CL917" s="214"/>
      <c r="CM917" s="49"/>
      <c r="CN917" s="49"/>
      <c r="CO917" s="49"/>
      <c r="CP917" s="49"/>
      <c r="CQ917" s="49"/>
      <c r="CR917" s="49"/>
      <c r="CS917" s="208"/>
      <c r="CT917" s="43"/>
      <c r="CU917" s="119"/>
      <c r="CV917" s="45"/>
      <c r="CW917" s="12"/>
      <c r="ER917" s="309"/>
      <c r="ET917" s="311"/>
      <c r="FA917" s="291"/>
      <c r="GP917" s="13"/>
      <c r="GQ917" s="43"/>
      <c r="GR917" s="43"/>
      <c r="GS917" s="45"/>
      <c r="GT917" s="49"/>
      <c r="GU917" s="49"/>
      <c r="GV917" s="49"/>
      <c r="GW917" s="49"/>
      <c r="GX917" s="49"/>
      <c r="GY917" s="49"/>
      <c r="GZ917" s="49"/>
      <c r="HA917" s="208"/>
      <c r="HB917" s="231"/>
      <c r="HC917" s="231"/>
      <c r="HD917" s="231"/>
      <c r="HE917" s="231"/>
      <c r="HF917" s="231"/>
      <c r="HG917" s="231"/>
      <c r="HH917" s="231"/>
      <c r="HI917" s="232"/>
      <c r="KM917" s="12"/>
      <c r="KN917" s="317"/>
      <c r="KO917" s="317"/>
      <c r="KP917" s="317"/>
      <c r="KQ917" s="317"/>
      <c r="KR917" s="317"/>
      <c r="KS917" s="317"/>
      <c r="KT917" s="317"/>
      <c r="KU917" s="317"/>
      <c r="KV917" s="317"/>
      <c r="KW917" s="317"/>
      <c r="KX917" s="317"/>
      <c r="KY917" s="317"/>
      <c r="KZ917" s="317"/>
      <c r="LA917" s="317"/>
      <c r="LB917" s="317"/>
      <c r="LC917" s="317"/>
      <c r="LD917" s="317"/>
      <c r="LE917" s="317"/>
      <c r="LF917" s="317"/>
      <c r="LG917" s="317"/>
      <c r="LH917" s="317"/>
      <c r="LI917" s="317"/>
      <c r="LJ917" s="317"/>
      <c r="LK917" s="317"/>
      <c r="LL917" s="317"/>
      <c r="LM917" s="317"/>
      <c r="LN917" s="317"/>
      <c r="LO917" s="317"/>
      <c r="LP917" s="317"/>
      <c r="LQ917" s="317"/>
      <c r="LR917" s="317"/>
      <c r="LS917" s="317"/>
      <c r="LT917" s="317"/>
      <c r="LU917" s="317"/>
      <c r="LV917" s="317"/>
      <c r="LW917" s="317"/>
      <c r="LX917" s="317"/>
      <c r="LY917" s="317"/>
      <c r="LZ917" s="317"/>
      <c r="MA917" s="317"/>
      <c r="MB917" s="317"/>
      <c r="MC917" s="317"/>
      <c r="MD917" s="317"/>
      <c r="ME917" s="317"/>
      <c r="MF917" s="317"/>
      <c r="MG917" s="317"/>
      <c r="MH917" s="317"/>
      <c r="MI917" s="317"/>
      <c r="MJ917" s="317"/>
      <c r="MK917" s="317"/>
      <c r="ML917" s="317"/>
      <c r="MM917" s="317"/>
      <c r="MN917" s="317"/>
      <c r="MO917" s="317"/>
      <c r="MP917" s="317"/>
      <c r="MQ917" s="317"/>
      <c r="MR917" s="317"/>
      <c r="MS917" s="317"/>
      <c r="MT917" s="13"/>
      <c r="MU917" s="317"/>
      <c r="MV917" s="317"/>
      <c r="MW917" s="317"/>
      <c r="MX917" s="317"/>
      <c r="MY917" s="317"/>
      <c r="MZ917" s="13"/>
      <c r="NA917" s="12"/>
      <c r="NB917" s="317"/>
      <c r="NC917" s="317"/>
      <c r="ND917" s="317"/>
      <c r="NE917" s="317"/>
      <c r="NF917" s="317"/>
      <c r="NG917" s="317"/>
      <c r="NH917" s="317"/>
      <c r="NI917" s="317"/>
      <c r="NJ917" s="317"/>
      <c r="NK917" s="317"/>
      <c r="NL917" s="317"/>
      <c r="NM917" s="317"/>
      <c r="NN917" s="317"/>
      <c r="NO917" s="317"/>
      <c r="NP917" s="317"/>
      <c r="NQ917" s="317"/>
      <c r="NR917" s="317"/>
      <c r="NS917" s="317"/>
      <c r="NT917" s="317"/>
      <c r="NU917" s="317"/>
      <c r="NV917" s="317"/>
      <c r="NW917" s="317"/>
      <c r="NX917" s="317"/>
      <c r="NY917" s="317"/>
      <c r="NZ917" s="317"/>
      <c r="OA917" s="317"/>
      <c r="OB917" s="317"/>
      <c r="OC917" s="317"/>
      <c r="OD917" s="317"/>
      <c r="OE917" s="317"/>
      <c r="OF917" s="317"/>
      <c r="OG917" s="317"/>
      <c r="OH917" s="317"/>
      <c r="OI917" s="317"/>
      <c r="OJ917" s="317"/>
      <c r="OK917" s="317"/>
      <c r="OL917" s="317"/>
      <c r="OM917" s="317"/>
      <c r="ON917" s="317"/>
      <c r="OO917" s="317"/>
      <c r="OP917" s="317"/>
      <c r="OQ917" s="317"/>
      <c r="OR917" s="317"/>
      <c r="OS917" s="317"/>
      <c r="OT917" s="317"/>
      <c r="OU917" s="317"/>
      <c r="OV917" s="317"/>
      <c r="OW917" s="317"/>
      <c r="OX917" s="317"/>
      <c r="OY917" s="317"/>
      <c r="OZ917" s="317"/>
      <c r="PA917" s="317"/>
      <c r="PB917" s="317"/>
      <c r="PC917" s="317"/>
      <c r="PD917" s="317"/>
      <c r="PE917" s="317"/>
      <c r="PF917" s="317"/>
      <c r="PG917" s="317"/>
      <c r="PH917" s="317"/>
      <c r="PI917" s="317"/>
      <c r="PJ917" s="317"/>
      <c r="PK917" s="317"/>
      <c r="PL917" s="317"/>
      <c r="PM917" s="317"/>
      <c r="PN917" s="317"/>
      <c r="PO917" s="317"/>
      <c r="PP917" s="317"/>
      <c r="PQ917" s="317"/>
      <c r="PR917" s="317"/>
      <c r="PS917" s="317"/>
      <c r="PT917" s="317"/>
      <c r="PU917" s="317"/>
      <c r="PV917" s="317"/>
      <c r="PW917" s="317"/>
      <c r="PX917" s="317"/>
      <c r="PY917" s="317"/>
      <c r="PZ917" s="317"/>
      <c r="QA917" s="317"/>
      <c r="QB917" s="317"/>
      <c r="QC917" s="317"/>
      <c r="QD917" s="317"/>
      <c r="QE917" s="317"/>
      <c r="QF917" s="317"/>
      <c r="QG917" s="317"/>
      <c r="QH917" s="317"/>
      <c r="QI917" s="317"/>
      <c r="QJ917" s="317"/>
      <c r="QK917" s="317"/>
      <c r="QL917" s="317"/>
      <c r="QM917" s="317"/>
      <c r="QN917" s="317"/>
      <c r="QO917" s="317"/>
      <c r="QP917" s="317"/>
      <c r="QQ917" s="317"/>
      <c r="QR917" s="317"/>
      <c r="QS917" s="317"/>
      <c r="QT917" s="317"/>
      <c r="QU917" s="317"/>
      <c r="QV917" s="317"/>
      <c r="QW917" s="317"/>
      <c r="QX917" s="317"/>
      <c r="QY917" s="317"/>
      <c r="QZ917" s="317"/>
      <c r="RA917" s="317"/>
      <c r="RB917" s="317"/>
      <c r="RC917" s="317"/>
      <c r="RD917" s="317"/>
      <c r="RE917" s="317"/>
      <c r="RF917" s="317"/>
      <c r="RG917" s="317"/>
      <c r="RH917" s="317"/>
      <c r="RI917" s="317"/>
      <c r="RJ917" s="317"/>
      <c r="RK917" s="317"/>
      <c r="RL917" s="317"/>
      <c r="RM917" s="317"/>
      <c r="RN917" s="317"/>
      <c r="RO917" s="317"/>
      <c r="RP917" s="13"/>
      <c r="RQ917" s="317"/>
      <c r="RR917" s="317"/>
      <c r="RS917" s="317"/>
      <c r="RT917" s="317"/>
      <c r="RU917" s="317"/>
      <c r="RV917" s="13"/>
      <c r="SL917" s="14"/>
      <c r="SM917" s="15"/>
      <c r="SN917" s="15"/>
      <c r="SO917" s="15"/>
      <c r="SP917" s="15"/>
      <c r="SQ917" s="15"/>
      <c r="SR917" s="15"/>
      <c r="SS917" s="15"/>
      <c r="ST917" s="15"/>
      <c r="SU917" s="15"/>
      <c r="SV917" s="15"/>
      <c r="SW917" s="16"/>
      <c r="TV917" s="12"/>
      <c r="WL917" s="13"/>
    </row>
    <row r="918" spans="82:610" ht="10.75" customHeight="1">
      <c r="CD918" s="229"/>
      <c r="CE918" s="231"/>
      <c r="CF918" s="231"/>
      <c r="CG918" s="231"/>
      <c r="CH918" s="231"/>
      <c r="CI918" s="231"/>
      <c r="CJ918" s="229"/>
      <c r="CK918" s="231"/>
      <c r="CL918" s="214"/>
      <c r="CM918" s="49"/>
      <c r="CN918" s="49"/>
      <c r="CO918" s="49"/>
      <c r="CP918" s="49"/>
      <c r="CQ918" s="49"/>
      <c r="CR918" s="49"/>
      <c r="CS918" s="208"/>
      <c r="CT918" s="43"/>
      <c r="CU918" s="119"/>
      <c r="CV918" s="45"/>
      <c r="CW918" s="12"/>
      <c r="ER918" s="309"/>
      <c r="ET918" s="311"/>
      <c r="FA918" s="291"/>
      <c r="GP918" s="13"/>
      <c r="GQ918" s="43"/>
      <c r="GR918" s="43"/>
      <c r="GS918" s="45"/>
      <c r="GT918" s="49"/>
      <c r="GU918" s="49"/>
      <c r="GV918" s="49"/>
      <c r="GW918" s="49"/>
      <c r="GX918" s="49"/>
      <c r="GY918" s="49"/>
      <c r="GZ918" s="49"/>
      <c r="HA918" s="208"/>
      <c r="HB918" s="231"/>
      <c r="HC918" s="231"/>
      <c r="HD918" s="231"/>
      <c r="HE918" s="231"/>
      <c r="HF918" s="231"/>
      <c r="HG918" s="231"/>
      <c r="HH918" s="231"/>
      <c r="HI918" s="232"/>
      <c r="KM918" s="12"/>
      <c r="KN918" s="317"/>
      <c r="KO918" s="317"/>
      <c r="KP918" s="317"/>
      <c r="KQ918" s="317"/>
      <c r="KR918" s="317"/>
      <c r="KS918" s="317"/>
      <c r="KT918" s="317"/>
      <c r="KU918" s="317"/>
      <c r="KV918" s="317"/>
      <c r="KW918" s="317"/>
      <c r="KX918" s="317"/>
      <c r="KY918" s="317"/>
      <c r="KZ918" s="317"/>
      <c r="LA918" s="317"/>
      <c r="LB918" s="317"/>
      <c r="LC918" s="317"/>
      <c r="LD918" s="317"/>
      <c r="LE918" s="317"/>
      <c r="LF918" s="317"/>
      <c r="LG918" s="317"/>
      <c r="LH918" s="317"/>
      <c r="LI918" s="317"/>
      <c r="LJ918" s="317"/>
      <c r="LK918" s="317"/>
      <c r="LL918" s="317"/>
      <c r="LM918" s="317"/>
      <c r="LN918" s="317"/>
      <c r="LO918" s="317"/>
      <c r="LP918" s="317"/>
      <c r="LQ918" s="317"/>
      <c r="LR918" s="317"/>
      <c r="LS918" s="317"/>
      <c r="LT918" s="317"/>
      <c r="LU918" s="317"/>
      <c r="LV918" s="317"/>
      <c r="LW918" s="317"/>
      <c r="LX918" s="317"/>
      <c r="LY918" s="317"/>
      <c r="LZ918" s="317"/>
      <c r="MA918" s="317"/>
      <c r="MB918" s="317"/>
      <c r="MC918" s="317"/>
      <c r="MD918" s="317"/>
      <c r="ME918" s="317"/>
      <c r="MF918" s="317"/>
      <c r="MG918" s="317"/>
      <c r="MH918" s="317"/>
      <c r="MI918" s="317"/>
      <c r="MJ918" s="317"/>
      <c r="MK918" s="317"/>
      <c r="ML918" s="317"/>
      <c r="MM918" s="317"/>
      <c r="MN918" s="317"/>
      <c r="MO918" s="317"/>
      <c r="MP918" s="317"/>
      <c r="MQ918" s="317"/>
      <c r="MR918" s="317"/>
      <c r="MS918" s="317"/>
      <c r="MT918" s="13"/>
      <c r="MU918" s="317"/>
      <c r="MV918" s="317"/>
      <c r="MW918" s="317"/>
      <c r="MX918" s="317"/>
      <c r="MY918" s="317"/>
      <c r="MZ918" s="13"/>
      <c r="NA918" s="12"/>
      <c r="NB918" s="317"/>
      <c r="NC918" s="317"/>
      <c r="ND918" s="317"/>
      <c r="NE918" s="317"/>
      <c r="NF918" s="317"/>
      <c r="NG918" s="317"/>
      <c r="NH918" s="317"/>
      <c r="NI918" s="317"/>
      <c r="NJ918" s="317"/>
      <c r="NK918" s="317"/>
      <c r="NL918" s="317"/>
      <c r="NM918" s="317"/>
      <c r="NN918" s="317"/>
      <c r="NO918" s="317"/>
      <c r="NP918" s="317"/>
      <c r="NQ918" s="317"/>
      <c r="NR918" s="317"/>
      <c r="NS918" s="317"/>
      <c r="NT918" s="317"/>
      <c r="NU918" s="317"/>
      <c r="NV918" s="317"/>
      <c r="NW918" s="317"/>
      <c r="NX918" s="317"/>
      <c r="NY918" s="317"/>
      <c r="NZ918" s="317"/>
      <c r="OA918" s="317"/>
      <c r="OB918" s="317"/>
      <c r="OC918" s="317"/>
      <c r="OD918" s="317"/>
      <c r="OE918" s="317"/>
      <c r="OF918" s="317"/>
      <c r="OG918" s="317"/>
      <c r="OH918" s="317"/>
      <c r="OI918" s="317"/>
      <c r="OJ918" s="317"/>
      <c r="OK918" s="317"/>
      <c r="OL918" s="317"/>
      <c r="OM918" s="317"/>
      <c r="ON918" s="317"/>
      <c r="OO918" s="317"/>
      <c r="OP918" s="317"/>
      <c r="OQ918" s="317"/>
      <c r="OR918" s="317"/>
      <c r="OS918" s="317"/>
      <c r="OT918" s="317"/>
      <c r="OU918" s="317"/>
      <c r="OV918" s="317"/>
      <c r="OW918" s="317"/>
      <c r="OX918" s="317"/>
      <c r="OY918" s="317"/>
      <c r="OZ918" s="317"/>
      <c r="PA918" s="317"/>
      <c r="PB918" s="317"/>
      <c r="PC918" s="317"/>
      <c r="PD918" s="317"/>
      <c r="PE918" s="317"/>
      <c r="PF918" s="317"/>
      <c r="PG918" s="317"/>
      <c r="PH918" s="317"/>
      <c r="PI918" s="317"/>
      <c r="PJ918" s="317"/>
      <c r="PK918" s="317"/>
      <c r="PL918" s="317"/>
      <c r="PM918" s="317"/>
      <c r="PN918" s="317"/>
      <c r="PO918" s="317"/>
      <c r="PP918" s="317"/>
      <c r="PQ918" s="317"/>
      <c r="PR918" s="317"/>
      <c r="PS918" s="317"/>
      <c r="PT918" s="317"/>
      <c r="PU918" s="317"/>
      <c r="PV918" s="317"/>
      <c r="PW918" s="317"/>
      <c r="PX918" s="317"/>
      <c r="PY918" s="317"/>
      <c r="PZ918" s="317"/>
      <c r="QA918" s="317"/>
      <c r="QB918" s="317"/>
      <c r="QC918" s="317"/>
      <c r="QD918" s="317"/>
      <c r="QE918" s="317"/>
      <c r="QF918" s="317"/>
      <c r="QG918" s="317"/>
      <c r="QH918" s="317"/>
      <c r="QI918" s="317"/>
      <c r="QJ918" s="317"/>
      <c r="QK918" s="317"/>
      <c r="QL918" s="317"/>
      <c r="QM918" s="317"/>
      <c r="QN918" s="317"/>
      <c r="QO918" s="317"/>
      <c r="QP918" s="317"/>
      <c r="QQ918" s="317"/>
      <c r="QR918" s="317"/>
      <c r="QS918" s="317"/>
      <c r="QT918" s="317"/>
      <c r="QU918" s="317"/>
      <c r="QV918" s="317"/>
      <c r="QW918" s="317"/>
      <c r="QX918" s="317"/>
      <c r="QY918" s="317"/>
      <c r="QZ918" s="317"/>
      <c r="RA918" s="317"/>
      <c r="RB918" s="317"/>
      <c r="RC918" s="317"/>
      <c r="RD918" s="317"/>
      <c r="RE918" s="317"/>
      <c r="RF918" s="317"/>
      <c r="RG918" s="317"/>
      <c r="RH918" s="317"/>
      <c r="RI918" s="317"/>
      <c r="RJ918" s="317"/>
      <c r="RK918" s="317"/>
      <c r="RL918" s="317"/>
      <c r="RM918" s="317"/>
      <c r="RN918" s="317"/>
      <c r="RO918" s="317"/>
      <c r="RP918" s="13"/>
      <c r="RQ918" s="317"/>
      <c r="RR918" s="317"/>
      <c r="RS918" s="317"/>
      <c r="RT918" s="317"/>
      <c r="RU918" s="317"/>
      <c r="RV918" s="13"/>
      <c r="SX918" s="9"/>
      <c r="SY918" s="10"/>
      <c r="SZ918" s="10"/>
      <c r="TA918" s="10"/>
      <c r="TB918" s="10"/>
      <c r="TC918" s="10"/>
      <c r="TD918" s="10"/>
      <c r="TE918" s="10"/>
      <c r="TF918" s="10"/>
      <c r="TG918" s="10"/>
      <c r="TH918" s="10"/>
      <c r="TI918" s="11"/>
      <c r="TV918" s="12"/>
      <c r="WL918" s="13"/>
    </row>
    <row r="919" spans="82:610" ht="10.75" customHeight="1">
      <c r="CD919" s="229"/>
      <c r="CE919" s="231"/>
      <c r="CF919" s="231"/>
      <c r="CG919" s="231"/>
      <c r="CH919" s="231"/>
      <c r="CI919" s="231"/>
      <c r="CJ919" s="229"/>
      <c r="CK919" s="231"/>
      <c r="CL919" s="214"/>
      <c r="CM919" s="49"/>
      <c r="CN919" s="49"/>
      <c r="CO919" s="49"/>
      <c r="CP919" s="49"/>
      <c r="CQ919" s="49"/>
      <c r="CR919" s="49"/>
      <c r="CS919" s="208"/>
      <c r="CT919" s="43"/>
      <c r="CU919" s="119"/>
      <c r="CV919" s="45"/>
      <c r="CW919" s="12"/>
      <c r="ER919" s="309"/>
      <c r="ET919" s="311"/>
      <c r="FA919" s="291"/>
      <c r="GP919" s="13"/>
      <c r="GQ919" s="43"/>
      <c r="GR919" s="43"/>
      <c r="GS919" s="45"/>
      <c r="GT919" s="49"/>
      <c r="GU919" s="49"/>
      <c r="GV919" s="49"/>
      <c r="GW919" s="49"/>
      <c r="GX919" s="49"/>
      <c r="GY919" s="49"/>
      <c r="GZ919" s="49"/>
      <c r="HA919" s="208"/>
      <c r="HB919" s="231"/>
      <c r="HC919" s="231"/>
      <c r="HD919" s="231"/>
      <c r="HE919" s="231"/>
      <c r="HF919" s="231"/>
      <c r="HG919" s="231"/>
      <c r="HH919" s="231"/>
      <c r="HI919" s="232"/>
      <c r="KM919" s="12"/>
      <c r="KN919" s="317"/>
      <c r="KO919" s="317"/>
      <c r="KP919" s="317"/>
      <c r="KQ919" s="317"/>
      <c r="KR919" s="317"/>
      <c r="KS919" s="317"/>
      <c r="KT919" s="317"/>
      <c r="KU919" s="317"/>
      <c r="KV919" s="317"/>
      <c r="KW919" s="317"/>
      <c r="KX919" s="317"/>
      <c r="KY919" s="317"/>
      <c r="KZ919" s="317"/>
      <c r="LA919" s="317"/>
      <c r="LB919" s="317"/>
      <c r="LC919" s="317"/>
      <c r="LD919" s="317"/>
      <c r="LE919" s="317"/>
      <c r="LF919" s="317"/>
      <c r="LG919" s="317"/>
      <c r="LH919" s="317"/>
      <c r="LI919" s="317"/>
      <c r="LJ919" s="317"/>
      <c r="LK919" s="317"/>
      <c r="LL919" s="317"/>
      <c r="LM919" s="317"/>
      <c r="LN919" s="317"/>
      <c r="LO919" s="317"/>
      <c r="LP919" s="317"/>
      <c r="LQ919" s="317"/>
      <c r="LR919" s="317"/>
      <c r="LS919" s="317"/>
      <c r="LT919" s="317"/>
      <c r="LU919" s="317"/>
      <c r="LV919" s="317"/>
      <c r="LW919" s="317"/>
      <c r="LX919" s="317"/>
      <c r="LY919" s="317"/>
      <c r="LZ919" s="317"/>
      <c r="MA919" s="317"/>
      <c r="MB919" s="317"/>
      <c r="MC919" s="317"/>
      <c r="MD919" s="317"/>
      <c r="ME919" s="317"/>
      <c r="MF919" s="317"/>
      <c r="MG919" s="317"/>
      <c r="MH919" s="317"/>
      <c r="MI919" s="317"/>
      <c r="MJ919" s="317"/>
      <c r="MK919" s="317"/>
      <c r="ML919" s="317"/>
      <c r="MM919" s="317"/>
      <c r="MN919" s="317"/>
      <c r="MO919" s="317"/>
      <c r="MP919" s="317"/>
      <c r="MQ919" s="317"/>
      <c r="MR919" s="317"/>
      <c r="MS919" s="317"/>
      <c r="MT919" s="13"/>
      <c r="MU919" s="317"/>
      <c r="MV919" s="317"/>
      <c r="MW919" s="317"/>
      <c r="MX919" s="317"/>
      <c r="MY919" s="317"/>
      <c r="MZ919" s="13"/>
      <c r="NA919" s="12"/>
      <c r="NB919" s="317"/>
      <c r="NC919" s="317"/>
      <c r="ND919" s="317"/>
      <c r="NE919" s="317"/>
      <c r="NF919" s="317"/>
      <c r="NG919" s="317"/>
      <c r="NH919" s="317"/>
      <c r="NI919" s="317"/>
      <c r="NJ919" s="317"/>
      <c r="NK919" s="317"/>
      <c r="NL919" s="317"/>
      <c r="NM919" s="317"/>
      <c r="NN919" s="317"/>
      <c r="NO919" s="317"/>
      <c r="NP919" s="317"/>
      <c r="NQ919" s="317"/>
      <c r="NR919" s="317"/>
      <c r="NS919" s="317"/>
      <c r="NT919" s="317"/>
      <c r="NU919" s="317"/>
      <c r="NV919" s="317"/>
      <c r="NW919" s="317"/>
      <c r="NX919" s="317"/>
      <c r="NY919" s="317"/>
      <c r="NZ919" s="317"/>
      <c r="OA919" s="317"/>
      <c r="OB919" s="317"/>
      <c r="OC919" s="317"/>
      <c r="OD919" s="317"/>
      <c r="OE919" s="317"/>
      <c r="OF919" s="317"/>
      <c r="OG919" s="317"/>
      <c r="OH919" s="317"/>
      <c r="OI919" s="317"/>
      <c r="OJ919" s="317"/>
      <c r="OK919" s="317"/>
      <c r="OL919" s="317"/>
      <c r="OM919" s="317"/>
      <c r="ON919" s="317"/>
      <c r="OO919" s="317"/>
      <c r="OP919" s="317"/>
      <c r="OQ919" s="317"/>
      <c r="OR919" s="317"/>
      <c r="OS919" s="317"/>
      <c r="OT919" s="317"/>
      <c r="OU919" s="317"/>
      <c r="OV919" s="317"/>
      <c r="OW919" s="317"/>
      <c r="OX919" s="317"/>
      <c r="OY919" s="317"/>
      <c r="OZ919" s="317"/>
      <c r="PA919" s="317"/>
      <c r="PB919" s="317"/>
      <c r="PC919" s="317"/>
      <c r="PD919" s="317"/>
      <c r="PE919" s="317"/>
      <c r="PF919" s="317"/>
      <c r="PG919" s="317"/>
      <c r="PH919" s="317"/>
      <c r="PI919" s="317"/>
      <c r="PJ919" s="317"/>
      <c r="PK919" s="317"/>
      <c r="PL919" s="317"/>
      <c r="PM919" s="317"/>
      <c r="PN919" s="317"/>
      <c r="PO919" s="317"/>
      <c r="PP919" s="317"/>
      <c r="PQ919" s="317"/>
      <c r="PR919" s="317"/>
      <c r="PS919" s="317"/>
      <c r="PT919" s="317"/>
      <c r="PU919" s="317"/>
      <c r="PV919" s="317"/>
      <c r="PW919" s="317"/>
      <c r="PX919" s="317"/>
      <c r="PY919" s="317"/>
      <c r="PZ919" s="317"/>
      <c r="QA919" s="317"/>
      <c r="QB919" s="317"/>
      <c r="QC919" s="317"/>
      <c r="QD919" s="317"/>
      <c r="QE919" s="317"/>
      <c r="QF919" s="317"/>
      <c r="QG919" s="317"/>
      <c r="QH919" s="317"/>
      <c r="QI919" s="317"/>
      <c r="QJ919" s="317"/>
      <c r="QK919" s="317"/>
      <c r="QL919" s="317"/>
      <c r="QM919" s="317"/>
      <c r="QN919" s="317"/>
      <c r="QO919" s="317"/>
      <c r="QP919" s="317"/>
      <c r="QQ919" s="317"/>
      <c r="QR919" s="317"/>
      <c r="QS919" s="317"/>
      <c r="QT919" s="317"/>
      <c r="QU919" s="317"/>
      <c r="QV919" s="317"/>
      <c r="QW919" s="317"/>
      <c r="QX919" s="317"/>
      <c r="QY919" s="317"/>
      <c r="QZ919" s="317"/>
      <c r="RA919" s="317"/>
      <c r="RB919" s="317"/>
      <c r="RC919" s="317"/>
      <c r="RD919" s="317"/>
      <c r="RE919" s="317"/>
      <c r="RF919" s="317"/>
      <c r="RG919" s="317"/>
      <c r="RH919" s="317"/>
      <c r="RI919" s="317"/>
      <c r="RJ919" s="317"/>
      <c r="RK919" s="317"/>
      <c r="RL919" s="317"/>
      <c r="RM919" s="317"/>
      <c r="RN919" s="317"/>
      <c r="RO919" s="317"/>
      <c r="RP919" s="13"/>
      <c r="RQ919" s="317"/>
      <c r="RR919" s="317"/>
      <c r="RS919" s="317"/>
      <c r="RT919" s="317"/>
      <c r="RU919" s="317"/>
      <c r="RV919" s="13"/>
      <c r="SX919" s="12"/>
      <c r="TI919" s="13"/>
      <c r="TV919" s="12"/>
      <c r="WL919" s="13"/>
    </row>
    <row r="920" spans="82:610" ht="10.75" customHeight="1">
      <c r="CD920" s="229"/>
      <c r="CE920" s="231"/>
      <c r="CF920" s="231"/>
      <c r="CG920" s="231"/>
      <c r="CH920" s="231"/>
      <c r="CI920" s="231"/>
      <c r="CJ920" s="229"/>
      <c r="CK920" s="231"/>
      <c r="CL920" s="214"/>
      <c r="CM920" s="49"/>
      <c r="CN920" s="49"/>
      <c r="CO920" s="49"/>
      <c r="CP920" s="49"/>
      <c r="CQ920" s="49"/>
      <c r="CR920" s="49"/>
      <c r="CS920" s="208"/>
      <c r="CT920" s="43"/>
      <c r="CU920" s="119"/>
      <c r="CV920" s="45"/>
      <c r="CW920" s="12"/>
      <c r="ER920" s="309"/>
      <c r="ET920" s="311"/>
      <c r="FA920" s="291"/>
      <c r="GP920" s="13"/>
      <c r="GQ920" s="43"/>
      <c r="GR920" s="43"/>
      <c r="GS920" s="45"/>
      <c r="GT920" s="49"/>
      <c r="GU920" s="49"/>
      <c r="GV920" s="49"/>
      <c r="GW920" s="49"/>
      <c r="GX920" s="49"/>
      <c r="GY920" s="49"/>
      <c r="GZ920" s="49"/>
      <c r="HA920" s="208"/>
      <c r="HB920" s="231"/>
      <c r="HC920" s="231"/>
      <c r="HD920" s="231"/>
      <c r="HE920" s="231"/>
      <c r="HF920" s="231"/>
      <c r="HG920" s="231"/>
      <c r="HH920" s="231"/>
      <c r="HI920" s="232"/>
      <c r="KM920" s="12"/>
      <c r="KN920" s="317"/>
      <c r="KO920" s="317"/>
      <c r="KP920" s="317"/>
      <c r="KQ920" s="317"/>
      <c r="KR920" s="317"/>
      <c r="KS920" s="317"/>
      <c r="KT920" s="317"/>
      <c r="KU920" s="317"/>
      <c r="KV920" s="317"/>
      <c r="KW920" s="317"/>
      <c r="KX920" s="317"/>
      <c r="KY920" s="317"/>
      <c r="KZ920" s="317"/>
      <c r="LA920" s="317"/>
      <c r="LB920" s="317"/>
      <c r="LC920" s="317"/>
      <c r="LD920" s="317"/>
      <c r="LE920" s="317"/>
      <c r="LF920" s="317"/>
      <c r="LG920" s="317"/>
      <c r="LH920" s="317"/>
      <c r="LI920" s="317"/>
      <c r="LJ920" s="317"/>
      <c r="LK920" s="317"/>
      <c r="LL920" s="317"/>
      <c r="LM920" s="317"/>
      <c r="LN920" s="317"/>
      <c r="LO920" s="317"/>
      <c r="LP920" s="317"/>
      <c r="LQ920" s="317"/>
      <c r="LR920" s="317"/>
      <c r="LS920" s="317"/>
      <c r="LT920" s="317"/>
      <c r="LU920" s="317"/>
      <c r="LV920" s="317"/>
      <c r="LW920" s="317"/>
      <c r="LX920" s="317"/>
      <c r="LY920" s="317"/>
      <c r="LZ920" s="317"/>
      <c r="MA920" s="317"/>
      <c r="MB920" s="317"/>
      <c r="MC920" s="317"/>
      <c r="MD920" s="317"/>
      <c r="ME920" s="317"/>
      <c r="MF920" s="317"/>
      <c r="MG920" s="317"/>
      <c r="MH920" s="317"/>
      <c r="MI920" s="317"/>
      <c r="MJ920" s="317"/>
      <c r="MK920" s="317"/>
      <c r="ML920" s="317"/>
      <c r="MM920" s="317"/>
      <c r="MN920" s="317"/>
      <c r="MO920" s="317"/>
      <c r="MP920" s="317"/>
      <c r="MQ920" s="317"/>
      <c r="MR920" s="317"/>
      <c r="MS920" s="317"/>
      <c r="MT920" s="13"/>
      <c r="MU920" s="317"/>
      <c r="MV920" s="317"/>
      <c r="MW920" s="317"/>
      <c r="MX920" s="317"/>
      <c r="MY920" s="317"/>
      <c r="MZ920" s="13"/>
      <c r="NA920" s="12"/>
      <c r="NB920" s="317"/>
      <c r="NC920" s="317"/>
      <c r="ND920" s="317"/>
      <c r="NE920" s="317"/>
      <c r="NF920" s="317"/>
      <c r="NG920" s="317"/>
      <c r="NH920" s="317"/>
      <c r="NI920" s="317"/>
      <c r="NJ920" s="317"/>
      <c r="NK920" s="317"/>
      <c r="NL920" s="317"/>
      <c r="NM920" s="317"/>
      <c r="NN920" s="317"/>
      <c r="NO920" s="317"/>
      <c r="NP920" s="317"/>
      <c r="NQ920" s="317"/>
      <c r="NR920" s="317"/>
      <c r="NS920" s="317"/>
      <c r="NT920" s="317"/>
      <c r="NU920" s="317"/>
      <c r="NV920" s="317"/>
      <c r="NW920" s="317"/>
      <c r="NX920" s="317"/>
      <c r="NY920" s="317"/>
      <c r="NZ920" s="317"/>
      <c r="OA920" s="317"/>
      <c r="OB920" s="317"/>
      <c r="OC920" s="317"/>
      <c r="OD920" s="317"/>
      <c r="OE920" s="317"/>
      <c r="OF920" s="317"/>
      <c r="OG920" s="317"/>
      <c r="OH920" s="317"/>
      <c r="OI920" s="317"/>
      <c r="OJ920" s="317"/>
      <c r="OK920" s="317"/>
      <c r="OL920" s="317"/>
      <c r="OM920" s="317"/>
      <c r="ON920" s="317"/>
      <c r="OO920" s="317"/>
      <c r="OP920" s="317"/>
      <c r="OQ920" s="317"/>
      <c r="OR920" s="317"/>
      <c r="OS920" s="317"/>
      <c r="OT920" s="317"/>
      <c r="OU920" s="317"/>
      <c r="OV920" s="317"/>
      <c r="OW920" s="317"/>
      <c r="OX920" s="317"/>
      <c r="OY920" s="317"/>
      <c r="OZ920" s="317"/>
      <c r="PA920" s="317"/>
      <c r="PB920" s="317"/>
      <c r="PC920" s="317"/>
      <c r="PD920" s="317"/>
      <c r="PE920" s="317"/>
      <c r="PF920" s="317"/>
      <c r="PG920" s="317"/>
      <c r="PH920" s="317"/>
      <c r="PI920" s="317"/>
      <c r="PJ920" s="317"/>
      <c r="PK920" s="317"/>
      <c r="PL920" s="317"/>
      <c r="PM920" s="317"/>
      <c r="PN920" s="317"/>
      <c r="PO920" s="317"/>
      <c r="PP920" s="317"/>
      <c r="PQ920" s="317"/>
      <c r="PR920" s="317"/>
      <c r="PS920" s="317"/>
      <c r="PT920" s="317"/>
      <c r="PU920" s="317"/>
      <c r="PV920" s="317"/>
      <c r="PW920" s="317"/>
      <c r="PX920" s="317"/>
      <c r="PY920" s="317"/>
      <c r="PZ920" s="317"/>
      <c r="QA920" s="317"/>
      <c r="QB920" s="317"/>
      <c r="QC920" s="317"/>
      <c r="QD920" s="317"/>
      <c r="QE920" s="317"/>
      <c r="QF920" s="317"/>
      <c r="QG920" s="317"/>
      <c r="QH920" s="317"/>
      <c r="QI920" s="317"/>
      <c r="QJ920" s="317"/>
      <c r="QK920" s="317"/>
      <c r="QL920" s="317"/>
      <c r="QM920" s="317"/>
      <c r="QN920" s="317"/>
      <c r="QO920" s="317"/>
      <c r="QP920" s="317"/>
      <c r="QQ920" s="317"/>
      <c r="QR920" s="317"/>
      <c r="QS920" s="317"/>
      <c r="QT920" s="317"/>
      <c r="QU920" s="317"/>
      <c r="QV920" s="317"/>
      <c r="QW920" s="317"/>
      <c r="QX920" s="317"/>
      <c r="QY920" s="317"/>
      <c r="QZ920" s="317"/>
      <c r="RA920" s="317"/>
      <c r="RB920" s="317"/>
      <c r="RC920" s="317"/>
      <c r="RD920" s="317"/>
      <c r="RE920" s="317"/>
      <c r="RF920" s="317"/>
      <c r="RG920" s="317"/>
      <c r="RH920" s="317"/>
      <c r="RI920" s="317"/>
      <c r="RJ920" s="317"/>
      <c r="RK920" s="317"/>
      <c r="RL920" s="317"/>
      <c r="RM920" s="317"/>
      <c r="RN920" s="317"/>
      <c r="RO920" s="317"/>
      <c r="RP920" s="13"/>
      <c r="RQ920" s="317"/>
      <c r="RR920" s="317"/>
      <c r="RS920" s="317"/>
      <c r="RT920" s="317"/>
      <c r="RU920" s="317"/>
      <c r="RV920" s="13"/>
      <c r="SX920" s="12"/>
      <c r="TI920" s="13"/>
      <c r="TV920" s="12"/>
      <c r="WL920" s="13"/>
    </row>
    <row r="921" spans="82:610" ht="10.75" customHeight="1">
      <c r="CD921" s="229"/>
      <c r="CE921" s="231"/>
      <c r="CF921" s="231"/>
      <c r="CG921" s="231"/>
      <c r="CH921" s="231"/>
      <c r="CI921" s="231"/>
      <c r="CJ921" s="229"/>
      <c r="CK921" s="231"/>
      <c r="CL921" s="214"/>
      <c r="CM921" s="49"/>
      <c r="CN921" s="49"/>
      <c r="CO921" s="49"/>
      <c r="CP921" s="49"/>
      <c r="CQ921" s="49"/>
      <c r="CR921" s="49"/>
      <c r="CS921" s="208"/>
      <c r="CT921" s="43"/>
      <c r="CU921" s="119"/>
      <c r="CV921" s="45"/>
      <c r="CW921" s="12"/>
      <c r="ER921" s="309"/>
      <c r="ET921" s="311"/>
      <c r="FA921" s="291"/>
      <c r="GP921" s="13"/>
      <c r="GQ921" s="43"/>
      <c r="GR921" s="43"/>
      <c r="GS921" s="45"/>
      <c r="GT921" s="49"/>
      <c r="GU921" s="49"/>
      <c r="GV921" s="49"/>
      <c r="GW921" s="49"/>
      <c r="GX921" s="49"/>
      <c r="GY921" s="49"/>
      <c r="GZ921" s="49"/>
      <c r="HA921" s="208"/>
      <c r="HB921" s="231"/>
      <c r="HC921" s="231"/>
      <c r="HD921" s="231"/>
      <c r="HE921" s="231"/>
      <c r="HF921" s="231"/>
      <c r="HG921" s="231"/>
      <c r="HH921" s="231"/>
      <c r="HI921" s="232"/>
      <c r="KM921" s="12"/>
      <c r="KN921" s="317"/>
      <c r="KO921" s="317"/>
      <c r="KP921" s="317"/>
      <c r="KQ921" s="317"/>
      <c r="KR921" s="317"/>
      <c r="KS921" s="317"/>
      <c r="KT921" s="317"/>
      <c r="KU921" s="317"/>
      <c r="KV921" s="317"/>
      <c r="KW921" s="317"/>
      <c r="KX921" s="317"/>
      <c r="KY921" s="317"/>
      <c r="KZ921" s="317"/>
      <c r="LA921" s="317"/>
      <c r="LB921" s="317"/>
      <c r="LC921" s="317"/>
      <c r="LD921" s="317"/>
      <c r="LE921" s="317"/>
      <c r="LF921" s="317"/>
      <c r="LG921" s="317"/>
      <c r="LH921" s="317"/>
      <c r="LI921" s="317"/>
      <c r="LJ921" s="317"/>
      <c r="LK921" s="317"/>
      <c r="LL921" s="317"/>
      <c r="LM921" s="317"/>
      <c r="LN921" s="317"/>
      <c r="LO921" s="317"/>
      <c r="LP921" s="317"/>
      <c r="LQ921" s="317"/>
      <c r="LR921" s="317"/>
      <c r="LS921" s="317"/>
      <c r="LT921" s="317"/>
      <c r="LU921" s="317"/>
      <c r="LV921" s="317"/>
      <c r="LW921" s="317"/>
      <c r="LX921" s="317"/>
      <c r="LY921" s="317"/>
      <c r="LZ921" s="317"/>
      <c r="MA921" s="317"/>
      <c r="MB921" s="317"/>
      <c r="MC921" s="317"/>
      <c r="MD921" s="317"/>
      <c r="ME921" s="317"/>
      <c r="MF921" s="317"/>
      <c r="MG921" s="317"/>
      <c r="MH921" s="317"/>
      <c r="MI921" s="317"/>
      <c r="MJ921" s="317"/>
      <c r="MK921" s="317"/>
      <c r="ML921" s="317"/>
      <c r="MM921" s="317"/>
      <c r="MN921" s="317"/>
      <c r="MO921" s="317"/>
      <c r="MP921" s="317"/>
      <c r="MQ921" s="317"/>
      <c r="MR921" s="317"/>
      <c r="MS921" s="317"/>
      <c r="MT921" s="13"/>
      <c r="MU921" s="317"/>
      <c r="MV921" s="317"/>
      <c r="MW921" s="317"/>
      <c r="MX921" s="317"/>
      <c r="MY921" s="317"/>
      <c r="MZ921" s="13"/>
      <c r="NA921" s="12"/>
      <c r="NB921" s="317"/>
      <c r="NC921" s="317"/>
      <c r="ND921" s="317"/>
      <c r="NE921" s="317"/>
      <c r="NF921" s="317"/>
      <c r="NG921" s="317"/>
      <c r="NH921" s="317"/>
      <c r="NI921" s="317"/>
      <c r="NJ921" s="317"/>
      <c r="NK921" s="317"/>
      <c r="NL921" s="317"/>
      <c r="NM921" s="317"/>
      <c r="NN921" s="317"/>
      <c r="NO921" s="317"/>
      <c r="NP921" s="317"/>
      <c r="NQ921" s="317"/>
      <c r="NR921" s="317"/>
      <c r="NS921" s="317"/>
      <c r="NT921" s="317"/>
      <c r="NU921" s="317"/>
      <c r="NV921" s="317"/>
      <c r="NW921" s="317"/>
      <c r="NX921" s="317"/>
      <c r="NY921" s="317"/>
      <c r="NZ921" s="317"/>
      <c r="OA921" s="317"/>
      <c r="OB921" s="317"/>
      <c r="OC921" s="317"/>
      <c r="OD921" s="317"/>
      <c r="OE921" s="317"/>
      <c r="OF921" s="317"/>
      <c r="OG921" s="317"/>
      <c r="OH921" s="317"/>
      <c r="OI921" s="317"/>
      <c r="OJ921" s="317"/>
      <c r="OK921" s="317"/>
      <c r="OL921" s="317"/>
      <c r="OM921" s="317"/>
      <c r="ON921" s="317"/>
      <c r="OO921" s="317"/>
      <c r="OP921" s="317"/>
      <c r="OQ921" s="317"/>
      <c r="OR921" s="317"/>
      <c r="OS921" s="317"/>
      <c r="OT921" s="317"/>
      <c r="OU921" s="317"/>
      <c r="OV921" s="317"/>
      <c r="OW921" s="317"/>
      <c r="OX921" s="317"/>
      <c r="OY921" s="317"/>
      <c r="OZ921" s="317"/>
      <c r="PA921" s="317"/>
      <c r="PB921" s="317"/>
      <c r="PC921" s="317"/>
      <c r="PD921" s="317"/>
      <c r="PE921" s="317"/>
      <c r="PF921" s="317"/>
      <c r="PG921" s="317"/>
      <c r="PH921" s="317"/>
      <c r="PI921" s="317"/>
      <c r="PJ921" s="317"/>
      <c r="PK921" s="317"/>
      <c r="PL921" s="317"/>
      <c r="PM921" s="317"/>
      <c r="PN921" s="317"/>
      <c r="PO921" s="317"/>
      <c r="PP921" s="317"/>
      <c r="PQ921" s="317"/>
      <c r="PR921" s="317"/>
      <c r="PS921" s="317"/>
      <c r="PT921" s="317"/>
      <c r="PU921" s="317"/>
      <c r="PV921" s="317"/>
      <c r="PW921" s="317"/>
      <c r="PX921" s="317"/>
      <c r="PY921" s="317"/>
      <c r="PZ921" s="317"/>
      <c r="QA921" s="317"/>
      <c r="QB921" s="317"/>
      <c r="QC921" s="317"/>
      <c r="QD921" s="317"/>
      <c r="QE921" s="317"/>
      <c r="QF921" s="317"/>
      <c r="QG921" s="317"/>
      <c r="QH921" s="317"/>
      <c r="QI921" s="317"/>
      <c r="QJ921" s="317"/>
      <c r="QK921" s="317"/>
      <c r="QL921" s="317"/>
      <c r="QM921" s="317"/>
      <c r="QN921" s="317"/>
      <c r="QO921" s="317"/>
      <c r="QP921" s="317"/>
      <c r="QQ921" s="317"/>
      <c r="QR921" s="317"/>
      <c r="QS921" s="317"/>
      <c r="QT921" s="317"/>
      <c r="QU921" s="317"/>
      <c r="QV921" s="317"/>
      <c r="QW921" s="317"/>
      <c r="QX921" s="317"/>
      <c r="QY921" s="317"/>
      <c r="QZ921" s="317"/>
      <c r="RA921" s="317"/>
      <c r="RB921" s="317"/>
      <c r="RC921" s="317"/>
      <c r="RD921" s="317"/>
      <c r="RE921" s="317"/>
      <c r="RF921" s="317"/>
      <c r="RG921" s="317"/>
      <c r="RH921" s="317"/>
      <c r="RI921" s="317"/>
      <c r="RJ921" s="317"/>
      <c r="RK921" s="317"/>
      <c r="RL921" s="317"/>
      <c r="RM921" s="317"/>
      <c r="RN921" s="317"/>
      <c r="RO921" s="317"/>
      <c r="RP921" s="13"/>
      <c r="RQ921" s="317"/>
      <c r="RR921" s="317"/>
      <c r="RS921" s="317"/>
      <c r="RT921" s="317"/>
      <c r="RU921" s="317"/>
      <c r="RV921" s="13"/>
      <c r="SX921" s="12"/>
      <c r="TI921" s="13"/>
      <c r="TV921" s="12"/>
      <c r="WL921" s="13"/>
    </row>
    <row r="922" spans="82:610" ht="10.75" customHeight="1">
      <c r="CD922" s="229"/>
      <c r="CE922" s="231"/>
      <c r="CF922" s="231"/>
      <c r="CG922" s="231"/>
      <c r="CH922" s="231"/>
      <c r="CI922" s="231"/>
      <c r="CJ922" s="229"/>
      <c r="CK922" s="231"/>
      <c r="CL922" s="214"/>
      <c r="CM922" s="49"/>
      <c r="CN922" s="49"/>
      <c r="CO922" s="49"/>
      <c r="CP922" s="49"/>
      <c r="CQ922" s="49"/>
      <c r="CR922" s="49"/>
      <c r="CS922" s="208"/>
      <c r="CT922" s="43"/>
      <c r="CU922" s="119"/>
      <c r="CV922" s="45"/>
      <c r="CW922" s="12"/>
      <c r="ER922" s="309"/>
      <c r="ET922" s="311"/>
      <c r="FA922" s="291"/>
      <c r="GP922" s="13"/>
      <c r="GQ922" s="43"/>
      <c r="GR922" s="43"/>
      <c r="GS922" s="45"/>
      <c r="GT922" s="49"/>
      <c r="GU922" s="49"/>
      <c r="GV922" s="49"/>
      <c r="GW922" s="49"/>
      <c r="GX922" s="49"/>
      <c r="GY922" s="49"/>
      <c r="GZ922" s="49"/>
      <c r="HA922" s="208"/>
      <c r="HB922" s="231"/>
      <c r="HC922" s="231"/>
      <c r="HD922" s="231"/>
      <c r="HE922" s="231"/>
      <c r="HF922" s="231"/>
      <c r="HG922" s="231"/>
      <c r="HH922" s="231"/>
      <c r="HI922" s="232"/>
      <c r="KM922" s="12"/>
      <c r="KN922" s="317"/>
      <c r="KO922" s="317"/>
      <c r="KP922" s="317"/>
      <c r="KQ922" s="317"/>
      <c r="KR922" s="317"/>
      <c r="KS922" s="317"/>
      <c r="KT922" s="317"/>
      <c r="KU922" s="317"/>
      <c r="KV922" s="317"/>
      <c r="KW922" s="317"/>
      <c r="KX922" s="317"/>
      <c r="KY922" s="317"/>
      <c r="KZ922" s="317"/>
      <c r="LA922" s="317"/>
      <c r="LB922" s="317"/>
      <c r="LC922" s="317"/>
      <c r="LD922" s="317"/>
      <c r="LE922" s="317"/>
      <c r="LF922" s="317"/>
      <c r="LG922" s="317"/>
      <c r="LH922" s="317"/>
      <c r="LI922" s="317"/>
      <c r="LJ922" s="317"/>
      <c r="LK922" s="317"/>
      <c r="LL922" s="317"/>
      <c r="LM922" s="317"/>
      <c r="LN922" s="317"/>
      <c r="LO922" s="317"/>
      <c r="LP922" s="317"/>
      <c r="LQ922" s="317"/>
      <c r="LR922" s="317"/>
      <c r="LS922" s="317"/>
      <c r="LT922" s="317"/>
      <c r="LU922" s="317"/>
      <c r="LV922" s="317"/>
      <c r="LW922" s="317"/>
      <c r="LX922" s="317"/>
      <c r="LY922" s="317"/>
      <c r="LZ922" s="317"/>
      <c r="MA922" s="317"/>
      <c r="MB922" s="317"/>
      <c r="MC922" s="317"/>
      <c r="MD922" s="317"/>
      <c r="ME922" s="317"/>
      <c r="MF922" s="317"/>
      <c r="MG922" s="317"/>
      <c r="MH922" s="317"/>
      <c r="MI922" s="317"/>
      <c r="MJ922" s="317"/>
      <c r="MK922" s="317"/>
      <c r="ML922" s="317"/>
      <c r="MM922" s="317"/>
      <c r="MN922" s="317"/>
      <c r="MO922" s="317"/>
      <c r="MP922" s="317"/>
      <c r="MQ922" s="317"/>
      <c r="MR922" s="317"/>
      <c r="MS922" s="317"/>
      <c r="MT922" s="13"/>
      <c r="MU922" s="317"/>
      <c r="MV922" s="317"/>
      <c r="MW922" s="317"/>
      <c r="MX922" s="317"/>
      <c r="MY922" s="317"/>
      <c r="MZ922" s="13"/>
      <c r="NA922" s="12"/>
      <c r="NB922" s="317"/>
      <c r="NC922" s="317"/>
      <c r="ND922" s="317"/>
      <c r="NE922" s="317"/>
      <c r="NF922" s="317"/>
      <c r="NG922" s="317"/>
      <c r="NH922" s="317"/>
      <c r="NI922" s="317"/>
      <c r="NJ922" s="317"/>
      <c r="NK922" s="317"/>
      <c r="NL922" s="317"/>
      <c r="NM922" s="317"/>
      <c r="NN922" s="317"/>
      <c r="NO922" s="317"/>
      <c r="NP922" s="317"/>
      <c r="NQ922" s="317"/>
      <c r="NR922" s="317"/>
      <c r="NS922" s="317"/>
      <c r="NT922" s="317"/>
      <c r="NU922" s="317"/>
      <c r="NV922" s="317"/>
      <c r="NW922" s="317"/>
      <c r="NX922" s="317"/>
      <c r="NY922" s="317"/>
      <c r="NZ922" s="317"/>
      <c r="OA922" s="317"/>
      <c r="OB922" s="317"/>
      <c r="OC922" s="317"/>
      <c r="OD922" s="317"/>
      <c r="OE922" s="317"/>
      <c r="OF922" s="317"/>
      <c r="OG922" s="317"/>
      <c r="OH922" s="317"/>
      <c r="OI922" s="317"/>
      <c r="OJ922" s="317"/>
      <c r="OK922" s="317"/>
      <c r="OL922" s="317"/>
      <c r="OM922" s="317"/>
      <c r="ON922" s="317"/>
      <c r="OO922" s="317"/>
      <c r="OP922" s="317"/>
      <c r="OQ922" s="317"/>
      <c r="OR922" s="317"/>
      <c r="OS922" s="317"/>
      <c r="OT922" s="317"/>
      <c r="OU922" s="317"/>
      <c r="OV922" s="317"/>
      <c r="OW922" s="317"/>
      <c r="OX922" s="317"/>
      <c r="OY922" s="317"/>
      <c r="OZ922" s="317"/>
      <c r="PA922" s="317"/>
      <c r="PB922" s="317"/>
      <c r="PC922" s="317"/>
      <c r="PD922" s="317"/>
      <c r="PE922" s="317"/>
      <c r="PF922" s="317"/>
      <c r="PG922" s="317"/>
      <c r="PH922" s="317"/>
      <c r="PI922" s="317"/>
      <c r="PJ922" s="317"/>
      <c r="PK922" s="317"/>
      <c r="PL922" s="317"/>
      <c r="PM922" s="317"/>
      <c r="PN922" s="317"/>
      <c r="PO922" s="317"/>
      <c r="PP922" s="317"/>
      <c r="PQ922" s="317"/>
      <c r="PR922" s="317"/>
      <c r="PS922" s="317"/>
      <c r="PT922" s="317"/>
      <c r="PU922" s="317"/>
      <c r="PV922" s="317"/>
      <c r="PW922" s="317"/>
      <c r="PX922" s="317"/>
      <c r="PY922" s="317"/>
      <c r="PZ922" s="317"/>
      <c r="QA922" s="317"/>
      <c r="QB922" s="317"/>
      <c r="QC922" s="317"/>
      <c r="QD922" s="317"/>
      <c r="QE922" s="317"/>
      <c r="QF922" s="317"/>
      <c r="QG922" s="317"/>
      <c r="QH922" s="317"/>
      <c r="QI922" s="317"/>
      <c r="QJ922" s="317"/>
      <c r="QK922" s="317"/>
      <c r="QL922" s="317"/>
      <c r="QM922" s="317"/>
      <c r="QN922" s="317"/>
      <c r="QO922" s="317"/>
      <c r="QP922" s="317"/>
      <c r="QQ922" s="317"/>
      <c r="QR922" s="317"/>
      <c r="QS922" s="317"/>
      <c r="QT922" s="317"/>
      <c r="QU922" s="317"/>
      <c r="QV922" s="317"/>
      <c r="QW922" s="317"/>
      <c r="QX922" s="317"/>
      <c r="QY922" s="317"/>
      <c r="QZ922" s="317"/>
      <c r="RA922" s="317"/>
      <c r="RB922" s="317"/>
      <c r="RC922" s="317"/>
      <c r="RD922" s="317"/>
      <c r="RE922" s="317"/>
      <c r="RF922" s="317"/>
      <c r="RG922" s="317"/>
      <c r="RH922" s="317"/>
      <c r="RI922" s="317"/>
      <c r="RJ922" s="317"/>
      <c r="RK922" s="317"/>
      <c r="RL922" s="317"/>
      <c r="RM922" s="317"/>
      <c r="RN922" s="317"/>
      <c r="RO922" s="317"/>
      <c r="RP922" s="13"/>
      <c r="RQ922" s="317"/>
      <c r="RR922" s="317"/>
      <c r="RS922" s="317"/>
      <c r="RT922" s="317"/>
      <c r="RU922" s="317"/>
      <c r="RV922" s="13"/>
      <c r="SX922" s="12"/>
      <c r="TI922" s="13"/>
      <c r="TV922" s="12"/>
      <c r="WL922" s="13"/>
    </row>
    <row r="923" spans="82:610" ht="10.75" customHeight="1">
      <c r="CD923" s="229"/>
      <c r="CE923" s="231"/>
      <c r="CF923" s="231"/>
      <c r="CG923" s="231"/>
      <c r="CH923" s="231"/>
      <c r="CI923" s="231"/>
      <c r="CJ923" s="229"/>
      <c r="CK923" s="231"/>
      <c r="CL923" s="214"/>
      <c r="CM923" s="49"/>
      <c r="CN923" s="49"/>
      <c r="CO923" s="49"/>
      <c r="CP923" s="49"/>
      <c r="CQ923" s="49"/>
      <c r="CR923" s="49"/>
      <c r="CS923" s="208"/>
      <c r="CT923" s="43"/>
      <c r="CU923" s="119"/>
      <c r="CV923" s="45"/>
      <c r="CW923" s="12"/>
      <c r="ER923" s="309"/>
      <c r="ET923" s="311"/>
      <c r="FA923" s="291"/>
      <c r="GP923" s="13"/>
      <c r="GQ923" s="43"/>
      <c r="GR923" s="43"/>
      <c r="GS923" s="45"/>
      <c r="GT923" s="49"/>
      <c r="GU923" s="49"/>
      <c r="GV923" s="49"/>
      <c r="GW923" s="49"/>
      <c r="GX923" s="49"/>
      <c r="GY923" s="49"/>
      <c r="GZ923" s="49"/>
      <c r="HA923" s="208"/>
      <c r="HB923" s="231"/>
      <c r="HC923" s="231"/>
      <c r="HD923" s="231"/>
      <c r="HE923" s="231"/>
      <c r="HF923" s="231"/>
      <c r="HG923" s="231"/>
      <c r="HH923" s="231"/>
      <c r="HI923" s="232"/>
      <c r="KM923" s="12"/>
      <c r="KN923" s="317"/>
      <c r="KO923" s="317"/>
      <c r="KP923" s="317"/>
      <c r="KQ923" s="317"/>
      <c r="KR923" s="317"/>
      <c r="KS923" s="317"/>
      <c r="KT923" s="317"/>
      <c r="KU923" s="317"/>
      <c r="KV923" s="317"/>
      <c r="KW923" s="317"/>
      <c r="KX923" s="317"/>
      <c r="KY923" s="317"/>
      <c r="KZ923" s="317"/>
      <c r="LA923" s="317"/>
      <c r="LB923" s="317"/>
      <c r="LC923" s="317"/>
      <c r="LD923" s="317"/>
      <c r="LE923" s="317"/>
      <c r="LF923" s="317"/>
      <c r="LG923" s="317"/>
      <c r="LH923" s="317"/>
      <c r="LI923" s="317"/>
      <c r="LJ923" s="317"/>
      <c r="LK923" s="317"/>
      <c r="LL923" s="317"/>
      <c r="LM923" s="317"/>
      <c r="LN923" s="317"/>
      <c r="LO923" s="317"/>
      <c r="LP923" s="317"/>
      <c r="LQ923" s="317"/>
      <c r="LR923" s="317"/>
      <c r="LS923" s="317"/>
      <c r="LT923" s="317"/>
      <c r="LU923" s="317"/>
      <c r="LV923" s="317"/>
      <c r="LW923" s="317"/>
      <c r="LX923" s="317"/>
      <c r="LY923" s="317"/>
      <c r="LZ923" s="317"/>
      <c r="MA923" s="317"/>
      <c r="MB923" s="317"/>
      <c r="MC923" s="317"/>
      <c r="MD923" s="317"/>
      <c r="ME923" s="317"/>
      <c r="MF923" s="317"/>
      <c r="MG923" s="317"/>
      <c r="MH923" s="317"/>
      <c r="MI923" s="317"/>
      <c r="MJ923" s="317"/>
      <c r="MK923" s="317"/>
      <c r="ML923" s="317"/>
      <c r="MM923" s="317"/>
      <c r="MN923" s="317"/>
      <c r="MO923" s="317"/>
      <c r="MP923" s="317"/>
      <c r="MQ923" s="317"/>
      <c r="MR923" s="317"/>
      <c r="MS923" s="317"/>
      <c r="MT923" s="13"/>
      <c r="MU923" s="317"/>
      <c r="MV923" s="317"/>
      <c r="MW923" s="317"/>
      <c r="MX923" s="317"/>
      <c r="MY923" s="317"/>
      <c r="MZ923" s="13"/>
      <c r="NA923" s="12"/>
      <c r="NB923" s="317"/>
      <c r="NC923" s="317"/>
      <c r="ND923" s="317"/>
      <c r="NE923" s="317"/>
      <c r="NF923" s="317"/>
      <c r="NG923" s="317"/>
      <c r="NH923" s="317"/>
      <c r="NI923" s="317"/>
      <c r="NJ923" s="317"/>
      <c r="NK923" s="317"/>
      <c r="NL923" s="317"/>
      <c r="NM923" s="317"/>
      <c r="NN923" s="317"/>
      <c r="NO923" s="317"/>
      <c r="NP923" s="317"/>
      <c r="NQ923" s="317"/>
      <c r="NR923" s="317"/>
      <c r="NS923" s="317"/>
      <c r="NT923" s="317"/>
      <c r="NU923" s="317"/>
      <c r="NV923" s="317"/>
      <c r="NW923" s="317"/>
      <c r="NX923" s="317"/>
      <c r="NY923" s="317"/>
      <c r="NZ923" s="317"/>
      <c r="OA923" s="317"/>
      <c r="OB923" s="317"/>
      <c r="OC923" s="317"/>
      <c r="OD923" s="317"/>
      <c r="OE923" s="317"/>
      <c r="OF923" s="317"/>
      <c r="OG923" s="317"/>
      <c r="OH923" s="317"/>
      <c r="OI923" s="317"/>
      <c r="OJ923" s="317"/>
      <c r="OK923" s="317"/>
      <c r="OL923" s="317"/>
      <c r="OM923" s="317"/>
      <c r="ON923" s="317"/>
      <c r="OO923" s="317"/>
      <c r="OP923" s="317"/>
      <c r="OQ923" s="317"/>
      <c r="OR923" s="317"/>
      <c r="OS923" s="317"/>
      <c r="OT923" s="317"/>
      <c r="OU923" s="317"/>
      <c r="OV923" s="317"/>
      <c r="OW923" s="317"/>
      <c r="OX923" s="317"/>
      <c r="OY923" s="317"/>
      <c r="OZ923" s="317"/>
      <c r="PA923" s="317"/>
      <c r="PB923" s="317"/>
      <c r="PC923" s="317"/>
      <c r="PD923" s="317"/>
      <c r="PE923" s="317"/>
      <c r="PF923" s="317"/>
      <c r="PG923" s="317"/>
      <c r="PH923" s="317"/>
      <c r="PI923" s="317"/>
      <c r="PJ923" s="317"/>
      <c r="PK923" s="317"/>
      <c r="PL923" s="317"/>
      <c r="PM923" s="317"/>
      <c r="PN923" s="317"/>
      <c r="PO923" s="317"/>
      <c r="PP923" s="317"/>
      <c r="PQ923" s="317"/>
      <c r="PR923" s="317"/>
      <c r="PS923" s="317"/>
      <c r="PT923" s="317"/>
      <c r="PU923" s="317"/>
      <c r="PV923" s="317"/>
      <c r="PW923" s="317"/>
      <c r="PX923" s="317"/>
      <c r="PY923" s="317"/>
      <c r="PZ923" s="317"/>
      <c r="QA923" s="317"/>
      <c r="QB923" s="317"/>
      <c r="QC923" s="317"/>
      <c r="QD923" s="317"/>
      <c r="QE923" s="317"/>
      <c r="QF923" s="317"/>
      <c r="QG923" s="317"/>
      <c r="QH923" s="317"/>
      <c r="QI923" s="317"/>
      <c r="QJ923" s="317"/>
      <c r="QK923" s="317"/>
      <c r="QL923" s="317"/>
      <c r="QM923" s="317"/>
      <c r="QN923" s="317"/>
      <c r="QO923" s="317"/>
      <c r="QP923" s="317"/>
      <c r="QQ923" s="317"/>
      <c r="QR923" s="317"/>
      <c r="QS923" s="317"/>
      <c r="QT923" s="317"/>
      <c r="QU923" s="317"/>
      <c r="QV923" s="317"/>
      <c r="QW923" s="317"/>
      <c r="QX923" s="317"/>
      <c r="QY923" s="317"/>
      <c r="QZ923" s="317"/>
      <c r="RA923" s="317"/>
      <c r="RB923" s="317"/>
      <c r="RC923" s="317"/>
      <c r="RD923" s="317"/>
      <c r="RE923" s="317"/>
      <c r="RF923" s="317"/>
      <c r="RG923" s="317"/>
      <c r="RH923" s="317"/>
      <c r="RI923" s="317"/>
      <c r="RJ923" s="317"/>
      <c r="RK923" s="317"/>
      <c r="RL923" s="317"/>
      <c r="RM923" s="317"/>
      <c r="RN923" s="317"/>
      <c r="RO923" s="317"/>
      <c r="RP923" s="13"/>
      <c r="RQ923" s="317"/>
      <c r="RR923" s="317"/>
      <c r="RS923" s="317"/>
      <c r="RT923" s="317"/>
      <c r="RU923" s="317"/>
      <c r="RV923" s="13"/>
      <c r="SX923" s="12"/>
      <c r="TI923" s="13"/>
      <c r="TV923" s="12"/>
      <c r="WL923" s="13"/>
    </row>
    <row r="924" spans="82:610" ht="10.75" customHeight="1">
      <c r="CD924" s="229"/>
      <c r="CE924" s="231"/>
      <c r="CF924" s="231"/>
      <c r="CG924" s="231"/>
      <c r="CH924" s="231"/>
      <c r="CI924" s="231"/>
      <c r="CJ924" s="229"/>
      <c r="CK924" s="231"/>
      <c r="CL924" s="214"/>
      <c r="CM924" s="49"/>
      <c r="CN924" s="49"/>
      <c r="CO924" s="49"/>
      <c r="CP924" s="49"/>
      <c r="CQ924" s="49"/>
      <c r="CR924" s="49"/>
      <c r="CS924" s="208"/>
      <c r="CT924" s="43"/>
      <c r="CU924" s="119"/>
      <c r="CV924" s="45"/>
      <c r="CW924" s="12"/>
      <c r="ER924" s="309"/>
      <c r="ET924" s="311"/>
      <c r="FA924" s="291"/>
      <c r="GP924" s="13"/>
      <c r="GQ924" s="43"/>
      <c r="GR924" s="43"/>
      <c r="GS924" s="45"/>
      <c r="GT924" s="49"/>
      <c r="GU924" s="49"/>
      <c r="GV924" s="49"/>
      <c r="GW924" s="49"/>
      <c r="GX924" s="49"/>
      <c r="GY924" s="49"/>
      <c r="GZ924" s="49"/>
      <c r="HA924" s="208"/>
      <c r="HB924" s="231"/>
      <c r="HC924" s="231"/>
      <c r="HD924" s="231"/>
      <c r="HE924" s="231"/>
      <c r="HF924" s="231"/>
      <c r="HG924" s="231"/>
      <c r="HH924" s="231"/>
      <c r="HI924" s="232"/>
      <c r="KM924" s="12"/>
      <c r="KN924" s="317"/>
      <c r="KO924" s="317"/>
      <c r="KP924" s="317"/>
      <c r="KQ924" s="317"/>
      <c r="KR924" s="317"/>
      <c r="KS924" s="317"/>
      <c r="KT924" s="317"/>
      <c r="KU924" s="317"/>
      <c r="KV924" s="317"/>
      <c r="KW924" s="317"/>
      <c r="KX924" s="317"/>
      <c r="KY924" s="317"/>
      <c r="KZ924" s="317"/>
      <c r="LA924" s="317"/>
      <c r="LB924" s="317"/>
      <c r="LC924" s="317"/>
      <c r="LD924" s="317"/>
      <c r="LE924" s="317"/>
      <c r="LF924" s="317"/>
      <c r="LG924" s="317"/>
      <c r="LH924" s="317"/>
      <c r="LI924" s="317"/>
      <c r="LJ924" s="317"/>
      <c r="LK924" s="317"/>
      <c r="LL924" s="317"/>
      <c r="LM924" s="317"/>
      <c r="LN924" s="317"/>
      <c r="LO924" s="317"/>
      <c r="LP924" s="317"/>
      <c r="LQ924" s="317"/>
      <c r="LR924" s="317"/>
      <c r="LS924" s="317"/>
      <c r="LT924" s="317"/>
      <c r="LU924" s="317"/>
      <c r="LV924" s="317"/>
      <c r="LW924" s="317"/>
      <c r="LX924" s="317"/>
      <c r="LY924" s="317"/>
      <c r="LZ924" s="317"/>
      <c r="MA924" s="317"/>
      <c r="MB924" s="317"/>
      <c r="MC924" s="317"/>
      <c r="MD924" s="317"/>
      <c r="ME924" s="317"/>
      <c r="MF924" s="317"/>
      <c r="MG924" s="317"/>
      <c r="MH924" s="317"/>
      <c r="MI924" s="317"/>
      <c r="MJ924" s="317"/>
      <c r="MK924" s="317"/>
      <c r="ML924" s="317"/>
      <c r="MM924" s="317"/>
      <c r="MN924" s="317"/>
      <c r="MO924" s="317"/>
      <c r="MP924" s="317"/>
      <c r="MQ924" s="317"/>
      <c r="MR924" s="317"/>
      <c r="MS924" s="317"/>
      <c r="MT924" s="13"/>
      <c r="MU924" s="317"/>
      <c r="MV924" s="317"/>
      <c r="MW924" s="317"/>
      <c r="MX924" s="317"/>
      <c r="MY924" s="317"/>
      <c r="MZ924" s="13"/>
      <c r="NA924" s="12"/>
      <c r="NB924" s="317"/>
      <c r="NC924" s="317"/>
      <c r="ND924" s="317"/>
      <c r="NE924" s="317"/>
      <c r="NF924" s="317"/>
      <c r="NG924" s="317"/>
      <c r="NH924" s="317"/>
      <c r="NI924" s="317"/>
      <c r="NJ924" s="317"/>
      <c r="NK924" s="317"/>
      <c r="NL924" s="317"/>
      <c r="NM924" s="317"/>
      <c r="NN924" s="317"/>
      <c r="NO924" s="317"/>
      <c r="NP924" s="317"/>
      <c r="NQ924" s="317"/>
      <c r="NR924" s="317"/>
      <c r="NS924" s="317"/>
      <c r="NT924" s="317"/>
      <c r="NU924" s="317"/>
      <c r="NV924" s="317"/>
      <c r="NW924" s="317"/>
      <c r="NX924" s="317"/>
      <c r="NY924" s="317"/>
      <c r="NZ924" s="317"/>
      <c r="OA924" s="317"/>
      <c r="OB924" s="317"/>
      <c r="OC924" s="317"/>
      <c r="OD924" s="317"/>
      <c r="OE924" s="317"/>
      <c r="OF924" s="317"/>
      <c r="OG924" s="317"/>
      <c r="OH924" s="317"/>
      <c r="OI924" s="317"/>
      <c r="OJ924" s="317"/>
      <c r="OK924" s="317"/>
      <c r="OL924" s="317"/>
      <c r="OM924" s="317"/>
      <c r="ON924" s="317"/>
      <c r="OO924" s="317"/>
      <c r="OP924" s="317"/>
      <c r="OQ924" s="317"/>
      <c r="OR924" s="317"/>
      <c r="OS924" s="317"/>
      <c r="OT924" s="317"/>
      <c r="OU924" s="317"/>
      <c r="OV924" s="317"/>
      <c r="OW924" s="317"/>
      <c r="OX924" s="317"/>
      <c r="OY924" s="317"/>
      <c r="OZ924" s="317"/>
      <c r="PA924" s="317"/>
      <c r="PB924" s="317"/>
      <c r="PC924" s="317"/>
      <c r="PD924" s="317"/>
      <c r="PE924" s="317"/>
      <c r="PF924" s="317"/>
      <c r="PG924" s="317"/>
      <c r="PH924" s="317"/>
      <c r="PI924" s="317"/>
      <c r="PJ924" s="317"/>
      <c r="PK924" s="317"/>
      <c r="PL924" s="317"/>
      <c r="PM924" s="317"/>
      <c r="PN924" s="317"/>
      <c r="PO924" s="317"/>
      <c r="PP924" s="317"/>
      <c r="PQ924" s="317"/>
      <c r="PR924" s="317"/>
      <c r="PS924" s="317"/>
      <c r="PT924" s="317"/>
      <c r="PU924" s="317"/>
      <c r="PV924" s="317"/>
      <c r="PW924" s="317"/>
      <c r="PX924" s="317"/>
      <c r="PY924" s="317"/>
      <c r="PZ924" s="317"/>
      <c r="QA924" s="317"/>
      <c r="QB924" s="317"/>
      <c r="QC924" s="317"/>
      <c r="QD924" s="317"/>
      <c r="QE924" s="317"/>
      <c r="QF924" s="317"/>
      <c r="QG924" s="317"/>
      <c r="QH924" s="317"/>
      <c r="QI924" s="317"/>
      <c r="QJ924" s="317"/>
      <c r="QK924" s="317"/>
      <c r="QL924" s="317"/>
      <c r="QM924" s="317"/>
      <c r="QN924" s="317"/>
      <c r="QO924" s="317"/>
      <c r="QP924" s="317"/>
      <c r="QQ924" s="317"/>
      <c r="QR924" s="317"/>
      <c r="QS924" s="317"/>
      <c r="QT924" s="317"/>
      <c r="QU924" s="317"/>
      <c r="QV924" s="317"/>
      <c r="QW924" s="317"/>
      <c r="QX924" s="317"/>
      <c r="QY924" s="317"/>
      <c r="QZ924" s="317"/>
      <c r="RA924" s="317"/>
      <c r="RB924" s="317"/>
      <c r="RC924" s="317"/>
      <c r="RD924" s="317"/>
      <c r="RE924" s="317"/>
      <c r="RF924" s="317"/>
      <c r="RG924" s="317"/>
      <c r="RH924" s="317"/>
      <c r="RI924" s="317"/>
      <c r="RJ924" s="317"/>
      <c r="RK924" s="317"/>
      <c r="RL924" s="317"/>
      <c r="RM924" s="317"/>
      <c r="RN924" s="317"/>
      <c r="RO924" s="317"/>
      <c r="RP924" s="13"/>
      <c r="RQ924" s="317"/>
      <c r="RR924" s="317"/>
      <c r="RS924" s="317"/>
      <c r="RT924" s="317"/>
      <c r="RU924" s="317"/>
      <c r="RV924" s="13"/>
      <c r="SX924" s="14"/>
      <c r="SY924" s="15"/>
      <c r="SZ924" s="15"/>
      <c r="TA924" s="15"/>
      <c r="TB924" s="15"/>
      <c r="TC924" s="15"/>
      <c r="TD924" s="15"/>
      <c r="TE924" s="15"/>
      <c r="TF924" s="15"/>
      <c r="TG924" s="15"/>
      <c r="TH924" s="15"/>
      <c r="TI924" s="16"/>
      <c r="TQ924" s="15"/>
      <c r="TR924" s="15"/>
      <c r="TS924" s="15"/>
      <c r="TT924" s="15"/>
      <c r="TU924" s="15"/>
      <c r="TV924" s="12"/>
      <c r="WL924" s="13"/>
    </row>
    <row r="925" spans="82:610" ht="10.75" customHeight="1">
      <c r="CD925" s="229"/>
      <c r="CE925" s="231"/>
      <c r="CF925" s="231"/>
      <c r="CG925" s="231"/>
      <c r="CH925" s="231"/>
      <c r="CI925" s="231"/>
      <c r="CJ925" s="229"/>
      <c r="CK925" s="231"/>
      <c r="CL925" s="214"/>
      <c r="CM925" s="49"/>
      <c r="CN925" s="49"/>
      <c r="CO925" s="49"/>
      <c r="CP925" s="49"/>
      <c r="CQ925" s="49"/>
      <c r="CR925" s="49"/>
      <c r="CS925" s="208"/>
      <c r="CT925" s="47"/>
      <c r="CU925" s="47"/>
      <c r="CV925" s="48"/>
      <c r="CW925" s="14"/>
      <c r="CX925" s="15"/>
      <c r="CY925" s="15"/>
      <c r="CZ925" s="15"/>
      <c r="DA925" s="15"/>
      <c r="DB925" s="15"/>
      <c r="DC925" s="15"/>
      <c r="DD925" s="15"/>
      <c r="DE925" s="15"/>
      <c r="DF925" s="15"/>
      <c r="DG925" s="15"/>
      <c r="DH925" s="15"/>
      <c r="DI925" s="15"/>
      <c r="DJ925" s="15"/>
      <c r="DK925" s="15"/>
      <c r="DL925" s="15"/>
      <c r="DM925" s="15"/>
      <c r="DN925" s="15"/>
      <c r="DO925" s="15"/>
      <c r="DP925" s="15"/>
      <c r="DQ925" s="15"/>
      <c r="DR925" s="15"/>
      <c r="DS925" s="15"/>
      <c r="DT925" s="15"/>
      <c r="DU925" s="15"/>
      <c r="DV925" s="15"/>
      <c r="DW925" s="15"/>
      <c r="DX925" s="15"/>
      <c r="DY925" s="15"/>
      <c r="DZ925" s="15"/>
      <c r="EA925" s="15"/>
      <c r="EB925" s="15"/>
      <c r="EC925" s="15"/>
      <c r="ED925" s="15"/>
      <c r="EE925" s="15"/>
      <c r="EF925" s="15"/>
      <c r="EG925" s="15"/>
      <c r="EH925" s="15"/>
      <c r="EI925" s="15"/>
      <c r="EJ925" s="15"/>
      <c r="EK925" s="15"/>
      <c r="EL925" s="15"/>
      <c r="EM925" s="15"/>
      <c r="EN925" s="15"/>
      <c r="EO925" s="15"/>
      <c r="EP925" s="15"/>
      <c r="EQ925" s="15"/>
      <c r="ER925" s="310"/>
      <c r="ES925" s="15"/>
      <c r="ET925" s="312"/>
      <c r="EU925" s="15"/>
      <c r="EV925" s="15"/>
      <c r="EW925" s="15"/>
      <c r="EX925" s="15"/>
      <c r="EY925" s="15"/>
      <c r="EZ925" s="15"/>
      <c r="FA925" s="292"/>
      <c r="FB925" s="15"/>
      <c r="FC925" s="15"/>
      <c r="FD925" s="15"/>
      <c r="FE925" s="15"/>
      <c r="FF925" s="15"/>
      <c r="FG925" s="15"/>
      <c r="FH925" s="15"/>
      <c r="FI925" s="15"/>
      <c r="FJ925" s="15"/>
      <c r="FK925" s="15"/>
      <c r="FL925" s="15"/>
      <c r="FM925" s="15"/>
      <c r="FN925" s="15"/>
      <c r="FO925" s="15"/>
      <c r="FP925" s="15"/>
      <c r="FQ925" s="15"/>
      <c r="FR925" s="15"/>
      <c r="FS925" s="15"/>
      <c r="FT925" s="15"/>
      <c r="FU925" s="15"/>
      <c r="FV925" s="15"/>
      <c r="FW925" s="15"/>
      <c r="FX925" s="15"/>
      <c r="FY925" s="15"/>
      <c r="FZ925" s="15"/>
      <c r="GA925" s="15"/>
      <c r="GB925" s="15"/>
      <c r="GC925" s="15"/>
      <c r="GD925" s="15"/>
      <c r="GE925" s="15"/>
      <c r="GF925" s="15"/>
      <c r="GG925" s="15"/>
      <c r="GH925" s="15"/>
      <c r="GI925" s="15"/>
      <c r="GJ925" s="15"/>
      <c r="GK925" s="15"/>
      <c r="GL925" s="15"/>
      <c r="GM925" s="15"/>
      <c r="GN925" s="15"/>
      <c r="GO925" s="15"/>
      <c r="GP925" s="16"/>
      <c r="GQ925" s="56"/>
      <c r="GR925" s="57"/>
      <c r="GS925" s="58"/>
      <c r="GT925" s="49"/>
      <c r="GU925" s="49"/>
      <c r="GV925" s="49"/>
      <c r="GW925" s="49"/>
      <c r="GX925" s="49"/>
      <c r="GY925" s="49"/>
      <c r="GZ925" s="49"/>
      <c r="HA925" s="208"/>
      <c r="HB925" s="231"/>
      <c r="HC925" s="231"/>
      <c r="HD925" s="231"/>
      <c r="HE925" s="231"/>
      <c r="HF925" s="231"/>
      <c r="HG925" s="231"/>
      <c r="HH925" s="231"/>
      <c r="HI925" s="232"/>
      <c r="KM925" s="12"/>
      <c r="KN925" s="317"/>
      <c r="KO925" s="317"/>
      <c r="KP925" s="317"/>
      <c r="KQ925" s="317"/>
      <c r="KR925" s="317"/>
      <c r="KS925" s="317"/>
      <c r="KT925" s="317"/>
      <c r="KU925" s="317"/>
      <c r="KV925" s="317"/>
      <c r="KW925" s="317"/>
      <c r="KX925" s="317"/>
      <c r="KY925" s="317"/>
      <c r="KZ925" s="317"/>
      <c r="LA925" s="317"/>
      <c r="LB925" s="317"/>
      <c r="LC925" s="317"/>
      <c r="LD925" s="317"/>
      <c r="LE925" s="317"/>
      <c r="LF925" s="317"/>
      <c r="LG925" s="317"/>
      <c r="LH925" s="317"/>
      <c r="LI925" s="317"/>
      <c r="LJ925" s="317"/>
      <c r="LK925" s="317"/>
      <c r="LL925" s="317"/>
      <c r="LM925" s="317"/>
      <c r="LN925" s="317"/>
      <c r="LO925" s="317"/>
      <c r="LP925" s="317"/>
      <c r="LQ925" s="317"/>
      <c r="LR925" s="317"/>
      <c r="LS925" s="317"/>
      <c r="LT925" s="317"/>
      <c r="LU925" s="317"/>
      <c r="LV925" s="317"/>
      <c r="LW925" s="317"/>
      <c r="LX925" s="317"/>
      <c r="LY925" s="317"/>
      <c r="LZ925" s="317"/>
      <c r="MA925" s="317"/>
      <c r="MB925" s="317"/>
      <c r="MC925" s="317"/>
      <c r="MD925" s="317"/>
      <c r="ME925" s="317"/>
      <c r="MF925" s="317"/>
      <c r="MG925" s="317"/>
      <c r="MH925" s="317"/>
      <c r="MI925" s="317"/>
      <c r="MJ925" s="317"/>
      <c r="MK925" s="317"/>
      <c r="ML925" s="317"/>
      <c r="MM925" s="317"/>
      <c r="MN925" s="317"/>
      <c r="MO925" s="317"/>
      <c r="MP925" s="317"/>
      <c r="MQ925" s="317"/>
      <c r="MR925" s="317"/>
      <c r="MS925" s="317"/>
      <c r="MT925" s="13"/>
      <c r="MU925" s="317"/>
      <c r="MV925" s="317"/>
      <c r="MW925" s="317"/>
      <c r="MX925" s="317"/>
      <c r="MY925" s="317"/>
      <c r="MZ925" s="13"/>
      <c r="NA925" s="12"/>
      <c r="NB925" s="317"/>
      <c r="NC925" s="317"/>
      <c r="ND925" s="317"/>
      <c r="NE925" s="317"/>
      <c r="NF925" s="317"/>
      <c r="NG925" s="317"/>
      <c r="NH925" s="317"/>
      <c r="NI925" s="317"/>
      <c r="NJ925" s="317"/>
      <c r="NK925" s="317"/>
      <c r="NL925" s="317"/>
      <c r="NM925" s="317"/>
      <c r="NN925" s="317"/>
      <c r="NO925" s="317"/>
      <c r="NP925" s="317"/>
      <c r="NQ925" s="317"/>
      <c r="NR925" s="317"/>
      <c r="NS925" s="317"/>
      <c r="NT925" s="317"/>
      <c r="NU925" s="317"/>
      <c r="NV925" s="317"/>
      <c r="NW925" s="317"/>
      <c r="NX925" s="317"/>
      <c r="NY925" s="317"/>
      <c r="NZ925" s="317"/>
      <c r="OA925" s="317"/>
      <c r="OB925" s="317"/>
      <c r="OC925" s="317"/>
      <c r="OD925" s="317"/>
      <c r="OE925" s="317"/>
      <c r="OF925" s="317"/>
      <c r="OG925" s="317"/>
      <c r="OH925" s="317"/>
      <c r="OI925" s="317"/>
      <c r="OJ925" s="317"/>
      <c r="OK925" s="317"/>
      <c r="OL925" s="317"/>
      <c r="OM925" s="317"/>
      <c r="ON925" s="317"/>
      <c r="OO925" s="317"/>
      <c r="OP925" s="317"/>
      <c r="OQ925" s="317"/>
      <c r="OR925" s="317"/>
      <c r="OS925" s="317"/>
      <c r="OT925" s="317"/>
      <c r="OU925" s="317"/>
      <c r="OV925" s="317"/>
      <c r="OW925" s="317"/>
      <c r="OX925" s="317"/>
      <c r="OY925" s="317"/>
      <c r="OZ925" s="317"/>
      <c r="PA925" s="317"/>
      <c r="PB925" s="317"/>
      <c r="PC925" s="317"/>
      <c r="PD925" s="317"/>
      <c r="PE925" s="317"/>
      <c r="PF925" s="317"/>
      <c r="PG925" s="317"/>
      <c r="PH925" s="317"/>
      <c r="PI925" s="317"/>
      <c r="PJ925" s="317"/>
      <c r="PK925" s="317"/>
      <c r="PL925" s="317"/>
      <c r="PM925" s="317"/>
      <c r="PN925" s="317"/>
      <c r="PO925" s="317"/>
      <c r="PP925" s="317"/>
      <c r="PQ925" s="317"/>
      <c r="PR925" s="317"/>
      <c r="PS925" s="317"/>
      <c r="PT925" s="317"/>
      <c r="PU925" s="317"/>
      <c r="PV925" s="317"/>
      <c r="PW925" s="317"/>
      <c r="PX925" s="317"/>
      <c r="PY925" s="317"/>
      <c r="PZ925" s="317"/>
      <c r="QA925" s="317"/>
      <c r="QB925" s="317"/>
      <c r="QC925" s="317"/>
      <c r="QD925" s="317"/>
      <c r="QE925" s="317"/>
      <c r="QF925" s="317"/>
      <c r="QG925" s="317"/>
      <c r="QH925" s="317"/>
      <c r="QI925" s="317"/>
      <c r="QJ925" s="317"/>
      <c r="QK925" s="317"/>
      <c r="QL925" s="317"/>
      <c r="QM925" s="317"/>
      <c r="QN925" s="317"/>
      <c r="QO925" s="317"/>
      <c r="QP925" s="317"/>
      <c r="QQ925" s="317"/>
      <c r="QR925" s="317"/>
      <c r="QS925" s="317"/>
      <c r="QT925" s="317"/>
      <c r="QU925" s="317"/>
      <c r="QV925" s="317"/>
      <c r="QW925" s="317"/>
      <c r="QX925" s="317"/>
      <c r="QY925" s="317"/>
      <c r="QZ925" s="317"/>
      <c r="RA925" s="317"/>
      <c r="RB925" s="317"/>
      <c r="RC925" s="317"/>
      <c r="RD925" s="317"/>
      <c r="RE925" s="317"/>
      <c r="RF925" s="317"/>
      <c r="RG925" s="317"/>
      <c r="RH925" s="317"/>
      <c r="RI925" s="317"/>
      <c r="RJ925" s="317"/>
      <c r="RK925" s="317"/>
      <c r="RL925" s="317"/>
      <c r="RM925" s="317"/>
      <c r="RN925" s="317"/>
      <c r="RO925" s="317"/>
      <c r="RP925" s="13"/>
      <c r="RQ925" s="317"/>
      <c r="RR925" s="317"/>
      <c r="RS925" s="317"/>
      <c r="RT925" s="317"/>
      <c r="RU925" s="317"/>
      <c r="RV925" s="13"/>
      <c r="TJ925" s="9"/>
      <c r="TK925" s="10"/>
      <c r="TL925" s="10"/>
      <c r="TM925" s="10"/>
      <c r="TN925" s="10"/>
      <c r="TO925" s="10"/>
      <c r="TP925" s="10"/>
      <c r="TQ925" s="10"/>
      <c r="TR925" s="10"/>
      <c r="TS925" s="10"/>
      <c r="TT925" s="10"/>
      <c r="TU925" s="10"/>
      <c r="TV925" s="12"/>
      <c r="WL925" s="13"/>
    </row>
    <row r="926" spans="82:610" ht="10.75" customHeight="1">
      <c r="CD926" s="229"/>
      <c r="CE926" s="231"/>
      <c r="CF926" s="231"/>
      <c r="CG926" s="231"/>
      <c r="CH926" s="231"/>
      <c r="CI926" s="231"/>
      <c r="CJ926" s="229"/>
      <c r="CK926" s="231"/>
      <c r="CL926" s="214"/>
      <c r="CM926" s="49"/>
      <c r="CN926" s="49"/>
      <c r="CO926" s="49"/>
      <c r="CP926" s="49"/>
      <c r="CQ926" s="49"/>
      <c r="CR926" s="49"/>
      <c r="CS926" s="208"/>
      <c r="CT926" s="57"/>
      <c r="CU926" s="57"/>
      <c r="CV926" s="57"/>
      <c r="CW926" s="98"/>
      <c r="CX926" s="43"/>
      <c r="CY926" s="43"/>
      <c r="CZ926" s="43"/>
      <c r="DA926" s="43"/>
      <c r="DB926" s="43"/>
      <c r="DC926" s="43"/>
      <c r="DD926" s="43"/>
      <c r="DE926" s="43"/>
      <c r="DF926" s="43"/>
      <c r="DG926" s="43"/>
      <c r="DH926" s="43"/>
      <c r="DI926" s="43"/>
      <c r="DJ926" s="43"/>
      <c r="DK926" s="43"/>
      <c r="DL926" s="43"/>
      <c r="DM926" s="43"/>
      <c r="DN926" s="43"/>
      <c r="DO926" s="43"/>
      <c r="DP926" s="43"/>
      <c r="DQ926" s="43"/>
      <c r="DR926" s="43"/>
      <c r="DS926" s="43"/>
      <c r="DT926" s="43"/>
      <c r="DU926" s="43"/>
      <c r="DV926" s="43"/>
      <c r="DW926" s="43"/>
      <c r="DX926" s="43"/>
      <c r="DY926" s="43"/>
      <c r="DZ926" s="43"/>
      <c r="EA926" s="43"/>
      <c r="EB926" s="43"/>
      <c r="EC926" s="43"/>
      <c r="ED926" s="43"/>
      <c r="EE926" s="43"/>
      <c r="EF926" s="43"/>
      <c r="EG926" s="43"/>
      <c r="EH926" s="43"/>
      <c r="EI926" s="43"/>
      <c r="EJ926" s="43"/>
      <c r="EK926" s="43"/>
      <c r="EL926" s="43"/>
      <c r="EM926" s="43"/>
      <c r="EN926" s="43"/>
      <c r="EO926" s="43"/>
      <c r="EP926" s="43"/>
      <c r="EQ926" s="43"/>
      <c r="ER926" s="96"/>
      <c r="ES926" s="97"/>
      <c r="ET926" s="97"/>
      <c r="EU926" s="98"/>
      <c r="EV926" s="43"/>
      <c r="EW926" s="43"/>
      <c r="EX926" s="43"/>
      <c r="EY926" s="43"/>
      <c r="EZ926" s="43"/>
      <c r="FA926" s="43"/>
      <c r="FB926" s="43"/>
      <c r="FC926" s="43"/>
      <c r="FD926" s="43"/>
      <c r="FE926" s="43"/>
      <c r="FF926" s="43"/>
      <c r="FG926" s="43"/>
      <c r="FH926" s="43"/>
      <c r="FI926" s="43"/>
      <c r="FJ926" s="43"/>
      <c r="FK926" s="43"/>
      <c r="FL926" s="43"/>
      <c r="FM926" s="43"/>
      <c r="FN926" s="43"/>
      <c r="FO926" s="43"/>
      <c r="FP926" s="43"/>
      <c r="FQ926" s="43"/>
      <c r="FR926" s="43"/>
      <c r="FS926" s="43"/>
      <c r="FT926" s="43"/>
      <c r="FU926" s="43"/>
      <c r="FV926" s="43"/>
      <c r="FW926" s="43"/>
      <c r="FX926" s="43"/>
      <c r="FY926" s="43"/>
      <c r="FZ926" s="43"/>
      <c r="GA926" s="43"/>
      <c r="GB926" s="43"/>
      <c r="GC926" s="43"/>
      <c r="GD926" s="43"/>
      <c r="GE926" s="43"/>
      <c r="GF926" s="43"/>
      <c r="GG926" s="43"/>
      <c r="GH926" s="43"/>
      <c r="GI926" s="43"/>
      <c r="GJ926" s="43"/>
      <c r="GK926" s="43"/>
      <c r="GL926" s="43"/>
      <c r="GM926" s="43"/>
      <c r="GN926" s="43"/>
      <c r="GO926" s="43"/>
      <c r="GP926" s="43"/>
      <c r="GQ926" s="96"/>
      <c r="GR926" s="97"/>
      <c r="GS926" s="98"/>
      <c r="GT926" s="49"/>
      <c r="GU926" s="49"/>
      <c r="GV926" s="49"/>
      <c r="GW926" s="49"/>
      <c r="GX926" s="49"/>
      <c r="GY926" s="49"/>
      <c r="GZ926" s="49"/>
      <c r="HA926" s="208"/>
      <c r="HB926" s="231"/>
      <c r="HC926" s="231"/>
      <c r="HD926" s="231"/>
      <c r="HE926" s="231"/>
      <c r="HF926" s="231"/>
      <c r="HG926" s="231"/>
      <c r="HH926" s="231"/>
      <c r="HI926" s="232"/>
      <c r="KM926" s="12"/>
      <c r="KN926" s="317"/>
      <c r="KO926" s="317"/>
      <c r="KP926" s="317"/>
      <c r="KQ926" s="317"/>
      <c r="KR926" s="317"/>
      <c r="KS926" s="317"/>
      <c r="KT926" s="317"/>
      <c r="KU926" s="317"/>
      <c r="KV926" s="317"/>
      <c r="KW926" s="317"/>
      <c r="KX926" s="317"/>
      <c r="KY926" s="317"/>
      <c r="KZ926" s="317"/>
      <c r="LA926" s="317"/>
      <c r="LB926" s="317"/>
      <c r="LC926" s="317"/>
      <c r="LD926" s="317"/>
      <c r="LE926" s="317"/>
      <c r="LF926" s="317"/>
      <c r="LG926" s="317"/>
      <c r="LH926" s="317"/>
      <c r="LI926" s="317"/>
      <c r="LJ926" s="317"/>
      <c r="LK926" s="317"/>
      <c r="LL926" s="317"/>
      <c r="LM926" s="317"/>
      <c r="LN926" s="317"/>
      <c r="LO926" s="317"/>
      <c r="LP926" s="317"/>
      <c r="LQ926" s="317"/>
      <c r="LR926" s="317"/>
      <c r="LS926" s="317"/>
      <c r="LT926" s="317"/>
      <c r="LU926" s="317"/>
      <c r="LV926" s="317"/>
      <c r="LW926" s="317"/>
      <c r="LX926" s="317"/>
      <c r="LY926" s="317"/>
      <c r="LZ926" s="317"/>
      <c r="MA926" s="317"/>
      <c r="MB926" s="317"/>
      <c r="MC926" s="317"/>
      <c r="MD926" s="317"/>
      <c r="ME926" s="317"/>
      <c r="MF926" s="317"/>
      <c r="MG926" s="317"/>
      <c r="MH926" s="317"/>
      <c r="MI926" s="317"/>
      <c r="MJ926" s="317"/>
      <c r="MK926" s="317"/>
      <c r="ML926" s="317"/>
      <c r="MM926" s="317"/>
      <c r="MN926" s="317"/>
      <c r="MO926" s="317"/>
      <c r="MP926" s="317"/>
      <c r="MQ926" s="317"/>
      <c r="MR926" s="317"/>
      <c r="MS926" s="317"/>
      <c r="MT926" s="13"/>
      <c r="MU926" s="317"/>
      <c r="MV926" s="317"/>
      <c r="MW926" s="317"/>
      <c r="MX926" s="317"/>
      <c r="MY926" s="317"/>
      <c r="MZ926" s="13"/>
      <c r="NA926" s="12"/>
      <c r="NB926" s="317"/>
      <c r="NC926" s="317"/>
      <c r="ND926" s="317"/>
      <c r="NE926" s="317"/>
      <c r="NF926" s="317"/>
      <c r="NG926" s="317"/>
      <c r="NH926" s="317"/>
      <c r="NI926" s="317"/>
      <c r="NJ926" s="317"/>
      <c r="NK926" s="317"/>
      <c r="NL926" s="317"/>
      <c r="NM926" s="317"/>
      <c r="NN926" s="317"/>
      <c r="NO926" s="317"/>
      <c r="NP926" s="317"/>
      <c r="NQ926" s="317"/>
      <c r="NR926" s="317"/>
      <c r="NS926" s="317"/>
      <c r="NT926" s="317"/>
      <c r="NU926" s="317"/>
      <c r="NV926" s="317"/>
      <c r="NW926" s="317"/>
      <c r="NX926" s="317"/>
      <c r="NY926" s="317"/>
      <c r="NZ926" s="317"/>
      <c r="OA926" s="317"/>
      <c r="OB926" s="317"/>
      <c r="OC926" s="317"/>
      <c r="OD926" s="317"/>
      <c r="OE926" s="317"/>
      <c r="OF926" s="317"/>
      <c r="OG926" s="317"/>
      <c r="OH926" s="317"/>
      <c r="OI926" s="317"/>
      <c r="OJ926" s="317"/>
      <c r="OK926" s="317"/>
      <c r="OL926" s="317"/>
      <c r="OM926" s="317"/>
      <c r="ON926" s="317"/>
      <c r="OO926" s="317"/>
      <c r="OP926" s="317"/>
      <c r="OQ926" s="317"/>
      <c r="OR926" s="317"/>
      <c r="OS926" s="317"/>
      <c r="OT926" s="317"/>
      <c r="OU926" s="317"/>
      <c r="OV926" s="317"/>
      <c r="OW926" s="317"/>
      <c r="OX926" s="317"/>
      <c r="OY926" s="317"/>
      <c r="OZ926" s="317"/>
      <c r="PA926" s="317"/>
      <c r="PB926" s="317"/>
      <c r="PC926" s="317"/>
      <c r="PD926" s="317"/>
      <c r="PE926" s="317"/>
      <c r="PF926" s="317"/>
      <c r="PG926" s="317"/>
      <c r="PH926" s="317"/>
      <c r="PI926" s="317"/>
      <c r="PJ926" s="317"/>
      <c r="PK926" s="317"/>
      <c r="PL926" s="317"/>
      <c r="PM926" s="317"/>
      <c r="PN926" s="317"/>
      <c r="PO926" s="317"/>
      <c r="PP926" s="317"/>
      <c r="PQ926" s="317"/>
      <c r="PR926" s="317"/>
      <c r="PS926" s="317"/>
      <c r="PT926" s="317"/>
      <c r="PU926" s="317"/>
      <c r="PV926" s="317"/>
      <c r="PW926" s="317"/>
      <c r="PX926" s="317"/>
      <c r="PY926" s="317"/>
      <c r="PZ926" s="317"/>
      <c r="QA926" s="317"/>
      <c r="QB926" s="317"/>
      <c r="QC926" s="317"/>
      <c r="QD926" s="317"/>
      <c r="QE926" s="317"/>
      <c r="QF926" s="317"/>
      <c r="QG926" s="317"/>
      <c r="QH926" s="317"/>
      <c r="QI926" s="317"/>
      <c r="QJ926" s="317"/>
      <c r="QK926" s="317"/>
      <c r="QL926" s="317"/>
      <c r="QM926" s="317"/>
      <c r="QN926" s="317"/>
      <c r="QO926" s="317"/>
      <c r="QP926" s="317"/>
      <c r="QQ926" s="317"/>
      <c r="QR926" s="317"/>
      <c r="QS926" s="317"/>
      <c r="QT926" s="317"/>
      <c r="QU926" s="317"/>
      <c r="QV926" s="317"/>
      <c r="QW926" s="317"/>
      <c r="QX926" s="317"/>
      <c r="QY926" s="317"/>
      <c r="QZ926" s="317"/>
      <c r="RA926" s="317"/>
      <c r="RB926" s="317"/>
      <c r="RC926" s="317"/>
      <c r="RD926" s="317"/>
      <c r="RE926" s="317"/>
      <c r="RF926" s="317"/>
      <c r="RG926" s="317"/>
      <c r="RH926" s="317"/>
      <c r="RI926" s="317"/>
      <c r="RJ926" s="317"/>
      <c r="RK926" s="317"/>
      <c r="RL926" s="317"/>
      <c r="RM926" s="317"/>
      <c r="RN926" s="317"/>
      <c r="RO926" s="317"/>
      <c r="RP926" s="13"/>
      <c r="RQ926" s="317"/>
      <c r="RR926" s="317"/>
      <c r="RS926" s="317"/>
      <c r="RT926" s="317"/>
      <c r="RU926" s="317"/>
      <c r="RV926" s="13"/>
      <c r="TJ926" s="12"/>
      <c r="TV926" s="12"/>
      <c r="WL926" s="13"/>
    </row>
    <row r="927" spans="82:610" ht="10.75" customHeight="1">
      <c r="CD927" s="229"/>
      <c r="CE927" s="231"/>
      <c r="CF927" s="231"/>
      <c r="CG927" s="231"/>
      <c r="CH927" s="231"/>
      <c r="CI927" s="231"/>
      <c r="CJ927" s="229"/>
      <c r="CK927" s="231"/>
      <c r="CL927" s="214"/>
      <c r="CM927" s="49"/>
      <c r="CN927" s="49"/>
      <c r="CO927" s="49"/>
      <c r="CP927" s="49"/>
      <c r="CQ927" s="49"/>
      <c r="CR927" s="49"/>
      <c r="CS927" s="208"/>
      <c r="CT927" s="97"/>
      <c r="CU927" s="97"/>
      <c r="CV927" s="97"/>
      <c r="CW927" s="98"/>
      <c r="CX927" s="43"/>
      <c r="CY927" s="43"/>
      <c r="CZ927" s="43"/>
      <c r="DA927" s="43"/>
      <c r="DB927" s="43"/>
      <c r="DC927" s="43"/>
      <c r="DD927" s="43"/>
      <c r="DE927" s="43"/>
      <c r="DF927" s="43"/>
      <c r="DG927" s="43"/>
      <c r="DH927" s="43"/>
      <c r="DI927" s="43"/>
      <c r="DJ927" s="43"/>
      <c r="DK927" s="43"/>
      <c r="DL927" s="43"/>
      <c r="DM927" s="43"/>
      <c r="DN927" s="43"/>
      <c r="DO927" s="43"/>
      <c r="DP927" s="43"/>
      <c r="DQ927" s="43"/>
      <c r="DR927" s="43"/>
      <c r="DS927" s="43"/>
      <c r="DT927" s="43"/>
      <c r="DU927" s="43"/>
      <c r="DV927" s="43"/>
      <c r="DW927" s="43"/>
      <c r="DX927" s="43"/>
      <c r="DY927" s="43"/>
      <c r="DZ927" s="43"/>
      <c r="EA927" s="43"/>
      <c r="EB927" s="43"/>
      <c r="EC927" s="43"/>
      <c r="ED927" s="43"/>
      <c r="EE927" s="43"/>
      <c r="EF927" s="43"/>
      <c r="EG927" s="43"/>
      <c r="EH927" s="43"/>
      <c r="EI927" s="43"/>
      <c r="EJ927" s="43"/>
      <c r="EK927" s="43"/>
      <c r="EL927" s="43"/>
      <c r="EM927" s="43"/>
      <c r="EN927" s="43"/>
      <c r="EO927" s="43"/>
      <c r="EP927" s="43"/>
      <c r="EQ927" s="43"/>
      <c r="ER927" s="96"/>
      <c r="ES927" s="97"/>
      <c r="ET927" s="97"/>
      <c r="EU927" s="98"/>
      <c r="EV927" s="43"/>
      <c r="EW927" s="43"/>
      <c r="EX927" s="43"/>
      <c r="EY927" s="43"/>
      <c r="EZ927" s="43"/>
      <c r="FA927" s="43"/>
      <c r="FB927" s="43"/>
      <c r="FC927" s="43"/>
      <c r="FD927" s="43"/>
      <c r="FE927" s="43"/>
      <c r="FF927" s="43"/>
      <c r="FG927" s="43"/>
      <c r="FH927" s="43"/>
      <c r="FI927" s="43"/>
      <c r="FJ927" s="43"/>
      <c r="FK927" s="43"/>
      <c r="FL927" s="43"/>
      <c r="FM927" s="43"/>
      <c r="FN927" s="43"/>
      <c r="FO927" s="43"/>
      <c r="FP927" s="43"/>
      <c r="FQ927" s="43"/>
      <c r="FR927" s="43"/>
      <c r="FS927" s="43"/>
      <c r="FT927" s="43"/>
      <c r="FU927" s="43"/>
      <c r="FV927" s="43"/>
      <c r="FW927" s="43"/>
      <c r="FX927" s="43"/>
      <c r="FY927" s="43"/>
      <c r="FZ927" s="43"/>
      <c r="GA927" s="43"/>
      <c r="GB927" s="43"/>
      <c r="GC927" s="119"/>
      <c r="GD927" s="119"/>
      <c r="GE927" s="119"/>
      <c r="GF927" s="119"/>
      <c r="GG927" s="119"/>
      <c r="GH927" s="119"/>
      <c r="GI927" s="119"/>
      <c r="GJ927" s="119"/>
      <c r="GK927" s="119"/>
      <c r="GL927" s="119"/>
      <c r="GM927" s="119"/>
      <c r="GN927" s="119"/>
      <c r="GO927" s="43"/>
      <c r="GP927" s="43"/>
      <c r="GQ927" s="96"/>
      <c r="GR927" s="97"/>
      <c r="GS927" s="98"/>
      <c r="GT927" s="49"/>
      <c r="GU927" s="49"/>
      <c r="GV927" s="49"/>
      <c r="GW927" s="49"/>
      <c r="GX927" s="49"/>
      <c r="GY927" s="49"/>
      <c r="GZ927" s="49"/>
      <c r="HA927" s="208"/>
      <c r="HB927" s="231"/>
      <c r="HC927" s="231"/>
      <c r="HD927" s="231"/>
      <c r="HE927" s="231"/>
      <c r="HF927" s="231"/>
      <c r="HG927" s="231"/>
      <c r="HH927" s="231"/>
      <c r="HI927" s="232"/>
      <c r="KM927" s="12"/>
      <c r="KN927" s="317"/>
      <c r="KO927" s="317"/>
      <c r="KP927" s="317"/>
      <c r="KQ927" s="317"/>
      <c r="KR927" s="317"/>
      <c r="KS927" s="317"/>
      <c r="KT927" s="317"/>
      <c r="KU927" s="317"/>
      <c r="KV927" s="317"/>
      <c r="KW927" s="317"/>
      <c r="KX927" s="317"/>
      <c r="KY927" s="317"/>
      <c r="KZ927" s="317"/>
      <c r="LA927" s="317"/>
      <c r="LB927" s="317"/>
      <c r="LC927" s="317"/>
      <c r="LD927" s="317"/>
      <c r="LE927" s="317"/>
      <c r="LF927" s="317"/>
      <c r="LG927" s="317"/>
      <c r="LH927" s="317"/>
      <c r="LI927" s="317"/>
      <c r="LJ927" s="317"/>
      <c r="LK927" s="317"/>
      <c r="LL927" s="317"/>
      <c r="LM927" s="317"/>
      <c r="LN927" s="317"/>
      <c r="LO927" s="317"/>
      <c r="LP927" s="317"/>
      <c r="LQ927" s="317"/>
      <c r="LR927" s="317"/>
      <c r="LS927" s="317"/>
      <c r="LT927" s="317"/>
      <c r="LU927" s="317"/>
      <c r="LV927" s="317"/>
      <c r="LW927" s="317"/>
      <c r="LX927" s="317"/>
      <c r="LY927" s="317"/>
      <c r="LZ927" s="317"/>
      <c r="MA927" s="317"/>
      <c r="MB927" s="317"/>
      <c r="MC927" s="317"/>
      <c r="MD927" s="317"/>
      <c r="ME927" s="317"/>
      <c r="MF927" s="317"/>
      <c r="MG927" s="317"/>
      <c r="MH927" s="317"/>
      <c r="MI927" s="317"/>
      <c r="MJ927" s="317"/>
      <c r="MK927" s="317"/>
      <c r="ML927" s="317"/>
      <c r="MM927" s="317"/>
      <c r="MN927" s="317"/>
      <c r="MO927" s="317"/>
      <c r="MP927" s="317"/>
      <c r="MQ927" s="317"/>
      <c r="MR927" s="317"/>
      <c r="MS927" s="317"/>
      <c r="MT927" s="13"/>
      <c r="MU927" s="317"/>
      <c r="MV927" s="317"/>
      <c r="MW927" s="317"/>
      <c r="MX927" s="317"/>
      <c r="MY927" s="317"/>
      <c r="MZ927" s="13"/>
      <c r="NA927" s="12"/>
      <c r="NB927" s="317"/>
      <c r="NC927" s="317"/>
      <c r="ND927" s="317"/>
      <c r="NE927" s="317"/>
      <c r="NF927" s="317"/>
      <c r="NG927" s="317"/>
      <c r="NH927" s="317"/>
      <c r="NI927" s="317"/>
      <c r="NJ927" s="317"/>
      <c r="NK927" s="317"/>
      <c r="NL927" s="317"/>
      <c r="NM927" s="317"/>
      <c r="NN927" s="317"/>
      <c r="NO927" s="317"/>
      <c r="NP927" s="317"/>
      <c r="NQ927" s="317"/>
      <c r="NR927" s="317"/>
      <c r="NS927" s="317"/>
      <c r="NT927" s="317"/>
      <c r="NU927" s="317"/>
      <c r="NV927" s="317"/>
      <c r="NW927" s="317"/>
      <c r="NX927" s="317"/>
      <c r="NY927" s="317"/>
      <c r="NZ927" s="317"/>
      <c r="OA927" s="317"/>
      <c r="OB927" s="317"/>
      <c r="OC927" s="317"/>
      <c r="OD927" s="317"/>
      <c r="OE927" s="317"/>
      <c r="OF927" s="317"/>
      <c r="OG927" s="317"/>
      <c r="OH927" s="317"/>
      <c r="OI927" s="317"/>
      <c r="OJ927" s="317"/>
      <c r="OK927" s="317"/>
      <c r="OL927" s="317"/>
      <c r="OM927" s="317"/>
      <c r="ON927" s="317"/>
      <c r="OO927" s="317"/>
      <c r="OP927" s="317"/>
      <c r="OQ927" s="317"/>
      <c r="OR927" s="317"/>
      <c r="OS927" s="317"/>
      <c r="OT927" s="317"/>
      <c r="OU927" s="317"/>
      <c r="OV927" s="317"/>
      <c r="OW927" s="317"/>
      <c r="OX927" s="317"/>
      <c r="OY927" s="317"/>
      <c r="OZ927" s="317"/>
      <c r="PA927" s="317"/>
      <c r="PB927" s="317"/>
      <c r="PC927" s="317"/>
      <c r="PD927" s="317"/>
      <c r="PE927" s="317"/>
      <c r="PF927" s="317"/>
      <c r="PG927" s="317"/>
      <c r="PH927" s="317"/>
      <c r="PI927" s="317"/>
      <c r="PJ927" s="317"/>
      <c r="PK927" s="317"/>
      <c r="PL927" s="317"/>
      <c r="PM927" s="317"/>
      <c r="PN927" s="317"/>
      <c r="PO927" s="317"/>
      <c r="PP927" s="317"/>
      <c r="PQ927" s="317"/>
      <c r="PR927" s="317"/>
      <c r="PS927" s="317"/>
      <c r="PT927" s="317"/>
      <c r="PU927" s="317"/>
      <c r="PV927" s="317"/>
      <c r="PW927" s="317"/>
      <c r="PX927" s="317"/>
      <c r="PY927" s="317"/>
      <c r="PZ927" s="317"/>
      <c r="QA927" s="317"/>
      <c r="QB927" s="317"/>
      <c r="QC927" s="317"/>
      <c r="QD927" s="317"/>
      <c r="QE927" s="317"/>
      <c r="QF927" s="317"/>
      <c r="QG927" s="317"/>
      <c r="QH927" s="317"/>
      <c r="QI927" s="317"/>
      <c r="QJ927" s="317"/>
      <c r="QK927" s="317"/>
      <c r="QL927" s="317"/>
      <c r="QM927" s="317"/>
      <c r="QN927" s="317"/>
      <c r="QO927" s="317"/>
      <c r="QP927" s="317"/>
      <c r="QQ927" s="317"/>
      <c r="QR927" s="317"/>
      <c r="QS927" s="317"/>
      <c r="QT927" s="317"/>
      <c r="QU927" s="317"/>
      <c r="QV927" s="317"/>
      <c r="QW927" s="317"/>
      <c r="QX927" s="317"/>
      <c r="QY927" s="317"/>
      <c r="QZ927" s="317"/>
      <c r="RA927" s="317"/>
      <c r="RB927" s="317"/>
      <c r="RC927" s="317"/>
      <c r="RD927" s="317"/>
      <c r="RE927" s="317"/>
      <c r="RF927" s="317"/>
      <c r="RG927" s="317"/>
      <c r="RH927" s="317"/>
      <c r="RI927" s="317"/>
      <c r="RJ927" s="317"/>
      <c r="RK927" s="317"/>
      <c r="RL927" s="317"/>
      <c r="RM927" s="317"/>
      <c r="RN927" s="317"/>
      <c r="RO927" s="317"/>
      <c r="RP927" s="13"/>
      <c r="RQ927" s="317"/>
      <c r="RR927" s="317"/>
      <c r="RS927" s="317"/>
      <c r="RT927" s="317"/>
      <c r="RU927" s="317"/>
      <c r="RV927" s="13"/>
      <c r="TJ927" s="12"/>
      <c r="TV927" s="12"/>
      <c r="WL927" s="13"/>
    </row>
    <row r="928" spans="82:610" ht="10.75" customHeight="1">
      <c r="CD928" s="229"/>
      <c r="CE928" s="231"/>
      <c r="CF928" s="231"/>
      <c r="CG928" s="231"/>
      <c r="CH928" s="231"/>
      <c r="CI928" s="231"/>
      <c r="CJ928" s="230"/>
      <c r="CK928" s="233"/>
      <c r="CL928" s="236"/>
      <c r="CM928" s="258"/>
      <c r="CN928" s="258"/>
      <c r="CO928" s="258"/>
      <c r="CP928" s="258"/>
      <c r="CQ928" s="258"/>
      <c r="CR928" s="258"/>
      <c r="CS928" s="209"/>
      <c r="CT928" s="60"/>
      <c r="CU928" s="60"/>
      <c r="CV928" s="60"/>
      <c r="CW928" s="61"/>
      <c r="CX928" s="47"/>
      <c r="CY928" s="47"/>
      <c r="CZ928" s="47"/>
      <c r="DA928" s="47"/>
      <c r="DB928" s="47"/>
      <c r="DC928" s="47"/>
      <c r="DD928" s="47"/>
      <c r="DE928" s="47"/>
      <c r="DF928" s="47"/>
      <c r="DG928" s="47"/>
      <c r="DH928" s="47"/>
      <c r="DI928" s="47"/>
      <c r="DJ928" s="47"/>
      <c r="DK928" s="47"/>
      <c r="DL928" s="47"/>
      <c r="DM928" s="47"/>
      <c r="DN928" s="47"/>
      <c r="DO928" s="47"/>
      <c r="DP928" s="47"/>
      <c r="DQ928" s="47"/>
      <c r="DR928" s="47"/>
      <c r="DS928" s="47"/>
      <c r="DT928" s="47"/>
      <c r="DU928" s="47"/>
      <c r="DV928" s="47"/>
      <c r="DW928" s="47"/>
      <c r="DX928" s="47"/>
      <c r="DY928" s="47"/>
      <c r="DZ928" s="47"/>
      <c r="EA928" s="47"/>
      <c r="EB928" s="47"/>
      <c r="EC928" s="47"/>
      <c r="ED928" s="47"/>
      <c r="EE928" s="47"/>
      <c r="EF928" s="47"/>
      <c r="EG928" s="47"/>
      <c r="EH928" s="47"/>
      <c r="EI928" s="47"/>
      <c r="EJ928" s="47"/>
      <c r="EK928" s="47"/>
      <c r="EL928" s="47"/>
      <c r="EM928" s="47"/>
      <c r="EN928" s="47"/>
      <c r="EO928" s="47"/>
      <c r="EP928" s="47"/>
      <c r="EQ928" s="47"/>
      <c r="ER928" s="59"/>
      <c r="ES928" s="60"/>
      <c r="ET928" s="60"/>
      <c r="EU928" s="61"/>
      <c r="EV928" s="47"/>
      <c r="EW928" s="47"/>
      <c r="EX928" s="47"/>
      <c r="EY928" s="47"/>
      <c r="EZ928" s="47"/>
      <c r="FA928" s="47"/>
      <c r="FB928" s="47"/>
      <c r="FC928" s="47"/>
      <c r="FD928" s="47"/>
      <c r="FE928" s="47"/>
      <c r="FF928" s="47"/>
      <c r="FG928" s="47"/>
      <c r="FH928" s="47"/>
      <c r="FI928" s="47"/>
      <c r="FJ928" s="47"/>
      <c r="FK928" s="47"/>
      <c r="FL928" s="47"/>
      <c r="FM928" s="47"/>
      <c r="FN928" s="47"/>
      <c r="FO928" s="47"/>
      <c r="FP928" s="47"/>
      <c r="FQ928" s="47"/>
      <c r="FR928" s="47"/>
      <c r="FS928" s="47"/>
      <c r="FT928" s="47"/>
      <c r="FU928" s="47"/>
      <c r="FV928" s="47"/>
      <c r="FW928" s="47"/>
      <c r="FX928" s="47"/>
      <c r="FY928" s="47"/>
      <c r="FZ928" s="47"/>
      <c r="GA928" s="47"/>
      <c r="GB928" s="47"/>
      <c r="GC928" s="47"/>
      <c r="GD928" s="47"/>
      <c r="GE928" s="47"/>
      <c r="GF928" s="47"/>
      <c r="GG928" s="47"/>
      <c r="GH928" s="47"/>
      <c r="GI928" s="47"/>
      <c r="GJ928" s="47"/>
      <c r="GK928" s="47"/>
      <c r="GL928" s="47"/>
      <c r="GM928" s="47"/>
      <c r="GN928" s="47"/>
      <c r="GO928" s="47"/>
      <c r="GP928" s="47"/>
      <c r="GQ928" s="59"/>
      <c r="GR928" s="60"/>
      <c r="GS928" s="61"/>
      <c r="GT928" s="49"/>
      <c r="GU928" s="49"/>
      <c r="GV928" s="49"/>
      <c r="GW928" s="49"/>
      <c r="GX928" s="49"/>
      <c r="GY928" s="49"/>
      <c r="GZ928" s="49"/>
      <c r="HA928" s="208"/>
      <c r="HB928" s="231"/>
      <c r="HC928" s="231"/>
      <c r="HD928" s="231"/>
      <c r="HE928" s="231"/>
      <c r="HF928" s="231"/>
      <c r="HG928" s="231"/>
      <c r="HH928" s="231"/>
      <c r="HI928" s="232"/>
      <c r="KM928" s="12"/>
      <c r="KN928" s="317"/>
      <c r="KO928" s="317"/>
      <c r="KP928" s="317"/>
      <c r="KQ928" s="317"/>
      <c r="KR928" s="317"/>
      <c r="KS928" s="317"/>
      <c r="KT928" s="317"/>
      <c r="KU928" s="317"/>
      <c r="KV928" s="317"/>
      <c r="KW928" s="317"/>
      <c r="KX928" s="317"/>
      <c r="KY928" s="317"/>
      <c r="KZ928" s="317"/>
      <c r="LA928" s="317"/>
      <c r="LB928" s="317"/>
      <c r="LC928" s="317"/>
      <c r="LD928" s="317"/>
      <c r="LE928" s="317"/>
      <c r="LF928" s="317"/>
      <c r="LG928" s="317"/>
      <c r="LH928" s="317"/>
      <c r="LI928" s="317"/>
      <c r="LJ928" s="317"/>
      <c r="LK928" s="317"/>
      <c r="LL928" s="317"/>
      <c r="LM928" s="317"/>
      <c r="LN928" s="317"/>
      <c r="LO928" s="317"/>
      <c r="LP928" s="317"/>
      <c r="LQ928" s="317"/>
      <c r="LR928" s="317"/>
      <c r="LS928" s="317"/>
      <c r="LT928" s="317"/>
      <c r="LU928" s="317"/>
      <c r="LV928" s="317"/>
      <c r="LW928" s="317"/>
      <c r="LX928" s="317"/>
      <c r="LY928" s="317"/>
      <c r="LZ928" s="317"/>
      <c r="MA928" s="317"/>
      <c r="MB928" s="317"/>
      <c r="MC928" s="317"/>
      <c r="MD928" s="317"/>
      <c r="ME928" s="317"/>
      <c r="MF928" s="317"/>
      <c r="MG928" s="317"/>
      <c r="MH928" s="317"/>
      <c r="MI928" s="317"/>
      <c r="MJ928" s="317"/>
      <c r="MK928" s="317"/>
      <c r="ML928" s="317"/>
      <c r="MM928" s="317"/>
      <c r="MN928" s="317"/>
      <c r="MO928" s="317"/>
      <c r="MP928" s="317"/>
      <c r="MQ928" s="317"/>
      <c r="MR928" s="317"/>
      <c r="MS928" s="317"/>
      <c r="MT928" s="13"/>
      <c r="MU928" s="317"/>
      <c r="MV928" s="317"/>
      <c r="MW928" s="317"/>
      <c r="MX928" s="317"/>
      <c r="MY928" s="317"/>
      <c r="MZ928" s="13"/>
      <c r="NA928" s="12"/>
      <c r="NB928" s="317"/>
      <c r="NC928" s="317"/>
      <c r="ND928" s="317"/>
      <c r="NE928" s="317"/>
      <c r="NF928" s="317"/>
      <c r="NG928" s="317"/>
      <c r="NH928" s="317"/>
      <c r="NI928" s="317"/>
      <c r="NJ928" s="317"/>
      <c r="NK928" s="317"/>
      <c r="NL928" s="317"/>
      <c r="NM928" s="317"/>
      <c r="NN928" s="317"/>
      <c r="NO928" s="317"/>
      <c r="NP928" s="317"/>
      <c r="NQ928" s="317"/>
      <c r="NR928" s="317"/>
      <c r="NS928" s="317"/>
      <c r="NT928" s="317"/>
      <c r="NU928" s="317"/>
      <c r="NV928" s="317"/>
      <c r="NW928" s="317"/>
      <c r="NX928" s="317"/>
      <c r="NY928" s="317"/>
      <c r="NZ928" s="317"/>
      <c r="OA928" s="317"/>
      <c r="OB928" s="317"/>
      <c r="OC928" s="317"/>
      <c r="OD928" s="317"/>
      <c r="OE928" s="317"/>
      <c r="OF928" s="317"/>
      <c r="OG928" s="317"/>
      <c r="OH928" s="317"/>
      <c r="OI928" s="317"/>
      <c r="OJ928" s="317"/>
      <c r="OK928" s="317"/>
      <c r="OL928" s="317"/>
      <c r="OM928" s="317"/>
      <c r="ON928" s="317"/>
      <c r="OO928" s="317"/>
      <c r="OP928" s="317"/>
      <c r="OQ928" s="317"/>
      <c r="OR928" s="317"/>
      <c r="OS928" s="317"/>
      <c r="OT928" s="317"/>
      <c r="OU928" s="317"/>
      <c r="OV928" s="317"/>
      <c r="OW928" s="317"/>
      <c r="OX928" s="317"/>
      <c r="OY928" s="317"/>
      <c r="OZ928" s="317"/>
      <c r="PA928" s="317"/>
      <c r="PB928" s="317"/>
      <c r="PC928" s="317"/>
      <c r="PD928" s="317"/>
      <c r="PE928" s="317"/>
      <c r="PF928" s="317"/>
      <c r="PG928" s="317"/>
      <c r="PH928" s="317"/>
      <c r="PI928" s="317"/>
      <c r="PJ928" s="317"/>
      <c r="PK928" s="317"/>
      <c r="PL928" s="317"/>
      <c r="PM928" s="317"/>
      <c r="PN928" s="317"/>
      <c r="PO928" s="317"/>
      <c r="PP928" s="317"/>
      <c r="PQ928" s="317"/>
      <c r="PR928" s="317"/>
      <c r="PS928" s="317"/>
      <c r="PT928" s="317"/>
      <c r="PU928" s="317"/>
      <c r="PV928" s="317"/>
      <c r="PW928" s="317"/>
      <c r="PX928" s="317"/>
      <c r="PY928" s="317"/>
      <c r="PZ928" s="317"/>
      <c r="QA928" s="317"/>
      <c r="QB928" s="317"/>
      <c r="QC928" s="317"/>
      <c r="QD928" s="317"/>
      <c r="QE928" s="317"/>
      <c r="QF928" s="317"/>
      <c r="QG928" s="317"/>
      <c r="QH928" s="317"/>
      <c r="QI928" s="317"/>
      <c r="QJ928" s="317"/>
      <c r="QK928" s="317"/>
      <c r="QL928" s="317"/>
      <c r="QM928" s="317"/>
      <c r="QN928" s="317"/>
      <c r="QO928" s="317"/>
      <c r="QP928" s="317"/>
      <c r="QQ928" s="317"/>
      <c r="QR928" s="317"/>
      <c r="QS928" s="317"/>
      <c r="QT928" s="317"/>
      <c r="QU928" s="317"/>
      <c r="QV928" s="317"/>
      <c r="QW928" s="317"/>
      <c r="QX928" s="317"/>
      <c r="QY928" s="317"/>
      <c r="QZ928" s="317"/>
      <c r="RA928" s="317"/>
      <c r="RB928" s="317"/>
      <c r="RC928" s="317"/>
      <c r="RD928" s="317"/>
      <c r="RE928" s="317"/>
      <c r="RF928" s="317"/>
      <c r="RG928" s="317"/>
      <c r="RH928" s="317"/>
      <c r="RI928" s="317"/>
      <c r="RJ928" s="317"/>
      <c r="RK928" s="317"/>
      <c r="RL928" s="317"/>
      <c r="RM928" s="317"/>
      <c r="RN928" s="317"/>
      <c r="RO928" s="317"/>
      <c r="RP928" s="13"/>
      <c r="RQ928" s="317"/>
      <c r="RR928" s="317"/>
      <c r="RS928" s="317"/>
      <c r="RT928" s="317"/>
      <c r="RU928" s="317"/>
      <c r="RV928" s="13"/>
      <c r="TJ928" s="12"/>
      <c r="TV928" s="12"/>
      <c r="WL928" s="13"/>
    </row>
    <row r="929" spans="82:610" ht="10.75" customHeight="1">
      <c r="CD929" s="229"/>
      <c r="CE929" s="231"/>
      <c r="CF929" s="231"/>
      <c r="CG929" s="231"/>
      <c r="CH929" s="231"/>
      <c r="CI929" s="231"/>
      <c r="CJ929" s="231"/>
      <c r="CK929" s="231"/>
      <c r="CL929" s="214"/>
      <c r="CM929" s="49"/>
      <c r="CN929" s="49"/>
      <c r="CO929" s="49"/>
      <c r="CP929" s="49"/>
      <c r="CQ929" s="49"/>
      <c r="CR929" s="49"/>
      <c r="CS929" s="49"/>
      <c r="CT929" s="49"/>
      <c r="CU929" s="49"/>
      <c r="CV929" s="49"/>
      <c r="CW929" s="49"/>
      <c r="CX929" s="49"/>
      <c r="CY929" s="49"/>
      <c r="CZ929" s="49"/>
      <c r="DA929" s="49"/>
      <c r="DB929" s="49"/>
      <c r="DC929" s="49"/>
      <c r="DD929" s="49"/>
      <c r="DE929" s="49"/>
      <c r="DF929" s="49"/>
      <c r="DG929" s="49"/>
      <c r="DH929" s="49"/>
      <c r="DI929" s="49"/>
      <c r="DJ929" s="49"/>
      <c r="DK929" s="49"/>
      <c r="DL929" s="49"/>
      <c r="DM929" s="49"/>
      <c r="DN929" s="49"/>
      <c r="DO929" s="49"/>
      <c r="DP929" s="49"/>
      <c r="DQ929" s="49"/>
      <c r="DR929" s="49"/>
      <c r="DS929" s="49"/>
      <c r="DT929" s="49"/>
      <c r="DU929" s="49"/>
      <c r="DV929" s="49"/>
      <c r="DW929" s="49"/>
      <c r="DX929" s="49"/>
      <c r="DY929" s="49"/>
      <c r="DZ929" s="49"/>
      <c r="EA929" s="49"/>
      <c r="EB929" s="49"/>
      <c r="EC929" s="49"/>
      <c r="ED929" s="49"/>
      <c r="EE929" s="49"/>
      <c r="EF929" s="49"/>
      <c r="EG929" s="49"/>
      <c r="EH929" s="49"/>
      <c r="EI929" s="49"/>
      <c r="EJ929" s="49"/>
      <c r="EK929" s="49"/>
      <c r="EL929" s="49"/>
      <c r="EM929" s="49"/>
      <c r="EN929" s="49"/>
      <c r="EO929" s="49"/>
      <c r="EP929" s="49"/>
      <c r="EQ929" s="49"/>
      <c r="ER929" s="49"/>
      <c r="ES929" s="49"/>
      <c r="ET929" s="49"/>
      <c r="EU929" s="49"/>
      <c r="EV929" s="49"/>
      <c r="EW929" s="49"/>
      <c r="EX929" s="49"/>
      <c r="EY929" s="49"/>
      <c r="EZ929" s="49"/>
      <c r="FA929" s="49"/>
      <c r="FB929" s="49"/>
      <c r="FC929" s="49"/>
      <c r="FD929" s="49"/>
      <c r="FE929" s="49"/>
      <c r="FF929" s="49"/>
      <c r="FG929" s="49"/>
      <c r="FH929" s="49"/>
      <c r="FI929" s="49"/>
      <c r="FJ929" s="49"/>
      <c r="FK929" s="49"/>
      <c r="FL929" s="49"/>
      <c r="FM929" s="49"/>
      <c r="FN929" s="49"/>
      <c r="FO929" s="49"/>
      <c r="FP929" s="49"/>
      <c r="FQ929" s="49"/>
      <c r="FR929" s="49"/>
      <c r="FS929" s="49"/>
      <c r="FT929" s="49"/>
      <c r="FU929" s="49"/>
      <c r="FV929" s="49"/>
      <c r="FW929" s="49"/>
      <c r="FX929" s="49"/>
      <c r="FY929" s="49"/>
      <c r="FZ929" s="49"/>
      <c r="GA929" s="49"/>
      <c r="GB929" s="49"/>
      <c r="GC929" s="49"/>
      <c r="GD929" s="49"/>
      <c r="GE929" s="49"/>
      <c r="GF929" s="49"/>
      <c r="GG929" s="49"/>
      <c r="GH929" s="49"/>
      <c r="GI929" s="49"/>
      <c r="GJ929" s="49"/>
      <c r="GK929" s="49"/>
      <c r="GL929" s="49"/>
      <c r="GM929" s="49"/>
      <c r="GN929" s="49"/>
      <c r="GO929" s="49"/>
      <c r="GP929" s="49"/>
      <c r="GQ929" s="49"/>
      <c r="GR929" s="49"/>
      <c r="GS929" s="49"/>
      <c r="GT929" s="49"/>
      <c r="GU929" s="49"/>
      <c r="GV929" s="49"/>
      <c r="GW929" s="49"/>
      <c r="GX929" s="49"/>
      <c r="GY929" s="49"/>
      <c r="GZ929" s="49"/>
      <c r="HA929" s="208"/>
      <c r="HB929" s="231"/>
      <c r="HC929" s="231"/>
      <c r="HD929" s="231"/>
      <c r="HE929" s="231"/>
      <c r="HF929" s="231"/>
      <c r="HG929" s="231"/>
      <c r="HH929" s="231"/>
      <c r="HI929" s="232"/>
      <c r="KM929" s="12"/>
      <c r="KN929" s="317"/>
      <c r="KO929" s="317"/>
      <c r="KP929" s="317"/>
      <c r="KQ929" s="317"/>
      <c r="KR929" s="317"/>
      <c r="KS929" s="317"/>
      <c r="KT929" s="317"/>
      <c r="KU929" s="317"/>
      <c r="KV929" s="317"/>
      <c r="KW929" s="317"/>
      <c r="KX929" s="317"/>
      <c r="KY929" s="317"/>
      <c r="KZ929" s="317"/>
      <c r="LA929" s="317"/>
      <c r="LB929" s="317"/>
      <c r="LC929" s="317"/>
      <c r="LD929" s="317"/>
      <c r="LE929" s="317"/>
      <c r="LF929" s="317"/>
      <c r="LG929" s="317"/>
      <c r="LH929" s="317"/>
      <c r="LI929" s="317"/>
      <c r="LJ929" s="317"/>
      <c r="LK929" s="317"/>
      <c r="LL929" s="317"/>
      <c r="LM929" s="317"/>
      <c r="LN929" s="317"/>
      <c r="LO929" s="317"/>
      <c r="LP929" s="317"/>
      <c r="LQ929" s="317"/>
      <c r="LR929" s="317"/>
      <c r="LS929" s="317"/>
      <c r="LT929" s="317"/>
      <c r="LU929" s="317"/>
      <c r="LV929" s="317"/>
      <c r="LW929" s="317"/>
      <c r="LX929" s="317"/>
      <c r="LY929" s="317"/>
      <c r="LZ929" s="317"/>
      <c r="MA929" s="317"/>
      <c r="MB929" s="317"/>
      <c r="MC929" s="317"/>
      <c r="MD929" s="317"/>
      <c r="ME929" s="317"/>
      <c r="MF929" s="317"/>
      <c r="MG929" s="317"/>
      <c r="MH929" s="317"/>
      <c r="MI929" s="317"/>
      <c r="MJ929" s="317"/>
      <c r="MK929" s="317"/>
      <c r="ML929" s="317"/>
      <c r="MM929" s="317"/>
      <c r="MN929" s="317"/>
      <c r="MO929" s="317"/>
      <c r="MP929" s="317"/>
      <c r="MQ929" s="317"/>
      <c r="MR929" s="317"/>
      <c r="MS929" s="317"/>
      <c r="MT929" s="13"/>
      <c r="MU929" s="317"/>
      <c r="MV929" s="317"/>
      <c r="MW929" s="317"/>
      <c r="MX929" s="317"/>
      <c r="MY929" s="317"/>
      <c r="MZ929" s="13"/>
      <c r="NA929" s="12"/>
      <c r="NB929" s="317"/>
      <c r="NC929" s="317"/>
      <c r="ND929" s="317"/>
      <c r="NE929" s="317"/>
      <c r="NF929" s="317"/>
      <c r="NG929" s="317"/>
      <c r="NH929" s="317"/>
      <c r="NI929" s="317"/>
      <c r="NJ929" s="317"/>
      <c r="NK929" s="317"/>
      <c r="NL929" s="317"/>
      <c r="NM929" s="317"/>
      <c r="NN929" s="317"/>
      <c r="NO929" s="317"/>
      <c r="NP929" s="317"/>
      <c r="NQ929" s="317"/>
      <c r="NR929" s="317"/>
      <c r="NS929" s="317"/>
      <c r="NT929" s="317"/>
      <c r="NU929" s="317"/>
      <c r="NV929" s="317"/>
      <c r="NW929" s="317"/>
      <c r="NX929" s="317"/>
      <c r="NY929" s="317"/>
      <c r="NZ929" s="317"/>
      <c r="OA929" s="317"/>
      <c r="OB929" s="317"/>
      <c r="OC929" s="317"/>
      <c r="OD929" s="317"/>
      <c r="OE929" s="317"/>
      <c r="OF929" s="317"/>
      <c r="OG929" s="317"/>
      <c r="OH929" s="317"/>
      <c r="OI929" s="317"/>
      <c r="OJ929" s="317"/>
      <c r="OK929" s="317"/>
      <c r="OL929" s="317"/>
      <c r="OM929" s="317"/>
      <c r="ON929" s="317"/>
      <c r="OO929" s="317"/>
      <c r="OP929" s="317"/>
      <c r="OQ929" s="317"/>
      <c r="OR929" s="317"/>
      <c r="OS929" s="317"/>
      <c r="OT929" s="317"/>
      <c r="OU929" s="317"/>
      <c r="OV929" s="317"/>
      <c r="OW929" s="317"/>
      <c r="OX929" s="317"/>
      <c r="OY929" s="317"/>
      <c r="OZ929" s="317"/>
      <c r="PA929" s="317"/>
      <c r="PB929" s="317"/>
      <c r="PC929" s="317"/>
      <c r="PD929" s="317"/>
      <c r="PE929" s="317"/>
      <c r="PF929" s="317"/>
      <c r="PG929" s="317"/>
      <c r="PH929" s="317"/>
      <c r="PI929" s="317"/>
      <c r="PJ929" s="317"/>
      <c r="PK929" s="317"/>
      <c r="PL929" s="317"/>
      <c r="PM929" s="317"/>
      <c r="PN929" s="317"/>
      <c r="PO929" s="317"/>
      <c r="PP929" s="317"/>
      <c r="PQ929" s="317"/>
      <c r="PR929" s="317"/>
      <c r="PS929" s="317"/>
      <c r="PT929" s="317"/>
      <c r="PU929" s="317"/>
      <c r="PV929" s="317"/>
      <c r="PW929" s="317"/>
      <c r="PX929" s="317"/>
      <c r="PY929" s="317"/>
      <c r="PZ929" s="317"/>
      <c r="QA929" s="317"/>
      <c r="QB929" s="317"/>
      <c r="QC929" s="317"/>
      <c r="QD929" s="317"/>
      <c r="QE929" s="317"/>
      <c r="QF929" s="317"/>
      <c r="QG929" s="317"/>
      <c r="QH929" s="317"/>
      <c r="QI929" s="317"/>
      <c r="QJ929" s="317"/>
      <c r="QK929" s="317"/>
      <c r="QL929" s="317"/>
      <c r="QM929" s="317"/>
      <c r="QN929" s="317"/>
      <c r="QO929" s="317"/>
      <c r="QP929" s="317"/>
      <c r="QQ929" s="317"/>
      <c r="QR929" s="317"/>
      <c r="QS929" s="317"/>
      <c r="QT929" s="317"/>
      <c r="QU929" s="317"/>
      <c r="QV929" s="317"/>
      <c r="QW929" s="317"/>
      <c r="QX929" s="317"/>
      <c r="QY929" s="317"/>
      <c r="QZ929" s="317"/>
      <c r="RA929" s="317"/>
      <c r="RB929" s="317"/>
      <c r="RC929" s="317"/>
      <c r="RD929" s="317"/>
      <c r="RE929" s="317"/>
      <c r="RF929" s="317"/>
      <c r="RG929" s="317"/>
      <c r="RH929" s="317"/>
      <c r="RI929" s="317"/>
      <c r="RJ929" s="317"/>
      <c r="RK929" s="317"/>
      <c r="RL929" s="317"/>
      <c r="RM929" s="317"/>
      <c r="RN929" s="317"/>
      <c r="RO929" s="317"/>
      <c r="RP929" s="13"/>
      <c r="RQ929" s="317"/>
      <c r="RR929" s="317"/>
      <c r="RS929" s="317"/>
      <c r="RT929" s="317"/>
      <c r="RU929" s="317"/>
      <c r="RV929" s="13"/>
      <c r="TJ929" s="12"/>
      <c r="TV929" s="12"/>
      <c r="WL929" s="13"/>
    </row>
    <row r="930" spans="82:610" ht="10.75" customHeight="1">
      <c r="CD930" s="229"/>
      <c r="CE930" s="231"/>
      <c r="CF930" s="231"/>
      <c r="CG930" s="231"/>
      <c r="CH930" s="231"/>
      <c r="CI930" s="231"/>
      <c r="CJ930" s="231"/>
      <c r="CK930" s="231"/>
      <c r="CL930" s="214"/>
      <c r="CM930" s="49"/>
      <c r="CN930" s="49"/>
      <c r="CO930" s="49"/>
      <c r="CP930" s="49"/>
      <c r="CQ930" s="49"/>
      <c r="CR930" s="49"/>
      <c r="CS930" s="49"/>
      <c r="CT930" s="49"/>
      <c r="CU930" s="49"/>
      <c r="CV930" s="49"/>
      <c r="CW930" s="49"/>
      <c r="CX930" s="49"/>
      <c r="CY930" s="49"/>
      <c r="CZ930" s="49"/>
      <c r="DA930" s="49"/>
      <c r="DB930" s="49"/>
      <c r="DC930" s="49"/>
      <c r="DD930" s="49"/>
      <c r="DE930" s="49"/>
      <c r="DF930" s="49"/>
      <c r="DG930" s="49"/>
      <c r="DH930" s="49"/>
      <c r="DI930" s="49"/>
      <c r="DJ930" s="49"/>
      <c r="DK930" s="49"/>
      <c r="DL930" s="49"/>
      <c r="DM930" s="49"/>
      <c r="DN930" s="49"/>
      <c r="DO930" s="49"/>
      <c r="DP930" s="49"/>
      <c r="DQ930" s="49"/>
      <c r="DR930" s="49"/>
      <c r="DS930" s="49"/>
      <c r="DT930" s="49"/>
      <c r="DU930" s="49"/>
      <c r="DV930" s="49"/>
      <c r="DW930" s="49"/>
      <c r="DX930" s="49"/>
      <c r="DY930" s="49"/>
      <c r="DZ930" s="49"/>
      <c r="EA930" s="49"/>
      <c r="EB930" s="49"/>
      <c r="EC930" s="49"/>
      <c r="ED930" s="49"/>
      <c r="EE930" s="49"/>
      <c r="EF930" s="49"/>
      <c r="EG930" s="49"/>
      <c r="EH930" s="49"/>
      <c r="EI930" s="49"/>
      <c r="EJ930" s="49"/>
      <c r="EK930" s="49"/>
      <c r="EL930" s="49"/>
      <c r="EM930" s="49"/>
      <c r="EN930" s="49"/>
      <c r="EO930" s="49"/>
      <c r="EP930" s="49"/>
      <c r="EQ930" s="49"/>
      <c r="ER930" s="49"/>
      <c r="ES930" s="49"/>
      <c r="ET930" s="49"/>
      <c r="EU930" s="49"/>
      <c r="EV930" s="49"/>
      <c r="EW930" s="49"/>
      <c r="EX930" s="49"/>
      <c r="EY930" s="49"/>
      <c r="EZ930" s="49"/>
      <c r="FA930" s="49"/>
      <c r="FB930" s="49"/>
      <c r="FC930" s="49"/>
      <c r="FD930" s="49"/>
      <c r="FE930" s="49"/>
      <c r="FF930" s="49"/>
      <c r="FG930" s="49"/>
      <c r="FH930" s="49"/>
      <c r="FI930" s="49"/>
      <c r="FJ930" s="49"/>
      <c r="FK930" s="49"/>
      <c r="FL930" s="49"/>
      <c r="FM930" s="49"/>
      <c r="FN930" s="49"/>
      <c r="FO930" s="49"/>
      <c r="FP930" s="49"/>
      <c r="FQ930" s="49"/>
      <c r="FR930" s="49"/>
      <c r="FS930" s="49"/>
      <c r="FT930" s="49"/>
      <c r="FU930" s="49"/>
      <c r="FV930" s="49"/>
      <c r="FW930" s="49"/>
      <c r="FX930" s="49"/>
      <c r="FY930" s="49"/>
      <c r="FZ930" s="49"/>
      <c r="GA930" s="49"/>
      <c r="GB930" s="49"/>
      <c r="GC930" s="49"/>
      <c r="GD930" s="49"/>
      <c r="GE930" s="49"/>
      <c r="GF930" s="49"/>
      <c r="GG930" s="49"/>
      <c r="GH930" s="49"/>
      <c r="GI930" s="49"/>
      <c r="GJ930" s="49"/>
      <c r="GK930" s="49"/>
      <c r="GL930" s="49"/>
      <c r="GM930" s="49"/>
      <c r="GN930" s="49"/>
      <c r="GO930" s="49"/>
      <c r="GP930" s="49"/>
      <c r="GQ930" s="49"/>
      <c r="GR930" s="49"/>
      <c r="GS930" s="49"/>
      <c r="GT930" s="49"/>
      <c r="GU930" s="49"/>
      <c r="GV930" s="49"/>
      <c r="GW930" s="49"/>
      <c r="GX930" s="49"/>
      <c r="GY930" s="49"/>
      <c r="GZ930" s="49"/>
      <c r="HA930" s="208"/>
      <c r="HB930" s="231"/>
      <c r="HC930" s="231"/>
      <c r="HD930" s="231"/>
      <c r="HE930" s="231"/>
      <c r="HF930" s="231"/>
      <c r="HG930" s="231"/>
      <c r="HH930" s="231"/>
      <c r="HI930" s="232"/>
      <c r="KM930" s="12"/>
      <c r="KN930" s="317"/>
      <c r="KO930" s="317"/>
      <c r="KP930" s="317"/>
      <c r="KQ930" s="317"/>
      <c r="KR930" s="317"/>
      <c r="KS930" s="317"/>
      <c r="KT930" s="317"/>
      <c r="KU930" s="317"/>
      <c r="KV930" s="317"/>
      <c r="KW930" s="317"/>
      <c r="KX930" s="317"/>
      <c r="KY930" s="317"/>
      <c r="KZ930" s="317"/>
      <c r="LA930" s="317"/>
      <c r="LB930" s="317"/>
      <c r="LC930" s="317"/>
      <c r="LD930" s="317"/>
      <c r="LE930" s="317"/>
      <c r="LF930" s="317"/>
      <c r="LG930" s="317"/>
      <c r="LH930" s="317"/>
      <c r="LI930" s="317"/>
      <c r="LJ930" s="317"/>
      <c r="LK930" s="317"/>
      <c r="LL930" s="317"/>
      <c r="LM930" s="317"/>
      <c r="LN930" s="317"/>
      <c r="LO930" s="317"/>
      <c r="LP930" s="317"/>
      <c r="LQ930" s="317"/>
      <c r="LR930" s="317"/>
      <c r="LS930" s="317"/>
      <c r="LT930" s="317"/>
      <c r="LU930" s="317"/>
      <c r="LV930" s="317"/>
      <c r="LW930" s="317"/>
      <c r="LX930" s="317"/>
      <c r="LY930" s="317"/>
      <c r="LZ930" s="317"/>
      <c r="MA930" s="317"/>
      <c r="MB930" s="317"/>
      <c r="MC930" s="317"/>
      <c r="MD930" s="317"/>
      <c r="ME930" s="317"/>
      <c r="MF930" s="317"/>
      <c r="MG930" s="317"/>
      <c r="MH930" s="317"/>
      <c r="MI930" s="317"/>
      <c r="MJ930" s="317"/>
      <c r="MK930" s="317"/>
      <c r="ML930" s="317"/>
      <c r="MM930" s="317"/>
      <c r="MN930" s="317"/>
      <c r="MO930" s="317"/>
      <c r="MP930" s="317"/>
      <c r="MQ930" s="317"/>
      <c r="MR930" s="317"/>
      <c r="MS930" s="317"/>
      <c r="MT930" s="13"/>
      <c r="MU930" s="317"/>
      <c r="MV930" s="317"/>
      <c r="MW930" s="317"/>
      <c r="MX930" s="317"/>
      <c r="MY930" s="317"/>
      <c r="MZ930" s="13"/>
      <c r="NA930" s="12"/>
      <c r="NB930" s="317"/>
      <c r="NC930" s="317"/>
      <c r="ND930" s="317"/>
      <c r="NE930" s="317"/>
      <c r="NF930" s="317"/>
      <c r="NG930" s="317"/>
      <c r="NH930" s="317"/>
      <c r="NI930" s="317"/>
      <c r="NJ930" s="317"/>
      <c r="NK930" s="317"/>
      <c r="NL930" s="317"/>
      <c r="NM930" s="317"/>
      <c r="NN930" s="317"/>
      <c r="NO930" s="317"/>
      <c r="NP930" s="317"/>
      <c r="NQ930" s="317"/>
      <c r="NR930" s="317"/>
      <c r="NS930" s="317"/>
      <c r="NT930" s="317"/>
      <c r="NU930" s="317"/>
      <c r="NV930" s="317"/>
      <c r="NW930" s="317"/>
      <c r="NX930" s="317"/>
      <c r="NY930" s="317"/>
      <c r="NZ930" s="317"/>
      <c r="OA930" s="317"/>
      <c r="OB930" s="317"/>
      <c r="OC930" s="317"/>
      <c r="OD930" s="317"/>
      <c r="OE930" s="317"/>
      <c r="OF930" s="317"/>
      <c r="OG930" s="317"/>
      <c r="OH930" s="317"/>
      <c r="OI930" s="317"/>
      <c r="OJ930" s="317"/>
      <c r="OK930" s="317"/>
      <c r="OL930" s="317"/>
      <c r="OM930" s="317"/>
      <c r="ON930" s="317"/>
      <c r="OO930" s="317"/>
      <c r="OP930" s="317"/>
      <c r="OQ930" s="317"/>
      <c r="OR930" s="317"/>
      <c r="OS930" s="317"/>
      <c r="OT930" s="317"/>
      <c r="OU930" s="317"/>
      <c r="OV930" s="317"/>
      <c r="OW930" s="317"/>
      <c r="OX930" s="317"/>
      <c r="OY930" s="317"/>
      <c r="OZ930" s="317"/>
      <c r="PA930" s="317"/>
      <c r="PB930" s="317"/>
      <c r="PC930" s="317"/>
      <c r="PD930" s="317"/>
      <c r="PE930" s="317"/>
      <c r="PF930" s="317"/>
      <c r="PG930" s="317"/>
      <c r="PH930" s="317"/>
      <c r="PI930" s="317"/>
      <c r="PJ930" s="317"/>
      <c r="PK930" s="317"/>
      <c r="PL930" s="317"/>
      <c r="PM930" s="317"/>
      <c r="PN930" s="317"/>
      <c r="PO930" s="317"/>
      <c r="PP930" s="317"/>
      <c r="PQ930" s="317"/>
      <c r="PR930" s="317"/>
      <c r="PS930" s="317"/>
      <c r="PT930" s="317"/>
      <c r="PU930" s="317"/>
      <c r="PV930" s="317"/>
      <c r="PW930" s="317"/>
      <c r="PX930" s="317"/>
      <c r="PY930" s="317"/>
      <c r="PZ930" s="317"/>
      <c r="QA930" s="317"/>
      <c r="QB930" s="317"/>
      <c r="QC930" s="317"/>
      <c r="QD930" s="317"/>
      <c r="QE930" s="317"/>
      <c r="QF930" s="317"/>
      <c r="QG930" s="317"/>
      <c r="QH930" s="317"/>
      <c r="QI930" s="317"/>
      <c r="QJ930" s="317"/>
      <c r="QK930" s="317"/>
      <c r="QL930" s="317"/>
      <c r="QM930" s="317"/>
      <c r="QN930" s="317"/>
      <c r="QO930" s="317"/>
      <c r="QP930" s="317"/>
      <c r="QQ930" s="317"/>
      <c r="QR930" s="317"/>
      <c r="QS930" s="317"/>
      <c r="QT930" s="317"/>
      <c r="QU930" s="317"/>
      <c r="QV930" s="317"/>
      <c r="QW930" s="317"/>
      <c r="QX930" s="317"/>
      <c r="QY930" s="317"/>
      <c r="QZ930" s="317"/>
      <c r="RA930" s="317"/>
      <c r="RB930" s="317"/>
      <c r="RC930" s="317"/>
      <c r="RD930" s="317"/>
      <c r="RE930" s="317"/>
      <c r="RF930" s="317"/>
      <c r="RG930" s="317"/>
      <c r="RH930" s="317"/>
      <c r="RI930" s="317"/>
      <c r="RJ930" s="317"/>
      <c r="RK930" s="317"/>
      <c r="RL930" s="317"/>
      <c r="RM930" s="317"/>
      <c r="RN930" s="317"/>
      <c r="RO930" s="317"/>
      <c r="RP930" s="13"/>
      <c r="RQ930" s="317"/>
      <c r="RR930" s="317"/>
      <c r="RS930" s="317"/>
      <c r="RT930" s="317"/>
      <c r="RU930" s="317"/>
      <c r="RV930" s="13"/>
      <c r="TJ930" s="12"/>
      <c r="TV930" s="12"/>
      <c r="WL930" s="13"/>
    </row>
    <row r="931" spans="82:610" ht="10.75" customHeight="1">
      <c r="CD931" s="229"/>
      <c r="CE931" s="231"/>
      <c r="CF931" s="231"/>
      <c r="CG931" s="231"/>
      <c r="CH931" s="231"/>
      <c r="CI931" s="231"/>
      <c r="CJ931" s="231"/>
      <c r="CK931" s="231"/>
      <c r="CL931" s="214"/>
      <c r="CM931" s="49"/>
      <c r="CN931" s="49"/>
      <c r="CO931" s="49"/>
      <c r="CP931" s="49"/>
      <c r="CQ931" s="49"/>
      <c r="CR931" s="49"/>
      <c r="CS931" s="49"/>
      <c r="CT931" s="49"/>
      <c r="CU931" s="49"/>
      <c r="CV931" s="49"/>
      <c r="CW931" s="49"/>
      <c r="CX931" s="49"/>
      <c r="CY931" s="49"/>
      <c r="CZ931" s="49"/>
      <c r="DA931" s="49"/>
      <c r="DB931" s="49"/>
      <c r="DC931" s="49"/>
      <c r="DD931" s="49"/>
      <c r="DE931" s="49"/>
      <c r="DF931" s="49"/>
      <c r="DG931" s="49"/>
      <c r="DH931" s="49"/>
      <c r="DI931" s="49"/>
      <c r="DJ931" s="49"/>
      <c r="DK931" s="49"/>
      <c r="DL931" s="49"/>
      <c r="DM931" s="49"/>
      <c r="DN931" s="49"/>
      <c r="DO931" s="49"/>
      <c r="DP931" s="49"/>
      <c r="DQ931" s="49"/>
      <c r="DR931" s="49"/>
      <c r="DS931" s="49"/>
      <c r="DT931" s="49"/>
      <c r="DU931" s="49"/>
      <c r="DV931" s="49"/>
      <c r="DW931" s="49"/>
      <c r="DX931" s="49"/>
      <c r="DY931" s="49"/>
      <c r="DZ931" s="49"/>
      <c r="EA931" s="49"/>
      <c r="EB931" s="49"/>
      <c r="EC931" s="49"/>
      <c r="ED931" s="49"/>
      <c r="EE931" s="49"/>
      <c r="EF931" s="49"/>
      <c r="EG931" s="49"/>
      <c r="EH931" s="49"/>
      <c r="EI931" s="49"/>
      <c r="EJ931" s="49"/>
      <c r="EK931" s="49"/>
      <c r="EL931" s="49"/>
      <c r="EM931" s="49"/>
      <c r="EN931" s="49"/>
      <c r="EO931" s="49"/>
      <c r="EP931" s="49"/>
      <c r="EQ931" s="49"/>
      <c r="ER931" s="49"/>
      <c r="ES931" s="49"/>
      <c r="ET931" s="49"/>
      <c r="EU931" s="49"/>
      <c r="EV931" s="49"/>
      <c r="EW931" s="49"/>
      <c r="EX931" s="49"/>
      <c r="EY931" s="49"/>
      <c r="EZ931" s="49"/>
      <c r="FA931" s="49"/>
      <c r="FB931" s="49"/>
      <c r="FC931" s="49"/>
      <c r="FD931" s="49"/>
      <c r="FE931" s="49"/>
      <c r="FF931" s="49"/>
      <c r="FG931" s="49"/>
      <c r="FH931" s="49"/>
      <c r="FI931" s="49"/>
      <c r="FJ931" s="49"/>
      <c r="FK931" s="49"/>
      <c r="FL931" s="49"/>
      <c r="FM931" s="49"/>
      <c r="FN931" s="49"/>
      <c r="FO931" s="49"/>
      <c r="FP931" s="49"/>
      <c r="FQ931" s="49"/>
      <c r="FR931" s="49"/>
      <c r="FS931" s="49"/>
      <c r="FT931" s="49"/>
      <c r="FU931" s="49"/>
      <c r="FV931" s="49"/>
      <c r="FW931" s="49"/>
      <c r="FX931" s="49"/>
      <c r="FY931" s="49"/>
      <c r="FZ931" s="49"/>
      <c r="GA931" s="49"/>
      <c r="GB931" s="49"/>
      <c r="GC931" s="49"/>
      <c r="GD931" s="49"/>
      <c r="GE931" s="49"/>
      <c r="GF931" s="49"/>
      <c r="GG931" s="49"/>
      <c r="GH931" s="49"/>
      <c r="GI931" s="49"/>
      <c r="GJ931" s="49"/>
      <c r="GK931" s="49"/>
      <c r="GL931" s="49"/>
      <c r="GM931" s="49"/>
      <c r="GN931" s="49"/>
      <c r="GO931" s="49"/>
      <c r="GP931" s="49"/>
      <c r="GQ931" s="49"/>
      <c r="GR931" s="49"/>
      <c r="GS931" s="49"/>
      <c r="GT931" s="49"/>
      <c r="GU931" s="49"/>
      <c r="GV931" s="49"/>
      <c r="GW931" s="49"/>
      <c r="GX931" s="49"/>
      <c r="GY931" s="49"/>
      <c r="GZ931" s="49"/>
      <c r="HA931" s="208"/>
      <c r="HB931" s="231"/>
      <c r="HC931" s="231"/>
      <c r="HD931" s="231"/>
      <c r="HE931" s="231"/>
      <c r="HF931" s="231"/>
      <c r="HG931" s="231"/>
      <c r="HH931" s="231"/>
      <c r="HI931" s="232"/>
      <c r="KM931" s="14"/>
      <c r="KN931" s="15"/>
      <c r="KO931" s="15"/>
      <c r="KP931" s="15"/>
      <c r="KQ931" s="15"/>
      <c r="KR931" s="15"/>
      <c r="KS931" s="15"/>
      <c r="KT931" s="15"/>
      <c r="KU931" s="15"/>
      <c r="KV931" s="15"/>
      <c r="KW931" s="15"/>
      <c r="KX931" s="15"/>
      <c r="KY931" s="15"/>
      <c r="KZ931" s="15"/>
      <c r="LA931" s="15"/>
      <c r="LB931" s="15"/>
      <c r="LC931" s="15"/>
      <c r="LD931" s="15"/>
      <c r="LE931" s="15"/>
      <c r="LF931" s="15"/>
      <c r="LG931" s="15"/>
      <c r="LH931" s="15"/>
      <c r="LI931" s="15"/>
      <c r="LJ931" s="15"/>
      <c r="LK931" s="15"/>
      <c r="LL931" s="15"/>
      <c r="LM931" s="15"/>
      <c r="LN931" s="15"/>
      <c r="LO931" s="15"/>
      <c r="LP931" s="15"/>
      <c r="LQ931" s="15"/>
      <c r="LR931" s="15"/>
      <c r="LS931" s="15"/>
      <c r="LT931" s="15"/>
      <c r="LU931" s="15"/>
      <c r="LV931" s="15"/>
      <c r="LW931" s="15"/>
      <c r="LX931" s="15"/>
      <c r="LY931" s="15"/>
      <c r="LZ931" s="15"/>
      <c r="MA931" s="15"/>
      <c r="MB931" s="15"/>
      <c r="MC931" s="15"/>
      <c r="MD931" s="15"/>
      <c r="ME931" s="15"/>
      <c r="MF931" s="15"/>
      <c r="MG931" s="15"/>
      <c r="MH931" s="15"/>
      <c r="MI931" s="15"/>
      <c r="MJ931" s="15"/>
      <c r="MK931" s="15"/>
      <c r="ML931" s="15"/>
      <c r="MM931" s="15"/>
      <c r="MN931" s="15"/>
      <c r="MO931" s="15"/>
      <c r="MP931" s="15"/>
      <c r="MQ931" s="15"/>
      <c r="MR931" s="15"/>
      <c r="MS931" s="15"/>
      <c r="MT931" s="16"/>
      <c r="MU931" s="15"/>
      <c r="MV931" s="15"/>
      <c r="MW931" s="15"/>
      <c r="MX931" s="15"/>
      <c r="MY931" s="15"/>
      <c r="MZ931" s="16"/>
      <c r="NA931" s="14"/>
      <c r="NB931" s="15"/>
      <c r="NC931" s="15"/>
      <c r="ND931" s="15"/>
      <c r="NE931" s="15"/>
      <c r="NF931" s="15"/>
      <c r="NG931" s="15"/>
      <c r="NH931" s="15"/>
      <c r="NI931" s="15"/>
      <c r="NJ931" s="15"/>
      <c r="NK931" s="15"/>
      <c r="NL931" s="15"/>
      <c r="NM931" s="15"/>
      <c r="NN931" s="15"/>
      <c r="NO931" s="15"/>
      <c r="NP931" s="15"/>
      <c r="NQ931" s="15"/>
      <c r="NR931" s="15"/>
      <c r="NS931" s="15"/>
      <c r="NT931" s="15"/>
      <c r="NU931" s="15"/>
      <c r="NV931" s="15"/>
      <c r="NW931" s="15"/>
      <c r="NX931" s="15"/>
      <c r="NY931" s="15"/>
      <c r="NZ931" s="15"/>
      <c r="OA931" s="15"/>
      <c r="OB931" s="15"/>
      <c r="OC931" s="15"/>
      <c r="OD931" s="15"/>
      <c r="OE931" s="15"/>
      <c r="OF931" s="15"/>
      <c r="OG931" s="15"/>
      <c r="OH931" s="15"/>
      <c r="OI931" s="15"/>
      <c r="OJ931" s="15"/>
      <c r="OK931" s="15"/>
      <c r="OL931" s="15"/>
      <c r="OM931" s="15"/>
      <c r="ON931" s="15"/>
      <c r="OO931" s="15"/>
      <c r="OP931" s="15"/>
      <c r="OQ931" s="15"/>
      <c r="OR931" s="15"/>
      <c r="OS931" s="15"/>
      <c r="OT931" s="15"/>
      <c r="OU931" s="15"/>
      <c r="OV931" s="15"/>
      <c r="OW931" s="15"/>
      <c r="OX931" s="15"/>
      <c r="OY931" s="15"/>
      <c r="OZ931" s="15"/>
      <c r="PA931" s="15"/>
      <c r="PB931" s="15"/>
      <c r="PC931" s="15"/>
      <c r="PD931" s="15"/>
      <c r="PE931" s="15"/>
      <c r="PF931" s="15"/>
      <c r="PG931" s="15"/>
      <c r="PH931" s="15"/>
      <c r="PI931" s="15"/>
      <c r="PJ931" s="15"/>
      <c r="PK931" s="15"/>
      <c r="PL931" s="15"/>
      <c r="PM931" s="15"/>
      <c r="PN931" s="15"/>
      <c r="PO931" s="15"/>
      <c r="PP931" s="15"/>
      <c r="PQ931" s="15"/>
      <c r="PR931" s="15"/>
      <c r="PS931" s="15"/>
      <c r="PT931" s="15"/>
      <c r="PU931" s="15"/>
      <c r="PV931" s="15"/>
      <c r="PW931" s="15"/>
      <c r="PX931" s="15"/>
      <c r="PY931" s="15"/>
      <c r="PZ931" s="15"/>
      <c r="QA931" s="15"/>
      <c r="QB931" s="15"/>
      <c r="QC931" s="15"/>
      <c r="QD931" s="15"/>
      <c r="QE931" s="15"/>
      <c r="QF931" s="15"/>
      <c r="QG931" s="15"/>
      <c r="QH931" s="15"/>
      <c r="QI931" s="15"/>
      <c r="QJ931" s="15"/>
      <c r="QK931" s="15"/>
      <c r="QL931" s="15"/>
      <c r="QM931" s="15"/>
      <c r="QN931" s="15"/>
      <c r="QO931" s="15"/>
      <c r="QP931" s="15"/>
      <c r="QQ931" s="15"/>
      <c r="QR931" s="15"/>
      <c r="QS931" s="15"/>
      <c r="QT931" s="15"/>
      <c r="QU931" s="15"/>
      <c r="QV931" s="15"/>
      <c r="QW931" s="15"/>
      <c r="QX931" s="15"/>
      <c r="QY931" s="15"/>
      <c r="QZ931" s="15"/>
      <c r="RA931" s="15"/>
      <c r="RB931" s="15"/>
      <c r="RC931" s="15"/>
      <c r="RD931" s="15"/>
      <c r="RE931" s="15"/>
      <c r="RF931" s="15"/>
      <c r="RG931" s="15"/>
      <c r="RH931" s="15"/>
      <c r="RI931" s="15"/>
      <c r="RJ931" s="15"/>
      <c r="RK931" s="15"/>
      <c r="RL931" s="15"/>
      <c r="RM931" s="15"/>
      <c r="RN931" s="15"/>
      <c r="RO931" s="15"/>
      <c r="RP931" s="16"/>
      <c r="RQ931" s="15"/>
      <c r="RR931" s="15"/>
      <c r="RS931" s="15"/>
      <c r="RT931" s="15"/>
      <c r="RU931" s="15"/>
      <c r="RV931" s="16"/>
      <c r="RW931" s="15"/>
      <c r="RX931" s="15"/>
      <c r="RY931" s="15"/>
      <c r="RZ931" s="15"/>
      <c r="SA931" s="15"/>
      <c r="SB931" s="15"/>
      <c r="SC931" s="15"/>
      <c r="SD931" s="15"/>
      <c r="SE931" s="15"/>
      <c r="SF931" s="15"/>
      <c r="SG931" s="15"/>
      <c r="SH931" s="15"/>
      <c r="SI931" s="15"/>
      <c r="SJ931" s="15"/>
      <c r="SK931" s="15"/>
      <c r="SL931" s="15"/>
      <c r="SM931" s="15"/>
      <c r="SN931" s="15"/>
      <c r="SO931" s="15"/>
      <c r="SP931" s="15"/>
      <c r="SQ931" s="15"/>
      <c r="SR931" s="15"/>
      <c r="SS931" s="15"/>
      <c r="ST931" s="15"/>
      <c r="SU931" s="15"/>
      <c r="SV931" s="15"/>
      <c r="SW931" s="15"/>
      <c r="SX931" s="15"/>
      <c r="SY931" s="15"/>
      <c r="SZ931" s="15"/>
      <c r="TA931" s="15"/>
      <c r="TB931" s="15"/>
      <c r="TC931" s="15"/>
      <c r="TD931" s="15"/>
      <c r="TE931" s="15"/>
      <c r="TF931" s="15"/>
      <c r="TG931" s="15"/>
      <c r="TH931" s="15"/>
      <c r="TI931" s="15"/>
      <c r="TJ931" s="14"/>
      <c r="TK931" s="15"/>
      <c r="TL931" s="15"/>
      <c r="TM931" s="15"/>
      <c r="TN931" s="15"/>
      <c r="TO931" s="15"/>
      <c r="TP931" s="15"/>
      <c r="TQ931" s="15"/>
      <c r="TR931" s="15"/>
      <c r="TS931" s="15"/>
      <c r="TT931" s="15"/>
      <c r="TU931" s="15"/>
      <c r="TV931" s="14"/>
      <c r="TW931" s="15"/>
      <c r="TX931" s="15"/>
      <c r="TY931" s="15"/>
      <c r="TZ931" s="15"/>
      <c r="UA931" s="15"/>
      <c r="UB931" s="15"/>
      <c r="UC931" s="15"/>
      <c r="UD931" s="15"/>
      <c r="UE931" s="15"/>
      <c r="UF931" s="15"/>
      <c r="UG931" s="15"/>
      <c r="UH931" s="15"/>
      <c r="UI931" s="15"/>
      <c r="UJ931" s="15"/>
      <c r="UK931" s="15"/>
      <c r="UL931" s="15"/>
      <c r="UM931" s="15"/>
      <c r="UN931" s="15"/>
      <c r="UO931" s="15"/>
      <c r="UP931" s="15"/>
      <c r="UQ931" s="15"/>
      <c r="UR931" s="15"/>
      <c r="US931" s="15"/>
      <c r="UT931" s="15"/>
      <c r="UU931" s="15"/>
      <c r="UV931" s="15"/>
      <c r="UW931" s="15"/>
      <c r="UX931" s="15"/>
      <c r="UY931" s="15"/>
      <c r="UZ931" s="15"/>
      <c r="VA931" s="15"/>
      <c r="VB931" s="15"/>
      <c r="VC931" s="15"/>
      <c r="VD931" s="15"/>
      <c r="VE931" s="15"/>
      <c r="VF931" s="15"/>
      <c r="VG931" s="15"/>
      <c r="VH931" s="15"/>
      <c r="VI931" s="15"/>
      <c r="VJ931" s="15"/>
      <c r="VK931" s="15"/>
      <c r="VL931" s="15"/>
      <c r="VM931" s="15"/>
      <c r="VN931" s="15"/>
      <c r="VO931" s="15"/>
      <c r="VP931" s="15"/>
      <c r="VQ931" s="15"/>
      <c r="VR931" s="15"/>
      <c r="VS931" s="15"/>
      <c r="VT931" s="15"/>
      <c r="VU931" s="15"/>
      <c r="VV931" s="15"/>
      <c r="VW931" s="15"/>
      <c r="VX931" s="15"/>
      <c r="VY931" s="15"/>
      <c r="VZ931" s="15"/>
      <c r="WA931" s="15"/>
      <c r="WB931" s="15"/>
      <c r="WC931" s="15"/>
      <c r="WD931" s="15"/>
      <c r="WE931" s="15"/>
      <c r="WF931" s="15"/>
      <c r="WG931" s="15"/>
      <c r="WH931" s="15"/>
      <c r="WI931" s="15"/>
      <c r="WJ931" s="15"/>
      <c r="WK931" s="15"/>
      <c r="WL931" s="16"/>
    </row>
    <row r="932" spans="82:610" ht="10.75" customHeight="1">
      <c r="CD932" s="229"/>
      <c r="CE932" s="231"/>
      <c r="CF932" s="231"/>
      <c r="CG932" s="231"/>
      <c r="CH932" s="231"/>
      <c r="CI932" s="231"/>
      <c r="CJ932" s="231"/>
      <c r="CK932" s="231"/>
      <c r="CL932" s="214"/>
      <c r="CM932" s="49"/>
      <c r="CN932" s="49"/>
      <c r="CO932" s="49"/>
      <c r="CP932" s="49"/>
      <c r="CQ932" s="49"/>
      <c r="CR932" s="49"/>
      <c r="CS932" s="49"/>
      <c r="CT932" s="49"/>
      <c r="CU932" s="49"/>
      <c r="CV932" s="49"/>
      <c r="CW932" s="49"/>
      <c r="CX932" s="49"/>
      <c r="CY932" s="49"/>
      <c r="CZ932" s="49"/>
      <c r="DA932" s="49"/>
      <c r="DB932" s="49"/>
      <c r="DC932" s="49"/>
      <c r="DD932" s="49"/>
      <c r="DE932" s="49"/>
      <c r="DF932" s="49"/>
      <c r="DG932" s="49"/>
      <c r="DH932" s="49"/>
      <c r="DI932" s="49"/>
      <c r="DJ932" s="49"/>
      <c r="DK932" s="49"/>
      <c r="DL932" s="49"/>
      <c r="DM932" s="49"/>
      <c r="DN932" s="49"/>
      <c r="DO932" s="49"/>
      <c r="DP932" s="49"/>
      <c r="DQ932" s="49"/>
      <c r="DR932" s="49"/>
      <c r="DS932" s="49"/>
      <c r="DT932" s="49"/>
      <c r="DU932" s="49"/>
      <c r="DV932" s="49"/>
      <c r="DW932" s="49"/>
      <c r="DX932" s="49"/>
      <c r="DY932" s="49"/>
      <c r="DZ932" s="49"/>
      <c r="EA932" s="49"/>
      <c r="EB932" s="49"/>
      <c r="EC932" s="49"/>
      <c r="ED932" s="49"/>
      <c r="EE932" s="49"/>
      <c r="EF932" s="49"/>
      <c r="EG932" s="49"/>
      <c r="EH932" s="49"/>
      <c r="EI932" s="49"/>
      <c r="EJ932" s="49"/>
      <c r="EK932" s="49"/>
      <c r="EL932" s="49"/>
      <c r="EM932" s="49"/>
      <c r="EN932" s="49"/>
      <c r="EO932" s="49"/>
      <c r="EP932" s="49"/>
      <c r="EQ932" s="49"/>
      <c r="ER932" s="49"/>
      <c r="ES932" s="49"/>
      <c r="ET932" s="49"/>
      <c r="EU932" s="49"/>
      <c r="EV932" s="49"/>
      <c r="EW932" s="49"/>
      <c r="EX932" s="49"/>
      <c r="EY932" s="49"/>
      <c r="EZ932" s="49"/>
      <c r="FA932" s="49"/>
      <c r="FB932" s="49"/>
      <c r="FC932" s="49"/>
      <c r="FD932" s="49"/>
      <c r="FE932" s="49"/>
      <c r="FF932" s="49"/>
      <c r="FG932" s="49"/>
      <c r="FH932" s="49"/>
      <c r="FI932" s="49"/>
      <c r="FJ932" s="49"/>
      <c r="FK932" s="49"/>
      <c r="FL932" s="49"/>
      <c r="FM932" s="49"/>
      <c r="FN932" s="49"/>
      <c r="FO932" s="49"/>
      <c r="FP932" s="49"/>
      <c r="FQ932" s="49"/>
      <c r="FR932" s="49"/>
      <c r="FS932" s="49"/>
      <c r="FT932" s="49"/>
      <c r="FU932" s="49"/>
      <c r="FV932" s="49"/>
      <c r="FW932" s="49"/>
      <c r="FX932" s="49"/>
      <c r="FY932" s="49"/>
      <c r="FZ932" s="49"/>
      <c r="GA932" s="49"/>
      <c r="GB932" s="49"/>
      <c r="GC932" s="49"/>
      <c r="GD932" s="49"/>
      <c r="GE932" s="49"/>
      <c r="GF932" s="49"/>
      <c r="GG932" s="49"/>
      <c r="GH932" s="49"/>
      <c r="GI932" s="49"/>
      <c r="GJ932" s="49"/>
      <c r="GK932" s="49"/>
      <c r="GL932" s="49"/>
      <c r="GM932" s="49"/>
      <c r="GN932" s="49"/>
      <c r="GO932" s="49"/>
      <c r="GP932" s="49"/>
      <c r="GQ932" s="49"/>
      <c r="GR932" s="49"/>
      <c r="GS932" s="49"/>
      <c r="GT932" s="49"/>
      <c r="GU932" s="49"/>
      <c r="GV932" s="49"/>
      <c r="GW932" s="49"/>
      <c r="GX932" s="49"/>
      <c r="GY932" s="49"/>
      <c r="GZ932" s="49"/>
      <c r="HA932" s="208"/>
      <c r="HB932" s="231"/>
      <c r="HC932" s="231"/>
      <c r="HD932" s="231"/>
      <c r="HE932" s="231"/>
      <c r="HF932" s="231"/>
      <c r="HG932" s="231"/>
      <c r="HH932" s="231"/>
      <c r="HI932" s="232"/>
      <c r="KM932" s="9"/>
      <c r="KN932" s="10"/>
      <c r="KO932" s="10"/>
      <c r="KP932" s="10"/>
      <c r="KQ932" s="10"/>
      <c r="KR932" s="10"/>
      <c r="KS932" s="10"/>
      <c r="KT932" s="10"/>
      <c r="KU932" s="10"/>
      <c r="KV932" s="10"/>
      <c r="KW932" s="10"/>
      <c r="KX932" s="10"/>
      <c r="KY932" s="10"/>
      <c r="KZ932" s="10"/>
      <c r="LA932" s="10"/>
      <c r="LB932" s="10"/>
      <c r="LC932" s="10"/>
      <c r="LD932" s="10"/>
      <c r="LE932" s="10"/>
      <c r="LF932" s="10"/>
      <c r="LG932" s="10"/>
      <c r="LH932" s="10"/>
      <c r="LI932" s="10"/>
      <c r="LJ932" s="10"/>
      <c r="LK932" s="10"/>
      <c r="LL932" s="10"/>
      <c r="LM932" s="10"/>
      <c r="LN932" s="10"/>
      <c r="LO932" s="10"/>
      <c r="LP932" s="10"/>
      <c r="LQ932" s="10"/>
      <c r="LR932" s="10"/>
      <c r="LS932" s="10"/>
      <c r="LT932" s="10"/>
      <c r="LU932" s="10"/>
      <c r="LV932" s="10"/>
      <c r="LW932" s="10"/>
      <c r="LX932" s="10"/>
      <c r="LY932" s="10"/>
      <c r="LZ932" s="10"/>
      <c r="MA932" s="10"/>
      <c r="MB932" s="10"/>
      <c r="MC932" s="10"/>
      <c r="MD932" s="10"/>
      <c r="ME932" s="10"/>
      <c r="MF932" s="10"/>
      <c r="MG932" s="10"/>
      <c r="MH932" s="10"/>
      <c r="MI932" s="10"/>
      <c r="MJ932" s="10"/>
      <c r="MK932" s="10"/>
      <c r="ML932" s="10"/>
      <c r="MM932" s="10"/>
      <c r="MN932" s="10"/>
      <c r="MO932" s="10"/>
      <c r="MP932" s="10"/>
      <c r="MQ932" s="10"/>
      <c r="MR932" s="10"/>
      <c r="MS932" s="10"/>
      <c r="MT932" s="10"/>
      <c r="MU932" s="10"/>
      <c r="MV932" s="10"/>
      <c r="MW932" s="10"/>
      <c r="MX932" s="10"/>
      <c r="MY932" s="10"/>
      <c r="MZ932" s="10"/>
      <c r="NA932" s="10"/>
      <c r="NB932" s="10"/>
      <c r="NC932" s="10"/>
      <c r="ND932" s="10"/>
      <c r="NE932" s="10"/>
      <c r="NF932" s="10"/>
      <c r="NG932" s="10"/>
      <c r="NH932" s="10"/>
      <c r="NI932" s="10"/>
      <c r="NJ932" s="10"/>
      <c r="NK932" s="10"/>
      <c r="NL932" s="10"/>
      <c r="NM932" s="10"/>
      <c r="NN932" s="10"/>
      <c r="NO932" s="10"/>
      <c r="NP932" s="10"/>
      <c r="NQ932" s="10"/>
      <c r="NR932" s="10"/>
      <c r="NS932" s="10"/>
      <c r="NT932" s="10"/>
      <c r="NU932" s="10"/>
      <c r="NV932" s="10"/>
      <c r="NW932" s="10"/>
      <c r="NX932" s="10"/>
      <c r="NY932" s="10"/>
      <c r="NZ932" s="10"/>
      <c r="OA932" s="10"/>
      <c r="OB932" s="10"/>
      <c r="OC932" s="10"/>
      <c r="OD932" s="10"/>
      <c r="OE932" s="10"/>
      <c r="OF932" s="10"/>
      <c r="OG932" s="10"/>
      <c r="OH932" s="10"/>
      <c r="OI932" s="10"/>
      <c r="OJ932" s="10"/>
      <c r="OK932" s="10"/>
      <c r="OL932" s="10"/>
      <c r="OM932" s="10"/>
      <c r="ON932" s="10"/>
      <c r="OO932" s="10"/>
      <c r="OP932" s="10"/>
      <c r="OQ932" s="10"/>
      <c r="OR932" s="10"/>
      <c r="OS932" s="10"/>
      <c r="OT932" s="10"/>
      <c r="OU932" s="10"/>
      <c r="OV932" s="10"/>
      <c r="OW932" s="10"/>
      <c r="OX932" s="10"/>
      <c r="OY932" s="10"/>
      <c r="OZ932" s="10"/>
      <c r="PA932" s="10"/>
      <c r="PB932" s="10"/>
      <c r="PC932" s="10"/>
      <c r="PD932" s="10"/>
      <c r="PE932" s="10"/>
      <c r="PF932" s="10"/>
      <c r="PG932" s="10"/>
      <c r="PH932" s="10"/>
      <c r="PI932" s="10"/>
      <c r="PJ932" s="10"/>
      <c r="PK932" s="10"/>
      <c r="PL932" s="10"/>
      <c r="PM932" s="10"/>
      <c r="PN932" s="10"/>
      <c r="PO932" s="10"/>
      <c r="PP932" s="10"/>
      <c r="PQ932" s="10"/>
      <c r="PR932" s="10"/>
      <c r="PS932" s="10"/>
      <c r="PT932" s="10"/>
      <c r="PU932" s="10"/>
      <c r="PV932" s="10"/>
      <c r="PW932" s="10"/>
      <c r="PX932" s="10"/>
      <c r="PY932" s="10"/>
      <c r="PZ932" s="10"/>
      <c r="QA932" s="10"/>
      <c r="QB932" s="10"/>
      <c r="QC932" s="10"/>
      <c r="QD932" s="10"/>
      <c r="QE932" s="10"/>
      <c r="QF932" s="10"/>
      <c r="QG932" s="10"/>
      <c r="QH932" s="10"/>
      <c r="QI932" s="10"/>
      <c r="QJ932" s="10"/>
      <c r="QK932" s="10"/>
      <c r="QL932" s="10"/>
      <c r="QM932" s="10"/>
      <c r="QN932" s="10"/>
      <c r="QO932" s="10"/>
      <c r="QP932" s="10"/>
      <c r="QQ932" s="10"/>
      <c r="QR932" s="10"/>
      <c r="QS932" s="10"/>
      <c r="QT932" s="10"/>
      <c r="QU932" s="10"/>
      <c r="QV932" s="10"/>
      <c r="QW932" s="10"/>
      <c r="QX932" s="10"/>
      <c r="QY932" s="10"/>
      <c r="QZ932" s="10"/>
      <c r="RA932" s="10"/>
      <c r="RB932" s="10"/>
      <c r="RC932" s="10"/>
      <c r="RD932" s="10"/>
      <c r="RE932" s="10"/>
      <c r="RF932" s="10"/>
      <c r="RG932" s="10"/>
      <c r="RH932" s="10"/>
      <c r="RI932" s="10"/>
      <c r="RJ932" s="10"/>
      <c r="RK932" s="10"/>
      <c r="RL932" s="10"/>
      <c r="RM932" s="10"/>
      <c r="RN932" s="10"/>
      <c r="RO932" s="10"/>
      <c r="RP932" s="10"/>
      <c r="RQ932" s="10"/>
      <c r="RR932" s="10"/>
      <c r="RS932" s="10"/>
      <c r="RT932" s="10"/>
      <c r="RU932" s="10"/>
      <c r="RV932" s="10"/>
      <c r="RW932" s="10"/>
      <c r="RX932" s="10"/>
      <c r="RY932" s="10"/>
      <c r="RZ932" s="10"/>
      <c r="SA932" s="10"/>
      <c r="SB932" s="10"/>
      <c r="SC932" s="10"/>
      <c r="SD932" s="10"/>
      <c r="SE932" s="10"/>
      <c r="SF932" s="10"/>
      <c r="SG932" s="10"/>
      <c r="SH932" s="10"/>
      <c r="SI932" s="10"/>
      <c r="SJ932" s="10"/>
      <c r="SK932" s="10"/>
      <c r="SL932" s="10"/>
      <c r="SM932" s="10"/>
      <c r="SN932" s="10"/>
      <c r="SO932" s="10"/>
      <c r="SP932" s="10"/>
      <c r="SQ932" s="10"/>
      <c r="SR932" s="10"/>
      <c r="SS932" s="10"/>
      <c r="ST932" s="10"/>
      <c r="SU932" s="10"/>
      <c r="SV932" s="10"/>
      <c r="SW932" s="10"/>
      <c r="SX932" s="10"/>
      <c r="SY932" s="10"/>
      <c r="SZ932" s="10"/>
      <c r="TA932" s="10"/>
      <c r="TB932" s="10"/>
      <c r="TC932" s="10"/>
      <c r="TD932" s="10"/>
      <c r="TE932" s="10"/>
      <c r="TF932" s="10"/>
      <c r="TG932" s="10"/>
      <c r="TH932" s="10"/>
      <c r="TI932" s="10"/>
      <c r="TJ932" s="10"/>
      <c r="TK932" s="10"/>
      <c r="TL932" s="10"/>
      <c r="TM932" s="10"/>
      <c r="TN932" s="10"/>
      <c r="TO932" s="10"/>
      <c r="TP932" s="10"/>
      <c r="TQ932" s="10"/>
      <c r="TR932" s="10"/>
      <c r="TS932" s="10"/>
      <c r="TT932" s="10"/>
      <c r="TU932" s="10"/>
      <c r="TV932" s="10"/>
      <c r="TW932" s="10"/>
      <c r="TX932" s="10"/>
      <c r="TY932" s="10"/>
      <c r="TZ932" s="10"/>
      <c r="UA932" s="10"/>
      <c r="UB932" s="10"/>
      <c r="UC932" s="10"/>
      <c r="UD932" s="10"/>
      <c r="UE932" s="10"/>
      <c r="UF932" s="10"/>
      <c r="UG932" s="10"/>
      <c r="UH932" s="10"/>
      <c r="UI932" s="10"/>
      <c r="UJ932" s="10"/>
      <c r="UK932" s="10"/>
      <c r="UL932" s="10"/>
      <c r="UM932" s="10"/>
      <c r="UN932" s="10"/>
      <c r="UO932" s="10"/>
      <c r="UP932" s="10"/>
      <c r="UQ932" s="10"/>
      <c r="UR932" s="10"/>
      <c r="US932" s="10"/>
      <c r="UT932" s="10"/>
      <c r="UU932" s="10"/>
      <c r="UV932" s="10"/>
      <c r="UW932" s="10"/>
      <c r="UX932" s="10"/>
      <c r="UY932" s="10"/>
      <c r="UZ932" s="10"/>
      <c r="VA932" s="10"/>
      <c r="VB932" s="10"/>
      <c r="VC932" s="10"/>
      <c r="VD932" s="10"/>
      <c r="VE932" s="10"/>
      <c r="VF932" s="10"/>
      <c r="VG932" s="10"/>
      <c r="VH932" s="10"/>
      <c r="VI932" s="10"/>
      <c r="VJ932" s="10"/>
      <c r="VK932" s="10"/>
      <c r="VL932" s="10"/>
      <c r="VM932" s="10"/>
      <c r="VN932" s="10"/>
      <c r="VO932" s="10"/>
      <c r="VP932" s="10"/>
      <c r="VQ932" s="10"/>
      <c r="VR932" s="10"/>
      <c r="VS932" s="10"/>
      <c r="VT932" s="10"/>
      <c r="VU932" s="10"/>
      <c r="VV932" s="10"/>
      <c r="VW932" s="10"/>
      <c r="VX932" s="10"/>
      <c r="VY932" s="10"/>
      <c r="VZ932" s="10"/>
      <c r="WA932" s="10"/>
      <c r="WB932" s="10"/>
      <c r="WC932" s="10"/>
      <c r="WD932" s="10"/>
      <c r="WE932" s="10"/>
      <c r="WF932" s="10"/>
      <c r="WG932" s="10"/>
      <c r="WH932" s="10"/>
      <c r="WI932" s="10"/>
      <c r="WJ932" s="10"/>
      <c r="WK932" s="10"/>
      <c r="WL932" s="11"/>
    </row>
    <row r="933" spans="82:610" ht="10.75" customHeight="1">
      <c r="CD933" s="229"/>
      <c r="CE933" s="231"/>
      <c r="CF933" s="231"/>
      <c r="CG933" s="231"/>
      <c r="CH933" s="231"/>
      <c r="CI933" s="231"/>
      <c r="CJ933" s="231"/>
      <c r="CK933" s="231"/>
      <c r="CL933" s="214"/>
      <c r="CM933" s="49"/>
      <c r="CN933" s="49"/>
      <c r="CO933" s="49"/>
      <c r="CP933" s="49"/>
      <c r="CQ933" s="49"/>
      <c r="CR933" s="49"/>
      <c r="CS933" s="49"/>
      <c r="CT933" s="49"/>
      <c r="CU933" s="49"/>
      <c r="CV933" s="49"/>
      <c r="CW933" s="49"/>
      <c r="CX933" s="49"/>
      <c r="CY933" s="49"/>
      <c r="CZ933" s="49"/>
      <c r="DA933" s="49"/>
      <c r="DB933" s="49"/>
      <c r="DC933" s="49"/>
      <c r="DD933" s="49"/>
      <c r="DE933" s="49"/>
      <c r="DF933" s="49"/>
      <c r="DG933" s="49"/>
      <c r="DH933" s="49"/>
      <c r="DI933" s="49"/>
      <c r="DJ933" s="49"/>
      <c r="DK933" s="49"/>
      <c r="DL933" s="49"/>
      <c r="DM933" s="49"/>
      <c r="DN933" s="49"/>
      <c r="DO933" s="49"/>
      <c r="DP933" s="49"/>
      <c r="DQ933" s="49"/>
      <c r="DR933" s="49"/>
      <c r="DS933" s="49"/>
      <c r="DT933" s="49"/>
      <c r="DU933" s="49"/>
      <c r="DV933" s="49"/>
      <c r="DW933" s="49"/>
      <c r="DX933" s="49"/>
      <c r="DY933" s="49"/>
      <c r="DZ933" s="49"/>
      <c r="EA933" s="49"/>
      <c r="EB933" s="49"/>
      <c r="EC933" s="49"/>
      <c r="ED933" s="49"/>
      <c r="EE933" s="49"/>
      <c r="EF933" s="49"/>
      <c r="EG933" s="49"/>
      <c r="EH933" s="49"/>
      <c r="EI933" s="49"/>
      <c r="EJ933" s="49"/>
      <c r="EK933" s="49"/>
      <c r="EL933" s="49"/>
      <c r="EM933" s="49"/>
      <c r="EN933" s="49"/>
      <c r="EO933" s="49"/>
      <c r="EP933" s="49"/>
      <c r="EQ933" s="49"/>
      <c r="ER933" s="49"/>
      <c r="ES933" s="49"/>
      <c r="ET933" s="49"/>
      <c r="EU933" s="49"/>
      <c r="EV933" s="49"/>
      <c r="EW933" s="49"/>
      <c r="EX933" s="49"/>
      <c r="EY933" s="49"/>
      <c r="EZ933" s="49"/>
      <c r="FA933" s="49"/>
      <c r="FB933" s="49"/>
      <c r="FC933" s="49"/>
      <c r="FD933" s="49"/>
      <c r="FE933" s="49"/>
      <c r="FF933" s="49"/>
      <c r="FG933" s="49"/>
      <c r="FH933" s="49"/>
      <c r="FI933" s="49"/>
      <c r="FJ933" s="49"/>
      <c r="FK933" s="49"/>
      <c r="FL933" s="49"/>
      <c r="FM933" s="49"/>
      <c r="FN933" s="49"/>
      <c r="FO933" s="49"/>
      <c r="FP933" s="49"/>
      <c r="FQ933" s="49"/>
      <c r="FR933" s="49"/>
      <c r="FS933" s="49"/>
      <c r="FT933" s="49"/>
      <c r="FU933" s="49"/>
      <c r="FV933" s="49"/>
      <c r="FW933" s="49"/>
      <c r="FX933" s="49"/>
      <c r="FY933" s="49"/>
      <c r="FZ933" s="49"/>
      <c r="GA933" s="49"/>
      <c r="GB933" s="49"/>
      <c r="GC933" s="49"/>
      <c r="GD933" s="49"/>
      <c r="GE933" s="49"/>
      <c r="GF933" s="49"/>
      <c r="GG933" s="49"/>
      <c r="GH933" s="49"/>
      <c r="GI933" s="49"/>
      <c r="GJ933" s="49"/>
      <c r="GK933" s="49"/>
      <c r="GL933" s="49"/>
      <c r="GM933" s="49"/>
      <c r="GN933" s="49"/>
      <c r="GO933" s="49"/>
      <c r="GP933" s="49"/>
      <c r="GQ933" s="49"/>
      <c r="GR933" s="49"/>
      <c r="GS933" s="49"/>
      <c r="GT933" s="49"/>
      <c r="GU933" s="49"/>
      <c r="GV933" s="49"/>
      <c r="GW933" s="49"/>
      <c r="GX933" s="49"/>
      <c r="GY933" s="49"/>
      <c r="GZ933" s="49"/>
      <c r="HA933" s="208"/>
      <c r="HB933" s="231"/>
      <c r="HC933" s="231"/>
      <c r="HD933" s="231"/>
      <c r="HE933" s="231"/>
      <c r="HF933" s="231"/>
      <c r="HG933" s="231"/>
      <c r="HH933" s="231"/>
      <c r="HI933" s="232"/>
      <c r="KM933" s="12"/>
      <c r="WL933" s="13"/>
    </row>
    <row r="934" spans="82:610" ht="10.75" customHeight="1">
      <c r="CD934" s="229"/>
      <c r="CE934" s="231"/>
      <c r="CF934" s="231"/>
      <c r="CG934" s="231"/>
      <c r="CH934" s="231"/>
      <c r="CI934" s="231"/>
      <c r="CJ934" s="231"/>
      <c r="CK934" s="231"/>
      <c r="CL934" s="214"/>
      <c r="CM934" s="49"/>
      <c r="CN934" s="49"/>
      <c r="CO934" s="49"/>
      <c r="CP934" s="49"/>
      <c r="CQ934" s="49"/>
      <c r="CR934" s="49"/>
      <c r="CS934" s="49"/>
      <c r="CT934" s="49"/>
      <c r="CU934" s="49"/>
      <c r="CV934" s="49"/>
      <c r="CW934" s="49"/>
      <c r="CX934" s="49"/>
      <c r="CY934" s="49"/>
      <c r="CZ934" s="49"/>
      <c r="DA934" s="49"/>
      <c r="DB934" s="49"/>
      <c r="DC934" s="49"/>
      <c r="DD934" s="49"/>
      <c r="DE934" s="49"/>
      <c r="DF934" s="49"/>
      <c r="DG934" s="49"/>
      <c r="DH934" s="49"/>
      <c r="DI934" s="49"/>
      <c r="DJ934" s="49"/>
      <c r="DK934" s="49"/>
      <c r="DL934" s="49"/>
      <c r="DM934" s="49"/>
      <c r="DN934" s="49"/>
      <c r="DO934" s="49"/>
      <c r="DP934" s="49"/>
      <c r="DQ934" s="49"/>
      <c r="DR934" s="49"/>
      <c r="DS934" s="49"/>
      <c r="DT934" s="49"/>
      <c r="DU934" s="49"/>
      <c r="DV934" s="49"/>
      <c r="DW934" s="49"/>
      <c r="DX934" s="49"/>
      <c r="DY934" s="49"/>
      <c r="DZ934" s="49"/>
      <c r="EA934" s="49"/>
      <c r="EB934" s="49"/>
      <c r="EC934" s="49"/>
      <c r="ED934" s="49"/>
      <c r="EE934" s="49"/>
      <c r="EF934" s="49"/>
      <c r="EG934" s="49"/>
      <c r="EH934" s="49"/>
      <c r="EI934" s="49"/>
      <c r="EJ934" s="49"/>
      <c r="EK934" s="49"/>
      <c r="EL934" s="49"/>
      <c r="EM934" s="49"/>
      <c r="EN934" s="49"/>
      <c r="EO934" s="49"/>
      <c r="EP934" s="49"/>
      <c r="EQ934" s="49"/>
      <c r="ER934" s="49"/>
      <c r="ES934" s="49"/>
      <c r="ET934" s="49"/>
      <c r="EU934" s="49"/>
      <c r="EV934" s="49"/>
      <c r="EW934" s="49"/>
      <c r="EX934" s="49"/>
      <c r="EY934" s="49"/>
      <c r="EZ934" s="49"/>
      <c r="FA934" s="49"/>
      <c r="FB934" s="49"/>
      <c r="FC934" s="49"/>
      <c r="FD934" s="49"/>
      <c r="FE934" s="49"/>
      <c r="FF934" s="49"/>
      <c r="FG934" s="49"/>
      <c r="FH934" s="49"/>
      <c r="FI934" s="49"/>
      <c r="FJ934" s="49"/>
      <c r="FK934" s="49"/>
      <c r="FL934" s="49"/>
      <c r="FM934" s="49"/>
      <c r="FN934" s="49"/>
      <c r="FO934" s="49"/>
      <c r="FP934" s="49"/>
      <c r="FQ934" s="49"/>
      <c r="FR934" s="49"/>
      <c r="FS934" s="49"/>
      <c r="FT934" s="49"/>
      <c r="FU934" s="49"/>
      <c r="FV934" s="49"/>
      <c r="FW934" s="49"/>
      <c r="FX934" s="49"/>
      <c r="FY934" s="49"/>
      <c r="FZ934" s="49"/>
      <c r="GA934" s="49"/>
      <c r="GB934" s="49"/>
      <c r="GC934" s="49"/>
      <c r="GD934" s="49"/>
      <c r="GE934" s="49"/>
      <c r="GF934" s="49"/>
      <c r="GG934" s="49"/>
      <c r="GH934" s="49"/>
      <c r="GI934" s="49"/>
      <c r="GJ934" s="49"/>
      <c r="GK934" s="49"/>
      <c r="GL934" s="49"/>
      <c r="GM934" s="49"/>
      <c r="GN934" s="49"/>
      <c r="GO934" s="49"/>
      <c r="GP934" s="49"/>
      <c r="GQ934" s="49"/>
      <c r="GR934" s="49"/>
      <c r="GS934" s="49"/>
      <c r="GT934" s="49"/>
      <c r="GU934" s="49"/>
      <c r="GV934" s="49"/>
      <c r="GW934" s="49"/>
      <c r="GX934" s="49"/>
      <c r="GY934" s="49"/>
      <c r="GZ934" s="49"/>
      <c r="HA934" s="208"/>
      <c r="HB934" s="231"/>
      <c r="HC934" s="231"/>
      <c r="HD934" s="231"/>
      <c r="HE934" s="231"/>
      <c r="HF934" s="231"/>
      <c r="HG934" s="231"/>
      <c r="HH934" s="231"/>
      <c r="HI934" s="232"/>
      <c r="KM934" s="12"/>
      <c r="WL934" s="13"/>
    </row>
    <row r="935" spans="82:610" ht="10.75" customHeight="1">
      <c r="CD935" s="229"/>
      <c r="CE935" s="231"/>
      <c r="CF935" s="231"/>
      <c r="CG935" s="231"/>
      <c r="CH935" s="231"/>
      <c r="CI935" s="231"/>
      <c r="CJ935" s="231"/>
      <c r="CK935" s="231"/>
      <c r="CL935" s="214"/>
      <c r="CM935" s="49"/>
      <c r="CN935" s="49"/>
      <c r="CO935" s="49"/>
      <c r="CP935" s="49"/>
      <c r="CQ935" s="49"/>
      <c r="CR935" s="49"/>
      <c r="CS935" s="49"/>
      <c r="CT935" s="49"/>
      <c r="CU935" s="49"/>
      <c r="CV935" s="49"/>
      <c r="CW935" s="49"/>
      <c r="CX935" s="49"/>
      <c r="CY935" s="49"/>
      <c r="CZ935" s="49"/>
      <c r="DA935" s="49"/>
      <c r="DB935" s="49"/>
      <c r="DC935" s="49"/>
      <c r="DD935" s="49"/>
      <c r="DE935" s="49"/>
      <c r="DF935" s="49"/>
      <c r="DG935" s="49"/>
      <c r="DH935" s="49"/>
      <c r="DI935" s="49"/>
      <c r="DJ935" s="49"/>
      <c r="DK935" s="49"/>
      <c r="DL935" s="49"/>
      <c r="DM935" s="49"/>
      <c r="DN935" s="49"/>
      <c r="DO935" s="49"/>
      <c r="DP935" s="49"/>
      <c r="DQ935" s="49"/>
      <c r="DR935" s="49"/>
      <c r="DS935" s="49"/>
      <c r="DT935" s="49"/>
      <c r="DU935" s="49"/>
      <c r="DV935" s="49"/>
      <c r="DW935" s="49"/>
      <c r="DX935" s="49"/>
      <c r="DY935" s="49"/>
      <c r="DZ935" s="49"/>
      <c r="EA935" s="49"/>
      <c r="EB935" s="49"/>
      <c r="EC935" s="49"/>
      <c r="ED935" s="49"/>
      <c r="EE935" s="49"/>
      <c r="EF935" s="49"/>
      <c r="EG935" s="49"/>
      <c r="EH935" s="49"/>
      <c r="EI935" s="49"/>
      <c r="EJ935" s="49"/>
      <c r="EK935" s="49"/>
      <c r="EL935" s="49"/>
      <c r="EM935" s="49"/>
      <c r="EN935" s="49"/>
      <c r="EO935" s="49"/>
      <c r="EP935" s="49"/>
      <c r="EQ935" s="49"/>
      <c r="ER935" s="49"/>
      <c r="ES935" s="49"/>
      <c r="ET935" s="49"/>
      <c r="EU935" s="49"/>
      <c r="EV935" s="49"/>
      <c r="EW935" s="49"/>
      <c r="EX935" s="49"/>
      <c r="EY935" s="49"/>
      <c r="EZ935" s="49"/>
      <c r="FA935" s="49"/>
      <c r="FB935" s="49"/>
      <c r="FC935" s="49"/>
      <c r="FD935" s="49"/>
      <c r="FE935" s="49"/>
      <c r="FF935" s="49"/>
      <c r="FG935" s="49"/>
      <c r="FH935" s="49"/>
      <c r="FI935" s="49"/>
      <c r="FJ935" s="49"/>
      <c r="FK935" s="49"/>
      <c r="FL935" s="49"/>
      <c r="FM935" s="49"/>
      <c r="FN935" s="49"/>
      <c r="FO935" s="49"/>
      <c r="FP935" s="49"/>
      <c r="FQ935" s="49"/>
      <c r="FR935" s="49"/>
      <c r="FS935" s="49"/>
      <c r="FT935" s="49"/>
      <c r="FU935" s="49"/>
      <c r="FV935" s="49"/>
      <c r="FW935" s="49"/>
      <c r="FX935" s="49"/>
      <c r="FY935" s="49"/>
      <c r="FZ935" s="49"/>
      <c r="GA935" s="49"/>
      <c r="GB935" s="49"/>
      <c r="GC935" s="49"/>
      <c r="GD935" s="49"/>
      <c r="GE935" s="49"/>
      <c r="GF935" s="49"/>
      <c r="GG935" s="49"/>
      <c r="GH935" s="49"/>
      <c r="GI935" s="49"/>
      <c r="GJ935" s="49"/>
      <c r="GK935" s="49"/>
      <c r="GL935" s="49"/>
      <c r="GM935" s="49"/>
      <c r="GN935" s="49"/>
      <c r="GO935" s="49"/>
      <c r="GP935" s="49"/>
      <c r="GQ935" s="49"/>
      <c r="GR935" s="49"/>
      <c r="GS935" s="49"/>
      <c r="GT935" s="49"/>
      <c r="GU935" s="49"/>
      <c r="GV935" s="49"/>
      <c r="GW935" s="49"/>
      <c r="GX935" s="49"/>
      <c r="GY935" s="49"/>
      <c r="GZ935" s="49"/>
      <c r="HA935" s="208"/>
      <c r="HB935" s="231"/>
      <c r="HC935" s="231"/>
      <c r="HD935" s="231"/>
      <c r="HE935" s="231"/>
      <c r="HF935" s="231"/>
      <c r="HG935" s="231"/>
      <c r="HH935" s="231"/>
      <c r="HI935" s="232"/>
      <c r="KM935" s="12"/>
      <c r="WL935" s="13"/>
    </row>
    <row r="936" spans="82:610" ht="10.75" customHeight="1">
      <c r="CD936" s="229"/>
      <c r="CE936" s="231"/>
      <c r="CF936" s="231"/>
      <c r="CG936" s="231"/>
      <c r="CH936" s="231"/>
      <c r="CI936" s="231"/>
      <c r="CJ936" s="231"/>
      <c r="CK936" s="232"/>
      <c r="CL936" s="236"/>
      <c r="CM936" s="258"/>
      <c r="CN936" s="258"/>
      <c r="CO936" s="258"/>
      <c r="CP936" s="258"/>
      <c r="CQ936" s="258"/>
      <c r="CR936" s="258"/>
      <c r="CS936" s="258"/>
      <c r="CT936" s="258"/>
      <c r="CU936" s="258"/>
      <c r="CV936" s="258"/>
      <c r="CW936" s="258"/>
      <c r="CX936" s="258"/>
      <c r="CY936" s="258"/>
      <c r="CZ936" s="258"/>
      <c r="DA936" s="258"/>
      <c r="DB936" s="258"/>
      <c r="DC936" s="258"/>
      <c r="DD936" s="258"/>
      <c r="DE936" s="258"/>
      <c r="DF936" s="258"/>
      <c r="DG936" s="258"/>
      <c r="DH936" s="258"/>
      <c r="DI936" s="258"/>
      <c r="DJ936" s="258"/>
      <c r="DK936" s="258"/>
      <c r="DL936" s="258"/>
      <c r="DM936" s="258"/>
      <c r="DN936" s="258"/>
      <c r="DO936" s="258"/>
      <c r="DP936" s="258"/>
      <c r="DQ936" s="258"/>
      <c r="DR936" s="258"/>
      <c r="DS936" s="258"/>
      <c r="DT936" s="258"/>
      <c r="DU936" s="258"/>
      <c r="DV936" s="258"/>
      <c r="DW936" s="258"/>
      <c r="DX936" s="258"/>
      <c r="DY936" s="258"/>
      <c r="DZ936" s="258"/>
      <c r="EA936" s="258"/>
      <c r="EB936" s="258"/>
      <c r="EC936" s="258"/>
      <c r="ED936" s="258"/>
      <c r="EE936" s="258"/>
      <c r="EF936" s="258"/>
      <c r="EG936" s="258"/>
      <c r="EH936" s="258"/>
      <c r="EI936" s="258"/>
      <c r="EJ936" s="258"/>
      <c r="EK936" s="258"/>
      <c r="EL936" s="258"/>
      <c r="EM936" s="258"/>
      <c r="EN936" s="258"/>
      <c r="EO936" s="258"/>
      <c r="EP936" s="258"/>
      <c r="EQ936" s="258"/>
      <c r="ER936" s="258"/>
      <c r="ES936" s="258"/>
      <c r="ET936" s="258"/>
      <c r="EU936" s="258"/>
      <c r="EV936" s="258"/>
      <c r="EW936" s="258"/>
      <c r="EX936" s="258"/>
      <c r="EY936" s="258"/>
      <c r="EZ936" s="258"/>
      <c r="FA936" s="258"/>
      <c r="FB936" s="258"/>
      <c r="FC936" s="258"/>
      <c r="FD936" s="258"/>
      <c r="FE936" s="258"/>
      <c r="FF936" s="258"/>
      <c r="FG936" s="258"/>
      <c r="FH936" s="258"/>
      <c r="FI936" s="258"/>
      <c r="FJ936" s="258"/>
      <c r="FK936" s="258"/>
      <c r="FL936" s="258"/>
      <c r="FM936" s="258"/>
      <c r="FN936" s="258"/>
      <c r="FO936" s="258"/>
      <c r="FP936" s="258"/>
      <c r="FQ936" s="258"/>
      <c r="FR936" s="258"/>
      <c r="FS936" s="258"/>
      <c r="FT936" s="258"/>
      <c r="FU936" s="258"/>
      <c r="FV936" s="258"/>
      <c r="FW936" s="258"/>
      <c r="FX936" s="258"/>
      <c r="FY936" s="258"/>
      <c r="FZ936" s="258"/>
      <c r="GA936" s="258"/>
      <c r="GB936" s="258"/>
      <c r="GC936" s="258"/>
      <c r="GD936" s="258"/>
      <c r="GE936" s="258"/>
      <c r="GF936" s="258"/>
      <c r="GG936" s="258"/>
      <c r="GH936" s="258"/>
      <c r="GI936" s="258"/>
      <c r="GJ936" s="258"/>
      <c r="GK936" s="258"/>
      <c r="GL936" s="258"/>
      <c r="GM936" s="258"/>
      <c r="GN936" s="258"/>
      <c r="GO936" s="258"/>
      <c r="GP936" s="258"/>
      <c r="GQ936" s="258"/>
      <c r="GR936" s="258"/>
      <c r="GS936" s="258"/>
      <c r="GT936" s="258"/>
      <c r="GU936" s="258"/>
      <c r="GV936" s="258"/>
      <c r="GW936" s="258"/>
      <c r="GX936" s="258"/>
      <c r="GY936" s="258"/>
      <c r="GZ936" s="258"/>
      <c r="HA936" s="209"/>
      <c r="HB936" s="231"/>
      <c r="HC936" s="231"/>
      <c r="HD936" s="231"/>
      <c r="HE936" s="231"/>
      <c r="HF936" s="231"/>
      <c r="HG936" s="231"/>
      <c r="HH936" s="231"/>
      <c r="HI936" s="232"/>
      <c r="KM936" s="12"/>
      <c r="WL936" s="13"/>
    </row>
    <row r="937" spans="82:610" ht="10.75" customHeight="1">
      <c r="CD937" s="229"/>
      <c r="CE937" s="231"/>
      <c r="CF937" s="231"/>
      <c r="CG937" s="231"/>
      <c r="CH937" s="231"/>
      <c r="CI937" s="231"/>
      <c r="CJ937" s="231"/>
      <c r="CK937" s="231"/>
      <c r="CL937" s="231"/>
      <c r="CM937" s="231"/>
      <c r="CN937" s="231"/>
      <c r="CO937" s="231"/>
      <c r="CP937" s="231"/>
      <c r="CQ937" s="231"/>
      <c r="CR937" s="231"/>
      <c r="CS937" s="231"/>
      <c r="CT937" s="231"/>
      <c r="CU937" s="231"/>
      <c r="CV937" s="231"/>
      <c r="CW937" s="231"/>
      <c r="CX937" s="231"/>
      <c r="CY937" s="231"/>
      <c r="CZ937" s="231"/>
      <c r="DA937" s="231"/>
      <c r="DB937" s="231"/>
      <c r="DC937" s="231"/>
      <c r="DD937" s="231"/>
      <c r="DE937" s="231"/>
      <c r="DF937" s="231"/>
      <c r="DG937" s="231"/>
      <c r="DH937" s="231"/>
      <c r="DI937" s="231"/>
      <c r="DJ937" s="231"/>
      <c r="DK937" s="231"/>
      <c r="DL937" s="231"/>
      <c r="DM937" s="231"/>
      <c r="DN937" s="231"/>
      <c r="DO937" s="231"/>
      <c r="DP937" s="231"/>
      <c r="DQ937" s="231"/>
      <c r="DR937" s="231"/>
      <c r="DS937" s="231"/>
      <c r="DT937" s="231"/>
      <c r="DU937" s="231"/>
      <c r="DV937" s="231"/>
      <c r="DW937" s="231"/>
      <c r="DX937" s="231"/>
      <c r="DY937" s="231"/>
      <c r="DZ937" s="231"/>
      <c r="EA937" s="231"/>
      <c r="EB937" s="231"/>
      <c r="EC937" s="231"/>
      <c r="ED937" s="231"/>
      <c r="EE937" s="231"/>
      <c r="EF937" s="231"/>
      <c r="EG937" s="231"/>
      <c r="EH937" s="231"/>
      <c r="EI937" s="231"/>
      <c r="EJ937" s="231"/>
      <c r="EK937" s="231"/>
      <c r="EL937" s="231"/>
      <c r="EM937" s="231"/>
      <c r="EN937" s="231"/>
      <c r="EO937" s="231"/>
      <c r="EP937" s="231"/>
      <c r="EQ937" s="231"/>
      <c r="ER937" s="231"/>
      <c r="ES937" s="231"/>
      <c r="ET937" s="231"/>
      <c r="EU937" s="231"/>
      <c r="EV937" s="231"/>
      <c r="EW937" s="231"/>
      <c r="EX937" s="231"/>
      <c r="EY937" s="231"/>
      <c r="EZ937" s="231"/>
      <c r="FA937" s="231"/>
      <c r="FB937" s="231"/>
      <c r="FC937" s="231"/>
      <c r="FD937" s="231"/>
      <c r="FE937" s="231"/>
      <c r="FF937" s="231"/>
      <c r="FG937" s="231"/>
      <c r="FH937" s="231"/>
      <c r="FI937" s="231"/>
      <c r="FJ937" s="231"/>
      <c r="FK937" s="231"/>
      <c r="FL937" s="231"/>
      <c r="FM937" s="231"/>
      <c r="FN937" s="231"/>
      <c r="FO937" s="231"/>
      <c r="FP937" s="231"/>
      <c r="FQ937" s="231"/>
      <c r="FR937" s="231"/>
      <c r="FS937" s="231"/>
      <c r="FT937" s="231"/>
      <c r="FU937" s="231"/>
      <c r="FV937" s="231"/>
      <c r="FW937" s="231"/>
      <c r="FX937" s="231"/>
      <c r="FY937" s="231"/>
      <c r="FZ937" s="231"/>
      <c r="GA937" s="231"/>
      <c r="GB937" s="231"/>
      <c r="GC937" s="231"/>
      <c r="GD937" s="231"/>
      <c r="GE937" s="231"/>
      <c r="GF937" s="231"/>
      <c r="GG937" s="231"/>
      <c r="GH937" s="231"/>
      <c r="GI937" s="231"/>
      <c r="GJ937" s="231"/>
      <c r="GK937" s="231"/>
      <c r="GL937" s="231"/>
      <c r="GM937" s="231"/>
      <c r="GN937" s="231"/>
      <c r="GO937" s="231"/>
      <c r="GP937" s="231"/>
      <c r="GQ937" s="231"/>
      <c r="GR937" s="231"/>
      <c r="GS937" s="231"/>
      <c r="GT937" s="231"/>
      <c r="GU937" s="231"/>
      <c r="GV937" s="231"/>
      <c r="GW937" s="231"/>
      <c r="GX937" s="231"/>
      <c r="GY937" s="231"/>
      <c r="GZ937" s="231"/>
      <c r="HA937" s="231"/>
      <c r="HB937" s="231"/>
      <c r="HC937" s="231"/>
      <c r="HD937" s="231"/>
      <c r="HE937" s="231"/>
      <c r="HF937" s="231"/>
      <c r="HG937" s="231"/>
      <c r="HH937" s="231"/>
      <c r="HI937" s="232"/>
      <c r="KM937" s="12"/>
      <c r="WL937" s="13"/>
    </row>
    <row r="938" spans="82:610" ht="10.75" customHeight="1">
      <c r="CD938" s="229"/>
      <c r="CE938" s="231"/>
      <c r="CF938" s="231"/>
      <c r="CG938" s="231"/>
      <c r="CH938" s="231"/>
      <c r="CI938" s="231"/>
      <c r="CJ938" s="231"/>
      <c r="CK938" s="231"/>
      <c r="CL938" s="231"/>
      <c r="CM938" s="231"/>
      <c r="CN938" s="231"/>
      <c r="CO938" s="231"/>
      <c r="CP938" s="231"/>
      <c r="CQ938" s="231"/>
      <c r="CR938" s="231"/>
      <c r="CS938" s="231"/>
      <c r="CT938" s="231"/>
      <c r="CU938" s="231"/>
      <c r="CV938" s="231"/>
      <c r="CW938" s="231"/>
      <c r="CX938" s="231"/>
      <c r="CY938" s="231"/>
      <c r="CZ938" s="231"/>
      <c r="DA938" s="231"/>
      <c r="DB938" s="231"/>
      <c r="DC938" s="231"/>
      <c r="DD938" s="231"/>
      <c r="DE938" s="231"/>
      <c r="DF938" s="231"/>
      <c r="DG938" s="231"/>
      <c r="DH938" s="231"/>
      <c r="DI938" s="231"/>
      <c r="DJ938" s="231"/>
      <c r="DK938" s="231"/>
      <c r="DL938" s="231"/>
      <c r="DM938" s="231"/>
      <c r="DN938" s="231"/>
      <c r="DO938" s="231"/>
      <c r="DP938" s="231"/>
      <c r="DQ938" s="231"/>
      <c r="DR938" s="231"/>
      <c r="DS938" s="231"/>
      <c r="DT938" s="231"/>
      <c r="DU938" s="231"/>
      <c r="DV938" s="231"/>
      <c r="DW938" s="231"/>
      <c r="DX938" s="231"/>
      <c r="DY938" s="231"/>
      <c r="DZ938" s="231"/>
      <c r="EA938" s="231"/>
      <c r="EB938" s="231"/>
      <c r="EC938" s="231"/>
      <c r="ED938" s="231"/>
      <c r="EE938" s="231"/>
      <c r="EF938" s="231"/>
      <c r="EG938" s="231"/>
      <c r="EH938" s="231"/>
      <c r="EI938" s="231"/>
      <c r="EJ938" s="231"/>
      <c r="EK938" s="231"/>
      <c r="EL938" s="231"/>
      <c r="EM938" s="231"/>
      <c r="EN938" s="231"/>
      <c r="EO938" s="231"/>
      <c r="EP938" s="231"/>
      <c r="EQ938" s="231"/>
      <c r="ER938" s="231"/>
      <c r="ES938" s="231"/>
      <c r="ET938" s="231"/>
      <c r="EU938" s="231"/>
      <c r="EV938" s="231"/>
      <c r="EW938" s="231"/>
      <c r="EX938" s="231"/>
      <c r="EY938" s="231"/>
      <c r="EZ938" s="231"/>
      <c r="FA938" s="231"/>
      <c r="FB938" s="231"/>
      <c r="FC938" s="231"/>
      <c r="FD938" s="231"/>
      <c r="FE938" s="231"/>
      <c r="FF938" s="231"/>
      <c r="FG938" s="231"/>
      <c r="FH938" s="231"/>
      <c r="FI938" s="231"/>
      <c r="FJ938" s="231"/>
      <c r="FK938" s="231"/>
      <c r="FL938" s="231"/>
      <c r="FM938" s="231"/>
      <c r="FN938" s="231"/>
      <c r="FO938" s="231"/>
      <c r="FP938" s="231"/>
      <c r="FQ938" s="231"/>
      <c r="FR938" s="231"/>
      <c r="FS938" s="231"/>
      <c r="FT938" s="231"/>
      <c r="FU938" s="231"/>
      <c r="FV938" s="231"/>
      <c r="FW938" s="231"/>
      <c r="FX938" s="231"/>
      <c r="FY938" s="231"/>
      <c r="FZ938" s="231"/>
      <c r="GA938" s="231"/>
      <c r="GB938" s="231"/>
      <c r="GC938" s="231"/>
      <c r="GD938" s="231"/>
      <c r="GE938" s="231"/>
      <c r="GF938" s="231"/>
      <c r="GG938" s="231"/>
      <c r="GH938" s="231"/>
      <c r="GI938" s="231"/>
      <c r="GJ938" s="231"/>
      <c r="GK938" s="231"/>
      <c r="GL938" s="231"/>
      <c r="GM938" s="231"/>
      <c r="GN938" s="231"/>
      <c r="GO938" s="231"/>
      <c r="GP938" s="231"/>
      <c r="GQ938" s="231"/>
      <c r="GR938" s="231"/>
      <c r="GS938" s="231"/>
      <c r="GT938" s="231"/>
      <c r="GU938" s="231"/>
      <c r="GV938" s="231"/>
      <c r="GW938" s="231"/>
      <c r="GX938" s="231"/>
      <c r="GY938" s="231"/>
      <c r="GZ938" s="231"/>
      <c r="HA938" s="231"/>
      <c r="HB938" s="231"/>
      <c r="HC938" s="231"/>
      <c r="HD938" s="231"/>
      <c r="HE938" s="231"/>
      <c r="HF938" s="231"/>
      <c r="HG938" s="231"/>
      <c r="HH938" s="231"/>
      <c r="HI938" s="232"/>
      <c r="KM938" s="12"/>
      <c r="WL938" s="13"/>
    </row>
    <row r="939" spans="82:610" ht="10.75" customHeight="1">
      <c r="CD939" s="229"/>
      <c r="CE939" s="231"/>
      <c r="CF939" s="231"/>
      <c r="CG939" s="231"/>
      <c r="CH939" s="231"/>
      <c r="CI939" s="231"/>
      <c r="CJ939" s="231"/>
      <c r="CK939" s="231"/>
      <c r="CL939" s="231"/>
      <c r="CM939" s="231"/>
      <c r="CN939" s="231"/>
      <c r="CO939" s="231"/>
      <c r="CP939" s="231"/>
      <c r="CQ939" s="231"/>
      <c r="CR939" s="231"/>
      <c r="CS939" s="231"/>
      <c r="CT939" s="231"/>
      <c r="CU939" s="231"/>
      <c r="CV939" s="231"/>
      <c r="CW939" s="231"/>
      <c r="CX939" s="231"/>
      <c r="CY939" s="231"/>
      <c r="CZ939" s="231"/>
      <c r="DA939" s="231"/>
      <c r="DB939" s="231"/>
      <c r="DC939" s="231"/>
      <c r="DD939" s="231"/>
      <c r="DE939" s="231"/>
      <c r="DF939" s="231"/>
      <c r="DG939" s="231"/>
      <c r="DH939" s="231"/>
      <c r="DI939" s="231"/>
      <c r="DJ939" s="231"/>
      <c r="DK939" s="231"/>
      <c r="DL939" s="231"/>
      <c r="DM939" s="231"/>
      <c r="DN939" s="231"/>
      <c r="DO939" s="231"/>
      <c r="DP939" s="231"/>
      <c r="DQ939" s="231"/>
      <c r="DR939" s="231"/>
      <c r="DS939" s="231"/>
      <c r="DT939" s="231"/>
      <c r="DU939" s="231"/>
      <c r="DV939" s="231"/>
      <c r="DW939" s="231"/>
      <c r="DX939" s="231"/>
      <c r="DY939" s="231"/>
      <c r="DZ939" s="231"/>
      <c r="EA939" s="231"/>
      <c r="EB939" s="231"/>
      <c r="EC939" s="231"/>
      <c r="ED939" s="231"/>
      <c r="EE939" s="231"/>
      <c r="EF939" s="231"/>
      <c r="EG939" s="231"/>
      <c r="EH939" s="231"/>
      <c r="EI939" s="231"/>
      <c r="EJ939" s="231"/>
      <c r="EK939" s="231"/>
      <c r="EL939" s="231"/>
      <c r="EM939" s="231"/>
      <c r="EN939" s="231"/>
      <c r="EO939" s="231"/>
      <c r="EP939" s="231"/>
      <c r="EQ939" s="231"/>
      <c r="ER939" s="231"/>
      <c r="ES939" s="231"/>
      <c r="ET939" s="231"/>
      <c r="EU939" s="231"/>
      <c r="EV939" s="231"/>
      <c r="EW939" s="231"/>
      <c r="EX939" s="231"/>
      <c r="EY939" s="231"/>
      <c r="EZ939" s="231"/>
      <c r="FA939" s="231"/>
      <c r="FB939" s="231"/>
      <c r="FC939" s="231"/>
      <c r="FD939" s="231"/>
      <c r="FE939" s="231"/>
      <c r="FF939" s="231"/>
      <c r="FG939" s="231"/>
      <c r="FH939" s="231"/>
      <c r="FI939" s="231"/>
      <c r="FJ939" s="231"/>
      <c r="FK939" s="231"/>
      <c r="FL939" s="231"/>
      <c r="FM939" s="231"/>
      <c r="FN939" s="231"/>
      <c r="FO939" s="231"/>
      <c r="FP939" s="231"/>
      <c r="FQ939" s="231"/>
      <c r="FR939" s="231"/>
      <c r="FS939" s="231"/>
      <c r="FT939" s="231"/>
      <c r="FU939" s="231"/>
      <c r="FV939" s="231"/>
      <c r="FW939" s="231"/>
      <c r="FX939" s="231"/>
      <c r="FY939" s="231"/>
      <c r="FZ939" s="231"/>
      <c r="GA939" s="231"/>
      <c r="GB939" s="231"/>
      <c r="GC939" s="231"/>
      <c r="GD939" s="231"/>
      <c r="GE939" s="231"/>
      <c r="GF939" s="231"/>
      <c r="GG939" s="231"/>
      <c r="GH939" s="231"/>
      <c r="GI939" s="231"/>
      <c r="GJ939" s="231"/>
      <c r="GK939" s="231"/>
      <c r="GL939" s="231"/>
      <c r="GM939" s="231"/>
      <c r="GN939" s="231"/>
      <c r="GO939" s="231"/>
      <c r="GP939" s="231"/>
      <c r="GQ939" s="231"/>
      <c r="GR939" s="231"/>
      <c r="GS939" s="231"/>
      <c r="GT939" s="231"/>
      <c r="GU939" s="231"/>
      <c r="GV939" s="231"/>
      <c r="GW939" s="231"/>
      <c r="GX939" s="231"/>
      <c r="GY939" s="231"/>
      <c r="GZ939" s="231"/>
      <c r="HA939" s="231"/>
      <c r="HB939" s="231"/>
      <c r="HC939" s="231"/>
      <c r="HD939" s="231"/>
      <c r="HE939" s="231"/>
      <c r="HF939" s="231"/>
      <c r="HG939" s="231"/>
      <c r="HH939" s="231"/>
      <c r="HI939" s="232"/>
      <c r="KM939" s="12"/>
      <c r="WL939" s="13"/>
    </row>
    <row r="940" spans="82:610" ht="10.75" customHeight="1">
      <c r="CD940" s="229"/>
      <c r="CE940" s="231"/>
      <c r="CF940" s="231"/>
      <c r="CG940" s="231"/>
      <c r="CH940" s="231"/>
      <c r="CI940" s="231"/>
      <c r="CJ940" s="231"/>
      <c r="CK940" s="231"/>
      <c r="CL940" s="231"/>
      <c r="CM940" s="231"/>
      <c r="CN940" s="231"/>
      <c r="CO940" s="231"/>
      <c r="CP940" s="231"/>
      <c r="CQ940" s="231"/>
      <c r="CR940" s="231"/>
      <c r="CS940" s="231"/>
      <c r="CT940" s="231"/>
      <c r="CU940" s="231"/>
      <c r="CV940" s="231"/>
      <c r="CW940" s="231"/>
      <c r="CX940" s="231"/>
      <c r="CY940" s="231"/>
      <c r="CZ940" s="231"/>
      <c r="DA940" s="231"/>
      <c r="DB940" s="231"/>
      <c r="DC940" s="231"/>
      <c r="DD940" s="231"/>
      <c r="DE940" s="231"/>
      <c r="DF940" s="231"/>
      <c r="DG940" s="231"/>
      <c r="DH940" s="231"/>
      <c r="DI940" s="231"/>
      <c r="DJ940" s="231"/>
      <c r="DK940" s="231"/>
      <c r="DL940" s="231"/>
      <c r="DM940" s="231"/>
      <c r="DN940" s="231"/>
      <c r="DO940" s="231"/>
      <c r="DP940" s="231"/>
      <c r="DQ940" s="231"/>
      <c r="DR940" s="231"/>
      <c r="DS940" s="231"/>
      <c r="DT940" s="231"/>
      <c r="DU940" s="231"/>
      <c r="DV940" s="231"/>
      <c r="DW940" s="231"/>
      <c r="DX940" s="231"/>
      <c r="DY940" s="231"/>
      <c r="DZ940" s="231"/>
      <c r="EA940" s="231"/>
      <c r="EB940" s="231"/>
      <c r="EC940" s="231"/>
      <c r="ED940" s="231"/>
      <c r="EE940" s="231"/>
      <c r="EF940" s="231"/>
      <c r="EG940" s="231"/>
      <c r="EH940" s="231"/>
      <c r="EI940" s="231"/>
      <c r="EJ940" s="231"/>
      <c r="EK940" s="231"/>
      <c r="EL940" s="231"/>
      <c r="EM940" s="231"/>
      <c r="EN940" s="231"/>
      <c r="EO940" s="231"/>
      <c r="EP940" s="231"/>
      <c r="EQ940" s="231"/>
      <c r="ER940" s="231"/>
      <c r="ES940" s="231"/>
      <c r="ET940" s="231"/>
      <c r="EU940" s="231"/>
      <c r="EV940" s="231"/>
      <c r="EW940" s="231"/>
      <c r="EX940" s="231"/>
      <c r="EY940" s="231"/>
      <c r="EZ940" s="231"/>
      <c r="FA940" s="231"/>
      <c r="FB940" s="231"/>
      <c r="FC940" s="231"/>
      <c r="FD940" s="231"/>
      <c r="FE940" s="231"/>
      <c r="FF940" s="231"/>
      <c r="FG940" s="231"/>
      <c r="FH940" s="231"/>
      <c r="FI940" s="231"/>
      <c r="FJ940" s="231"/>
      <c r="FK940" s="231"/>
      <c r="FL940" s="231"/>
      <c r="FM940" s="231"/>
      <c r="FN940" s="231"/>
      <c r="FO940" s="231"/>
      <c r="FP940" s="231"/>
      <c r="FQ940" s="231"/>
      <c r="FR940" s="231"/>
      <c r="FS940" s="231"/>
      <c r="FT940" s="231"/>
      <c r="FU940" s="231"/>
      <c r="FV940" s="231"/>
      <c r="FW940" s="231"/>
      <c r="FX940" s="231"/>
      <c r="FY940" s="231"/>
      <c r="FZ940" s="231"/>
      <c r="GA940" s="231"/>
      <c r="GB940" s="231"/>
      <c r="GC940" s="231"/>
      <c r="GD940" s="231"/>
      <c r="GE940" s="231"/>
      <c r="GF940" s="231"/>
      <c r="GG940" s="231"/>
      <c r="GH940" s="231"/>
      <c r="GI940" s="231"/>
      <c r="GJ940" s="231"/>
      <c r="GK940" s="231"/>
      <c r="GL940" s="231"/>
      <c r="GM940" s="231"/>
      <c r="GN940" s="231"/>
      <c r="GO940" s="231"/>
      <c r="GP940" s="231"/>
      <c r="GQ940" s="231"/>
      <c r="GR940" s="231"/>
      <c r="GS940" s="231"/>
      <c r="GT940" s="231"/>
      <c r="GU940" s="231"/>
      <c r="GV940" s="231"/>
      <c r="GW940" s="231"/>
      <c r="GX940" s="231"/>
      <c r="GY940" s="231"/>
      <c r="GZ940" s="231"/>
      <c r="HA940" s="231"/>
      <c r="HB940" s="231"/>
      <c r="HC940" s="231"/>
      <c r="HD940" s="231"/>
      <c r="HE940" s="231"/>
      <c r="HF940" s="231"/>
      <c r="HG940" s="231"/>
      <c r="HH940" s="231"/>
      <c r="HI940" s="232"/>
      <c r="KM940" s="12"/>
      <c r="WL940" s="13"/>
    </row>
    <row r="941" spans="82:610" ht="10.75" customHeight="1">
      <c r="CD941" s="229"/>
      <c r="CE941" s="231"/>
      <c r="CF941" s="231"/>
      <c r="CG941" s="231"/>
      <c r="CH941" s="231"/>
      <c r="CI941" s="231"/>
      <c r="CJ941" s="231"/>
      <c r="CK941" s="231"/>
      <c r="CL941" s="231"/>
      <c r="CM941" s="231"/>
      <c r="CN941" s="231"/>
      <c r="CO941" s="231"/>
      <c r="CP941" s="231"/>
      <c r="CQ941" s="231"/>
      <c r="CR941" s="231"/>
      <c r="CS941" s="231"/>
      <c r="CT941" s="231"/>
      <c r="CU941" s="231"/>
      <c r="CV941" s="231"/>
      <c r="CW941" s="231"/>
      <c r="CX941" s="231"/>
      <c r="CY941" s="231"/>
      <c r="CZ941" s="231"/>
      <c r="DA941" s="231"/>
      <c r="DB941" s="231"/>
      <c r="DC941" s="231"/>
      <c r="DD941" s="231"/>
      <c r="DE941" s="231"/>
      <c r="DF941" s="231"/>
      <c r="DG941" s="231"/>
      <c r="DH941" s="231"/>
      <c r="DI941" s="231"/>
      <c r="DJ941" s="231"/>
      <c r="DK941" s="231"/>
      <c r="DL941" s="231"/>
      <c r="DM941" s="231"/>
      <c r="DN941" s="231"/>
      <c r="DO941" s="231"/>
      <c r="DP941" s="231"/>
      <c r="DQ941" s="231"/>
      <c r="DR941" s="231"/>
      <c r="DS941" s="231"/>
      <c r="DT941" s="231"/>
      <c r="DU941" s="231"/>
      <c r="DV941" s="231"/>
      <c r="DW941" s="231"/>
      <c r="DX941" s="231"/>
      <c r="DY941" s="231"/>
      <c r="DZ941" s="231"/>
      <c r="EA941" s="231"/>
      <c r="EB941" s="231"/>
      <c r="EC941" s="231"/>
      <c r="ED941" s="231"/>
      <c r="EE941" s="231"/>
      <c r="EF941" s="231"/>
      <c r="EG941" s="231"/>
      <c r="EH941" s="231"/>
      <c r="EI941" s="231"/>
      <c r="EJ941" s="231"/>
      <c r="EK941" s="231"/>
      <c r="EL941" s="231"/>
      <c r="EM941" s="231"/>
      <c r="EN941" s="231"/>
      <c r="EO941" s="231"/>
      <c r="EP941" s="231"/>
      <c r="EQ941" s="231"/>
      <c r="ER941" s="231"/>
      <c r="ES941" s="231"/>
      <c r="ET941" s="231"/>
      <c r="EU941" s="231"/>
      <c r="EV941" s="231"/>
      <c r="EW941" s="231"/>
      <c r="EX941" s="231"/>
      <c r="EY941" s="231"/>
      <c r="EZ941" s="231"/>
      <c r="FA941" s="231"/>
      <c r="FB941" s="231"/>
      <c r="FC941" s="231"/>
      <c r="FD941" s="231"/>
      <c r="FE941" s="231"/>
      <c r="FF941" s="231"/>
      <c r="FG941" s="231"/>
      <c r="FH941" s="231"/>
      <c r="FI941" s="231"/>
      <c r="FJ941" s="231"/>
      <c r="FK941" s="231"/>
      <c r="FL941" s="231"/>
      <c r="FM941" s="231"/>
      <c r="FN941" s="231"/>
      <c r="FO941" s="231"/>
      <c r="FP941" s="231"/>
      <c r="FQ941" s="231"/>
      <c r="FR941" s="231"/>
      <c r="FS941" s="231"/>
      <c r="FT941" s="231"/>
      <c r="FU941" s="231"/>
      <c r="FV941" s="231"/>
      <c r="FW941" s="231"/>
      <c r="FX941" s="231"/>
      <c r="FY941" s="231"/>
      <c r="FZ941" s="231"/>
      <c r="GA941" s="231"/>
      <c r="GB941" s="231"/>
      <c r="GC941" s="231"/>
      <c r="GD941" s="231"/>
      <c r="GE941" s="231"/>
      <c r="GF941" s="231"/>
      <c r="GG941" s="231"/>
      <c r="GH941" s="231"/>
      <c r="GI941" s="231"/>
      <c r="GJ941" s="231"/>
      <c r="GK941" s="231"/>
      <c r="GL941" s="231"/>
      <c r="GM941" s="231"/>
      <c r="GN941" s="231"/>
      <c r="GO941" s="231"/>
      <c r="GP941" s="231"/>
      <c r="GQ941" s="231"/>
      <c r="GR941" s="231"/>
      <c r="GS941" s="231"/>
      <c r="GT941" s="231"/>
      <c r="GU941" s="231"/>
      <c r="GV941" s="231"/>
      <c r="GW941" s="231"/>
      <c r="GX941" s="231"/>
      <c r="GY941" s="231"/>
      <c r="GZ941" s="231"/>
      <c r="HA941" s="231"/>
      <c r="HB941" s="231"/>
      <c r="HC941" s="231"/>
      <c r="HD941" s="231"/>
      <c r="HE941" s="231"/>
      <c r="HF941" s="231"/>
      <c r="HG941" s="231"/>
      <c r="HH941" s="231"/>
      <c r="HI941" s="232"/>
      <c r="KM941" s="12"/>
      <c r="WL941" s="13"/>
    </row>
    <row r="942" spans="82:610" ht="10.75" customHeight="1">
      <c r="CD942" s="229"/>
      <c r="CE942" s="231"/>
      <c r="CF942" s="231"/>
      <c r="CG942" s="231"/>
      <c r="CH942" s="231"/>
      <c r="CI942" s="231"/>
      <c r="CJ942" s="231"/>
      <c r="CK942" s="231"/>
      <c r="CL942" s="231"/>
      <c r="CM942" s="231"/>
      <c r="CN942" s="231"/>
      <c r="CO942" s="231"/>
      <c r="CP942" s="231"/>
      <c r="CQ942" s="231"/>
      <c r="CR942" s="231"/>
      <c r="CS942" s="231"/>
      <c r="CT942" s="231"/>
      <c r="CU942" s="231"/>
      <c r="CV942" s="231"/>
      <c r="CW942" s="231"/>
      <c r="CX942" s="231"/>
      <c r="CY942" s="231"/>
      <c r="CZ942" s="231"/>
      <c r="DA942" s="231"/>
      <c r="DB942" s="231"/>
      <c r="DC942" s="231"/>
      <c r="DD942" s="231"/>
      <c r="DE942" s="231"/>
      <c r="DF942" s="231"/>
      <c r="DG942" s="231"/>
      <c r="DH942" s="231"/>
      <c r="DI942" s="231"/>
      <c r="DJ942" s="231"/>
      <c r="DK942" s="231"/>
      <c r="DL942" s="231"/>
      <c r="DM942" s="231"/>
      <c r="DN942" s="231"/>
      <c r="DO942" s="231"/>
      <c r="DP942" s="231"/>
      <c r="DQ942" s="231"/>
      <c r="DR942" s="231"/>
      <c r="DS942" s="231"/>
      <c r="DT942" s="231"/>
      <c r="DU942" s="231"/>
      <c r="DV942" s="231"/>
      <c r="DW942" s="231"/>
      <c r="DX942" s="231"/>
      <c r="DY942" s="231"/>
      <c r="DZ942" s="231"/>
      <c r="EA942" s="231"/>
      <c r="EB942" s="231"/>
      <c r="EC942" s="231"/>
      <c r="ED942" s="231"/>
      <c r="EE942" s="231"/>
      <c r="EF942" s="231"/>
      <c r="EG942" s="231"/>
      <c r="EH942" s="231"/>
      <c r="EI942" s="231"/>
      <c r="EJ942" s="231"/>
      <c r="EK942" s="231"/>
      <c r="EL942" s="231"/>
      <c r="EM942" s="231"/>
      <c r="EN942" s="231"/>
      <c r="EO942" s="231"/>
      <c r="EP942" s="231"/>
      <c r="EQ942" s="231"/>
      <c r="ER942" s="231"/>
      <c r="ES942" s="231"/>
      <c r="ET942" s="231"/>
      <c r="EU942" s="231"/>
      <c r="EV942" s="231"/>
      <c r="EW942" s="231"/>
      <c r="EX942" s="231"/>
      <c r="EY942" s="231"/>
      <c r="EZ942" s="231"/>
      <c r="FA942" s="231"/>
      <c r="FB942" s="231"/>
      <c r="FC942" s="231"/>
      <c r="FD942" s="231"/>
      <c r="FE942" s="231"/>
      <c r="FF942" s="231"/>
      <c r="FG942" s="231"/>
      <c r="FH942" s="231"/>
      <c r="FI942" s="231"/>
      <c r="FJ942" s="231"/>
      <c r="FK942" s="231"/>
      <c r="FL942" s="231"/>
      <c r="FM942" s="231"/>
      <c r="FN942" s="231"/>
      <c r="FO942" s="231"/>
      <c r="FP942" s="231"/>
      <c r="FQ942" s="231"/>
      <c r="FR942" s="231"/>
      <c r="FS942" s="231"/>
      <c r="FT942" s="231"/>
      <c r="FU942" s="231"/>
      <c r="FV942" s="231"/>
      <c r="FW942" s="231"/>
      <c r="FX942" s="231"/>
      <c r="FY942" s="231"/>
      <c r="FZ942" s="231"/>
      <c r="GA942" s="231"/>
      <c r="GB942" s="231"/>
      <c r="GC942" s="231"/>
      <c r="GD942" s="231"/>
      <c r="GE942" s="231"/>
      <c r="GF942" s="231"/>
      <c r="GG942" s="231"/>
      <c r="GH942" s="231"/>
      <c r="GI942" s="231"/>
      <c r="GJ942" s="231"/>
      <c r="GK942" s="231"/>
      <c r="GL942" s="231"/>
      <c r="GM942" s="231"/>
      <c r="GN942" s="231"/>
      <c r="GO942" s="231"/>
      <c r="GP942" s="231"/>
      <c r="GQ942" s="231"/>
      <c r="GR942" s="231"/>
      <c r="GS942" s="231"/>
      <c r="GT942" s="231"/>
      <c r="GU942" s="231"/>
      <c r="GV942" s="231"/>
      <c r="GW942" s="231"/>
      <c r="GX942" s="231"/>
      <c r="GY942" s="231"/>
      <c r="GZ942" s="231"/>
      <c r="HA942" s="231"/>
      <c r="HB942" s="231"/>
      <c r="HC942" s="231"/>
      <c r="HD942" s="231"/>
      <c r="HE942" s="231"/>
      <c r="HF942" s="231"/>
      <c r="HG942" s="231"/>
      <c r="HH942" s="231"/>
      <c r="HI942" s="232"/>
      <c r="KM942" s="12"/>
      <c r="WL942" s="13"/>
    </row>
    <row r="943" spans="82:610" ht="10.75" customHeight="1">
      <c r="CD943" s="229"/>
      <c r="CE943" s="231"/>
      <c r="CF943" s="231"/>
      <c r="CG943" s="231"/>
      <c r="CH943" s="231"/>
      <c r="CI943" s="231"/>
      <c r="CJ943" s="231"/>
      <c r="CK943" s="231"/>
      <c r="CL943" s="231"/>
      <c r="CM943" s="231"/>
      <c r="CN943" s="231"/>
      <c r="CO943" s="231"/>
      <c r="CP943" s="231"/>
      <c r="CQ943" s="231"/>
      <c r="CR943" s="231"/>
      <c r="CS943" s="231"/>
      <c r="CT943" s="231"/>
      <c r="CU943" s="231"/>
      <c r="CV943" s="231"/>
      <c r="CW943" s="231"/>
      <c r="CX943" s="231"/>
      <c r="CY943" s="231"/>
      <c r="CZ943" s="231"/>
      <c r="DA943" s="231"/>
      <c r="DB943" s="231"/>
      <c r="DC943" s="231"/>
      <c r="DD943" s="231"/>
      <c r="DE943" s="231"/>
      <c r="DF943" s="231"/>
      <c r="DG943" s="231"/>
      <c r="DH943" s="231"/>
      <c r="DI943" s="231"/>
      <c r="DJ943" s="231"/>
      <c r="DK943" s="231"/>
      <c r="DL943" s="231"/>
      <c r="DM943" s="231"/>
      <c r="DN943" s="231"/>
      <c r="DO943" s="231"/>
      <c r="DP943" s="231"/>
      <c r="DQ943" s="231"/>
      <c r="DR943" s="231"/>
      <c r="DS943" s="231"/>
      <c r="DT943" s="231"/>
      <c r="DU943" s="231"/>
      <c r="DV943" s="231"/>
      <c r="DW943" s="231"/>
      <c r="DX943" s="231"/>
      <c r="DY943" s="231"/>
      <c r="DZ943" s="231"/>
      <c r="EA943" s="231"/>
      <c r="EB943" s="231"/>
      <c r="EC943" s="231"/>
      <c r="ED943" s="231"/>
      <c r="EE943" s="231"/>
      <c r="EF943" s="231"/>
      <c r="EG943" s="231"/>
      <c r="EH943" s="231"/>
      <c r="EI943" s="231"/>
      <c r="EJ943" s="231"/>
      <c r="EK943" s="231"/>
      <c r="EL943" s="231"/>
      <c r="EM943" s="231"/>
      <c r="EN943" s="231"/>
      <c r="EO943" s="231"/>
      <c r="EP943" s="231"/>
      <c r="EQ943" s="231"/>
      <c r="ER943" s="231"/>
      <c r="ES943" s="231"/>
      <c r="ET943" s="231"/>
      <c r="EU943" s="231"/>
      <c r="EV943" s="231"/>
      <c r="EW943" s="231"/>
      <c r="EX943" s="231"/>
      <c r="EY943" s="231"/>
      <c r="EZ943" s="231"/>
      <c r="FA943" s="231"/>
      <c r="FB943" s="231"/>
      <c r="FC943" s="231"/>
      <c r="FD943" s="231"/>
      <c r="FE943" s="231"/>
      <c r="FF943" s="231"/>
      <c r="FG943" s="231"/>
      <c r="FH943" s="231"/>
      <c r="FI943" s="231"/>
      <c r="FJ943" s="231"/>
      <c r="FK943" s="231"/>
      <c r="FL943" s="231"/>
      <c r="FM943" s="231"/>
      <c r="FN943" s="231"/>
      <c r="FO943" s="231"/>
      <c r="FP943" s="231"/>
      <c r="FQ943" s="231"/>
      <c r="FR943" s="231"/>
      <c r="FS943" s="231"/>
      <c r="FT943" s="231"/>
      <c r="FU943" s="231"/>
      <c r="FV943" s="231"/>
      <c r="FW943" s="231"/>
      <c r="FX943" s="231"/>
      <c r="FY943" s="231"/>
      <c r="FZ943" s="231"/>
      <c r="GA943" s="231"/>
      <c r="GB943" s="231"/>
      <c r="GC943" s="231"/>
      <c r="GD943" s="231"/>
      <c r="GE943" s="231"/>
      <c r="GF943" s="231"/>
      <c r="GG943" s="231"/>
      <c r="GH943" s="231"/>
      <c r="GI943" s="231"/>
      <c r="GJ943" s="231"/>
      <c r="GK943" s="231"/>
      <c r="GL943" s="231"/>
      <c r="GM943" s="231"/>
      <c r="GN943" s="231"/>
      <c r="GO943" s="231"/>
      <c r="GP943" s="231"/>
      <c r="GQ943" s="231"/>
      <c r="GR943" s="231"/>
      <c r="GS943" s="231"/>
      <c r="GT943" s="231"/>
      <c r="GU943" s="231"/>
      <c r="GV943" s="231"/>
      <c r="GW943" s="231"/>
      <c r="GX943" s="231"/>
      <c r="GY943" s="231"/>
      <c r="GZ943" s="231"/>
      <c r="HA943" s="231"/>
      <c r="HB943" s="231"/>
      <c r="HC943" s="231"/>
      <c r="HD943" s="231"/>
      <c r="HE943" s="231"/>
      <c r="HF943" s="231"/>
      <c r="HG943" s="231"/>
      <c r="HH943" s="231"/>
      <c r="HI943" s="232"/>
      <c r="KM943" s="12"/>
      <c r="WL943" s="13"/>
    </row>
    <row r="944" spans="82:610" ht="10.75" customHeight="1">
      <c r="CD944" s="229"/>
      <c r="CE944" s="231"/>
      <c r="CF944" s="231"/>
      <c r="CG944" s="231"/>
      <c r="CH944" s="231"/>
      <c r="CI944" s="231"/>
      <c r="CJ944" s="231"/>
      <c r="CK944" s="231"/>
      <c r="CL944" s="231"/>
      <c r="CM944" s="231"/>
      <c r="CN944" s="231"/>
      <c r="CO944" s="231"/>
      <c r="CP944" s="231"/>
      <c r="CQ944" s="231"/>
      <c r="CR944" s="231"/>
      <c r="CS944" s="231"/>
      <c r="CT944" s="231"/>
      <c r="CU944" s="231"/>
      <c r="CV944" s="231"/>
      <c r="CW944" s="231"/>
      <c r="CX944" s="231"/>
      <c r="CY944" s="231"/>
      <c r="CZ944" s="231"/>
      <c r="DA944" s="231"/>
      <c r="DB944" s="231"/>
      <c r="DC944" s="231"/>
      <c r="DD944" s="231"/>
      <c r="DE944" s="231"/>
      <c r="DF944" s="231"/>
      <c r="DG944" s="231"/>
      <c r="DH944" s="231"/>
      <c r="DI944" s="231"/>
      <c r="DJ944" s="231"/>
      <c r="DK944" s="231"/>
      <c r="DL944" s="231"/>
      <c r="DM944" s="231"/>
      <c r="DN944" s="231"/>
      <c r="DO944" s="231"/>
      <c r="DP944" s="231"/>
      <c r="DQ944" s="231"/>
      <c r="DR944" s="231"/>
      <c r="DS944" s="231"/>
      <c r="DT944" s="231"/>
      <c r="DU944" s="231"/>
      <c r="DV944" s="231"/>
      <c r="DW944" s="231"/>
      <c r="DX944" s="231"/>
      <c r="DY944" s="231"/>
      <c r="DZ944" s="231"/>
      <c r="EA944" s="231"/>
      <c r="EB944" s="231"/>
      <c r="EC944" s="231"/>
      <c r="ED944" s="231"/>
      <c r="EE944" s="231"/>
      <c r="EF944" s="231"/>
      <c r="EG944" s="231"/>
      <c r="EH944" s="231"/>
      <c r="EI944" s="231"/>
      <c r="EJ944" s="231"/>
      <c r="EK944" s="231"/>
      <c r="EL944" s="231"/>
      <c r="EM944" s="231"/>
      <c r="EN944" s="231"/>
      <c r="EO944" s="231"/>
      <c r="EP944" s="231"/>
      <c r="EQ944" s="231"/>
      <c r="ER944" s="231"/>
      <c r="ES944" s="231"/>
      <c r="ET944" s="231"/>
      <c r="EU944" s="231"/>
      <c r="EV944" s="231"/>
      <c r="EW944" s="231"/>
      <c r="EX944" s="231"/>
      <c r="EY944" s="231"/>
      <c r="EZ944" s="231"/>
      <c r="FA944" s="231"/>
      <c r="FB944" s="231"/>
      <c r="FC944" s="231"/>
      <c r="FD944" s="231"/>
      <c r="FE944" s="231"/>
      <c r="FF944" s="231"/>
      <c r="FG944" s="231"/>
      <c r="FH944" s="231"/>
      <c r="FI944" s="231"/>
      <c r="FJ944" s="231"/>
      <c r="FK944" s="231"/>
      <c r="FL944" s="231"/>
      <c r="FM944" s="231"/>
      <c r="FN944" s="231"/>
      <c r="FO944" s="231"/>
      <c r="FP944" s="231"/>
      <c r="FQ944" s="231"/>
      <c r="FR944" s="231"/>
      <c r="FS944" s="231"/>
      <c r="FT944" s="231"/>
      <c r="FU944" s="231"/>
      <c r="FV944" s="231"/>
      <c r="FW944" s="231"/>
      <c r="FX944" s="231"/>
      <c r="FY944" s="231"/>
      <c r="FZ944" s="231"/>
      <c r="GA944" s="231"/>
      <c r="GB944" s="231"/>
      <c r="GC944" s="231"/>
      <c r="GD944" s="231"/>
      <c r="GE944" s="231"/>
      <c r="GF944" s="231"/>
      <c r="GG944" s="231"/>
      <c r="GH944" s="231"/>
      <c r="GI944" s="231"/>
      <c r="GJ944" s="231"/>
      <c r="GK944" s="231"/>
      <c r="GL944" s="231"/>
      <c r="GM944" s="231"/>
      <c r="GN944" s="231"/>
      <c r="GO944" s="231"/>
      <c r="GP944" s="231"/>
      <c r="GQ944" s="231"/>
      <c r="GR944" s="231"/>
      <c r="GS944" s="231"/>
      <c r="GT944" s="231"/>
      <c r="GU944" s="231"/>
      <c r="GV944" s="231"/>
      <c r="GW944" s="231"/>
      <c r="GX944" s="231"/>
      <c r="GY944" s="231"/>
      <c r="GZ944" s="231"/>
      <c r="HA944" s="231"/>
      <c r="HB944" s="231"/>
      <c r="HC944" s="231"/>
      <c r="HD944" s="231"/>
      <c r="HE944" s="231"/>
      <c r="HF944" s="231"/>
      <c r="HG944" s="231"/>
      <c r="HH944" s="231"/>
      <c r="HI944" s="232"/>
      <c r="KM944" s="12"/>
      <c r="WL944" s="13"/>
    </row>
    <row r="945" spans="82:610" ht="10.75" customHeight="1">
      <c r="CD945" s="229"/>
      <c r="CE945" s="231"/>
      <c r="CF945" s="231"/>
      <c r="CG945" s="231"/>
      <c r="CH945" s="231"/>
      <c r="CI945" s="231"/>
      <c r="CJ945" s="231"/>
      <c r="CK945" s="231"/>
      <c r="CL945" s="231"/>
      <c r="CM945" s="231"/>
      <c r="CN945" s="231"/>
      <c r="CO945" s="231"/>
      <c r="CP945" s="231"/>
      <c r="CQ945" s="231"/>
      <c r="CR945" s="231"/>
      <c r="CS945" s="231"/>
      <c r="CT945" s="231"/>
      <c r="CU945" s="231"/>
      <c r="CV945" s="231"/>
      <c r="CW945" s="231"/>
      <c r="CX945" s="231"/>
      <c r="CY945" s="231"/>
      <c r="CZ945" s="231"/>
      <c r="DA945" s="231"/>
      <c r="DB945" s="231"/>
      <c r="DC945" s="231"/>
      <c r="DD945" s="231"/>
      <c r="DE945" s="231"/>
      <c r="DF945" s="231"/>
      <c r="DG945" s="231"/>
      <c r="DH945" s="231"/>
      <c r="DI945" s="231"/>
      <c r="DJ945" s="231"/>
      <c r="DK945" s="231"/>
      <c r="DL945" s="231"/>
      <c r="DM945" s="231"/>
      <c r="DN945" s="231"/>
      <c r="DO945" s="231"/>
      <c r="DP945" s="231"/>
      <c r="DQ945" s="231"/>
      <c r="DR945" s="231"/>
      <c r="DS945" s="231"/>
      <c r="DT945" s="231"/>
      <c r="DU945" s="231"/>
      <c r="DV945" s="231"/>
      <c r="DW945" s="231"/>
      <c r="DX945" s="231"/>
      <c r="DY945" s="231"/>
      <c r="DZ945" s="231"/>
      <c r="EA945" s="231"/>
      <c r="EB945" s="231"/>
      <c r="EC945" s="231"/>
      <c r="ED945" s="231"/>
      <c r="EE945" s="231"/>
      <c r="EF945" s="231"/>
      <c r="EG945" s="231"/>
      <c r="EH945" s="231"/>
      <c r="EI945" s="231"/>
      <c r="EJ945" s="231"/>
      <c r="EK945" s="231"/>
      <c r="EL945" s="231"/>
      <c r="EM945" s="231"/>
      <c r="EN945" s="231"/>
      <c r="EO945" s="231"/>
      <c r="EP945" s="231"/>
      <c r="EQ945" s="231"/>
      <c r="ER945" s="231"/>
      <c r="ES945" s="231"/>
      <c r="ET945" s="231"/>
      <c r="EU945" s="231"/>
      <c r="EV945" s="231"/>
      <c r="EW945" s="231"/>
      <c r="EX945" s="231"/>
      <c r="EY945" s="231"/>
      <c r="EZ945" s="231"/>
      <c r="FA945" s="231"/>
      <c r="FB945" s="231"/>
      <c r="FC945" s="231"/>
      <c r="FD945" s="231"/>
      <c r="FE945" s="231"/>
      <c r="FF945" s="231"/>
      <c r="FG945" s="231"/>
      <c r="FH945" s="231"/>
      <c r="FI945" s="231"/>
      <c r="FJ945" s="231"/>
      <c r="FK945" s="231"/>
      <c r="FL945" s="231"/>
      <c r="FM945" s="231"/>
      <c r="FN945" s="231"/>
      <c r="FO945" s="231"/>
      <c r="FP945" s="231"/>
      <c r="FQ945" s="231"/>
      <c r="FR945" s="231"/>
      <c r="FS945" s="231"/>
      <c r="FT945" s="231"/>
      <c r="FU945" s="231"/>
      <c r="FV945" s="231"/>
      <c r="FW945" s="231"/>
      <c r="FX945" s="231"/>
      <c r="FY945" s="231"/>
      <c r="FZ945" s="231"/>
      <c r="GA945" s="231"/>
      <c r="GB945" s="231"/>
      <c r="GC945" s="231"/>
      <c r="GD945" s="231"/>
      <c r="GE945" s="231"/>
      <c r="GF945" s="231"/>
      <c r="GG945" s="231"/>
      <c r="GH945" s="231"/>
      <c r="GI945" s="231"/>
      <c r="GJ945" s="231"/>
      <c r="GK945" s="231"/>
      <c r="GL945" s="231"/>
      <c r="GM945" s="231"/>
      <c r="GN945" s="231"/>
      <c r="GO945" s="231"/>
      <c r="GP945" s="231"/>
      <c r="GQ945" s="231"/>
      <c r="GR945" s="231"/>
      <c r="GS945" s="231"/>
      <c r="GT945" s="231"/>
      <c r="GU945" s="231"/>
      <c r="GV945" s="231"/>
      <c r="GW945" s="231"/>
      <c r="GX945" s="231"/>
      <c r="GY945" s="231"/>
      <c r="GZ945" s="231"/>
      <c r="HA945" s="231"/>
      <c r="HB945" s="231"/>
      <c r="HC945" s="231"/>
      <c r="HD945" s="231"/>
      <c r="HE945" s="231"/>
      <c r="HF945" s="231"/>
      <c r="HG945" s="231"/>
      <c r="HH945" s="231"/>
      <c r="HI945" s="232"/>
      <c r="KM945" s="12"/>
      <c r="WL945" s="13"/>
    </row>
    <row r="946" spans="82:610" ht="10.75" customHeight="1">
      <c r="CD946" s="229"/>
      <c r="CE946" s="231"/>
      <c r="CF946" s="231"/>
      <c r="CG946" s="231"/>
      <c r="CH946" s="231"/>
      <c r="CI946" s="231"/>
      <c r="CJ946" s="231"/>
      <c r="CK946" s="231"/>
      <c r="CL946" s="231"/>
      <c r="CM946" s="231"/>
      <c r="CN946" s="231"/>
      <c r="CO946" s="231"/>
      <c r="CP946" s="231"/>
      <c r="CQ946" s="231"/>
      <c r="CR946" s="231"/>
      <c r="CS946" s="231"/>
      <c r="CT946" s="231"/>
      <c r="CU946" s="231"/>
      <c r="CV946" s="231"/>
      <c r="CW946" s="231"/>
      <c r="CX946" s="231"/>
      <c r="CY946" s="231"/>
      <c r="CZ946" s="231"/>
      <c r="DA946" s="231"/>
      <c r="DB946" s="231"/>
      <c r="DC946" s="231"/>
      <c r="DD946" s="231"/>
      <c r="DE946" s="231"/>
      <c r="DF946" s="231"/>
      <c r="DG946" s="231"/>
      <c r="DH946" s="231"/>
      <c r="DI946" s="231"/>
      <c r="DJ946" s="231"/>
      <c r="DK946" s="231"/>
      <c r="DL946" s="231"/>
      <c r="DM946" s="231"/>
      <c r="DN946" s="231"/>
      <c r="DO946" s="231"/>
      <c r="DP946" s="231"/>
      <c r="DQ946" s="231"/>
      <c r="DR946" s="231"/>
      <c r="DS946" s="231"/>
      <c r="DT946" s="231"/>
      <c r="DU946" s="231"/>
      <c r="DV946" s="231"/>
      <c r="DW946" s="231"/>
      <c r="DX946" s="231"/>
      <c r="DY946" s="231"/>
      <c r="DZ946" s="231"/>
      <c r="EA946" s="231"/>
      <c r="EB946" s="231"/>
      <c r="EC946" s="231"/>
      <c r="ED946" s="231"/>
      <c r="EE946" s="231"/>
      <c r="EF946" s="231"/>
      <c r="EG946" s="231"/>
      <c r="EH946" s="231"/>
      <c r="EI946" s="231"/>
      <c r="EJ946" s="231"/>
      <c r="EK946" s="231"/>
      <c r="EL946" s="231"/>
      <c r="EM946" s="231"/>
      <c r="EN946" s="231"/>
      <c r="EO946" s="231"/>
      <c r="EP946" s="231"/>
      <c r="EQ946" s="231"/>
      <c r="ER946" s="231"/>
      <c r="ES946" s="231"/>
      <c r="ET946" s="231"/>
      <c r="EU946" s="231"/>
      <c r="EV946" s="231"/>
      <c r="EW946" s="231"/>
      <c r="EX946" s="231"/>
      <c r="EY946" s="231"/>
      <c r="EZ946" s="231"/>
      <c r="FA946" s="231"/>
      <c r="FB946" s="231"/>
      <c r="FC946" s="231"/>
      <c r="FD946" s="231"/>
      <c r="FE946" s="231"/>
      <c r="FF946" s="231"/>
      <c r="FG946" s="231"/>
      <c r="FH946" s="231"/>
      <c r="FI946" s="231"/>
      <c r="FJ946" s="231"/>
      <c r="FK946" s="231"/>
      <c r="FL946" s="231"/>
      <c r="FM946" s="231"/>
      <c r="FN946" s="231"/>
      <c r="FO946" s="231"/>
      <c r="FP946" s="231"/>
      <c r="FQ946" s="231"/>
      <c r="FR946" s="231"/>
      <c r="FS946" s="231"/>
      <c r="FT946" s="231"/>
      <c r="FU946" s="231"/>
      <c r="FV946" s="231"/>
      <c r="FW946" s="231"/>
      <c r="FX946" s="231"/>
      <c r="FY946" s="231"/>
      <c r="FZ946" s="231"/>
      <c r="GA946" s="231"/>
      <c r="GB946" s="231"/>
      <c r="GC946" s="231"/>
      <c r="GD946" s="231"/>
      <c r="GE946" s="231"/>
      <c r="GF946" s="231"/>
      <c r="GG946" s="231"/>
      <c r="GH946" s="231"/>
      <c r="GI946" s="231"/>
      <c r="GJ946" s="231"/>
      <c r="GK946" s="231"/>
      <c r="GL946" s="231"/>
      <c r="GM946" s="231"/>
      <c r="GN946" s="231"/>
      <c r="GO946" s="231"/>
      <c r="GP946" s="231"/>
      <c r="GQ946" s="231"/>
      <c r="GR946" s="231"/>
      <c r="GS946" s="231"/>
      <c r="GT946" s="231"/>
      <c r="GU946" s="231"/>
      <c r="GV946" s="231"/>
      <c r="GW946" s="231"/>
      <c r="GX946" s="231"/>
      <c r="GY946" s="231"/>
      <c r="GZ946" s="231"/>
      <c r="HA946" s="231"/>
      <c r="HB946" s="231"/>
      <c r="HC946" s="231"/>
      <c r="HD946" s="231"/>
      <c r="HE946" s="231"/>
      <c r="HF946" s="231"/>
      <c r="HG946" s="231"/>
      <c r="HH946" s="231"/>
      <c r="HI946" s="232"/>
      <c r="KM946" s="12"/>
      <c r="WL946" s="13"/>
    </row>
    <row r="947" spans="82:610" ht="10.75" customHeight="1">
      <c r="CD947" s="229"/>
      <c r="CE947" s="231"/>
      <c r="CF947" s="231"/>
      <c r="CG947" s="231"/>
      <c r="CH947" s="231"/>
      <c r="CI947" s="231"/>
      <c r="CJ947" s="231"/>
      <c r="CK947" s="231"/>
      <c r="CL947" s="231"/>
      <c r="CM947" s="231"/>
      <c r="CN947" s="231"/>
      <c r="CO947" s="231"/>
      <c r="CP947" s="231"/>
      <c r="CQ947" s="231"/>
      <c r="CR947" s="231"/>
      <c r="CS947" s="231"/>
      <c r="CT947" s="231"/>
      <c r="CU947" s="231"/>
      <c r="CV947" s="231"/>
      <c r="CW947" s="231"/>
      <c r="CX947" s="231"/>
      <c r="CY947" s="231"/>
      <c r="CZ947" s="231"/>
      <c r="DA947" s="231"/>
      <c r="DB947" s="231"/>
      <c r="DC947" s="231"/>
      <c r="DD947" s="231"/>
      <c r="DE947" s="231"/>
      <c r="DF947" s="231"/>
      <c r="DG947" s="231"/>
      <c r="DH947" s="231"/>
      <c r="DI947" s="231"/>
      <c r="DJ947" s="231"/>
      <c r="DK947" s="231"/>
      <c r="DL947" s="231"/>
      <c r="DM947" s="231"/>
      <c r="DN947" s="231"/>
      <c r="DO947" s="231"/>
      <c r="DP947" s="231"/>
      <c r="DQ947" s="231"/>
      <c r="DR947" s="231"/>
      <c r="DS947" s="231"/>
      <c r="DT947" s="231"/>
      <c r="DU947" s="231"/>
      <c r="DV947" s="231"/>
      <c r="DW947" s="231"/>
      <c r="DX947" s="231"/>
      <c r="DY947" s="231"/>
      <c r="DZ947" s="231"/>
      <c r="EA947" s="231"/>
      <c r="EB947" s="231"/>
      <c r="EC947" s="231"/>
      <c r="ED947" s="231"/>
      <c r="EE947" s="231"/>
      <c r="EF947" s="231"/>
      <c r="EG947" s="231"/>
      <c r="EH947" s="231"/>
      <c r="EI947" s="231"/>
      <c r="EJ947" s="231"/>
      <c r="EK947" s="231"/>
      <c r="EL947" s="231"/>
      <c r="EM947" s="231"/>
      <c r="EN947" s="231"/>
      <c r="EO947" s="231"/>
      <c r="EP947" s="231"/>
      <c r="EQ947" s="231"/>
      <c r="ER947" s="231"/>
      <c r="ES947" s="231"/>
      <c r="ET947" s="231"/>
      <c r="EU947" s="231"/>
      <c r="EV947" s="231"/>
      <c r="EW947" s="231"/>
      <c r="EX947" s="231"/>
      <c r="EY947" s="231"/>
      <c r="EZ947" s="231"/>
      <c r="FA947" s="231"/>
      <c r="FB947" s="231"/>
      <c r="FC947" s="231"/>
      <c r="FD947" s="231"/>
      <c r="FE947" s="231"/>
      <c r="FF947" s="231"/>
      <c r="FG947" s="231"/>
      <c r="FH947" s="231"/>
      <c r="FI947" s="231"/>
      <c r="FJ947" s="231"/>
      <c r="FK947" s="231"/>
      <c r="FL947" s="231"/>
      <c r="FM947" s="231"/>
      <c r="FN947" s="231"/>
      <c r="FO947" s="231"/>
      <c r="FP947" s="231"/>
      <c r="FQ947" s="231"/>
      <c r="FR947" s="231"/>
      <c r="FS947" s="231"/>
      <c r="FT947" s="231"/>
      <c r="FU947" s="231"/>
      <c r="FV947" s="231"/>
      <c r="FW947" s="231"/>
      <c r="FX947" s="231"/>
      <c r="FY947" s="231"/>
      <c r="FZ947" s="231"/>
      <c r="GA947" s="231"/>
      <c r="GB947" s="231"/>
      <c r="GC947" s="231"/>
      <c r="GD947" s="231"/>
      <c r="GE947" s="231"/>
      <c r="GF947" s="231"/>
      <c r="GG947" s="231"/>
      <c r="GH947" s="231"/>
      <c r="GI947" s="231"/>
      <c r="GJ947" s="231"/>
      <c r="GK947" s="231"/>
      <c r="GL947" s="231"/>
      <c r="GM947" s="231"/>
      <c r="GN947" s="231"/>
      <c r="GO947" s="231"/>
      <c r="GP947" s="231"/>
      <c r="GQ947" s="231"/>
      <c r="GR947" s="231"/>
      <c r="GS947" s="231"/>
      <c r="GT947" s="231"/>
      <c r="GU947" s="231"/>
      <c r="GV947" s="231"/>
      <c r="GW947" s="231"/>
      <c r="GX947" s="231"/>
      <c r="GY947" s="231"/>
      <c r="GZ947" s="231"/>
      <c r="HA947" s="231"/>
      <c r="HB947" s="231"/>
      <c r="HC947" s="231"/>
      <c r="HD947" s="231"/>
      <c r="HE947" s="231"/>
      <c r="HF947" s="231"/>
      <c r="HG947" s="231"/>
      <c r="HH947" s="231"/>
      <c r="HI947" s="232"/>
      <c r="KM947" s="12"/>
      <c r="WL947" s="13"/>
    </row>
    <row r="948" spans="82:610" ht="10.75" customHeight="1">
      <c r="CD948" s="229"/>
      <c r="CE948" s="231"/>
      <c r="CF948" s="231"/>
      <c r="CG948" s="231"/>
      <c r="CH948" s="231"/>
      <c r="CI948" s="231"/>
      <c r="CJ948" s="231"/>
      <c r="CK948" s="231"/>
      <c r="CL948" s="231"/>
      <c r="CM948" s="231"/>
      <c r="CN948" s="231"/>
      <c r="CO948" s="231"/>
      <c r="CP948" s="231"/>
      <c r="CQ948" s="231"/>
      <c r="CR948" s="231"/>
      <c r="CS948" s="231"/>
      <c r="CT948" s="231"/>
      <c r="CU948" s="231"/>
      <c r="CV948" s="231"/>
      <c r="CW948" s="231"/>
      <c r="CX948" s="231"/>
      <c r="CY948" s="231"/>
      <c r="CZ948" s="231"/>
      <c r="DA948" s="231"/>
      <c r="DB948" s="231"/>
      <c r="DC948" s="231"/>
      <c r="DD948" s="231"/>
      <c r="DE948" s="231"/>
      <c r="DF948" s="231"/>
      <c r="DG948" s="231"/>
      <c r="DH948" s="231"/>
      <c r="DI948" s="231"/>
      <c r="DJ948" s="231"/>
      <c r="DK948" s="231"/>
      <c r="DL948" s="231"/>
      <c r="DM948" s="231"/>
      <c r="DN948" s="231"/>
      <c r="DO948" s="231"/>
      <c r="DP948" s="231"/>
      <c r="DQ948" s="231"/>
      <c r="DR948" s="231"/>
      <c r="DS948" s="231"/>
      <c r="DT948" s="231"/>
      <c r="DU948" s="231"/>
      <c r="DV948" s="231"/>
      <c r="DW948" s="231"/>
      <c r="DX948" s="231"/>
      <c r="DY948" s="231"/>
      <c r="DZ948" s="231"/>
      <c r="EA948" s="231"/>
      <c r="EB948" s="231"/>
      <c r="EC948" s="231"/>
      <c r="ED948" s="231"/>
      <c r="EE948" s="231"/>
      <c r="EF948" s="231"/>
      <c r="EG948" s="231"/>
      <c r="EH948" s="231"/>
      <c r="EI948" s="231"/>
      <c r="EJ948" s="231"/>
      <c r="EK948" s="231"/>
      <c r="EL948" s="231"/>
      <c r="EM948" s="231"/>
      <c r="EN948" s="231"/>
      <c r="EO948" s="231"/>
      <c r="EP948" s="231"/>
      <c r="EQ948" s="231"/>
      <c r="ER948" s="231"/>
      <c r="ES948" s="231"/>
      <c r="ET948" s="231"/>
      <c r="EU948" s="231"/>
      <c r="EV948" s="231"/>
      <c r="EW948" s="231"/>
      <c r="EX948" s="231"/>
      <c r="EY948" s="231"/>
      <c r="EZ948" s="231"/>
      <c r="FA948" s="231"/>
      <c r="FB948" s="231"/>
      <c r="FC948" s="231"/>
      <c r="FD948" s="231"/>
      <c r="FE948" s="231"/>
      <c r="FF948" s="231"/>
      <c r="FG948" s="231"/>
      <c r="FH948" s="231"/>
      <c r="FI948" s="231"/>
      <c r="FJ948" s="231"/>
      <c r="FK948" s="231"/>
      <c r="FL948" s="231"/>
      <c r="FM948" s="231"/>
      <c r="FN948" s="231"/>
      <c r="FO948" s="231"/>
      <c r="FP948" s="231"/>
      <c r="FQ948" s="231"/>
      <c r="FR948" s="231"/>
      <c r="FS948" s="231"/>
      <c r="FT948" s="231"/>
      <c r="FU948" s="231"/>
      <c r="FV948" s="231"/>
      <c r="FW948" s="231"/>
      <c r="FX948" s="231"/>
      <c r="FY948" s="231"/>
      <c r="FZ948" s="231"/>
      <c r="GA948" s="231"/>
      <c r="GB948" s="231"/>
      <c r="GC948" s="231"/>
      <c r="GD948" s="231"/>
      <c r="GE948" s="231"/>
      <c r="GF948" s="231"/>
      <c r="GG948" s="231"/>
      <c r="GH948" s="231"/>
      <c r="GI948" s="231"/>
      <c r="GJ948" s="231"/>
      <c r="GK948" s="231"/>
      <c r="GL948" s="231"/>
      <c r="GM948" s="231"/>
      <c r="GN948" s="231"/>
      <c r="GO948" s="231"/>
      <c r="GP948" s="231"/>
      <c r="GQ948" s="231"/>
      <c r="GR948" s="231"/>
      <c r="GS948" s="231"/>
      <c r="GT948" s="231"/>
      <c r="GU948" s="231"/>
      <c r="GV948" s="231"/>
      <c r="GW948" s="231"/>
      <c r="GX948" s="231"/>
      <c r="GY948" s="231"/>
      <c r="GZ948" s="231"/>
      <c r="HA948" s="231"/>
      <c r="HB948" s="231"/>
      <c r="HC948" s="231"/>
      <c r="HD948" s="231"/>
      <c r="HE948" s="231"/>
      <c r="HF948" s="231"/>
      <c r="HG948" s="231"/>
      <c r="HH948" s="231"/>
      <c r="HI948" s="232"/>
      <c r="KM948" s="12"/>
      <c r="WL948" s="13"/>
    </row>
    <row r="949" spans="82:610" ht="10.75" customHeight="1">
      <c r="CD949" s="229"/>
      <c r="CE949" s="231"/>
      <c r="CF949" s="231"/>
      <c r="CG949" s="231"/>
      <c r="CH949" s="231"/>
      <c r="CI949" s="231"/>
      <c r="CJ949" s="231"/>
      <c r="CK949" s="231"/>
      <c r="CL949" s="231"/>
      <c r="CM949" s="231"/>
      <c r="CN949" s="231"/>
      <c r="CO949" s="231"/>
      <c r="CP949" s="231"/>
      <c r="CQ949" s="231"/>
      <c r="CR949" s="231"/>
      <c r="CS949" s="231"/>
      <c r="CT949" s="231"/>
      <c r="CU949" s="231"/>
      <c r="CV949" s="231"/>
      <c r="CW949" s="231"/>
      <c r="CX949" s="231"/>
      <c r="CY949" s="231"/>
      <c r="CZ949" s="231"/>
      <c r="DA949" s="231"/>
      <c r="DB949" s="231"/>
      <c r="DC949" s="231"/>
      <c r="DD949" s="231"/>
      <c r="DE949" s="231"/>
      <c r="DF949" s="231"/>
      <c r="DG949" s="231"/>
      <c r="DH949" s="231"/>
      <c r="DI949" s="231"/>
      <c r="DJ949" s="231"/>
      <c r="DK949" s="231"/>
      <c r="DL949" s="231"/>
      <c r="DM949" s="231"/>
      <c r="DN949" s="231"/>
      <c r="DO949" s="231"/>
      <c r="DP949" s="231"/>
      <c r="DQ949" s="231"/>
      <c r="DR949" s="231"/>
      <c r="DS949" s="231"/>
      <c r="DT949" s="231"/>
      <c r="DU949" s="231"/>
      <c r="DV949" s="231"/>
      <c r="DW949" s="231"/>
      <c r="DX949" s="231"/>
      <c r="DY949" s="231"/>
      <c r="DZ949" s="231"/>
      <c r="EA949" s="231"/>
      <c r="EB949" s="231"/>
      <c r="EC949" s="231"/>
      <c r="ED949" s="231"/>
      <c r="EE949" s="231"/>
      <c r="EF949" s="231"/>
      <c r="EG949" s="231"/>
      <c r="EH949" s="231"/>
      <c r="EI949" s="231"/>
      <c r="EJ949" s="231"/>
      <c r="EK949" s="231"/>
      <c r="EL949" s="231"/>
      <c r="EM949" s="231"/>
      <c r="EN949" s="231"/>
      <c r="EO949" s="231"/>
      <c r="EP949" s="231"/>
      <c r="EQ949" s="231"/>
      <c r="ER949" s="231"/>
      <c r="ES949" s="231"/>
      <c r="ET949" s="231"/>
      <c r="EU949" s="231"/>
      <c r="EV949" s="231"/>
      <c r="EW949" s="231"/>
      <c r="EX949" s="231"/>
      <c r="EY949" s="231"/>
      <c r="EZ949" s="231"/>
      <c r="FA949" s="231"/>
      <c r="FB949" s="231"/>
      <c r="FC949" s="231"/>
      <c r="FD949" s="231"/>
      <c r="FE949" s="231"/>
      <c r="FF949" s="231"/>
      <c r="FG949" s="231"/>
      <c r="FH949" s="231"/>
      <c r="FI949" s="231"/>
      <c r="FJ949" s="231"/>
      <c r="FK949" s="231"/>
      <c r="FL949" s="231"/>
      <c r="FM949" s="231"/>
      <c r="FN949" s="231"/>
      <c r="FO949" s="231"/>
      <c r="FP949" s="231"/>
      <c r="FQ949" s="231"/>
      <c r="FR949" s="231"/>
      <c r="FS949" s="231"/>
      <c r="FT949" s="231"/>
      <c r="FU949" s="231"/>
      <c r="FV949" s="231"/>
      <c r="FW949" s="231"/>
      <c r="FX949" s="231"/>
      <c r="FY949" s="231"/>
      <c r="FZ949" s="231"/>
      <c r="GA949" s="231"/>
      <c r="GB949" s="231"/>
      <c r="GC949" s="231"/>
      <c r="GD949" s="231"/>
      <c r="GE949" s="231"/>
      <c r="GF949" s="231"/>
      <c r="GG949" s="231"/>
      <c r="GH949" s="231"/>
      <c r="GI949" s="231"/>
      <c r="GJ949" s="231"/>
      <c r="GK949" s="231"/>
      <c r="GL949" s="231"/>
      <c r="GM949" s="231"/>
      <c r="GN949" s="231"/>
      <c r="GO949" s="231"/>
      <c r="GP949" s="231"/>
      <c r="GQ949" s="231"/>
      <c r="GR949" s="231"/>
      <c r="GS949" s="231"/>
      <c r="GT949" s="231"/>
      <c r="GU949" s="231"/>
      <c r="GV949" s="231"/>
      <c r="GW949" s="231"/>
      <c r="GX949" s="231"/>
      <c r="GY949" s="231"/>
      <c r="GZ949" s="231"/>
      <c r="HA949" s="231"/>
      <c r="HB949" s="231"/>
      <c r="HC949" s="231"/>
      <c r="HD949" s="231"/>
      <c r="HE949" s="231"/>
      <c r="HF949" s="231"/>
      <c r="HG949" s="231"/>
      <c r="HH949" s="231"/>
      <c r="HI949" s="232"/>
      <c r="KM949" s="12"/>
      <c r="WL949" s="13"/>
    </row>
    <row r="950" spans="82:610" ht="10.75" customHeight="1">
      <c r="CD950" s="229"/>
      <c r="CE950" s="231"/>
      <c r="CF950" s="231"/>
      <c r="CG950" s="231"/>
      <c r="CH950" s="231"/>
      <c r="CI950" s="231"/>
      <c r="CJ950" s="231"/>
      <c r="CK950" s="231"/>
      <c r="CL950" s="231"/>
      <c r="CM950" s="231"/>
      <c r="CN950" s="231"/>
      <c r="CO950" s="231"/>
      <c r="CP950" s="231"/>
      <c r="CQ950" s="231"/>
      <c r="CR950" s="231"/>
      <c r="CS950" s="231"/>
      <c r="CT950" s="231"/>
      <c r="CU950" s="231"/>
      <c r="CV950" s="231"/>
      <c r="CW950" s="231"/>
      <c r="CX950" s="231"/>
      <c r="CY950" s="231"/>
      <c r="CZ950" s="231"/>
      <c r="DA950" s="231"/>
      <c r="DB950" s="231"/>
      <c r="DC950" s="231"/>
      <c r="DD950" s="231"/>
      <c r="DE950" s="231"/>
      <c r="DF950" s="231"/>
      <c r="DG950" s="231"/>
      <c r="DH950" s="231"/>
      <c r="DI950" s="231"/>
      <c r="DJ950" s="231"/>
      <c r="DK950" s="231"/>
      <c r="DL950" s="231"/>
      <c r="DM950" s="231"/>
      <c r="DN950" s="231"/>
      <c r="DO950" s="231"/>
      <c r="DP950" s="231"/>
      <c r="DQ950" s="231"/>
      <c r="DR950" s="231"/>
      <c r="DS950" s="231"/>
      <c r="DT950" s="231"/>
      <c r="DU950" s="231"/>
      <c r="DV950" s="231"/>
      <c r="DW950" s="231"/>
      <c r="DX950" s="231"/>
      <c r="DY950" s="231"/>
      <c r="DZ950" s="231"/>
      <c r="EA950" s="231"/>
      <c r="EB950" s="231"/>
      <c r="EC950" s="231"/>
      <c r="ED950" s="231"/>
      <c r="EE950" s="231"/>
      <c r="EF950" s="231"/>
      <c r="EG950" s="231"/>
      <c r="EH950" s="231"/>
      <c r="EI950" s="231"/>
      <c r="EJ950" s="231"/>
      <c r="EK950" s="231"/>
      <c r="EL950" s="231"/>
      <c r="EM950" s="231"/>
      <c r="EN950" s="231"/>
      <c r="EO950" s="231"/>
      <c r="EP950" s="231"/>
      <c r="EQ950" s="231"/>
      <c r="ER950" s="231"/>
      <c r="ES950" s="231"/>
      <c r="ET950" s="231"/>
      <c r="EU950" s="231"/>
      <c r="EV950" s="231"/>
      <c r="EW950" s="231"/>
      <c r="EX950" s="231"/>
      <c r="EY950" s="231"/>
      <c r="EZ950" s="231"/>
      <c r="FA950" s="231"/>
      <c r="FB950" s="231"/>
      <c r="FC950" s="231"/>
      <c r="FD950" s="231"/>
      <c r="FE950" s="231"/>
      <c r="FF950" s="231"/>
      <c r="FG950" s="231"/>
      <c r="FH950" s="231"/>
      <c r="FI950" s="231"/>
      <c r="FJ950" s="231"/>
      <c r="FK950" s="231"/>
      <c r="FL950" s="231"/>
      <c r="FM950" s="231"/>
      <c r="FN950" s="231"/>
      <c r="FO950" s="231"/>
      <c r="FP950" s="231"/>
      <c r="FQ950" s="231"/>
      <c r="FR950" s="231"/>
      <c r="FS950" s="231"/>
      <c r="FT950" s="231"/>
      <c r="FU950" s="231"/>
      <c r="FV950" s="231"/>
      <c r="FW950" s="231"/>
      <c r="FX950" s="231"/>
      <c r="FY950" s="231"/>
      <c r="FZ950" s="231"/>
      <c r="GA950" s="231"/>
      <c r="GB950" s="231"/>
      <c r="GC950" s="231"/>
      <c r="GD950" s="231"/>
      <c r="GE950" s="231"/>
      <c r="GF950" s="231"/>
      <c r="GG950" s="231"/>
      <c r="GH950" s="231"/>
      <c r="GI950" s="231"/>
      <c r="GJ950" s="231"/>
      <c r="GK950" s="231"/>
      <c r="GL950" s="231"/>
      <c r="GM950" s="231"/>
      <c r="GN950" s="231"/>
      <c r="GO950" s="231"/>
      <c r="GP950" s="231"/>
      <c r="GQ950" s="231"/>
      <c r="GR950" s="231"/>
      <c r="GS950" s="231"/>
      <c r="GT950" s="231"/>
      <c r="GU950" s="231"/>
      <c r="GV950" s="231"/>
      <c r="GW950" s="231"/>
      <c r="GX950" s="231"/>
      <c r="GY950" s="231"/>
      <c r="GZ950" s="231"/>
      <c r="HA950" s="231"/>
      <c r="HB950" s="231"/>
      <c r="HC950" s="231"/>
      <c r="HD950" s="231"/>
      <c r="HE950" s="231"/>
      <c r="HF950" s="231"/>
      <c r="HG950" s="231"/>
      <c r="HH950" s="231"/>
      <c r="HI950" s="232"/>
      <c r="KM950" s="12"/>
      <c r="WL950" s="13"/>
    </row>
    <row r="951" spans="82:610" ht="10.75" customHeight="1">
      <c r="CD951" s="229"/>
      <c r="CE951" s="231"/>
      <c r="CF951" s="231"/>
      <c r="CG951" s="231"/>
      <c r="CH951" s="231"/>
      <c r="CI951" s="231"/>
      <c r="CJ951" s="231"/>
      <c r="CK951" s="231"/>
      <c r="CL951" s="231"/>
      <c r="CM951" s="231"/>
      <c r="CN951" s="231"/>
      <c r="CO951" s="231"/>
      <c r="CP951" s="231"/>
      <c r="CQ951" s="231"/>
      <c r="CR951" s="231"/>
      <c r="CS951" s="231"/>
      <c r="CT951" s="231"/>
      <c r="CU951" s="231"/>
      <c r="CV951" s="231"/>
      <c r="CW951" s="231"/>
      <c r="CX951" s="231"/>
      <c r="CY951" s="231"/>
      <c r="CZ951" s="231"/>
      <c r="DA951" s="231"/>
      <c r="DB951" s="231"/>
      <c r="DC951" s="231"/>
      <c r="DD951" s="231"/>
      <c r="DE951" s="231"/>
      <c r="DF951" s="231"/>
      <c r="DG951" s="231"/>
      <c r="DH951" s="231"/>
      <c r="DI951" s="231"/>
      <c r="DJ951" s="231"/>
      <c r="DK951" s="231"/>
      <c r="DL951" s="231"/>
      <c r="DM951" s="231"/>
      <c r="DN951" s="231"/>
      <c r="DO951" s="231"/>
      <c r="DP951" s="231"/>
      <c r="DQ951" s="231"/>
      <c r="DR951" s="231"/>
      <c r="DS951" s="231"/>
      <c r="DT951" s="231"/>
      <c r="DU951" s="231"/>
      <c r="DV951" s="231"/>
      <c r="DW951" s="231"/>
      <c r="DX951" s="231"/>
      <c r="DY951" s="231"/>
      <c r="DZ951" s="231"/>
      <c r="EA951" s="231"/>
      <c r="EB951" s="231"/>
      <c r="EC951" s="231"/>
      <c r="ED951" s="231"/>
      <c r="EE951" s="231"/>
      <c r="EF951" s="231"/>
      <c r="EG951" s="231"/>
      <c r="EH951" s="231"/>
      <c r="EI951" s="231"/>
      <c r="EJ951" s="231"/>
      <c r="EK951" s="231"/>
      <c r="EL951" s="231"/>
      <c r="EM951" s="231"/>
      <c r="EN951" s="231"/>
      <c r="EO951" s="231"/>
      <c r="EP951" s="231"/>
      <c r="EQ951" s="231"/>
      <c r="ER951" s="231"/>
      <c r="ES951" s="231"/>
      <c r="ET951" s="231"/>
      <c r="EU951" s="231"/>
      <c r="EV951" s="231"/>
      <c r="EW951" s="231"/>
      <c r="EX951" s="231"/>
      <c r="EY951" s="231"/>
      <c r="EZ951" s="231"/>
      <c r="FA951" s="231"/>
      <c r="FB951" s="231"/>
      <c r="FC951" s="231"/>
      <c r="FD951" s="231"/>
      <c r="FE951" s="231"/>
      <c r="FF951" s="231"/>
      <c r="FG951" s="231"/>
      <c r="FH951" s="231"/>
      <c r="FI951" s="231"/>
      <c r="FJ951" s="231"/>
      <c r="FK951" s="231"/>
      <c r="FL951" s="231"/>
      <c r="FM951" s="231"/>
      <c r="FN951" s="231"/>
      <c r="FO951" s="231"/>
      <c r="FP951" s="231"/>
      <c r="FQ951" s="231"/>
      <c r="FR951" s="231"/>
      <c r="FS951" s="231"/>
      <c r="FT951" s="231"/>
      <c r="FU951" s="231"/>
      <c r="FV951" s="231"/>
      <c r="FW951" s="231"/>
      <c r="FX951" s="231"/>
      <c r="FY951" s="231"/>
      <c r="FZ951" s="231"/>
      <c r="GA951" s="231"/>
      <c r="GB951" s="231"/>
      <c r="GC951" s="231"/>
      <c r="GD951" s="231"/>
      <c r="GE951" s="231"/>
      <c r="GF951" s="231"/>
      <c r="GG951" s="231"/>
      <c r="GH951" s="231"/>
      <c r="GI951" s="231"/>
      <c r="GJ951" s="231"/>
      <c r="GK951" s="231"/>
      <c r="GL951" s="231"/>
      <c r="GM951" s="231"/>
      <c r="GN951" s="231"/>
      <c r="GO951" s="231"/>
      <c r="GP951" s="231"/>
      <c r="GQ951" s="231"/>
      <c r="GR951" s="231"/>
      <c r="GS951" s="231"/>
      <c r="GT951" s="231"/>
      <c r="GU951" s="231"/>
      <c r="GV951" s="231"/>
      <c r="GW951" s="231"/>
      <c r="GX951" s="231"/>
      <c r="GY951" s="231"/>
      <c r="GZ951" s="231"/>
      <c r="HA951" s="231"/>
      <c r="HB951" s="231"/>
      <c r="HC951" s="231"/>
      <c r="HD951" s="231"/>
      <c r="HE951" s="231"/>
      <c r="HF951" s="231"/>
      <c r="HG951" s="231"/>
      <c r="HH951" s="231"/>
      <c r="HI951" s="232"/>
      <c r="KM951" s="12"/>
      <c r="WL951" s="13"/>
    </row>
    <row r="952" spans="82:610" ht="10.75" customHeight="1">
      <c r="CD952" s="229"/>
      <c r="CE952" s="231"/>
      <c r="CF952" s="231"/>
      <c r="CG952" s="231"/>
      <c r="CH952" s="231"/>
      <c r="CI952" s="231"/>
      <c r="CJ952" s="231"/>
      <c r="CK952" s="231"/>
      <c r="CL952" s="231"/>
      <c r="CM952" s="231"/>
      <c r="CN952" s="231"/>
      <c r="CO952" s="231"/>
      <c r="CP952" s="231"/>
      <c r="CQ952" s="231"/>
      <c r="CR952" s="231"/>
      <c r="CS952" s="231"/>
      <c r="CT952" s="231"/>
      <c r="CU952" s="231"/>
      <c r="CV952" s="231"/>
      <c r="CW952" s="231"/>
      <c r="CX952" s="231"/>
      <c r="CY952" s="231"/>
      <c r="CZ952" s="231"/>
      <c r="DA952" s="231"/>
      <c r="DB952" s="231"/>
      <c r="DC952" s="231"/>
      <c r="DD952" s="231"/>
      <c r="DE952" s="231"/>
      <c r="DF952" s="231"/>
      <c r="DG952" s="231"/>
      <c r="DH952" s="231"/>
      <c r="DI952" s="231"/>
      <c r="DJ952" s="231"/>
      <c r="DK952" s="231"/>
      <c r="DL952" s="231"/>
      <c r="DM952" s="231"/>
      <c r="DN952" s="231"/>
      <c r="DO952" s="231"/>
      <c r="DP952" s="231"/>
      <c r="DQ952" s="231"/>
      <c r="DR952" s="231"/>
      <c r="DS952" s="231"/>
      <c r="DT952" s="231"/>
      <c r="DU952" s="231"/>
      <c r="DV952" s="231"/>
      <c r="DW952" s="231"/>
      <c r="DX952" s="231"/>
      <c r="DY952" s="231"/>
      <c r="DZ952" s="231"/>
      <c r="EA952" s="231"/>
      <c r="EB952" s="231"/>
      <c r="EC952" s="231"/>
      <c r="ED952" s="231"/>
      <c r="EE952" s="231"/>
      <c r="EF952" s="231"/>
      <c r="EG952" s="231"/>
      <c r="EH952" s="231"/>
      <c r="EI952" s="231"/>
      <c r="EJ952" s="231"/>
      <c r="EK952" s="231"/>
      <c r="EL952" s="231"/>
      <c r="EM952" s="231"/>
      <c r="EN952" s="231"/>
      <c r="EO952" s="231"/>
      <c r="EP952" s="231"/>
      <c r="EQ952" s="231"/>
      <c r="ER952" s="231"/>
      <c r="ES952" s="231"/>
      <c r="ET952" s="231"/>
      <c r="EU952" s="231"/>
      <c r="EV952" s="231"/>
      <c r="EW952" s="231"/>
      <c r="EX952" s="231"/>
      <c r="EY952" s="231"/>
      <c r="EZ952" s="231"/>
      <c r="FA952" s="231"/>
      <c r="FB952" s="231"/>
      <c r="FC952" s="231"/>
      <c r="FD952" s="231"/>
      <c r="FE952" s="231"/>
      <c r="FF952" s="231"/>
      <c r="FG952" s="231"/>
      <c r="FH952" s="231"/>
      <c r="FI952" s="231"/>
      <c r="FJ952" s="231"/>
      <c r="FK952" s="231"/>
      <c r="FL952" s="231"/>
      <c r="FM952" s="231"/>
      <c r="FN952" s="231"/>
      <c r="FO952" s="231"/>
      <c r="FP952" s="231"/>
      <c r="FQ952" s="231"/>
      <c r="FR952" s="231"/>
      <c r="FS952" s="231"/>
      <c r="FT952" s="231"/>
      <c r="FU952" s="231"/>
      <c r="FV952" s="231"/>
      <c r="FW952" s="231"/>
      <c r="FX952" s="231"/>
      <c r="FY952" s="231"/>
      <c r="FZ952" s="231"/>
      <c r="GA952" s="231"/>
      <c r="GB952" s="231"/>
      <c r="GC952" s="231"/>
      <c r="GD952" s="231"/>
      <c r="GE952" s="231"/>
      <c r="GF952" s="231"/>
      <c r="GG952" s="231"/>
      <c r="GH952" s="231"/>
      <c r="GI952" s="231"/>
      <c r="GJ952" s="231"/>
      <c r="GK952" s="231"/>
      <c r="GL952" s="231"/>
      <c r="GM952" s="231"/>
      <c r="GN952" s="231"/>
      <c r="GO952" s="231"/>
      <c r="GP952" s="231"/>
      <c r="GQ952" s="231"/>
      <c r="GR952" s="231"/>
      <c r="GS952" s="231"/>
      <c r="GT952" s="231"/>
      <c r="GU952" s="231"/>
      <c r="GV952" s="231"/>
      <c r="GW952" s="231"/>
      <c r="GX952" s="231"/>
      <c r="GY952" s="231"/>
      <c r="GZ952" s="231"/>
      <c r="HA952" s="231"/>
      <c r="HB952" s="231"/>
      <c r="HC952" s="231"/>
      <c r="HD952" s="231"/>
      <c r="HE952" s="231"/>
      <c r="HF952" s="231"/>
      <c r="HG952" s="231"/>
      <c r="HH952" s="231"/>
      <c r="HI952" s="232"/>
      <c r="KM952" s="12"/>
      <c r="WL952" s="13"/>
    </row>
    <row r="953" spans="82:610" ht="10.75" customHeight="1">
      <c r="CD953" s="229"/>
      <c r="CE953" s="231"/>
      <c r="CF953" s="231"/>
      <c r="CG953" s="231"/>
      <c r="CH953" s="231"/>
      <c r="CI953" s="231"/>
      <c r="CJ953" s="231"/>
      <c r="CK953" s="231"/>
      <c r="CL953" s="231"/>
      <c r="CM953" s="231"/>
      <c r="CN953" s="231"/>
      <c r="CO953" s="231"/>
      <c r="CP953" s="231"/>
      <c r="CQ953" s="231"/>
      <c r="CR953" s="231"/>
      <c r="CS953" s="231"/>
      <c r="CT953" s="231"/>
      <c r="CU953" s="231"/>
      <c r="CV953" s="231"/>
      <c r="CW953" s="231"/>
      <c r="CX953" s="231"/>
      <c r="CY953" s="231"/>
      <c r="CZ953" s="231"/>
      <c r="DA953" s="231"/>
      <c r="DB953" s="231"/>
      <c r="DC953" s="231"/>
      <c r="DD953" s="231"/>
      <c r="DE953" s="231"/>
      <c r="DF953" s="231"/>
      <c r="DG953" s="231"/>
      <c r="DH953" s="231"/>
      <c r="DI953" s="231"/>
      <c r="DJ953" s="231"/>
      <c r="DK953" s="231"/>
      <c r="DL953" s="231"/>
      <c r="DM953" s="231"/>
      <c r="DN953" s="231"/>
      <c r="DO953" s="231"/>
      <c r="DP953" s="231"/>
      <c r="DQ953" s="231"/>
      <c r="DR953" s="231"/>
      <c r="DS953" s="231"/>
      <c r="DT953" s="231"/>
      <c r="DU953" s="231"/>
      <c r="DV953" s="231"/>
      <c r="DW953" s="231"/>
      <c r="DX953" s="231"/>
      <c r="DY953" s="231"/>
      <c r="DZ953" s="231"/>
      <c r="EA953" s="231"/>
      <c r="EB953" s="231"/>
      <c r="EC953" s="231"/>
      <c r="ED953" s="231"/>
      <c r="EE953" s="231"/>
      <c r="EF953" s="231"/>
      <c r="EG953" s="231"/>
      <c r="EH953" s="231"/>
      <c r="EI953" s="231"/>
      <c r="EJ953" s="231"/>
      <c r="EK953" s="231"/>
      <c r="EL953" s="231"/>
      <c r="EM953" s="231"/>
      <c r="EN953" s="231"/>
      <c r="EO953" s="231"/>
      <c r="EP953" s="231"/>
      <c r="EQ953" s="231"/>
      <c r="ER953" s="231"/>
      <c r="ES953" s="231"/>
      <c r="ET953" s="231"/>
      <c r="EU953" s="231"/>
      <c r="EV953" s="231"/>
      <c r="EW953" s="231"/>
      <c r="EX953" s="231"/>
      <c r="EY953" s="231"/>
      <c r="EZ953" s="231"/>
      <c r="FA953" s="231"/>
      <c r="FB953" s="231"/>
      <c r="FC953" s="231"/>
      <c r="FD953" s="231"/>
      <c r="FE953" s="231"/>
      <c r="FF953" s="231"/>
      <c r="FG953" s="231"/>
      <c r="FH953" s="231"/>
      <c r="FI953" s="231"/>
      <c r="FJ953" s="231"/>
      <c r="FK953" s="231"/>
      <c r="FL953" s="231"/>
      <c r="FM953" s="231"/>
      <c r="FN953" s="231"/>
      <c r="FO953" s="231"/>
      <c r="FP953" s="231"/>
      <c r="FQ953" s="231"/>
      <c r="FR953" s="231"/>
      <c r="FS953" s="231"/>
      <c r="FT953" s="231"/>
      <c r="FU953" s="231"/>
      <c r="FV953" s="231"/>
      <c r="FW953" s="231"/>
      <c r="FX953" s="231"/>
      <c r="FY953" s="231"/>
      <c r="FZ953" s="231"/>
      <c r="GA953" s="231"/>
      <c r="GB953" s="231"/>
      <c r="GC953" s="231"/>
      <c r="GD953" s="231"/>
      <c r="GE953" s="231"/>
      <c r="GF953" s="231"/>
      <c r="GG953" s="231"/>
      <c r="GH953" s="231"/>
      <c r="GI953" s="231"/>
      <c r="GJ953" s="231"/>
      <c r="GK953" s="231"/>
      <c r="GL953" s="231"/>
      <c r="GM953" s="231"/>
      <c r="GN953" s="231"/>
      <c r="GO953" s="231"/>
      <c r="GP953" s="231"/>
      <c r="GQ953" s="231"/>
      <c r="GR953" s="231"/>
      <c r="GS953" s="231"/>
      <c r="GT953" s="231"/>
      <c r="GU953" s="231"/>
      <c r="GV953" s="231"/>
      <c r="GW953" s="231"/>
      <c r="GX953" s="231"/>
      <c r="GY953" s="231"/>
      <c r="GZ953" s="231"/>
      <c r="HA953" s="231"/>
      <c r="HB953" s="231"/>
      <c r="HC953" s="231"/>
      <c r="HD953" s="231"/>
      <c r="HE953" s="231"/>
      <c r="HF953" s="231"/>
      <c r="HG953" s="231"/>
      <c r="HH953" s="231"/>
      <c r="HI953" s="232"/>
      <c r="KM953" s="12"/>
      <c r="WL953" s="13"/>
    </row>
    <row r="954" spans="82:610" ht="10.75" customHeight="1">
      <c r="CD954" s="229"/>
      <c r="CE954" s="231"/>
      <c r="CF954" s="231"/>
      <c r="CG954" s="231"/>
      <c r="CH954" s="231"/>
      <c r="CI954" s="231"/>
      <c r="CJ954" s="231"/>
      <c r="CK954" s="231"/>
      <c r="CL954" s="231"/>
      <c r="CM954" s="231"/>
      <c r="CN954" s="231"/>
      <c r="CO954" s="231"/>
      <c r="CP954" s="231"/>
      <c r="CQ954" s="231"/>
      <c r="CR954" s="231"/>
      <c r="CS954" s="231"/>
      <c r="CT954" s="231"/>
      <c r="CU954" s="231"/>
      <c r="CV954" s="231"/>
      <c r="CW954" s="231"/>
      <c r="CX954" s="231"/>
      <c r="CY954" s="231"/>
      <c r="CZ954" s="231"/>
      <c r="DA954" s="231"/>
      <c r="DB954" s="231"/>
      <c r="DC954" s="231"/>
      <c r="DD954" s="231"/>
      <c r="DE954" s="231"/>
      <c r="DF954" s="231"/>
      <c r="DG954" s="231"/>
      <c r="DH954" s="231"/>
      <c r="DI954" s="231"/>
      <c r="DJ954" s="231"/>
      <c r="DK954" s="231"/>
      <c r="DL954" s="231"/>
      <c r="DM954" s="231"/>
      <c r="DN954" s="231"/>
      <c r="DO954" s="231"/>
      <c r="DP954" s="231"/>
      <c r="DQ954" s="231"/>
      <c r="DR954" s="231"/>
      <c r="DS954" s="231"/>
      <c r="DT954" s="231"/>
      <c r="DU954" s="231"/>
      <c r="DV954" s="231"/>
      <c r="DW954" s="231"/>
      <c r="DX954" s="231"/>
      <c r="DY954" s="231"/>
      <c r="DZ954" s="231"/>
      <c r="EA954" s="231"/>
      <c r="EB954" s="231"/>
      <c r="EC954" s="231"/>
      <c r="ED954" s="231"/>
      <c r="EE954" s="231"/>
      <c r="EF954" s="231"/>
      <c r="EG954" s="231"/>
      <c r="EH954" s="231"/>
      <c r="EI954" s="231"/>
      <c r="EJ954" s="231"/>
      <c r="EK954" s="231"/>
      <c r="EL954" s="231"/>
      <c r="EM954" s="231"/>
      <c r="EN954" s="231"/>
      <c r="EO954" s="231"/>
      <c r="EP954" s="231"/>
      <c r="EQ954" s="231"/>
      <c r="ER954" s="231"/>
      <c r="ES954" s="231"/>
      <c r="ET954" s="231"/>
      <c r="EU954" s="231"/>
      <c r="EV954" s="231"/>
      <c r="EW954" s="231"/>
      <c r="EX954" s="231"/>
      <c r="EY954" s="231"/>
      <c r="EZ954" s="231"/>
      <c r="FA954" s="231"/>
      <c r="FB954" s="231"/>
      <c r="FC954" s="231"/>
      <c r="FD954" s="231"/>
      <c r="FE954" s="231"/>
      <c r="FF954" s="231"/>
      <c r="FG954" s="231"/>
      <c r="FH954" s="231"/>
      <c r="FI954" s="231"/>
      <c r="FJ954" s="231"/>
      <c r="FK954" s="231"/>
      <c r="FL954" s="231"/>
      <c r="FM954" s="231"/>
      <c r="FN954" s="231"/>
      <c r="FO954" s="231"/>
      <c r="FP954" s="231"/>
      <c r="FQ954" s="231"/>
      <c r="FR954" s="231"/>
      <c r="FS954" s="231"/>
      <c r="FT954" s="231"/>
      <c r="FU954" s="231"/>
      <c r="FV954" s="231"/>
      <c r="FW954" s="231"/>
      <c r="FX954" s="231"/>
      <c r="FY954" s="231"/>
      <c r="FZ954" s="231"/>
      <c r="GA954" s="231"/>
      <c r="GB954" s="231"/>
      <c r="GC954" s="231"/>
      <c r="GD954" s="231"/>
      <c r="GE954" s="231"/>
      <c r="GF954" s="231"/>
      <c r="GG954" s="231"/>
      <c r="GH954" s="231"/>
      <c r="GI954" s="231"/>
      <c r="GJ954" s="231"/>
      <c r="GK954" s="231"/>
      <c r="GL954" s="231"/>
      <c r="GM954" s="231"/>
      <c r="GN954" s="231"/>
      <c r="GO954" s="231"/>
      <c r="GP954" s="231"/>
      <c r="GQ954" s="231"/>
      <c r="GR954" s="231"/>
      <c r="GS954" s="231"/>
      <c r="GT954" s="231"/>
      <c r="GU954" s="231"/>
      <c r="GV954" s="231"/>
      <c r="GW954" s="231"/>
      <c r="GX954" s="231"/>
      <c r="GY954" s="231"/>
      <c r="GZ954" s="231"/>
      <c r="HA954" s="231"/>
      <c r="HB954" s="231"/>
      <c r="HC954" s="231"/>
      <c r="HD954" s="231"/>
      <c r="HE954" s="231"/>
      <c r="HF954" s="231"/>
      <c r="HG954" s="231"/>
      <c r="HH954" s="231"/>
      <c r="HI954" s="232"/>
      <c r="KM954" s="12"/>
      <c r="WL954" s="13"/>
    </row>
    <row r="955" spans="82:610" ht="10.75" customHeight="1">
      <c r="CD955" s="229"/>
      <c r="CE955" s="231"/>
      <c r="CF955" s="231"/>
      <c r="CG955" s="231"/>
      <c r="CH955" s="231"/>
      <c r="CI955" s="231"/>
      <c r="CJ955" s="231"/>
      <c r="CK955" s="231"/>
      <c r="CL955" s="231"/>
      <c r="CM955" s="231"/>
      <c r="CN955" s="231"/>
      <c r="CO955" s="231"/>
      <c r="CP955" s="231"/>
      <c r="CQ955" s="231"/>
      <c r="CR955" s="231"/>
      <c r="CS955" s="231"/>
      <c r="CT955" s="231"/>
      <c r="CU955" s="231"/>
      <c r="CV955" s="231"/>
      <c r="CW955" s="231"/>
      <c r="CX955" s="231"/>
      <c r="CY955" s="231"/>
      <c r="CZ955" s="231"/>
      <c r="DA955" s="231"/>
      <c r="DB955" s="231"/>
      <c r="DC955" s="231"/>
      <c r="DD955" s="231"/>
      <c r="DE955" s="231"/>
      <c r="DF955" s="231"/>
      <c r="DG955" s="231"/>
      <c r="DH955" s="231"/>
      <c r="DI955" s="231"/>
      <c r="DJ955" s="231"/>
      <c r="DK955" s="231"/>
      <c r="DL955" s="231"/>
      <c r="DM955" s="231"/>
      <c r="DN955" s="231"/>
      <c r="DO955" s="231"/>
      <c r="DP955" s="231"/>
      <c r="DQ955" s="231"/>
      <c r="DR955" s="231"/>
      <c r="DS955" s="231"/>
      <c r="DT955" s="231"/>
      <c r="DU955" s="231"/>
      <c r="DV955" s="231"/>
      <c r="DW955" s="231"/>
      <c r="DX955" s="231"/>
      <c r="DY955" s="231"/>
      <c r="DZ955" s="231"/>
      <c r="EA955" s="231"/>
      <c r="EB955" s="231"/>
      <c r="EC955" s="231"/>
      <c r="ED955" s="231"/>
      <c r="EE955" s="231"/>
      <c r="EF955" s="231"/>
      <c r="EG955" s="231"/>
      <c r="EH955" s="231"/>
      <c r="EI955" s="231"/>
      <c r="EJ955" s="231"/>
      <c r="EK955" s="231"/>
      <c r="EL955" s="231"/>
      <c r="EM955" s="231"/>
      <c r="EN955" s="231"/>
      <c r="EO955" s="231"/>
      <c r="EP955" s="231"/>
      <c r="EQ955" s="231"/>
      <c r="ER955" s="231"/>
      <c r="ES955" s="231"/>
      <c r="ET955" s="231"/>
      <c r="EU955" s="231"/>
      <c r="EV955" s="231"/>
      <c r="EW955" s="231"/>
      <c r="EX955" s="231"/>
      <c r="EY955" s="231"/>
      <c r="EZ955" s="231"/>
      <c r="FA955" s="231"/>
      <c r="FB955" s="231"/>
      <c r="FC955" s="231"/>
      <c r="FD955" s="231"/>
      <c r="FE955" s="231"/>
      <c r="FF955" s="231"/>
      <c r="FG955" s="231"/>
      <c r="FH955" s="231"/>
      <c r="FI955" s="231"/>
      <c r="FJ955" s="231"/>
      <c r="FK955" s="231"/>
      <c r="FL955" s="231"/>
      <c r="FM955" s="231"/>
      <c r="FN955" s="231"/>
      <c r="FO955" s="231"/>
      <c r="FP955" s="231"/>
      <c r="FQ955" s="231"/>
      <c r="FR955" s="231"/>
      <c r="FS955" s="231"/>
      <c r="FT955" s="231"/>
      <c r="FU955" s="231"/>
      <c r="FV955" s="231"/>
      <c r="FW955" s="231"/>
      <c r="FX955" s="231"/>
      <c r="FY955" s="231"/>
      <c r="FZ955" s="231"/>
      <c r="GA955" s="231"/>
      <c r="GB955" s="231"/>
      <c r="GC955" s="231"/>
      <c r="GD955" s="231"/>
      <c r="GE955" s="231"/>
      <c r="GF955" s="231"/>
      <c r="GG955" s="231"/>
      <c r="GH955" s="231"/>
      <c r="GI955" s="231"/>
      <c r="GJ955" s="231"/>
      <c r="GK955" s="231"/>
      <c r="GL955" s="231"/>
      <c r="GM955" s="231"/>
      <c r="GN955" s="231"/>
      <c r="GO955" s="231"/>
      <c r="GP955" s="231"/>
      <c r="GQ955" s="231"/>
      <c r="GR955" s="231"/>
      <c r="GS955" s="231"/>
      <c r="GT955" s="231"/>
      <c r="GU955" s="231"/>
      <c r="GV955" s="231"/>
      <c r="GW955" s="231"/>
      <c r="GX955" s="231"/>
      <c r="GY955" s="231"/>
      <c r="GZ955" s="231"/>
      <c r="HA955" s="231"/>
      <c r="HB955" s="231"/>
      <c r="HC955" s="231"/>
      <c r="HD955" s="231"/>
      <c r="HE955" s="231"/>
      <c r="HF955" s="231"/>
      <c r="HG955" s="231"/>
      <c r="HH955" s="231"/>
      <c r="HI955" s="232"/>
      <c r="KM955" s="14"/>
      <c r="KN955" s="15"/>
      <c r="KO955" s="15"/>
      <c r="KP955" s="15"/>
      <c r="KQ955" s="15"/>
      <c r="KR955" s="15"/>
      <c r="KS955" s="15"/>
      <c r="KT955" s="15"/>
      <c r="KU955" s="15"/>
      <c r="KV955" s="15"/>
      <c r="KW955" s="15"/>
      <c r="KX955" s="15"/>
      <c r="KY955" s="15"/>
      <c r="KZ955" s="15"/>
      <c r="LA955" s="15"/>
      <c r="LB955" s="15"/>
      <c r="LC955" s="15"/>
      <c r="LD955" s="15"/>
      <c r="LE955" s="15"/>
      <c r="LF955" s="15"/>
      <c r="LG955" s="15"/>
      <c r="LH955" s="15"/>
      <c r="LI955" s="15"/>
      <c r="LJ955" s="15"/>
      <c r="LK955" s="15"/>
      <c r="LL955" s="15"/>
      <c r="LM955" s="15"/>
      <c r="LN955" s="15"/>
      <c r="LO955" s="15"/>
      <c r="LP955" s="15"/>
      <c r="LQ955" s="15"/>
      <c r="LR955" s="15"/>
      <c r="LS955" s="15"/>
      <c r="LT955" s="15"/>
      <c r="LU955" s="15"/>
      <c r="LV955" s="15"/>
      <c r="LW955" s="15"/>
      <c r="LX955" s="15"/>
      <c r="LY955" s="15"/>
      <c r="LZ955" s="15"/>
      <c r="MA955" s="15"/>
      <c r="MB955" s="15"/>
      <c r="MC955" s="15"/>
      <c r="MD955" s="15"/>
      <c r="ME955" s="15"/>
      <c r="MF955" s="15"/>
      <c r="MG955" s="15"/>
      <c r="MH955" s="15"/>
      <c r="MI955" s="15"/>
      <c r="MJ955" s="15"/>
      <c r="MK955" s="15"/>
      <c r="ML955" s="15"/>
      <c r="MM955" s="15"/>
      <c r="MN955" s="15"/>
      <c r="MO955" s="15"/>
      <c r="MP955" s="15"/>
      <c r="MQ955" s="15"/>
      <c r="MR955" s="15"/>
      <c r="MS955" s="15"/>
      <c r="MT955" s="15"/>
      <c r="MU955" s="15"/>
      <c r="MV955" s="15"/>
      <c r="MW955" s="15"/>
      <c r="MX955" s="15"/>
      <c r="MY955" s="15"/>
      <c r="MZ955" s="15"/>
      <c r="NA955" s="15"/>
      <c r="NB955" s="15"/>
      <c r="NC955" s="15"/>
      <c r="ND955" s="15"/>
      <c r="NE955" s="15"/>
      <c r="NF955" s="15"/>
      <c r="NG955" s="15"/>
      <c r="NH955" s="15"/>
      <c r="NI955" s="15"/>
      <c r="NJ955" s="15"/>
      <c r="NK955" s="15"/>
      <c r="NL955" s="15"/>
      <c r="NM955" s="15"/>
      <c r="NN955" s="15"/>
      <c r="NO955" s="15"/>
      <c r="NP955" s="15"/>
      <c r="NQ955" s="15"/>
      <c r="NR955" s="15"/>
      <c r="NS955" s="15"/>
      <c r="NT955" s="15"/>
      <c r="NU955" s="15"/>
      <c r="NV955" s="15"/>
      <c r="NW955" s="15"/>
      <c r="NX955" s="15"/>
      <c r="NY955" s="15"/>
      <c r="NZ955" s="15"/>
      <c r="OA955" s="15"/>
      <c r="OB955" s="15"/>
      <c r="OC955" s="15"/>
      <c r="OD955" s="15"/>
      <c r="OE955" s="15"/>
      <c r="OF955" s="15"/>
      <c r="OG955" s="15"/>
      <c r="OH955" s="15"/>
      <c r="OI955" s="15"/>
      <c r="OJ955" s="15"/>
      <c r="OK955" s="15"/>
      <c r="OL955" s="15"/>
      <c r="OM955" s="15"/>
      <c r="ON955" s="15"/>
      <c r="OO955" s="15"/>
      <c r="OP955" s="15"/>
      <c r="OQ955" s="15"/>
      <c r="OR955" s="15"/>
      <c r="OS955" s="15"/>
      <c r="OT955" s="15"/>
      <c r="OU955" s="15"/>
      <c r="OV955" s="15"/>
      <c r="OW955" s="15"/>
      <c r="OX955" s="15"/>
      <c r="OY955" s="15"/>
      <c r="OZ955" s="15"/>
      <c r="PA955" s="15"/>
      <c r="PB955" s="15"/>
      <c r="PC955" s="15"/>
      <c r="PD955" s="15"/>
      <c r="PE955" s="15"/>
      <c r="PF955" s="15"/>
      <c r="PG955" s="15"/>
      <c r="PH955" s="15"/>
      <c r="PI955" s="15"/>
      <c r="PJ955" s="15"/>
      <c r="PK955" s="15"/>
      <c r="PL955" s="15"/>
      <c r="PM955" s="15"/>
      <c r="PN955" s="15"/>
      <c r="PO955" s="15"/>
      <c r="PP955" s="15"/>
      <c r="PQ955" s="15"/>
      <c r="PR955" s="15"/>
      <c r="PS955" s="15"/>
      <c r="PT955" s="15"/>
      <c r="PU955" s="15"/>
      <c r="PV955" s="15"/>
      <c r="PW955" s="15"/>
      <c r="PX955" s="15"/>
      <c r="PY955" s="15"/>
      <c r="PZ955" s="15"/>
      <c r="QA955" s="15"/>
      <c r="QB955" s="15"/>
      <c r="QC955" s="15"/>
      <c r="QD955" s="15"/>
      <c r="QE955" s="15"/>
      <c r="QF955" s="15"/>
      <c r="QG955" s="15"/>
      <c r="QH955" s="15"/>
      <c r="QI955" s="15"/>
      <c r="QJ955" s="15"/>
      <c r="QK955" s="15"/>
      <c r="QL955" s="15"/>
      <c r="QM955" s="15"/>
      <c r="QN955" s="15"/>
      <c r="QO955" s="15"/>
      <c r="QP955" s="15"/>
      <c r="QQ955" s="15"/>
      <c r="QR955" s="15"/>
      <c r="QS955" s="15"/>
      <c r="QT955" s="15"/>
      <c r="QU955" s="15"/>
      <c r="QV955" s="15"/>
      <c r="QW955" s="15"/>
      <c r="QX955" s="15"/>
      <c r="QY955" s="15"/>
      <c r="QZ955" s="15"/>
      <c r="RA955" s="15"/>
      <c r="RB955" s="15"/>
      <c r="RC955" s="15"/>
      <c r="RD955" s="15"/>
      <c r="RE955" s="15"/>
      <c r="RF955" s="15"/>
      <c r="RG955" s="15"/>
      <c r="RH955" s="15"/>
      <c r="RI955" s="15"/>
      <c r="RJ955" s="15"/>
      <c r="RK955" s="15"/>
      <c r="RL955" s="15"/>
      <c r="RM955" s="15"/>
      <c r="RN955" s="15"/>
      <c r="RO955" s="15"/>
      <c r="RP955" s="15"/>
      <c r="RQ955" s="15"/>
      <c r="RR955" s="15"/>
      <c r="RS955" s="15"/>
      <c r="RT955" s="15"/>
      <c r="RU955" s="15"/>
      <c r="RV955" s="15"/>
      <c r="RW955" s="15"/>
      <c r="RX955" s="15"/>
      <c r="RY955" s="15"/>
      <c r="RZ955" s="15"/>
      <c r="SA955" s="15"/>
      <c r="SB955" s="15"/>
      <c r="SC955" s="15"/>
      <c r="SD955" s="15"/>
      <c r="SE955" s="15"/>
      <c r="SF955" s="15"/>
      <c r="SG955" s="15"/>
      <c r="SH955" s="15"/>
      <c r="SI955" s="15"/>
      <c r="SJ955" s="15"/>
      <c r="SK955" s="15"/>
      <c r="SL955" s="15"/>
      <c r="SM955" s="15"/>
      <c r="SN955" s="15"/>
      <c r="SO955" s="15"/>
      <c r="SP955" s="15"/>
      <c r="SQ955" s="15"/>
      <c r="SR955" s="15"/>
      <c r="SS955" s="15"/>
      <c r="ST955" s="15"/>
      <c r="SU955" s="15"/>
      <c r="SV955" s="15"/>
      <c r="SW955" s="15"/>
      <c r="SX955" s="15"/>
      <c r="SY955" s="15"/>
      <c r="SZ955" s="15"/>
      <c r="TA955" s="15"/>
      <c r="TB955" s="15"/>
      <c r="TC955" s="15"/>
      <c r="TD955" s="15"/>
      <c r="TE955" s="15"/>
      <c r="TF955" s="15"/>
      <c r="TG955" s="15"/>
      <c r="TH955" s="15"/>
      <c r="TI955" s="15"/>
      <c r="TJ955" s="15"/>
      <c r="TK955" s="15"/>
      <c r="TL955" s="15"/>
      <c r="TM955" s="15"/>
      <c r="TN955" s="15"/>
      <c r="TO955" s="15"/>
      <c r="TP955" s="15"/>
      <c r="TQ955" s="15"/>
      <c r="TR955" s="15"/>
      <c r="TS955" s="15"/>
      <c r="TT955" s="15"/>
      <c r="TU955" s="15"/>
      <c r="TV955" s="15"/>
      <c r="TW955" s="15"/>
      <c r="TX955" s="15"/>
      <c r="TY955" s="15"/>
      <c r="TZ955" s="15"/>
      <c r="UA955" s="15"/>
      <c r="UB955" s="15"/>
      <c r="UC955" s="15"/>
      <c r="UD955" s="15"/>
      <c r="UE955" s="15"/>
      <c r="UF955" s="15"/>
      <c r="UG955" s="15"/>
      <c r="UH955" s="15"/>
      <c r="UI955" s="15"/>
      <c r="UJ955" s="15"/>
      <c r="UK955" s="15"/>
      <c r="UL955" s="15"/>
      <c r="UM955" s="15"/>
      <c r="UN955" s="15"/>
      <c r="UO955" s="15"/>
      <c r="UP955" s="15"/>
      <c r="UQ955" s="15"/>
      <c r="UR955" s="15"/>
      <c r="US955" s="15"/>
      <c r="UT955" s="15"/>
      <c r="UU955" s="15"/>
      <c r="UV955" s="15"/>
      <c r="UW955" s="15"/>
      <c r="UX955" s="15"/>
      <c r="UY955" s="15"/>
      <c r="UZ955" s="15"/>
      <c r="VA955" s="15"/>
      <c r="VB955" s="15"/>
      <c r="VC955" s="15"/>
      <c r="VD955" s="15"/>
      <c r="VE955" s="15"/>
      <c r="VF955" s="15"/>
      <c r="VG955" s="15"/>
      <c r="VH955" s="15"/>
      <c r="VI955" s="15"/>
      <c r="VJ955" s="15"/>
      <c r="VK955" s="15"/>
      <c r="VL955" s="15"/>
      <c r="VM955" s="15"/>
      <c r="VN955" s="15"/>
      <c r="VO955" s="15"/>
      <c r="VP955" s="15"/>
      <c r="VQ955" s="15"/>
      <c r="VR955" s="15"/>
      <c r="VS955" s="15"/>
      <c r="VT955" s="15"/>
      <c r="VU955" s="15"/>
      <c r="VV955" s="15"/>
      <c r="VW955" s="15"/>
      <c r="VX955" s="15"/>
      <c r="VY955" s="15"/>
      <c r="VZ955" s="15"/>
      <c r="WA955" s="15"/>
      <c r="WB955" s="15"/>
      <c r="WC955" s="15"/>
      <c r="WD955" s="15"/>
      <c r="WE955" s="15"/>
      <c r="WF955" s="15"/>
      <c r="WG955" s="15"/>
      <c r="WH955" s="15"/>
      <c r="WI955" s="15"/>
      <c r="WJ955" s="15"/>
      <c r="WK955" s="15"/>
      <c r="WL955" s="16"/>
    </row>
    <row r="956" spans="82:610" ht="10.75" customHeight="1">
      <c r="CD956" s="229"/>
      <c r="CE956" s="231"/>
      <c r="CF956" s="231"/>
      <c r="CG956" s="231"/>
      <c r="CH956" s="231"/>
      <c r="CI956" s="231"/>
      <c r="CJ956" s="231"/>
      <c r="CK956" s="231"/>
      <c r="CL956" s="231"/>
      <c r="CM956" s="231"/>
      <c r="CN956" s="231"/>
      <c r="CO956" s="231"/>
      <c r="CP956" s="231"/>
      <c r="CQ956" s="231"/>
      <c r="CR956" s="231"/>
      <c r="CS956" s="231"/>
      <c r="CT956" s="231"/>
      <c r="CU956" s="231"/>
      <c r="CV956" s="231"/>
      <c r="CW956" s="231"/>
      <c r="CX956" s="231"/>
      <c r="CY956" s="231"/>
      <c r="CZ956" s="231"/>
      <c r="DA956" s="231"/>
      <c r="DB956" s="231"/>
      <c r="DC956" s="231"/>
      <c r="DD956" s="231"/>
      <c r="DE956" s="231"/>
      <c r="DF956" s="231"/>
      <c r="DG956" s="231"/>
      <c r="DH956" s="231"/>
      <c r="DI956" s="231"/>
      <c r="DJ956" s="231"/>
      <c r="DK956" s="231"/>
      <c r="DL956" s="231"/>
      <c r="DM956" s="231"/>
      <c r="DN956" s="231"/>
      <c r="DO956" s="231"/>
      <c r="DP956" s="231"/>
      <c r="DQ956" s="231"/>
      <c r="DR956" s="231"/>
      <c r="DS956" s="231"/>
      <c r="DT956" s="231"/>
      <c r="DU956" s="231"/>
      <c r="DV956" s="231"/>
      <c r="DW956" s="231"/>
      <c r="DX956" s="231"/>
      <c r="DY956" s="231"/>
      <c r="DZ956" s="231"/>
      <c r="EA956" s="231"/>
      <c r="EB956" s="231"/>
      <c r="EC956" s="231"/>
      <c r="ED956" s="231"/>
      <c r="EE956" s="231"/>
      <c r="EF956" s="231"/>
      <c r="EG956" s="231"/>
      <c r="EH956" s="231"/>
      <c r="EI956" s="231"/>
      <c r="EJ956" s="231"/>
      <c r="EK956" s="231"/>
      <c r="EL956" s="231"/>
      <c r="EM956" s="231"/>
      <c r="EN956" s="231"/>
      <c r="EO956" s="231"/>
      <c r="EP956" s="231"/>
      <c r="EQ956" s="231"/>
      <c r="ER956" s="231"/>
      <c r="ES956" s="231"/>
      <c r="ET956" s="231"/>
      <c r="EU956" s="231"/>
      <c r="EV956" s="231"/>
      <c r="EW956" s="231"/>
      <c r="EX956" s="231"/>
      <c r="EY956" s="231"/>
      <c r="EZ956" s="231"/>
      <c r="FA956" s="231"/>
      <c r="FB956" s="231"/>
      <c r="FC956" s="231"/>
      <c r="FD956" s="231"/>
      <c r="FE956" s="231"/>
      <c r="FF956" s="231"/>
      <c r="FG956" s="231"/>
      <c r="FH956" s="231"/>
      <c r="FI956" s="231"/>
      <c r="FJ956" s="231"/>
      <c r="FK956" s="231"/>
      <c r="FL956" s="231"/>
      <c r="FM956" s="231"/>
      <c r="FN956" s="231"/>
      <c r="FO956" s="231"/>
      <c r="FP956" s="231"/>
      <c r="FQ956" s="231"/>
      <c r="FR956" s="231"/>
      <c r="FS956" s="231"/>
      <c r="FT956" s="231"/>
      <c r="FU956" s="231"/>
      <c r="FV956" s="231"/>
      <c r="FW956" s="231"/>
      <c r="FX956" s="231"/>
      <c r="FY956" s="231"/>
      <c r="FZ956" s="231"/>
      <c r="GA956" s="231"/>
      <c r="GB956" s="231"/>
      <c r="GC956" s="231"/>
      <c r="GD956" s="231"/>
      <c r="GE956" s="231"/>
      <c r="GF956" s="231"/>
      <c r="GG956" s="231"/>
      <c r="GH956" s="231"/>
      <c r="GI956" s="231"/>
      <c r="GJ956" s="231"/>
      <c r="GK956" s="231"/>
      <c r="GL956" s="231"/>
      <c r="GM956" s="231"/>
      <c r="GN956" s="231"/>
      <c r="GO956" s="231"/>
      <c r="GP956" s="231"/>
      <c r="GQ956" s="231"/>
      <c r="GR956" s="231"/>
      <c r="GS956" s="231"/>
      <c r="GT956" s="231"/>
      <c r="GU956" s="231"/>
      <c r="GV956" s="231"/>
      <c r="GW956" s="231"/>
      <c r="GX956" s="231"/>
      <c r="GY956" s="231"/>
      <c r="GZ956" s="231"/>
      <c r="HA956" s="231"/>
      <c r="HB956" s="231"/>
      <c r="HC956" s="231"/>
      <c r="HD956" s="231"/>
      <c r="HE956" s="231"/>
      <c r="HF956" s="231"/>
      <c r="HG956" s="231"/>
      <c r="HH956" s="231"/>
      <c r="HI956" s="232"/>
    </row>
    <row r="957" spans="82:610" ht="10.75" customHeight="1">
      <c r="CD957" s="229"/>
      <c r="CE957" s="231"/>
      <c r="CF957" s="231"/>
      <c r="CG957" s="231"/>
      <c r="CH957" s="231"/>
      <c r="CI957" s="231"/>
      <c r="CJ957" s="231"/>
      <c r="CK957" s="231"/>
      <c r="CL957" s="231"/>
      <c r="CM957" s="231"/>
      <c r="CN957" s="231"/>
      <c r="CO957" s="231"/>
      <c r="CP957" s="231"/>
      <c r="CQ957" s="231"/>
      <c r="CR957" s="231"/>
      <c r="CS957" s="231"/>
      <c r="CT957" s="231"/>
      <c r="CU957" s="231"/>
      <c r="CV957" s="231"/>
      <c r="CW957" s="231"/>
      <c r="CX957" s="231"/>
      <c r="CY957" s="231"/>
      <c r="CZ957" s="231"/>
      <c r="DA957" s="231"/>
      <c r="DB957" s="231"/>
      <c r="DC957" s="231"/>
      <c r="DD957" s="231"/>
      <c r="DE957" s="231"/>
      <c r="DF957" s="231"/>
      <c r="DG957" s="231"/>
      <c r="DH957" s="231"/>
      <c r="DI957" s="231"/>
      <c r="DJ957" s="231"/>
      <c r="DK957" s="231"/>
      <c r="DL957" s="231"/>
      <c r="DM957" s="231"/>
      <c r="DN957" s="231"/>
      <c r="DO957" s="231"/>
      <c r="DP957" s="231"/>
      <c r="DQ957" s="231"/>
      <c r="DR957" s="231"/>
      <c r="DS957" s="231"/>
      <c r="DT957" s="231"/>
      <c r="DU957" s="231"/>
      <c r="DV957" s="231"/>
      <c r="DW957" s="231"/>
      <c r="DX957" s="231"/>
      <c r="DY957" s="231"/>
      <c r="DZ957" s="231"/>
      <c r="EA957" s="231"/>
      <c r="EB957" s="231"/>
      <c r="EC957" s="231"/>
      <c r="ED957" s="231"/>
      <c r="EE957" s="231"/>
      <c r="EF957" s="231"/>
      <c r="EG957" s="231"/>
      <c r="EH957" s="231"/>
      <c r="EI957" s="231"/>
      <c r="EJ957" s="231"/>
      <c r="EK957" s="231"/>
      <c r="EL957" s="231"/>
      <c r="EM957" s="231"/>
      <c r="EN957" s="231"/>
      <c r="EO957" s="231"/>
      <c r="EP957" s="231"/>
      <c r="EQ957" s="231"/>
      <c r="ER957" s="231"/>
      <c r="ES957" s="231"/>
      <c r="ET957" s="231"/>
      <c r="EU957" s="231"/>
      <c r="EV957" s="231"/>
      <c r="EW957" s="231"/>
      <c r="EX957" s="231"/>
      <c r="EY957" s="231"/>
      <c r="EZ957" s="231"/>
      <c r="FA957" s="231"/>
      <c r="FB957" s="231"/>
      <c r="FC957" s="231"/>
      <c r="FD957" s="231"/>
      <c r="FE957" s="231"/>
      <c r="FF957" s="231"/>
      <c r="FG957" s="231"/>
      <c r="FH957" s="231"/>
      <c r="FI957" s="231"/>
      <c r="FJ957" s="231"/>
      <c r="FK957" s="231"/>
      <c r="FL957" s="231"/>
      <c r="FM957" s="231"/>
      <c r="FN957" s="231"/>
      <c r="FO957" s="231"/>
      <c r="FP957" s="231"/>
      <c r="FQ957" s="231"/>
      <c r="FR957" s="231"/>
      <c r="FS957" s="231"/>
      <c r="FT957" s="231"/>
      <c r="FU957" s="231"/>
      <c r="FV957" s="231"/>
      <c r="FW957" s="231"/>
      <c r="FX957" s="231"/>
      <c r="FY957" s="231"/>
      <c r="FZ957" s="231"/>
      <c r="GA957" s="231"/>
      <c r="GB957" s="231"/>
      <c r="GC957" s="231"/>
      <c r="GD957" s="231"/>
      <c r="GE957" s="231"/>
      <c r="GF957" s="231"/>
      <c r="GG957" s="231"/>
      <c r="GH957" s="231"/>
      <c r="GI957" s="231"/>
      <c r="GJ957" s="231"/>
      <c r="GK957" s="231"/>
      <c r="GL957" s="231"/>
      <c r="GM957" s="231"/>
      <c r="GN957" s="231"/>
      <c r="GO957" s="231"/>
      <c r="GP957" s="231"/>
      <c r="GQ957" s="231"/>
      <c r="GR957" s="231"/>
      <c r="GS957" s="231"/>
      <c r="GT957" s="231"/>
      <c r="GU957" s="231"/>
      <c r="GV957" s="231"/>
      <c r="GW957" s="231"/>
      <c r="GX957" s="231"/>
      <c r="GY957" s="231"/>
      <c r="GZ957" s="231"/>
      <c r="HA957" s="231"/>
      <c r="HB957" s="231"/>
      <c r="HC957" s="231"/>
      <c r="HD957" s="231"/>
      <c r="HE957" s="231"/>
      <c r="HF957" s="231"/>
      <c r="HG957" s="231"/>
      <c r="HH957" s="231"/>
      <c r="HI957" s="232"/>
    </row>
    <row r="958" spans="82:610" ht="10.75" customHeight="1">
      <c r="CD958" s="229"/>
      <c r="CE958" s="231"/>
      <c r="CF958" s="231"/>
      <c r="CG958" s="231"/>
      <c r="CH958" s="231"/>
      <c r="CI958" s="231"/>
      <c r="CJ958" s="231"/>
      <c r="CK958" s="231"/>
      <c r="CL958" s="231"/>
      <c r="CM958" s="231"/>
      <c r="CN958" s="231"/>
      <c r="CO958" s="231"/>
      <c r="CP958" s="231"/>
      <c r="CQ958" s="231"/>
      <c r="CR958" s="231"/>
      <c r="CS958" s="231"/>
      <c r="CT958" s="231"/>
      <c r="CU958" s="231"/>
      <c r="CV958" s="231"/>
      <c r="CW958" s="231"/>
      <c r="CX958" s="231"/>
      <c r="CY958" s="231"/>
      <c r="CZ958" s="231"/>
      <c r="DA958" s="231"/>
      <c r="DB958" s="231"/>
      <c r="DC958" s="231"/>
      <c r="DD958" s="231"/>
      <c r="DE958" s="231"/>
      <c r="DF958" s="231"/>
      <c r="DG958" s="231"/>
      <c r="DH958" s="231"/>
      <c r="DI958" s="231"/>
      <c r="DJ958" s="231"/>
      <c r="DK958" s="231"/>
      <c r="DL958" s="231"/>
      <c r="DM958" s="231"/>
      <c r="DN958" s="231"/>
      <c r="DO958" s="231"/>
      <c r="DP958" s="231"/>
      <c r="DQ958" s="231"/>
      <c r="DR958" s="231"/>
      <c r="DS958" s="231"/>
      <c r="DT958" s="231"/>
      <c r="DU958" s="231"/>
      <c r="DV958" s="231"/>
      <c r="DW958" s="231"/>
      <c r="DX958" s="231"/>
      <c r="DY958" s="231"/>
      <c r="DZ958" s="231"/>
      <c r="EA958" s="231"/>
      <c r="EB958" s="231"/>
      <c r="EC958" s="231"/>
      <c r="ED958" s="231"/>
      <c r="EE958" s="231"/>
      <c r="EF958" s="231"/>
      <c r="EG958" s="231"/>
      <c r="EH958" s="231"/>
      <c r="EI958" s="231"/>
      <c r="EJ958" s="231"/>
      <c r="EK958" s="231"/>
      <c r="EL958" s="231"/>
      <c r="EM958" s="231"/>
      <c r="EN958" s="231"/>
      <c r="EO958" s="231"/>
      <c r="EP958" s="231"/>
      <c r="EQ958" s="231"/>
      <c r="ER958" s="231"/>
      <c r="ES958" s="231"/>
      <c r="ET958" s="231"/>
      <c r="EU958" s="231"/>
      <c r="EV958" s="231"/>
      <c r="EW958" s="231"/>
      <c r="EX958" s="231"/>
      <c r="EY958" s="231"/>
      <c r="EZ958" s="231"/>
      <c r="FA958" s="231"/>
      <c r="FB958" s="231"/>
      <c r="FC958" s="231"/>
      <c r="FD958" s="231"/>
      <c r="FE958" s="231"/>
      <c r="FF958" s="231"/>
      <c r="FG958" s="231"/>
      <c r="FH958" s="231"/>
      <c r="FI958" s="231"/>
      <c r="FJ958" s="231"/>
      <c r="FK958" s="231"/>
      <c r="FL958" s="231"/>
      <c r="FM958" s="231"/>
      <c r="FN958" s="231"/>
      <c r="FO958" s="231"/>
      <c r="FP958" s="231"/>
      <c r="FQ958" s="231"/>
      <c r="FR958" s="231"/>
      <c r="FS958" s="231"/>
      <c r="FT958" s="231"/>
      <c r="FU958" s="231"/>
      <c r="FV958" s="231"/>
      <c r="FW958" s="231"/>
      <c r="FX958" s="231"/>
      <c r="FY958" s="231"/>
      <c r="FZ958" s="231"/>
      <c r="GA958" s="231"/>
      <c r="GB958" s="231"/>
      <c r="GC958" s="231"/>
      <c r="GD958" s="231"/>
      <c r="GE958" s="231"/>
      <c r="GF958" s="231"/>
      <c r="GG958" s="231"/>
      <c r="GH958" s="231"/>
      <c r="GI958" s="231"/>
      <c r="GJ958" s="231"/>
      <c r="GK958" s="231"/>
      <c r="GL958" s="231"/>
      <c r="GM958" s="231"/>
      <c r="GN958" s="231"/>
      <c r="GO958" s="231"/>
      <c r="GP958" s="231"/>
      <c r="GQ958" s="231"/>
      <c r="GR958" s="231"/>
      <c r="GS958" s="231"/>
      <c r="GT958" s="231"/>
      <c r="GU958" s="231"/>
      <c r="GV958" s="231"/>
      <c r="GW958" s="231"/>
      <c r="GX958" s="231"/>
      <c r="GY958" s="231"/>
      <c r="GZ958" s="231"/>
      <c r="HA958" s="231"/>
      <c r="HB958" s="231"/>
      <c r="HC958" s="231"/>
      <c r="HD958" s="231"/>
      <c r="HE958" s="231"/>
      <c r="HF958" s="231"/>
      <c r="HG958" s="231"/>
      <c r="HH958" s="231"/>
      <c r="HI958" s="232"/>
    </row>
    <row r="959" spans="82:610" ht="10.75" customHeight="1">
      <c r="CD959" s="229"/>
      <c r="CE959" s="231"/>
      <c r="CF959" s="231"/>
      <c r="CG959" s="231"/>
      <c r="CH959" s="231"/>
      <c r="CI959" s="231"/>
      <c r="CJ959" s="231"/>
      <c r="CK959" s="231"/>
      <c r="CL959" s="231"/>
      <c r="CM959" s="231"/>
      <c r="CN959" s="231"/>
      <c r="CO959" s="231"/>
      <c r="CP959" s="231"/>
      <c r="CQ959" s="231"/>
      <c r="CR959" s="231"/>
      <c r="CS959" s="231"/>
      <c r="CT959" s="231"/>
      <c r="CU959" s="231"/>
      <c r="CV959" s="231"/>
      <c r="CW959" s="231"/>
      <c r="CX959" s="231"/>
      <c r="CY959" s="231"/>
      <c r="CZ959" s="231"/>
      <c r="DA959" s="231"/>
      <c r="DB959" s="231"/>
      <c r="DC959" s="231"/>
      <c r="DD959" s="231"/>
      <c r="DE959" s="231"/>
      <c r="DF959" s="231"/>
      <c r="DG959" s="231"/>
      <c r="DH959" s="231"/>
      <c r="DI959" s="231"/>
      <c r="DJ959" s="231"/>
      <c r="DK959" s="231"/>
      <c r="DL959" s="231"/>
      <c r="DM959" s="231"/>
      <c r="DN959" s="231"/>
      <c r="DO959" s="231"/>
      <c r="DP959" s="231"/>
      <c r="DQ959" s="231"/>
      <c r="DR959" s="231"/>
      <c r="DS959" s="231"/>
      <c r="DT959" s="231"/>
      <c r="DU959" s="231"/>
      <c r="DV959" s="231"/>
      <c r="DW959" s="231"/>
      <c r="DX959" s="231"/>
      <c r="DY959" s="231"/>
      <c r="DZ959" s="231"/>
      <c r="EA959" s="231"/>
      <c r="EB959" s="231"/>
      <c r="EC959" s="231"/>
      <c r="ED959" s="231"/>
      <c r="EE959" s="231"/>
      <c r="EF959" s="231"/>
      <c r="EG959" s="231"/>
      <c r="EH959" s="231"/>
      <c r="EI959" s="231"/>
      <c r="EJ959" s="231"/>
      <c r="EK959" s="231"/>
      <c r="EL959" s="231"/>
      <c r="EM959" s="231"/>
      <c r="EN959" s="231"/>
      <c r="EO959" s="231"/>
      <c r="EP959" s="231"/>
      <c r="EQ959" s="231"/>
      <c r="ER959" s="231"/>
      <c r="ES959" s="231"/>
      <c r="ET959" s="231"/>
      <c r="EU959" s="231"/>
      <c r="EV959" s="231"/>
      <c r="EW959" s="231"/>
      <c r="EX959" s="231"/>
      <c r="EY959" s="231"/>
      <c r="EZ959" s="231"/>
      <c r="FA959" s="231"/>
      <c r="FB959" s="231"/>
      <c r="FC959" s="231"/>
      <c r="FD959" s="231"/>
      <c r="FE959" s="231"/>
      <c r="FF959" s="231"/>
      <c r="FG959" s="231"/>
      <c r="FH959" s="231"/>
      <c r="FI959" s="231"/>
      <c r="FJ959" s="231"/>
      <c r="FK959" s="231"/>
      <c r="FL959" s="231"/>
      <c r="FM959" s="231"/>
      <c r="FN959" s="231"/>
      <c r="FO959" s="231"/>
      <c r="FP959" s="231"/>
      <c r="FQ959" s="231"/>
      <c r="FR959" s="231"/>
      <c r="FS959" s="231"/>
      <c r="FT959" s="231"/>
      <c r="FU959" s="231"/>
      <c r="FV959" s="231"/>
      <c r="FW959" s="231"/>
      <c r="FX959" s="231"/>
      <c r="FY959" s="231"/>
      <c r="FZ959" s="231"/>
      <c r="GA959" s="231"/>
      <c r="GB959" s="231"/>
      <c r="GC959" s="231"/>
      <c r="GD959" s="231"/>
      <c r="GE959" s="231"/>
      <c r="GF959" s="231"/>
      <c r="GG959" s="231"/>
      <c r="GH959" s="231"/>
      <c r="GI959" s="231"/>
      <c r="GJ959" s="231"/>
      <c r="GK959" s="231"/>
      <c r="GL959" s="231"/>
      <c r="GM959" s="231"/>
      <c r="GN959" s="231"/>
      <c r="GO959" s="231"/>
      <c r="GP959" s="231"/>
      <c r="GQ959" s="231"/>
      <c r="GR959" s="231"/>
      <c r="GS959" s="231"/>
      <c r="GT959" s="231"/>
      <c r="GU959" s="231"/>
      <c r="GV959" s="231"/>
      <c r="GW959" s="231"/>
      <c r="GX959" s="231"/>
      <c r="GY959" s="231"/>
      <c r="GZ959" s="231"/>
      <c r="HA959" s="231"/>
      <c r="HB959" s="231"/>
      <c r="HC959" s="231"/>
      <c r="HD959" s="231"/>
      <c r="HE959" s="231"/>
      <c r="HF959" s="231"/>
      <c r="HG959" s="231"/>
      <c r="HH959" s="231"/>
      <c r="HI959" s="232"/>
    </row>
    <row r="960" spans="82:610" ht="10.75" customHeight="1">
      <c r="CD960" s="229"/>
      <c r="CE960" s="231"/>
      <c r="CF960" s="231"/>
      <c r="CG960" s="231"/>
      <c r="CH960" s="231"/>
      <c r="CI960" s="231"/>
      <c r="CJ960" s="231"/>
      <c r="CK960" s="231"/>
      <c r="CL960" s="231"/>
      <c r="CM960" s="231"/>
      <c r="CN960" s="231"/>
      <c r="CO960" s="231"/>
      <c r="CP960" s="231"/>
      <c r="CQ960" s="231"/>
      <c r="CR960" s="231"/>
      <c r="CS960" s="231"/>
      <c r="CT960" s="231"/>
      <c r="CU960" s="231"/>
      <c r="CV960" s="231"/>
      <c r="CW960" s="231"/>
      <c r="CX960" s="231"/>
      <c r="CY960" s="231"/>
      <c r="CZ960" s="231"/>
      <c r="DA960" s="231"/>
      <c r="DB960" s="231"/>
      <c r="DC960" s="231"/>
      <c r="DD960" s="231"/>
      <c r="DE960" s="231"/>
      <c r="DF960" s="231"/>
      <c r="DG960" s="231"/>
      <c r="DH960" s="231"/>
      <c r="DI960" s="231"/>
      <c r="DJ960" s="231"/>
      <c r="DK960" s="231"/>
      <c r="DL960" s="231"/>
      <c r="DM960" s="231"/>
      <c r="DN960" s="231"/>
      <c r="DO960" s="231"/>
      <c r="DP960" s="231"/>
      <c r="DQ960" s="231"/>
      <c r="DR960" s="231"/>
      <c r="DS960" s="231"/>
      <c r="DT960" s="231"/>
      <c r="DU960" s="231"/>
      <c r="DV960" s="231"/>
      <c r="DW960" s="231"/>
      <c r="DX960" s="231"/>
      <c r="DY960" s="231"/>
      <c r="DZ960" s="231"/>
      <c r="EA960" s="231"/>
      <c r="EB960" s="231"/>
      <c r="EC960" s="231"/>
      <c r="ED960" s="231"/>
      <c r="EE960" s="231"/>
      <c r="EF960" s="231"/>
      <c r="EG960" s="231"/>
      <c r="EH960" s="231"/>
      <c r="EI960" s="231"/>
      <c r="EJ960" s="231"/>
      <c r="EK960" s="231"/>
      <c r="EL960" s="231"/>
      <c r="EM960" s="231"/>
      <c r="EN960" s="231"/>
      <c r="EO960" s="231"/>
      <c r="EP960" s="231"/>
      <c r="EQ960" s="231"/>
      <c r="ER960" s="231"/>
      <c r="ES960" s="231"/>
      <c r="ET960" s="231"/>
      <c r="EU960" s="231"/>
      <c r="EV960" s="231"/>
      <c r="EW960" s="231"/>
      <c r="EX960" s="231"/>
      <c r="EY960" s="231"/>
      <c r="EZ960" s="231"/>
      <c r="FA960" s="231"/>
      <c r="FB960" s="231"/>
      <c r="FC960" s="231"/>
      <c r="FD960" s="231"/>
      <c r="FE960" s="231"/>
      <c r="FF960" s="231"/>
      <c r="FG960" s="231"/>
      <c r="FH960" s="231"/>
      <c r="FI960" s="231"/>
      <c r="FJ960" s="231"/>
      <c r="FK960" s="231"/>
      <c r="FL960" s="231"/>
      <c r="FM960" s="231"/>
      <c r="FN960" s="231"/>
      <c r="FO960" s="231"/>
      <c r="FP960" s="231"/>
      <c r="FQ960" s="231"/>
      <c r="FR960" s="231"/>
      <c r="FS960" s="231"/>
      <c r="FT960" s="231"/>
      <c r="FU960" s="231"/>
      <c r="FV960" s="231"/>
      <c r="FW960" s="231"/>
      <c r="FX960" s="231"/>
      <c r="FY960" s="231"/>
      <c r="FZ960" s="231"/>
      <c r="GA960" s="231"/>
      <c r="GB960" s="231"/>
      <c r="GC960" s="231"/>
      <c r="GD960" s="231"/>
      <c r="GE960" s="231"/>
      <c r="GF960" s="231"/>
      <c r="GG960" s="231"/>
      <c r="GH960" s="231"/>
      <c r="GI960" s="231"/>
      <c r="GJ960" s="231"/>
      <c r="GK960" s="231"/>
      <c r="GL960" s="231"/>
      <c r="GM960" s="231"/>
      <c r="GN960" s="231"/>
      <c r="GO960" s="231"/>
      <c r="GP960" s="231"/>
      <c r="GQ960" s="231"/>
      <c r="GR960" s="231"/>
      <c r="GS960" s="231"/>
      <c r="GT960" s="231"/>
      <c r="GU960" s="231"/>
      <c r="GV960" s="231"/>
      <c r="GW960" s="231"/>
      <c r="GX960" s="231"/>
      <c r="GY960" s="231"/>
      <c r="GZ960" s="231"/>
      <c r="HA960" s="231"/>
      <c r="HB960" s="231"/>
      <c r="HC960" s="231"/>
      <c r="HD960" s="231"/>
      <c r="HE960" s="231"/>
      <c r="HF960" s="231"/>
      <c r="HG960" s="231"/>
      <c r="HH960" s="231"/>
      <c r="HI960" s="232"/>
    </row>
    <row r="961" spans="82:217" ht="10.75" customHeight="1">
      <c r="CD961" s="229"/>
      <c r="CE961" s="231"/>
      <c r="CF961" s="231"/>
      <c r="CG961" s="231"/>
      <c r="CH961" s="231"/>
      <c r="CI961" s="231"/>
      <c r="CJ961" s="231"/>
      <c r="CK961" s="231"/>
      <c r="CL961" s="231"/>
      <c r="CM961" s="231"/>
      <c r="CN961" s="231"/>
      <c r="CO961" s="231"/>
      <c r="CP961" s="231"/>
      <c r="CQ961" s="231"/>
      <c r="CR961" s="231"/>
      <c r="CS961" s="231"/>
      <c r="CT961" s="231"/>
      <c r="CU961" s="231"/>
      <c r="CV961" s="231"/>
      <c r="CW961" s="231"/>
      <c r="CX961" s="231"/>
      <c r="CY961" s="231"/>
      <c r="CZ961" s="231"/>
      <c r="DA961" s="231"/>
      <c r="DB961" s="231"/>
      <c r="DC961" s="231"/>
      <c r="DD961" s="231"/>
      <c r="DE961" s="231"/>
      <c r="DF961" s="231"/>
      <c r="DG961" s="231"/>
      <c r="DH961" s="231"/>
      <c r="DI961" s="231"/>
      <c r="DJ961" s="231"/>
      <c r="DK961" s="231"/>
      <c r="DL961" s="231"/>
      <c r="DM961" s="231"/>
      <c r="DN961" s="231"/>
      <c r="DO961" s="231"/>
      <c r="DP961" s="231"/>
      <c r="DQ961" s="231"/>
      <c r="DR961" s="231"/>
      <c r="DS961" s="231"/>
      <c r="DT961" s="231"/>
      <c r="DU961" s="231"/>
      <c r="DV961" s="231"/>
      <c r="DW961" s="231"/>
      <c r="DX961" s="231"/>
      <c r="DY961" s="231"/>
      <c r="DZ961" s="231"/>
      <c r="EA961" s="231"/>
      <c r="EB961" s="231"/>
      <c r="EC961" s="231"/>
      <c r="ED961" s="231"/>
      <c r="EE961" s="231"/>
      <c r="EF961" s="231"/>
      <c r="EG961" s="231"/>
      <c r="EH961" s="231"/>
      <c r="EI961" s="231"/>
      <c r="EJ961" s="231"/>
      <c r="EK961" s="231"/>
      <c r="EL961" s="231"/>
      <c r="EM961" s="231"/>
      <c r="EN961" s="231"/>
      <c r="EO961" s="231"/>
      <c r="EP961" s="231"/>
      <c r="EQ961" s="231"/>
      <c r="ER961" s="231"/>
      <c r="ES961" s="231"/>
      <c r="ET961" s="231"/>
      <c r="EU961" s="231"/>
      <c r="EV961" s="231"/>
      <c r="EW961" s="231"/>
      <c r="EX961" s="231"/>
      <c r="EY961" s="231"/>
      <c r="EZ961" s="231"/>
      <c r="FA961" s="231"/>
      <c r="FB961" s="231"/>
      <c r="FC961" s="231"/>
      <c r="FD961" s="231"/>
      <c r="FE961" s="231"/>
      <c r="FF961" s="231"/>
      <c r="FG961" s="231"/>
      <c r="FH961" s="231"/>
      <c r="FI961" s="231"/>
      <c r="FJ961" s="231"/>
      <c r="FK961" s="231"/>
      <c r="FL961" s="231"/>
      <c r="FM961" s="231"/>
      <c r="FN961" s="231"/>
      <c r="FO961" s="231"/>
      <c r="FP961" s="231"/>
      <c r="FQ961" s="231"/>
      <c r="FR961" s="231"/>
      <c r="FS961" s="231"/>
      <c r="FT961" s="231"/>
      <c r="FU961" s="231"/>
      <c r="FV961" s="231"/>
      <c r="FW961" s="231"/>
      <c r="FX961" s="231"/>
      <c r="FY961" s="231"/>
      <c r="FZ961" s="231"/>
      <c r="GA961" s="231"/>
      <c r="GB961" s="231"/>
      <c r="GC961" s="231"/>
      <c r="GD961" s="231"/>
      <c r="GE961" s="231"/>
      <c r="GF961" s="231"/>
      <c r="GG961" s="231"/>
      <c r="GH961" s="231"/>
      <c r="GI961" s="231"/>
      <c r="GJ961" s="231"/>
      <c r="GK961" s="231"/>
      <c r="GL961" s="231"/>
      <c r="GM961" s="231"/>
      <c r="GN961" s="231"/>
      <c r="GO961" s="231"/>
      <c r="GP961" s="231"/>
      <c r="GQ961" s="231"/>
      <c r="GR961" s="231"/>
      <c r="GS961" s="231"/>
      <c r="GT961" s="231"/>
      <c r="GU961" s="231"/>
      <c r="GV961" s="231"/>
      <c r="GW961" s="231"/>
      <c r="GX961" s="231"/>
      <c r="GY961" s="231"/>
      <c r="GZ961" s="231"/>
      <c r="HA961" s="231"/>
      <c r="HB961" s="231"/>
      <c r="HC961" s="231"/>
      <c r="HD961" s="231"/>
      <c r="HE961" s="231"/>
      <c r="HF961" s="231"/>
      <c r="HG961" s="231"/>
      <c r="HH961" s="231"/>
      <c r="HI961" s="232"/>
    </row>
    <row r="962" spans="82:217" ht="10.75" customHeight="1">
      <c r="CD962" s="229"/>
      <c r="CE962" s="231"/>
      <c r="CF962" s="231"/>
      <c r="CG962" s="231"/>
      <c r="CH962" s="231"/>
      <c r="CI962" s="231"/>
      <c r="CJ962" s="231"/>
      <c r="CK962" s="231"/>
      <c r="CL962" s="231"/>
      <c r="CM962" s="231"/>
      <c r="CN962" s="231"/>
      <c r="CO962" s="231"/>
      <c r="CP962" s="231"/>
      <c r="CQ962" s="231"/>
      <c r="CR962" s="231"/>
      <c r="CS962" s="231"/>
      <c r="CT962" s="231"/>
      <c r="CU962" s="231"/>
      <c r="CV962" s="231"/>
      <c r="CW962" s="231"/>
      <c r="CX962" s="231"/>
      <c r="CY962" s="231"/>
      <c r="CZ962" s="231"/>
      <c r="DA962" s="231"/>
      <c r="DB962" s="231"/>
      <c r="DC962" s="231"/>
      <c r="DD962" s="231"/>
      <c r="DE962" s="231"/>
      <c r="DF962" s="231"/>
      <c r="DG962" s="231"/>
      <c r="DH962" s="231"/>
      <c r="DI962" s="231"/>
      <c r="DJ962" s="231"/>
      <c r="DK962" s="231"/>
      <c r="DL962" s="231"/>
      <c r="DM962" s="231"/>
      <c r="DN962" s="231"/>
      <c r="DO962" s="231"/>
      <c r="DP962" s="231"/>
      <c r="DQ962" s="231"/>
      <c r="DR962" s="231"/>
      <c r="DS962" s="231"/>
      <c r="DT962" s="231"/>
      <c r="DU962" s="231"/>
      <c r="DV962" s="231"/>
      <c r="DW962" s="231"/>
      <c r="DX962" s="231"/>
      <c r="DY962" s="231"/>
      <c r="DZ962" s="231"/>
      <c r="EA962" s="231"/>
      <c r="EB962" s="231"/>
      <c r="EC962" s="231"/>
      <c r="ED962" s="231"/>
      <c r="EE962" s="231"/>
      <c r="EF962" s="231"/>
      <c r="EG962" s="231"/>
      <c r="EH962" s="231"/>
      <c r="EI962" s="231"/>
      <c r="EJ962" s="231"/>
      <c r="EK962" s="231"/>
      <c r="EL962" s="231"/>
      <c r="EM962" s="231"/>
      <c r="EN962" s="231"/>
      <c r="EO962" s="231"/>
      <c r="EP962" s="231"/>
      <c r="EQ962" s="231"/>
      <c r="ER962" s="231"/>
      <c r="ES962" s="231"/>
      <c r="ET962" s="231"/>
      <c r="EU962" s="231"/>
      <c r="EV962" s="231"/>
      <c r="EW962" s="231"/>
      <c r="EX962" s="231"/>
      <c r="EY962" s="231"/>
      <c r="EZ962" s="231"/>
      <c r="FA962" s="231"/>
      <c r="FB962" s="231"/>
      <c r="FC962" s="231"/>
      <c r="FD962" s="231"/>
      <c r="FE962" s="231"/>
      <c r="FF962" s="231"/>
      <c r="FG962" s="231"/>
      <c r="FH962" s="231"/>
      <c r="FI962" s="231"/>
      <c r="FJ962" s="231"/>
      <c r="FK962" s="231"/>
      <c r="FL962" s="231"/>
      <c r="FM962" s="231"/>
      <c r="FN962" s="231"/>
      <c r="FO962" s="231"/>
      <c r="FP962" s="231"/>
      <c r="FQ962" s="231"/>
      <c r="FR962" s="231"/>
      <c r="FS962" s="231"/>
      <c r="FT962" s="231"/>
      <c r="FU962" s="231"/>
      <c r="FV962" s="231"/>
      <c r="FW962" s="231"/>
      <c r="FX962" s="231"/>
      <c r="FY962" s="231"/>
      <c r="FZ962" s="231"/>
      <c r="GA962" s="231"/>
      <c r="GB962" s="231"/>
      <c r="GC962" s="231"/>
      <c r="GD962" s="231"/>
      <c r="GE962" s="231"/>
      <c r="GF962" s="231"/>
      <c r="GG962" s="231"/>
      <c r="GH962" s="231"/>
      <c r="GI962" s="231"/>
      <c r="GJ962" s="231"/>
      <c r="GK962" s="231"/>
      <c r="GL962" s="231"/>
      <c r="GM962" s="231"/>
      <c r="GN962" s="231"/>
      <c r="GO962" s="231"/>
      <c r="GP962" s="231"/>
      <c r="GQ962" s="231"/>
      <c r="GR962" s="231"/>
      <c r="GS962" s="231"/>
      <c r="GT962" s="231"/>
      <c r="GU962" s="231"/>
      <c r="GV962" s="231"/>
      <c r="GW962" s="231"/>
      <c r="GX962" s="231"/>
      <c r="GY962" s="231"/>
      <c r="GZ962" s="231"/>
      <c r="HA962" s="231"/>
      <c r="HB962" s="231"/>
      <c r="HC962" s="231"/>
      <c r="HD962" s="231"/>
      <c r="HE962" s="231"/>
      <c r="HF962" s="231"/>
      <c r="HG962" s="231"/>
      <c r="HH962" s="231"/>
      <c r="HI962" s="232"/>
    </row>
    <row r="963" spans="82:217" ht="10.75" customHeight="1">
      <c r="CD963" s="229"/>
      <c r="CE963" s="231"/>
      <c r="CF963" s="231"/>
      <c r="CG963" s="231"/>
      <c r="CH963" s="231"/>
      <c r="CI963" s="231"/>
      <c r="CJ963" s="231"/>
      <c r="CK963" s="231"/>
      <c r="CL963" s="231"/>
      <c r="CM963" s="231"/>
      <c r="CN963" s="231"/>
      <c r="CO963" s="231"/>
      <c r="CP963" s="231"/>
      <c r="CQ963" s="231"/>
      <c r="CR963" s="231"/>
      <c r="CS963" s="231"/>
      <c r="CT963" s="231"/>
      <c r="CU963" s="231"/>
      <c r="CV963" s="231"/>
      <c r="CW963" s="231"/>
      <c r="CX963" s="231"/>
      <c r="CY963" s="231"/>
      <c r="CZ963" s="231"/>
      <c r="DA963" s="231"/>
      <c r="DB963" s="231"/>
      <c r="DC963" s="231"/>
      <c r="DD963" s="231"/>
      <c r="DE963" s="231"/>
      <c r="DF963" s="231"/>
      <c r="DG963" s="231"/>
      <c r="DH963" s="231"/>
      <c r="DI963" s="231"/>
      <c r="DJ963" s="231"/>
      <c r="DK963" s="231"/>
      <c r="DL963" s="231"/>
      <c r="DM963" s="231"/>
      <c r="DN963" s="231"/>
      <c r="DO963" s="231"/>
      <c r="DP963" s="231"/>
      <c r="DQ963" s="231"/>
      <c r="DR963" s="231"/>
      <c r="DS963" s="231"/>
      <c r="DT963" s="231"/>
      <c r="DU963" s="231"/>
      <c r="DV963" s="231"/>
      <c r="DW963" s="231"/>
      <c r="DX963" s="231"/>
      <c r="DY963" s="231"/>
      <c r="DZ963" s="231"/>
      <c r="EA963" s="231"/>
      <c r="EB963" s="231"/>
      <c r="EC963" s="231"/>
      <c r="ED963" s="231"/>
      <c r="EE963" s="231"/>
      <c r="EF963" s="231"/>
      <c r="EG963" s="231"/>
      <c r="EH963" s="231"/>
      <c r="EI963" s="231"/>
      <c r="EJ963" s="231"/>
      <c r="EK963" s="231"/>
      <c r="EL963" s="231"/>
      <c r="EM963" s="231"/>
      <c r="EN963" s="231"/>
      <c r="EO963" s="231"/>
      <c r="EP963" s="231"/>
      <c r="EQ963" s="231"/>
      <c r="ER963" s="231"/>
      <c r="ES963" s="231"/>
      <c r="ET963" s="231"/>
      <c r="EU963" s="231"/>
      <c r="EV963" s="231"/>
      <c r="EW963" s="231"/>
      <c r="EX963" s="231"/>
      <c r="EY963" s="231"/>
      <c r="EZ963" s="231"/>
      <c r="FA963" s="231"/>
      <c r="FB963" s="231"/>
      <c r="FC963" s="231"/>
      <c r="FD963" s="231"/>
      <c r="FE963" s="231"/>
      <c r="FF963" s="231"/>
      <c r="FG963" s="231"/>
      <c r="FH963" s="231"/>
      <c r="FI963" s="231"/>
      <c r="FJ963" s="231"/>
      <c r="FK963" s="231"/>
      <c r="FL963" s="231"/>
      <c r="FM963" s="231"/>
      <c r="FN963" s="231"/>
      <c r="FO963" s="231"/>
      <c r="FP963" s="231"/>
      <c r="FQ963" s="231"/>
      <c r="FR963" s="231"/>
      <c r="FS963" s="231"/>
      <c r="FT963" s="231"/>
      <c r="FU963" s="231"/>
      <c r="FV963" s="231"/>
      <c r="FW963" s="231"/>
      <c r="FX963" s="231"/>
      <c r="FY963" s="231"/>
      <c r="FZ963" s="231"/>
      <c r="GA963" s="231"/>
      <c r="GB963" s="231"/>
      <c r="GC963" s="231"/>
      <c r="GD963" s="231"/>
      <c r="GE963" s="231"/>
      <c r="GF963" s="231"/>
      <c r="GG963" s="231"/>
      <c r="GH963" s="231"/>
      <c r="GI963" s="231"/>
      <c r="GJ963" s="231"/>
      <c r="GK963" s="231"/>
      <c r="GL963" s="231"/>
      <c r="GM963" s="231"/>
      <c r="GN963" s="231"/>
      <c r="GO963" s="231"/>
      <c r="GP963" s="231"/>
      <c r="GQ963" s="231"/>
      <c r="GR963" s="231"/>
      <c r="GS963" s="231"/>
      <c r="GT963" s="231"/>
      <c r="GU963" s="231"/>
      <c r="GV963" s="231"/>
      <c r="GW963" s="231"/>
      <c r="GX963" s="231"/>
      <c r="GY963" s="231"/>
      <c r="GZ963" s="231"/>
      <c r="HA963" s="231"/>
      <c r="HB963" s="231"/>
      <c r="HC963" s="231"/>
      <c r="HD963" s="231"/>
      <c r="HE963" s="231"/>
      <c r="HF963" s="231"/>
      <c r="HG963" s="231"/>
      <c r="HH963" s="231"/>
      <c r="HI963" s="232"/>
    </row>
    <row r="964" spans="82:217" ht="10.75" customHeight="1">
      <c r="CD964" s="230"/>
      <c r="CE964" s="233"/>
      <c r="CF964" s="233"/>
      <c r="CG964" s="233"/>
      <c r="CH964" s="233"/>
      <c r="CI964" s="233"/>
      <c r="CJ964" s="233"/>
      <c r="CK964" s="233"/>
      <c r="CL964" s="233"/>
      <c r="CM964" s="233"/>
      <c r="CN964" s="233"/>
      <c r="CO964" s="233"/>
      <c r="CP964" s="233"/>
      <c r="CQ964" s="233"/>
      <c r="CR964" s="233"/>
      <c r="CS964" s="233"/>
      <c r="CT964" s="233"/>
      <c r="CU964" s="233"/>
      <c r="CV964" s="233"/>
      <c r="CW964" s="233"/>
      <c r="CX964" s="233"/>
      <c r="CY964" s="233"/>
      <c r="CZ964" s="233"/>
      <c r="DA964" s="233"/>
      <c r="DB964" s="233"/>
      <c r="DC964" s="233"/>
      <c r="DD964" s="233"/>
      <c r="DE964" s="233"/>
      <c r="DF964" s="233"/>
      <c r="DG964" s="233"/>
      <c r="DH964" s="233"/>
      <c r="DI964" s="233"/>
      <c r="DJ964" s="233"/>
      <c r="DK964" s="233"/>
      <c r="DL964" s="233"/>
      <c r="DM964" s="233"/>
      <c r="DN964" s="233"/>
      <c r="DO964" s="233"/>
      <c r="DP964" s="233"/>
      <c r="DQ964" s="233"/>
      <c r="DR964" s="233"/>
      <c r="DS964" s="233"/>
      <c r="DT964" s="233"/>
      <c r="DU964" s="233"/>
      <c r="DV964" s="233"/>
      <c r="DW964" s="233"/>
      <c r="DX964" s="233"/>
      <c r="DY964" s="233"/>
      <c r="DZ964" s="233"/>
      <c r="EA964" s="233"/>
      <c r="EB964" s="233"/>
      <c r="EC964" s="233"/>
      <c r="ED964" s="233"/>
      <c r="EE964" s="233"/>
      <c r="EF964" s="233"/>
      <c r="EG964" s="233"/>
      <c r="EH964" s="233"/>
      <c r="EI964" s="233"/>
      <c r="EJ964" s="233"/>
      <c r="EK964" s="233"/>
      <c r="EL964" s="233"/>
      <c r="EM964" s="233"/>
      <c r="EN964" s="233"/>
      <c r="EO964" s="233"/>
      <c r="EP964" s="233"/>
      <c r="EQ964" s="233"/>
      <c r="ER964" s="233"/>
      <c r="ES964" s="233"/>
      <c r="ET964" s="233"/>
      <c r="EU964" s="233"/>
      <c r="EV964" s="233"/>
      <c r="EW964" s="233"/>
      <c r="EX964" s="233"/>
      <c r="EY964" s="233"/>
      <c r="EZ964" s="233"/>
      <c r="FA964" s="233"/>
      <c r="FB964" s="233"/>
      <c r="FC964" s="233"/>
      <c r="FD964" s="233"/>
      <c r="FE964" s="233"/>
      <c r="FF964" s="233"/>
      <c r="FG964" s="233"/>
      <c r="FH964" s="233"/>
      <c r="FI964" s="233"/>
      <c r="FJ964" s="233"/>
      <c r="FK964" s="233"/>
      <c r="FL964" s="233"/>
      <c r="FM964" s="233"/>
      <c r="FN964" s="233"/>
      <c r="FO964" s="233"/>
      <c r="FP964" s="233"/>
      <c r="FQ964" s="233"/>
      <c r="FR964" s="233"/>
      <c r="FS964" s="233"/>
      <c r="FT964" s="233"/>
      <c r="FU964" s="233"/>
      <c r="FV964" s="233"/>
      <c r="FW964" s="233"/>
      <c r="FX964" s="233"/>
      <c r="FY964" s="233"/>
      <c r="FZ964" s="233"/>
      <c r="GA964" s="233"/>
      <c r="GB964" s="233"/>
      <c r="GC964" s="233"/>
      <c r="GD964" s="233"/>
      <c r="GE964" s="233"/>
      <c r="GF964" s="233"/>
      <c r="GG964" s="233"/>
      <c r="GH964" s="233"/>
      <c r="GI964" s="233"/>
      <c r="GJ964" s="233"/>
      <c r="GK964" s="233"/>
      <c r="GL964" s="233"/>
      <c r="GM964" s="233"/>
      <c r="GN964" s="233"/>
      <c r="GO964" s="233"/>
      <c r="GP964" s="233"/>
      <c r="GQ964" s="233"/>
      <c r="GR964" s="233"/>
      <c r="GS964" s="233"/>
      <c r="GT964" s="233"/>
      <c r="GU964" s="233"/>
      <c r="GV964" s="233"/>
      <c r="GW964" s="233"/>
      <c r="GX964" s="233"/>
      <c r="GY964" s="233"/>
      <c r="GZ964" s="233"/>
      <c r="HA964" s="233"/>
      <c r="HB964" s="233"/>
      <c r="HC964" s="233"/>
      <c r="HD964" s="233"/>
      <c r="HE964" s="233"/>
      <c r="HF964" s="233"/>
      <c r="HG964" s="233"/>
      <c r="HH964" s="233"/>
      <c r="HI964" s="234"/>
    </row>
    <row r="997" spans="82:217" ht="10.75" customHeight="1">
      <c r="CD997" s="226"/>
      <c r="CE997" s="227"/>
      <c r="CF997" s="227"/>
      <c r="CG997" s="227"/>
      <c r="CH997" s="227"/>
      <c r="CI997" s="227"/>
      <c r="CJ997" s="227"/>
      <c r="CK997" s="227"/>
      <c r="CL997" s="227"/>
      <c r="CM997" s="227"/>
      <c r="CN997" s="227"/>
      <c r="CO997" s="227"/>
      <c r="CP997" s="227"/>
      <c r="CQ997" s="227"/>
      <c r="CR997" s="227"/>
      <c r="CS997" s="227"/>
      <c r="CT997" s="227"/>
      <c r="CU997" s="227"/>
      <c r="CV997" s="227"/>
      <c r="CW997" s="227"/>
      <c r="CX997" s="227"/>
      <c r="CY997" s="227"/>
      <c r="CZ997" s="227"/>
      <c r="DA997" s="227"/>
      <c r="DB997" s="227"/>
      <c r="DC997" s="227"/>
      <c r="DD997" s="227"/>
      <c r="DE997" s="227"/>
      <c r="DF997" s="227"/>
      <c r="DG997" s="227"/>
      <c r="DH997" s="227"/>
      <c r="DI997" s="227"/>
      <c r="DJ997" s="227"/>
      <c r="DK997" s="227"/>
      <c r="DL997" s="227"/>
      <c r="DM997" s="227"/>
      <c r="DN997" s="227"/>
      <c r="DO997" s="227"/>
      <c r="DP997" s="227"/>
      <c r="DQ997" s="227"/>
      <c r="DR997" s="227"/>
      <c r="DS997" s="227"/>
      <c r="DT997" s="227"/>
      <c r="DU997" s="227"/>
      <c r="DV997" s="227"/>
      <c r="DW997" s="227"/>
      <c r="DX997" s="227"/>
      <c r="DY997" s="227"/>
      <c r="DZ997" s="227"/>
      <c r="EA997" s="227"/>
      <c r="EB997" s="227"/>
      <c r="EC997" s="227"/>
      <c r="ED997" s="227"/>
      <c r="EE997" s="227"/>
      <c r="EF997" s="227"/>
      <c r="EG997" s="227"/>
      <c r="EH997" s="227"/>
      <c r="EI997" s="227"/>
      <c r="EJ997" s="227"/>
      <c r="EK997" s="227"/>
      <c r="EL997" s="227"/>
      <c r="EM997" s="227"/>
      <c r="EN997" s="227"/>
      <c r="EO997" s="227"/>
      <c r="EP997" s="227"/>
      <c r="EQ997" s="227"/>
      <c r="ER997" s="227"/>
      <c r="ES997" s="227"/>
      <c r="ET997" s="227"/>
      <c r="EU997" s="227"/>
      <c r="EV997" s="227"/>
      <c r="EW997" s="227"/>
      <c r="EX997" s="227"/>
      <c r="EY997" s="227"/>
      <c r="EZ997" s="227"/>
      <c r="FA997" s="227"/>
      <c r="FB997" s="227"/>
      <c r="FC997" s="227"/>
      <c r="FD997" s="227"/>
      <c r="FE997" s="227"/>
      <c r="FF997" s="227"/>
      <c r="FG997" s="227"/>
      <c r="FH997" s="227"/>
      <c r="FI997" s="227"/>
      <c r="FJ997" s="227"/>
      <c r="FK997" s="227"/>
      <c r="FL997" s="227"/>
      <c r="FM997" s="227"/>
      <c r="FN997" s="227"/>
      <c r="FO997" s="227"/>
      <c r="FP997" s="227"/>
      <c r="FQ997" s="227"/>
      <c r="FR997" s="227"/>
      <c r="FS997" s="227"/>
      <c r="FT997" s="227"/>
      <c r="FU997" s="227"/>
      <c r="FV997" s="227"/>
      <c r="FW997" s="227"/>
      <c r="FX997" s="227"/>
      <c r="FY997" s="227"/>
      <c r="FZ997" s="227"/>
      <c r="GA997" s="227"/>
      <c r="GB997" s="227"/>
      <c r="GC997" s="227"/>
      <c r="GD997" s="227"/>
      <c r="GE997" s="227"/>
      <c r="GF997" s="227"/>
      <c r="GG997" s="227"/>
      <c r="GH997" s="227"/>
      <c r="GI997" s="227"/>
      <c r="GJ997" s="227"/>
      <c r="GK997" s="227"/>
      <c r="GL997" s="227"/>
      <c r="GM997" s="227"/>
      <c r="GN997" s="227"/>
      <c r="GO997" s="227"/>
      <c r="GP997" s="227"/>
      <c r="GQ997" s="227"/>
      <c r="GR997" s="227"/>
      <c r="GS997" s="227"/>
      <c r="GT997" s="227"/>
      <c r="GU997" s="227"/>
      <c r="GV997" s="227"/>
      <c r="GW997" s="227"/>
      <c r="GX997" s="227"/>
      <c r="GY997" s="227"/>
      <c r="GZ997" s="227"/>
      <c r="HA997" s="227"/>
      <c r="HB997" s="227"/>
      <c r="HC997" s="227"/>
      <c r="HD997" s="227"/>
      <c r="HE997" s="227"/>
      <c r="HF997" s="227"/>
      <c r="HG997" s="227"/>
      <c r="HH997" s="227"/>
      <c r="HI997" s="228"/>
    </row>
    <row r="998" spans="82:217" ht="10.75" customHeight="1">
      <c r="CD998" s="229"/>
      <c r="CE998" s="231"/>
      <c r="CF998" s="231"/>
      <c r="CG998" s="231"/>
      <c r="CH998" s="231"/>
      <c r="CI998" s="231"/>
      <c r="CJ998" s="231"/>
      <c r="CK998" s="231"/>
      <c r="CL998" s="231"/>
      <c r="CM998" s="231"/>
      <c r="CN998" s="231"/>
      <c r="CO998" s="231"/>
      <c r="CP998" s="231"/>
      <c r="CQ998" s="231"/>
      <c r="CR998" s="231"/>
      <c r="CS998" s="231"/>
      <c r="CT998" s="231"/>
      <c r="CU998" s="231"/>
      <c r="CV998" s="231"/>
      <c r="CW998" s="231"/>
      <c r="CX998" s="231"/>
      <c r="CY998" s="231"/>
      <c r="CZ998" s="231"/>
      <c r="DA998" s="231"/>
      <c r="DB998" s="231"/>
      <c r="DC998" s="231"/>
      <c r="DD998" s="231"/>
      <c r="DE998" s="231"/>
      <c r="DF998" s="231"/>
      <c r="DG998" s="231"/>
      <c r="DH998" s="231"/>
      <c r="DI998" s="231"/>
      <c r="DJ998" s="231"/>
      <c r="DK998" s="231"/>
      <c r="DL998" s="231"/>
      <c r="DM998" s="231"/>
      <c r="DN998" s="231"/>
      <c r="DO998" s="231"/>
      <c r="DP998" s="231"/>
      <c r="DQ998" s="231"/>
      <c r="DR998" s="231"/>
      <c r="DS998" s="231"/>
      <c r="DT998" s="231"/>
      <c r="DU998" s="231"/>
      <c r="DV998" s="231"/>
      <c r="DW998" s="231"/>
      <c r="DX998" s="231"/>
      <c r="DY998" s="231"/>
      <c r="DZ998" s="231"/>
      <c r="EA998" s="231"/>
      <c r="EB998" s="231"/>
      <c r="EC998" s="231"/>
      <c r="ED998" s="231"/>
      <c r="EE998" s="231"/>
      <c r="EF998" s="231"/>
      <c r="EG998" s="231"/>
      <c r="EH998" s="231"/>
      <c r="EI998" s="231"/>
      <c r="EJ998" s="231"/>
      <c r="EK998" s="231"/>
      <c r="EL998" s="231"/>
      <c r="EM998" s="231"/>
      <c r="EN998" s="231"/>
      <c r="EO998" s="231"/>
      <c r="EP998" s="231"/>
      <c r="EQ998" s="231"/>
      <c r="ER998" s="231"/>
      <c r="ES998" s="231"/>
      <c r="ET998" s="231"/>
      <c r="EU998" s="231"/>
      <c r="EV998" s="231"/>
      <c r="EW998" s="231"/>
      <c r="EX998" s="231"/>
      <c r="EY998" s="231"/>
      <c r="EZ998" s="231"/>
      <c r="FA998" s="231"/>
      <c r="FB998" s="231"/>
      <c r="FC998" s="231"/>
      <c r="FD998" s="231"/>
      <c r="FE998" s="231"/>
      <c r="FF998" s="231"/>
      <c r="FG998" s="231"/>
      <c r="FH998" s="231"/>
      <c r="FI998" s="231"/>
      <c r="FJ998" s="231"/>
      <c r="FK998" s="231"/>
      <c r="FL998" s="231"/>
      <c r="FM998" s="231"/>
      <c r="FN998" s="231"/>
      <c r="FO998" s="231"/>
      <c r="FP998" s="231"/>
      <c r="FQ998" s="231"/>
      <c r="FR998" s="231"/>
      <c r="FS998" s="231"/>
      <c r="FT998" s="231"/>
      <c r="FU998" s="231"/>
      <c r="FV998" s="231"/>
      <c r="FW998" s="231"/>
      <c r="FX998" s="231"/>
      <c r="FY998" s="231"/>
      <c r="FZ998" s="231"/>
      <c r="GA998" s="231"/>
      <c r="GB998" s="231"/>
      <c r="GC998" s="231"/>
      <c r="GD998" s="231"/>
      <c r="GE998" s="231"/>
      <c r="GF998" s="231"/>
      <c r="GG998" s="231"/>
      <c r="GH998" s="231"/>
      <c r="GI998" s="231"/>
      <c r="GJ998" s="231"/>
      <c r="GK998" s="231"/>
      <c r="GL998" s="231"/>
      <c r="GM998" s="231"/>
      <c r="GN998" s="231"/>
      <c r="GO998" s="231"/>
      <c r="GP998" s="231"/>
      <c r="GQ998" s="231"/>
      <c r="GR998" s="231"/>
      <c r="GS998" s="231"/>
      <c r="GT998" s="231"/>
      <c r="GU998" s="231"/>
      <c r="GV998" s="231"/>
      <c r="GW998" s="231"/>
      <c r="GX998" s="231"/>
      <c r="GY998" s="231"/>
      <c r="GZ998" s="231"/>
      <c r="HA998" s="231"/>
      <c r="HB998" s="231"/>
      <c r="HC998" s="231"/>
      <c r="HD998" s="231"/>
      <c r="HE998" s="231"/>
      <c r="HF998" s="231"/>
      <c r="HG998" s="231"/>
      <c r="HH998" s="231"/>
      <c r="HI998" s="232"/>
    </row>
    <row r="999" spans="82:217" ht="10.75" customHeight="1">
      <c r="CD999" s="229"/>
      <c r="CE999" s="231"/>
      <c r="CF999" s="231"/>
      <c r="CG999" s="231"/>
      <c r="CH999" s="231"/>
      <c r="CI999" s="231"/>
      <c r="CJ999" s="231"/>
      <c r="CK999" s="231"/>
      <c r="CL999" s="231"/>
      <c r="CM999" s="231"/>
      <c r="CN999" s="231"/>
      <c r="CO999" s="231"/>
      <c r="CP999" s="231"/>
      <c r="CQ999" s="231"/>
      <c r="CR999" s="231"/>
      <c r="CS999" s="231"/>
      <c r="CT999" s="231"/>
      <c r="CU999" s="231"/>
      <c r="CV999" s="231"/>
      <c r="CW999" s="231"/>
      <c r="CX999" s="231"/>
      <c r="CY999" s="231"/>
      <c r="CZ999" s="231"/>
      <c r="DA999" s="231"/>
      <c r="DB999" s="231"/>
      <c r="DC999" s="231"/>
      <c r="DD999" s="231"/>
      <c r="DE999" s="231"/>
      <c r="DF999" s="231"/>
      <c r="DG999" s="231"/>
      <c r="DH999" s="231"/>
      <c r="DI999" s="231"/>
      <c r="DJ999" s="231"/>
      <c r="DK999" s="231"/>
      <c r="DL999" s="231"/>
      <c r="DM999" s="231"/>
      <c r="DN999" s="231"/>
      <c r="DO999" s="231"/>
      <c r="DP999" s="231"/>
      <c r="DQ999" s="231"/>
      <c r="DR999" s="231"/>
      <c r="DS999" s="231"/>
      <c r="DT999" s="231"/>
      <c r="DU999" s="231"/>
      <c r="DV999" s="231"/>
      <c r="DW999" s="231"/>
      <c r="DX999" s="231"/>
      <c r="DY999" s="231"/>
      <c r="DZ999" s="231"/>
      <c r="EA999" s="231"/>
      <c r="EB999" s="231"/>
      <c r="EC999" s="231"/>
      <c r="ED999" s="231"/>
      <c r="EE999" s="231"/>
      <c r="EF999" s="231"/>
      <c r="EG999" s="231"/>
      <c r="EH999" s="231"/>
      <c r="EI999" s="231"/>
      <c r="EJ999" s="231"/>
      <c r="EK999" s="231"/>
      <c r="EL999" s="231"/>
      <c r="EM999" s="231"/>
      <c r="EN999" s="231"/>
      <c r="EO999" s="231"/>
      <c r="EP999" s="231"/>
      <c r="EQ999" s="231"/>
      <c r="ER999" s="231"/>
      <c r="ES999" s="231"/>
      <c r="ET999" s="231"/>
      <c r="EU999" s="231"/>
      <c r="EV999" s="231"/>
      <c r="EW999" s="231"/>
      <c r="EX999" s="231"/>
      <c r="EY999" s="231"/>
      <c r="EZ999" s="231"/>
      <c r="FA999" s="231"/>
      <c r="FB999" s="231"/>
      <c r="FC999" s="231"/>
      <c r="FD999" s="231"/>
      <c r="FE999" s="231"/>
      <c r="FF999" s="231"/>
      <c r="FG999" s="231"/>
      <c r="FH999" s="231"/>
      <c r="FI999" s="231"/>
      <c r="FJ999" s="231"/>
      <c r="FK999" s="231"/>
      <c r="FL999" s="231"/>
      <c r="FM999" s="231"/>
      <c r="FN999" s="231"/>
      <c r="FO999" s="231"/>
      <c r="FP999" s="231"/>
      <c r="FQ999" s="231"/>
      <c r="FR999" s="231"/>
      <c r="FS999" s="231"/>
      <c r="FT999" s="231"/>
      <c r="FU999" s="231"/>
      <c r="FV999" s="231"/>
      <c r="FW999" s="231"/>
      <c r="FX999" s="231"/>
      <c r="FY999" s="231"/>
      <c r="FZ999" s="231"/>
      <c r="GA999" s="231"/>
      <c r="GB999" s="231"/>
      <c r="GC999" s="231"/>
      <c r="GD999" s="231"/>
      <c r="GE999" s="231"/>
      <c r="GF999" s="231"/>
      <c r="GG999" s="231"/>
      <c r="GH999" s="231"/>
      <c r="GI999" s="231"/>
      <c r="GJ999" s="231"/>
      <c r="GK999" s="231"/>
      <c r="GL999" s="231"/>
      <c r="GM999" s="231"/>
      <c r="GN999" s="231"/>
      <c r="GO999" s="231"/>
      <c r="GP999" s="231"/>
      <c r="GQ999" s="231"/>
      <c r="GR999" s="231"/>
      <c r="GS999" s="231"/>
      <c r="GT999" s="231"/>
      <c r="GU999" s="231"/>
      <c r="GV999" s="231"/>
      <c r="GW999" s="231"/>
      <c r="GX999" s="231"/>
      <c r="GY999" s="231"/>
      <c r="GZ999" s="231"/>
      <c r="HA999" s="231"/>
      <c r="HB999" s="231"/>
      <c r="HC999" s="231"/>
      <c r="HD999" s="231"/>
      <c r="HE999" s="231"/>
      <c r="HF999" s="231"/>
      <c r="HG999" s="231"/>
      <c r="HH999" s="231"/>
      <c r="HI999" s="232"/>
    </row>
    <row r="1000" spans="82:217" ht="10.75" customHeight="1">
      <c r="CD1000" s="229"/>
      <c r="CE1000" s="231"/>
      <c r="CF1000" s="231"/>
      <c r="CG1000" s="231"/>
      <c r="CH1000" s="231"/>
      <c r="CI1000" s="231"/>
      <c r="CJ1000" s="231"/>
      <c r="CK1000" s="231"/>
      <c r="CL1000" s="231"/>
      <c r="CM1000" s="231"/>
      <c r="CN1000" s="231"/>
      <c r="CO1000" s="231"/>
      <c r="CP1000" s="231"/>
      <c r="CQ1000" s="231"/>
      <c r="CR1000" s="231"/>
      <c r="CS1000" s="231"/>
      <c r="CT1000" s="231"/>
      <c r="CU1000" s="231"/>
      <c r="CV1000" s="231"/>
      <c r="CW1000" s="327"/>
      <c r="CX1000" s="231"/>
      <c r="CY1000" s="231"/>
      <c r="CZ1000" s="231"/>
      <c r="DA1000" s="231"/>
      <c r="DB1000" s="231"/>
      <c r="DC1000" s="231"/>
      <c r="DD1000" s="231"/>
      <c r="DE1000" s="231"/>
      <c r="DF1000" s="231"/>
      <c r="DG1000" s="231"/>
      <c r="DH1000" s="231"/>
      <c r="DI1000" s="231"/>
      <c r="DJ1000" s="231"/>
      <c r="DK1000" s="231"/>
      <c r="DL1000" s="231"/>
      <c r="DM1000" s="231"/>
      <c r="DN1000" s="231"/>
      <c r="DO1000" s="231"/>
      <c r="DP1000" s="231"/>
      <c r="DQ1000" s="231"/>
      <c r="DR1000" s="231"/>
      <c r="DS1000" s="231"/>
      <c r="DT1000" s="231"/>
      <c r="DU1000" s="231"/>
      <c r="DV1000" s="231"/>
      <c r="DW1000" s="231"/>
      <c r="DX1000" s="231"/>
      <c r="DY1000" s="231"/>
      <c r="DZ1000" s="231"/>
      <c r="EA1000" s="231"/>
      <c r="EB1000" s="231"/>
      <c r="EC1000" s="231"/>
      <c r="ED1000" s="231"/>
      <c r="EE1000" s="231"/>
      <c r="EF1000" s="231"/>
      <c r="EG1000" s="231"/>
      <c r="EH1000" s="231"/>
      <c r="EI1000" s="231"/>
      <c r="EJ1000" s="231"/>
      <c r="EK1000" s="231"/>
      <c r="EL1000" s="231"/>
      <c r="EM1000" s="231"/>
      <c r="EN1000" s="231"/>
      <c r="EO1000" s="231"/>
      <c r="EP1000" s="231"/>
      <c r="EQ1000" s="231"/>
      <c r="ER1000" s="231"/>
      <c r="ES1000" s="327"/>
      <c r="ET1000" s="231"/>
      <c r="EU1000" s="327"/>
      <c r="EV1000" s="231"/>
      <c r="EW1000" s="231"/>
      <c r="EX1000" s="231"/>
      <c r="EY1000" s="231"/>
      <c r="EZ1000" s="231"/>
      <c r="FA1000" s="231"/>
      <c r="FB1000" s="231"/>
      <c r="FC1000" s="231"/>
      <c r="FD1000" s="231"/>
      <c r="FE1000" s="231"/>
      <c r="FF1000" s="231"/>
      <c r="FG1000" s="231"/>
      <c r="FH1000" s="231"/>
      <c r="FI1000" s="231"/>
      <c r="FJ1000" s="231"/>
      <c r="FK1000" s="231"/>
      <c r="FL1000" s="231"/>
      <c r="FM1000" s="231"/>
      <c r="FN1000" s="231"/>
      <c r="FO1000" s="231"/>
      <c r="FP1000" s="231"/>
      <c r="FQ1000" s="231"/>
      <c r="FR1000" s="231"/>
      <c r="FS1000" s="231"/>
      <c r="FT1000" s="231"/>
      <c r="FU1000" s="231"/>
      <c r="FV1000" s="231"/>
      <c r="FW1000" s="231"/>
      <c r="FX1000" s="231"/>
      <c r="FY1000" s="231"/>
      <c r="FZ1000" s="231"/>
      <c r="GA1000" s="231"/>
      <c r="GB1000" s="231"/>
      <c r="GC1000" s="231"/>
      <c r="GD1000" s="231"/>
      <c r="GE1000" s="231"/>
      <c r="GF1000" s="231"/>
      <c r="GG1000" s="231"/>
      <c r="GH1000" s="231"/>
      <c r="GI1000" s="231"/>
      <c r="GJ1000" s="231"/>
      <c r="GK1000" s="231"/>
      <c r="GL1000" s="231"/>
      <c r="GM1000" s="231"/>
      <c r="GN1000" s="231"/>
      <c r="GO1000" s="231"/>
      <c r="GP1000" s="231"/>
      <c r="GQ1000" s="327"/>
      <c r="GR1000" s="231"/>
      <c r="GS1000" s="231"/>
      <c r="GT1000" s="231"/>
      <c r="GU1000" s="231"/>
      <c r="GV1000" s="231"/>
      <c r="GW1000" s="231"/>
      <c r="GX1000" s="231"/>
      <c r="GY1000" s="231"/>
      <c r="GZ1000" s="231"/>
      <c r="HA1000" s="231"/>
      <c r="HB1000" s="231"/>
      <c r="HC1000" s="231"/>
      <c r="HD1000" s="231"/>
      <c r="HE1000" s="231"/>
      <c r="HF1000" s="231"/>
      <c r="HG1000" s="231"/>
      <c r="HH1000" s="231"/>
      <c r="HI1000" s="232"/>
    </row>
    <row r="1001" spans="82:217" ht="10.75" customHeight="1">
      <c r="CD1001" s="229"/>
      <c r="CE1001" s="231"/>
      <c r="CF1001" s="231"/>
      <c r="CG1001" s="231"/>
      <c r="CH1001" s="231"/>
      <c r="CI1001" s="231"/>
      <c r="CJ1001" s="231"/>
      <c r="CK1001" s="231"/>
      <c r="CL1001" s="231"/>
      <c r="CM1001" s="231"/>
      <c r="CN1001" s="231"/>
      <c r="CO1001" s="231"/>
      <c r="CP1001" s="231"/>
      <c r="CQ1001" s="231"/>
      <c r="CR1001" s="231"/>
      <c r="CS1001" s="231"/>
      <c r="CT1001" s="231"/>
      <c r="CU1001" s="231"/>
      <c r="CV1001" s="231"/>
      <c r="CW1001" s="328"/>
      <c r="CX1001" s="329"/>
      <c r="CY1001" s="329"/>
      <c r="CZ1001" s="329"/>
      <c r="DA1001" s="329"/>
      <c r="DB1001" s="329"/>
      <c r="DC1001" s="329"/>
      <c r="DD1001" s="329"/>
      <c r="DE1001" s="329"/>
      <c r="DF1001" s="329"/>
      <c r="DG1001" s="329"/>
      <c r="DH1001" s="329"/>
      <c r="DI1001" s="329"/>
      <c r="DJ1001" s="329"/>
      <c r="DK1001" s="329"/>
      <c r="DL1001" s="329"/>
      <c r="DM1001" s="329"/>
      <c r="DN1001" s="329"/>
      <c r="DO1001" s="329"/>
      <c r="DP1001" s="329"/>
      <c r="DQ1001" s="329"/>
      <c r="DR1001" s="329"/>
      <c r="DS1001" s="329"/>
      <c r="DT1001" s="329"/>
      <c r="DU1001" s="329"/>
      <c r="DV1001" s="329"/>
      <c r="DW1001" s="329"/>
      <c r="DX1001" s="329"/>
      <c r="DY1001" s="329"/>
      <c r="DZ1001" s="329"/>
      <c r="EA1001" s="329"/>
      <c r="EB1001" s="329"/>
      <c r="EC1001" s="329"/>
      <c r="ED1001" s="329"/>
      <c r="EE1001" s="329"/>
      <c r="EF1001" s="329"/>
      <c r="EG1001" s="329"/>
      <c r="EH1001" s="329"/>
      <c r="EI1001" s="329"/>
      <c r="EJ1001" s="329"/>
      <c r="EK1001" s="329"/>
      <c r="EL1001" s="329"/>
      <c r="EM1001" s="329"/>
      <c r="EN1001" s="329"/>
      <c r="EO1001" s="329"/>
      <c r="EP1001" s="329"/>
      <c r="EQ1001" s="329"/>
      <c r="ER1001" s="329"/>
      <c r="ES1001" s="327"/>
      <c r="ET1001" s="231"/>
      <c r="EU1001" s="328"/>
      <c r="EV1001" s="329"/>
      <c r="EW1001" s="329"/>
      <c r="EX1001" s="329"/>
      <c r="EY1001" s="329"/>
      <c r="EZ1001" s="329"/>
      <c r="FA1001" s="329"/>
      <c r="FB1001" s="329"/>
      <c r="FC1001" s="329"/>
      <c r="FD1001" s="329"/>
      <c r="FE1001" s="329"/>
      <c r="FF1001" s="329"/>
      <c r="FG1001" s="329"/>
      <c r="FH1001" s="329"/>
      <c r="FI1001" s="329"/>
      <c r="FJ1001" s="329"/>
      <c r="FK1001" s="329"/>
      <c r="FL1001" s="329"/>
      <c r="FM1001" s="329"/>
      <c r="FN1001" s="329"/>
      <c r="FO1001" s="329"/>
      <c r="FP1001" s="329"/>
      <c r="FQ1001" s="329"/>
      <c r="FR1001" s="329"/>
      <c r="FS1001" s="329"/>
      <c r="FT1001" s="329"/>
      <c r="FU1001" s="329"/>
      <c r="FV1001" s="329"/>
      <c r="FW1001" s="329"/>
      <c r="FX1001" s="329"/>
      <c r="FY1001" s="329"/>
      <c r="FZ1001" s="329"/>
      <c r="GA1001" s="329"/>
      <c r="GB1001" s="329"/>
      <c r="GC1001" s="329"/>
      <c r="GD1001" s="329"/>
      <c r="GE1001" s="329"/>
      <c r="GF1001" s="329"/>
      <c r="GG1001" s="329"/>
      <c r="GH1001" s="329"/>
      <c r="GI1001" s="329"/>
      <c r="GJ1001" s="329"/>
      <c r="GK1001" s="329"/>
      <c r="GL1001" s="329"/>
      <c r="GM1001" s="329"/>
      <c r="GN1001" s="329"/>
      <c r="GO1001" s="329"/>
      <c r="GP1001" s="329"/>
      <c r="GQ1001" s="327"/>
      <c r="GR1001" s="231"/>
      <c r="GS1001" s="231"/>
      <c r="GT1001" s="231"/>
      <c r="GU1001" s="231"/>
      <c r="GV1001" s="231"/>
      <c r="GW1001" s="231"/>
      <c r="GX1001" s="231"/>
      <c r="GY1001" s="231"/>
      <c r="GZ1001" s="231"/>
      <c r="HA1001" s="231"/>
      <c r="HB1001" s="231"/>
      <c r="HC1001" s="231"/>
      <c r="HD1001" s="231"/>
      <c r="HE1001" s="231"/>
      <c r="HF1001" s="231"/>
      <c r="HG1001" s="231"/>
      <c r="HH1001" s="231"/>
      <c r="HI1001" s="232"/>
    </row>
    <row r="1002" spans="82:217" ht="10.75" customHeight="1">
      <c r="CD1002" s="229"/>
      <c r="CE1002" s="231"/>
      <c r="CF1002" s="231"/>
      <c r="CG1002" s="231"/>
      <c r="CH1002" s="231"/>
      <c r="CI1002" s="231"/>
      <c r="CJ1002" s="231"/>
      <c r="CK1002" s="231"/>
      <c r="CL1002" s="231"/>
      <c r="CM1002" s="231"/>
      <c r="CN1002" s="231"/>
      <c r="CO1002" s="231"/>
      <c r="CP1002" s="231"/>
      <c r="CQ1002" s="231"/>
      <c r="CR1002" s="231"/>
      <c r="CS1002" s="231"/>
      <c r="CT1002" s="231"/>
      <c r="CU1002" s="231"/>
      <c r="CV1002" s="231"/>
      <c r="CW1002" s="327"/>
      <c r="CX1002" s="231"/>
      <c r="CY1002" s="231"/>
      <c r="CZ1002" s="231"/>
      <c r="DA1002" s="231"/>
      <c r="DB1002" s="231"/>
      <c r="DC1002" s="231"/>
      <c r="DD1002" s="231"/>
      <c r="DE1002" s="231"/>
      <c r="DF1002" s="231"/>
      <c r="DG1002" s="231"/>
      <c r="DH1002" s="231"/>
      <c r="DI1002" s="231"/>
      <c r="DJ1002" s="231"/>
      <c r="DK1002" s="231"/>
      <c r="DL1002" s="231"/>
      <c r="DM1002" s="231"/>
      <c r="DN1002" s="231"/>
      <c r="DO1002" s="231"/>
      <c r="DP1002" s="231"/>
      <c r="DQ1002" s="231"/>
      <c r="DR1002" s="231"/>
      <c r="DS1002" s="231"/>
      <c r="DT1002" s="231"/>
      <c r="DU1002" s="231"/>
      <c r="DV1002" s="231"/>
      <c r="DW1002" s="231"/>
      <c r="DX1002" s="231"/>
      <c r="DY1002" s="231"/>
      <c r="DZ1002" s="231"/>
      <c r="EA1002" s="231"/>
      <c r="EB1002" s="231"/>
      <c r="EC1002" s="231"/>
      <c r="ED1002" s="231"/>
      <c r="EE1002" s="231"/>
      <c r="EF1002" s="231"/>
      <c r="EG1002" s="231"/>
      <c r="EH1002" s="231"/>
      <c r="EI1002" s="231"/>
      <c r="EJ1002" s="231"/>
      <c r="EK1002" s="231"/>
      <c r="EL1002" s="231"/>
      <c r="EM1002" s="231"/>
      <c r="EN1002" s="231"/>
      <c r="EO1002" s="231"/>
      <c r="EP1002" s="231"/>
      <c r="EQ1002" s="231"/>
      <c r="ER1002" s="231"/>
      <c r="ES1002" s="327"/>
      <c r="ET1002" s="231"/>
      <c r="EU1002" s="327"/>
      <c r="EV1002" s="231"/>
      <c r="EW1002" s="231"/>
      <c r="EX1002" s="231"/>
      <c r="EY1002" s="231"/>
      <c r="EZ1002" s="231"/>
      <c r="FA1002" s="231"/>
      <c r="FB1002" s="231"/>
      <c r="FC1002" s="231"/>
      <c r="FD1002" s="231"/>
      <c r="FE1002" s="231"/>
      <c r="FF1002" s="231"/>
      <c r="FG1002" s="231"/>
      <c r="FH1002" s="231"/>
      <c r="FI1002" s="231"/>
      <c r="FJ1002" s="231"/>
      <c r="FK1002" s="231"/>
      <c r="FL1002" s="231"/>
      <c r="FM1002" s="231"/>
      <c r="FN1002" s="231"/>
      <c r="FO1002" s="231"/>
      <c r="FP1002" s="231"/>
      <c r="FQ1002" s="231"/>
      <c r="FR1002" s="231"/>
      <c r="FS1002" s="231"/>
      <c r="FT1002" s="231"/>
      <c r="FU1002" s="231"/>
      <c r="FV1002" s="231"/>
      <c r="FW1002" s="231"/>
      <c r="FX1002" s="231"/>
      <c r="FY1002" s="231"/>
      <c r="FZ1002" s="231"/>
      <c r="GA1002" s="231"/>
      <c r="GB1002" s="231"/>
      <c r="GC1002" s="231"/>
      <c r="GD1002" s="231"/>
      <c r="GE1002" s="231"/>
      <c r="GF1002" s="231"/>
      <c r="GG1002" s="231"/>
      <c r="GH1002" s="231"/>
      <c r="GI1002" s="231"/>
      <c r="GJ1002" s="231"/>
      <c r="GK1002" s="231"/>
      <c r="GL1002" s="231"/>
      <c r="GM1002" s="231"/>
      <c r="GN1002" s="231"/>
      <c r="GO1002" s="231"/>
      <c r="GP1002" s="231"/>
      <c r="GQ1002" s="327"/>
      <c r="GR1002" s="231"/>
      <c r="GS1002" s="231"/>
      <c r="GT1002" s="231"/>
      <c r="GU1002" s="231"/>
      <c r="GV1002" s="231"/>
      <c r="GW1002" s="231"/>
      <c r="GX1002" s="231"/>
      <c r="GY1002" s="231"/>
      <c r="GZ1002" s="231"/>
      <c r="HA1002" s="231"/>
      <c r="HB1002" s="231"/>
      <c r="HC1002" s="231"/>
      <c r="HD1002" s="231"/>
      <c r="HE1002" s="231"/>
      <c r="HF1002" s="231"/>
      <c r="HG1002" s="231"/>
      <c r="HH1002" s="231"/>
      <c r="HI1002" s="232"/>
    </row>
    <row r="1003" spans="82:217" ht="10.75" customHeight="1">
      <c r="CD1003" s="229"/>
      <c r="CE1003" s="231"/>
      <c r="CF1003" s="231"/>
      <c r="CG1003" s="231"/>
      <c r="CH1003" s="231"/>
      <c r="CI1003" s="231"/>
      <c r="CJ1003" s="231"/>
      <c r="CK1003" s="231"/>
      <c r="CL1003" s="231"/>
      <c r="CM1003" s="231"/>
      <c r="CN1003" s="231"/>
      <c r="CO1003" s="231"/>
      <c r="CP1003" s="231"/>
      <c r="CQ1003" s="231"/>
      <c r="CR1003" s="231"/>
      <c r="CS1003" s="231"/>
      <c r="CT1003" s="231"/>
      <c r="CU1003" s="231"/>
      <c r="CV1003" s="231"/>
      <c r="CW1003" s="327"/>
      <c r="CX1003" s="231"/>
      <c r="CY1003" s="231"/>
      <c r="CZ1003" s="231"/>
      <c r="DA1003" s="231"/>
      <c r="DB1003" s="231"/>
      <c r="DC1003" s="231"/>
      <c r="DD1003" s="231"/>
      <c r="DE1003" s="231"/>
      <c r="DF1003" s="231"/>
      <c r="DG1003" s="231"/>
      <c r="DH1003" s="231"/>
      <c r="DI1003" s="231"/>
      <c r="DJ1003" s="231"/>
      <c r="DK1003" s="231"/>
      <c r="DL1003" s="231"/>
      <c r="DM1003" s="231"/>
      <c r="DN1003" s="231"/>
      <c r="DO1003" s="231"/>
      <c r="DP1003" s="231"/>
      <c r="DQ1003" s="231"/>
      <c r="DR1003" s="231"/>
      <c r="DS1003" s="231"/>
      <c r="DT1003" s="231"/>
      <c r="DU1003" s="231"/>
      <c r="DV1003" s="231"/>
      <c r="DW1003" s="231"/>
      <c r="DX1003" s="231"/>
      <c r="DY1003" s="231"/>
      <c r="DZ1003" s="231"/>
      <c r="EA1003" s="231"/>
      <c r="EB1003" s="231"/>
      <c r="EC1003" s="231"/>
      <c r="ED1003" s="231"/>
      <c r="EE1003" s="231"/>
      <c r="EF1003" s="231"/>
      <c r="EG1003" s="231"/>
      <c r="EH1003" s="231"/>
      <c r="EI1003" s="231"/>
      <c r="EJ1003" s="231"/>
      <c r="EK1003" s="231"/>
      <c r="EL1003" s="231"/>
      <c r="EM1003" s="231"/>
      <c r="EN1003" s="231"/>
      <c r="EO1003" s="231"/>
      <c r="EP1003" s="231"/>
      <c r="EQ1003" s="231"/>
      <c r="ER1003" s="231"/>
      <c r="ES1003" s="327"/>
      <c r="ET1003" s="231"/>
      <c r="EU1003" s="327"/>
      <c r="EV1003" s="231"/>
      <c r="EW1003" s="231"/>
      <c r="EX1003" s="231"/>
      <c r="EY1003" s="231"/>
      <c r="EZ1003" s="231"/>
      <c r="FA1003" s="231"/>
      <c r="FB1003" s="231"/>
      <c r="FC1003" s="231"/>
      <c r="FD1003" s="231"/>
      <c r="FE1003" s="231"/>
      <c r="FF1003" s="231"/>
      <c r="FG1003" s="231"/>
      <c r="FH1003" s="231"/>
      <c r="FI1003" s="231"/>
      <c r="FJ1003" s="231"/>
      <c r="FK1003" s="231"/>
      <c r="FL1003" s="231"/>
      <c r="FM1003" s="231"/>
      <c r="FN1003" s="231"/>
      <c r="FO1003" s="231"/>
      <c r="FP1003" s="231"/>
      <c r="FQ1003" s="231"/>
      <c r="FR1003" s="231"/>
      <c r="FS1003" s="231"/>
      <c r="FT1003" s="231"/>
      <c r="FU1003" s="231"/>
      <c r="FV1003" s="231"/>
      <c r="FW1003" s="231"/>
      <c r="FX1003" s="231"/>
      <c r="FY1003" s="231"/>
      <c r="FZ1003" s="231"/>
      <c r="GA1003" s="231"/>
      <c r="GB1003" s="231"/>
      <c r="GC1003" s="231"/>
      <c r="GD1003" s="231"/>
      <c r="GE1003" s="231"/>
      <c r="GF1003" s="231"/>
      <c r="GG1003" s="231"/>
      <c r="GH1003" s="231"/>
      <c r="GI1003" s="231"/>
      <c r="GJ1003" s="231"/>
      <c r="GK1003" s="231"/>
      <c r="GL1003" s="231"/>
      <c r="GM1003" s="231"/>
      <c r="GN1003" s="231"/>
      <c r="GO1003" s="231"/>
      <c r="GP1003" s="231"/>
      <c r="GQ1003" s="327"/>
      <c r="GR1003" s="231"/>
      <c r="GS1003" s="231"/>
      <c r="GT1003" s="231"/>
      <c r="GU1003" s="231"/>
      <c r="GV1003" s="231"/>
      <c r="GW1003" s="231"/>
      <c r="GX1003" s="231"/>
      <c r="GY1003" s="231"/>
      <c r="GZ1003" s="231"/>
      <c r="HA1003" s="231"/>
      <c r="HB1003" s="231"/>
      <c r="HC1003" s="231"/>
      <c r="HD1003" s="231"/>
      <c r="HE1003" s="231"/>
      <c r="HF1003" s="231"/>
      <c r="HG1003" s="231"/>
      <c r="HH1003" s="231"/>
      <c r="HI1003" s="232"/>
    </row>
    <row r="1004" spans="82:217" ht="10.75" customHeight="1">
      <c r="CD1004" s="229"/>
      <c r="CE1004" s="231"/>
      <c r="CF1004" s="231"/>
      <c r="CG1004" s="231"/>
      <c r="CH1004" s="231"/>
      <c r="CI1004" s="231"/>
      <c r="CJ1004" s="231"/>
      <c r="CK1004" s="231"/>
      <c r="CL1004" s="231"/>
      <c r="CM1004" s="231"/>
      <c r="CN1004" s="231"/>
      <c r="CO1004" s="231"/>
      <c r="CP1004" s="231"/>
      <c r="CQ1004" s="231"/>
      <c r="CR1004" s="231"/>
      <c r="CS1004" s="231"/>
      <c r="CT1004" s="231"/>
      <c r="CU1004" s="231"/>
      <c r="CV1004" s="231"/>
      <c r="CW1004" s="231"/>
      <c r="CX1004" s="231"/>
      <c r="CY1004" s="231"/>
      <c r="CZ1004" s="231"/>
      <c r="DA1004" s="231"/>
      <c r="DB1004" s="231"/>
      <c r="DC1004" s="231"/>
      <c r="DD1004" s="231"/>
      <c r="DE1004" s="231"/>
      <c r="DF1004" s="231"/>
      <c r="DG1004" s="231"/>
      <c r="DH1004" s="231"/>
      <c r="DI1004" s="231"/>
      <c r="DJ1004" s="231"/>
      <c r="DK1004" s="231"/>
      <c r="DL1004" s="231"/>
      <c r="DM1004" s="231"/>
      <c r="DN1004" s="231"/>
      <c r="DO1004" s="231"/>
      <c r="DP1004" s="231"/>
      <c r="DQ1004" s="231"/>
      <c r="DR1004" s="231"/>
      <c r="DS1004" s="231"/>
      <c r="DT1004" s="231"/>
      <c r="DU1004" s="231"/>
      <c r="DV1004" s="231"/>
      <c r="DW1004" s="231"/>
      <c r="DX1004" s="231"/>
      <c r="DY1004" s="231"/>
      <c r="DZ1004" s="231"/>
      <c r="EA1004" s="231"/>
      <c r="EB1004" s="231"/>
      <c r="EC1004" s="231"/>
      <c r="ED1004" s="231"/>
      <c r="EE1004" s="231"/>
      <c r="EF1004" s="231"/>
      <c r="EG1004" s="231"/>
      <c r="EH1004" s="231"/>
      <c r="EI1004" s="231"/>
      <c r="EJ1004" s="231"/>
      <c r="EK1004" s="231"/>
      <c r="EL1004" s="231"/>
      <c r="EM1004" s="231"/>
      <c r="EN1004" s="231"/>
      <c r="EO1004" s="231"/>
      <c r="EP1004" s="231"/>
      <c r="EQ1004" s="231"/>
      <c r="ER1004" s="231"/>
      <c r="ES1004" s="231"/>
      <c r="ET1004" s="231"/>
      <c r="EU1004" s="231"/>
      <c r="EV1004" s="231"/>
      <c r="EW1004" s="231"/>
      <c r="EX1004" s="231"/>
      <c r="EY1004" s="231"/>
      <c r="EZ1004" s="231"/>
      <c r="FA1004" s="231"/>
      <c r="FB1004" s="231"/>
      <c r="FC1004" s="231"/>
      <c r="FD1004" s="231"/>
      <c r="FE1004" s="231"/>
      <c r="FF1004" s="231"/>
      <c r="FG1004" s="231"/>
      <c r="FH1004" s="231"/>
      <c r="FI1004" s="231"/>
      <c r="FJ1004" s="231"/>
      <c r="FK1004" s="231"/>
      <c r="FL1004" s="231"/>
      <c r="FM1004" s="231"/>
      <c r="FN1004" s="231"/>
      <c r="FO1004" s="231"/>
      <c r="FP1004" s="231"/>
      <c r="FQ1004" s="231"/>
      <c r="FR1004" s="231"/>
      <c r="FS1004" s="231"/>
      <c r="FT1004" s="231"/>
      <c r="FU1004" s="231"/>
      <c r="FV1004" s="231"/>
      <c r="FW1004" s="231"/>
      <c r="FX1004" s="231"/>
      <c r="FY1004" s="231"/>
      <c r="FZ1004" s="231"/>
      <c r="GA1004" s="231"/>
      <c r="GB1004" s="231"/>
      <c r="GC1004" s="231"/>
      <c r="GD1004" s="231"/>
      <c r="GE1004" s="231"/>
      <c r="GF1004" s="231"/>
      <c r="GG1004" s="231"/>
      <c r="GH1004" s="231"/>
      <c r="GI1004" s="231"/>
      <c r="GJ1004" s="231"/>
      <c r="GK1004" s="231"/>
      <c r="GL1004" s="231"/>
      <c r="GM1004" s="231"/>
      <c r="GN1004" s="231"/>
      <c r="GO1004" s="231"/>
      <c r="GP1004" s="231"/>
      <c r="GQ1004" s="231"/>
      <c r="GR1004" s="231"/>
      <c r="GS1004" s="231"/>
      <c r="GT1004" s="231"/>
      <c r="GU1004" s="231"/>
      <c r="GV1004" s="231"/>
      <c r="GW1004" s="231"/>
      <c r="GX1004" s="231"/>
      <c r="GY1004" s="231"/>
      <c r="GZ1004" s="231"/>
      <c r="HA1004" s="231"/>
      <c r="HB1004" s="231"/>
      <c r="HC1004" s="231"/>
      <c r="HD1004" s="231"/>
      <c r="HE1004" s="231"/>
      <c r="HF1004" s="231"/>
      <c r="HG1004" s="231"/>
      <c r="HH1004" s="231"/>
      <c r="HI1004" s="232"/>
    </row>
    <row r="1005" spans="82:217" ht="10.75" customHeight="1">
      <c r="CD1005" s="229"/>
      <c r="CE1005" s="231"/>
      <c r="CF1005" s="231"/>
      <c r="CG1005" s="231"/>
      <c r="CH1005" s="231"/>
      <c r="CI1005" s="231"/>
      <c r="CJ1005" s="231"/>
      <c r="CK1005" s="231"/>
      <c r="CL1005" s="231"/>
      <c r="CM1005" s="231"/>
      <c r="CN1005" s="231"/>
      <c r="CO1005" s="231"/>
      <c r="CP1005" s="231"/>
      <c r="CQ1005" s="231"/>
      <c r="CR1005" s="231"/>
      <c r="CS1005" s="231"/>
      <c r="CT1005" s="231"/>
      <c r="CU1005" s="231"/>
      <c r="CV1005" s="231"/>
      <c r="CW1005" s="231"/>
      <c r="CX1005" s="231"/>
      <c r="CY1005" s="231"/>
      <c r="CZ1005" s="231"/>
      <c r="DA1005" s="231"/>
      <c r="DB1005" s="231"/>
      <c r="DC1005" s="231"/>
      <c r="DD1005" s="231"/>
      <c r="DE1005" s="231"/>
      <c r="DF1005" s="231"/>
      <c r="DG1005" s="231"/>
      <c r="DH1005" s="231"/>
      <c r="DI1005" s="231"/>
      <c r="DJ1005" s="231"/>
      <c r="DK1005" s="231"/>
      <c r="DL1005" s="231"/>
      <c r="DM1005" s="231"/>
      <c r="DN1005" s="231"/>
      <c r="DO1005" s="231"/>
      <c r="DP1005" s="231"/>
      <c r="DQ1005" s="231"/>
      <c r="DR1005" s="231"/>
      <c r="DS1005" s="231"/>
      <c r="DT1005" s="231"/>
      <c r="DU1005" s="231"/>
      <c r="DV1005" s="231"/>
      <c r="DW1005" s="231"/>
      <c r="DX1005" s="231"/>
      <c r="DY1005" s="231"/>
      <c r="DZ1005" s="231"/>
      <c r="EA1005" s="231"/>
      <c r="EB1005" s="231"/>
      <c r="EC1005" s="231"/>
      <c r="ED1005" s="231"/>
      <c r="EE1005" s="231"/>
      <c r="EF1005" s="231"/>
      <c r="EG1005" s="231"/>
      <c r="EH1005" s="231"/>
      <c r="EI1005" s="231"/>
      <c r="EJ1005" s="231"/>
      <c r="EK1005" s="231"/>
      <c r="EL1005" s="231"/>
      <c r="EM1005" s="231"/>
      <c r="EN1005" s="231"/>
      <c r="EO1005" s="231"/>
      <c r="EP1005" s="231"/>
      <c r="EQ1005" s="231"/>
      <c r="ER1005" s="231"/>
      <c r="ES1005" s="231"/>
      <c r="ET1005" s="231"/>
      <c r="EU1005" s="231"/>
      <c r="EV1005" s="231"/>
      <c r="EW1005" s="231"/>
      <c r="EX1005" s="231"/>
      <c r="EY1005" s="231"/>
      <c r="EZ1005" s="231"/>
      <c r="FA1005" s="231"/>
      <c r="FB1005" s="231"/>
      <c r="FC1005" s="231"/>
      <c r="FD1005" s="231"/>
      <c r="FE1005" s="231"/>
      <c r="FF1005" s="231"/>
      <c r="FG1005" s="231"/>
      <c r="FH1005" s="231"/>
      <c r="FI1005" s="231"/>
      <c r="FJ1005" s="231"/>
      <c r="FK1005" s="231"/>
      <c r="FL1005" s="231"/>
      <c r="FM1005" s="231"/>
      <c r="FN1005" s="231"/>
      <c r="FO1005" s="231"/>
      <c r="FP1005" s="231"/>
      <c r="FQ1005" s="231"/>
      <c r="FR1005" s="231"/>
      <c r="FS1005" s="231"/>
      <c r="FT1005" s="231"/>
      <c r="FU1005" s="231"/>
      <c r="FV1005" s="231"/>
      <c r="FW1005" s="231"/>
      <c r="FX1005" s="231"/>
      <c r="FY1005" s="231"/>
      <c r="FZ1005" s="231"/>
      <c r="GA1005" s="231"/>
      <c r="GB1005" s="231"/>
      <c r="GC1005" s="231"/>
      <c r="GD1005" s="231"/>
      <c r="GE1005" s="231"/>
      <c r="GF1005" s="231"/>
      <c r="GG1005" s="231"/>
      <c r="GH1005" s="231"/>
      <c r="GI1005" s="231"/>
      <c r="GJ1005" s="231"/>
      <c r="GK1005" s="231"/>
      <c r="GL1005" s="231"/>
      <c r="GM1005" s="231"/>
      <c r="GN1005" s="231"/>
      <c r="GO1005" s="231"/>
      <c r="GP1005" s="231"/>
      <c r="GQ1005" s="231"/>
      <c r="GR1005" s="231"/>
      <c r="GS1005" s="231"/>
      <c r="GT1005" s="231"/>
      <c r="GU1005" s="231"/>
      <c r="GV1005" s="231"/>
      <c r="GW1005" s="231"/>
      <c r="GX1005" s="231"/>
      <c r="GY1005" s="231"/>
      <c r="GZ1005" s="231"/>
      <c r="HA1005" s="231"/>
      <c r="HB1005" s="231"/>
      <c r="HC1005" s="231"/>
      <c r="HD1005" s="231"/>
      <c r="HE1005" s="231"/>
      <c r="HF1005" s="231"/>
      <c r="HG1005" s="231"/>
      <c r="HH1005" s="231"/>
      <c r="HI1005" s="232"/>
    </row>
    <row r="1006" spans="82:217" ht="10.75" customHeight="1">
      <c r="CD1006" s="229"/>
      <c r="CE1006" s="231"/>
      <c r="CF1006" s="231"/>
      <c r="CG1006" s="231"/>
      <c r="CH1006" s="231"/>
      <c r="CI1006" s="231"/>
      <c r="CJ1006" s="231"/>
      <c r="CK1006" s="231"/>
      <c r="CL1006" s="231"/>
      <c r="CM1006" s="231"/>
      <c r="CN1006" s="231"/>
      <c r="CO1006" s="231"/>
      <c r="CP1006" s="231"/>
      <c r="CQ1006" s="231"/>
      <c r="CR1006" s="231"/>
      <c r="CS1006" s="231"/>
      <c r="CT1006" s="231"/>
      <c r="CU1006" s="231"/>
      <c r="CV1006" s="231"/>
      <c r="CW1006" s="231"/>
      <c r="CX1006" s="231"/>
      <c r="CY1006" s="231"/>
      <c r="CZ1006" s="231"/>
      <c r="DA1006" s="231"/>
      <c r="DB1006" s="231"/>
      <c r="DC1006" s="231"/>
      <c r="DD1006" s="231"/>
      <c r="DE1006" s="231"/>
      <c r="DF1006" s="231"/>
      <c r="DG1006" s="231"/>
      <c r="DH1006" s="231"/>
      <c r="DI1006" s="231"/>
      <c r="DJ1006" s="231"/>
      <c r="DK1006" s="231"/>
      <c r="DL1006" s="231"/>
      <c r="DM1006" s="231"/>
      <c r="DN1006" s="231"/>
      <c r="DO1006" s="231"/>
      <c r="DP1006" s="231"/>
      <c r="DQ1006" s="231"/>
      <c r="DR1006" s="231"/>
      <c r="DS1006" s="231"/>
      <c r="DT1006" s="231"/>
      <c r="DU1006" s="231"/>
      <c r="DV1006" s="231"/>
      <c r="DW1006" s="231"/>
      <c r="DX1006" s="231"/>
      <c r="DY1006" s="231"/>
      <c r="DZ1006" s="231"/>
      <c r="EA1006" s="231"/>
      <c r="EB1006" s="231"/>
      <c r="EC1006" s="231"/>
      <c r="ED1006" s="231"/>
      <c r="EE1006" s="231"/>
      <c r="EF1006" s="231"/>
      <c r="EG1006" s="231"/>
      <c r="EH1006" s="231"/>
      <c r="EI1006" s="231"/>
      <c r="EJ1006" s="231"/>
      <c r="EK1006" s="231"/>
      <c r="EL1006" s="231"/>
      <c r="EM1006" s="231"/>
      <c r="EN1006" s="231"/>
      <c r="EO1006" s="231"/>
      <c r="EP1006" s="231"/>
      <c r="EQ1006" s="231"/>
      <c r="ER1006" s="231"/>
      <c r="ES1006" s="231"/>
      <c r="ET1006" s="231"/>
      <c r="EU1006" s="231"/>
      <c r="EV1006" s="231"/>
      <c r="EW1006" s="231"/>
      <c r="EX1006" s="231"/>
      <c r="EY1006" s="231"/>
      <c r="EZ1006" s="231"/>
      <c r="FA1006" s="231"/>
      <c r="FB1006" s="231"/>
      <c r="FC1006" s="231"/>
      <c r="FD1006" s="231"/>
      <c r="FE1006" s="231"/>
      <c r="FF1006" s="231"/>
      <c r="FG1006" s="231"/>
      <c r="FH1006" s="231"/>
      <c r="FI1006" s="231"/>
      <c r="FJ1006" s="231"/>
      <c r="FK1006" s="231"/>
      <c r="FL1006" s="231"/>
      <c r="FM1006" s="231"/>
      <c r="FN1006" s="231"/>
      <c r="FO1006" s="231"/>
      <c r="FP1006" s="231"/>
      <c r="FQ1006" s="231"/>
      <c r="FR1006" s="231"/>
      <c r="FS1006" s="231"/>
      <c r="FT1006" s="231"/>
      <c r="FU1006" s="231"/>
      <c r="FV1006" s="231"/>
      <c r="FW1006" s="231"/>
      <c r="FX1006" s="231"/>
      <c r="FY1006" s="231"/>
      <c r="FZ1006" s="231"/>
      <c r="GA1006" s="231"/>
      <c r="GB1006" s="231"/>
      <c r="GC1006" s="231"/>
      <c r="GD1006" s="231"/>
      <c r="GE1006" s="231"/>
      <c r="GF1006" s="231"/>
      <c r="GG1006" s="231"/>
      <c r="GH1006" s="231"/>
      <c r="GI1006" s="231"/>
      <c r="GJ1006" s="231"/>
      <c r="GK1006" s="231"/>
      <c r="GL1006" s="231"/>
      <c r="GM1006" s="231"/>
      <c r="GN1006" s="231"/>
      <c r="GO1006" s="231"/>
      <c r="GP1006" s="231"/>
      <c r="GQ1006" s="231"/>
      <c r="GR1006" s="231"/>
      <c r="GS1006" s="231"/>
      <c r="GT1006" s="231"/>
      <c r="GU1006" s="231"/>
      <c r="GV1006" s="231"/>
      <c r="GW1006" s="231"/>
      <c r="GX1006" s="231"/>
      <c r="GY1006" s="231"/>
      <c r="GZ1006" s="231"/>
      <c r="HA1006" s="231"/>
      <c r="HB1006" s="231"/>
      <c r="HC1006" s="231"/>
      <c r="HD1006" s="231"/>
      <c r="HE1006" s="231"/>
      <c r="HF1006" s="231"/>
      <c r="HG1006" s="231"/>
      <c r="HH1006" s="231"/>
      <c r="HI1006" s="232"/>
    </row>
    <row r="1007" spans="82:217" ht="10.75" customHeight="1">
      <c r="CD1007" s="229"/>
      <c r="CE1007" s="231"/>
      <c r="CF1007" s="231"/>
      <c r="CG1007" s="231"/>
      <c r="CH1007" s="231"/>
      <c r="CI1007" s="231"/>
      <c r="CJ1007" s="259"/>
      <c r="CK1007" s="141"/>
      <c r="CL1007" s="141"/>
      <c r="CM1007" s="141"/>
      <c r="CN1007" s="141"/>
      <c r="CO1007" s="141"/>
      <c r="CP1007" s="141"/>
      <c r="CQ1007" s="141"/>
      <c r="CR1007" s="141"/>
      <c r="CS1007" s="141"/>
      <c r="CT1007" s="141"/>
      <c r="CU1007" s="141"/>
      <c r="CV1007" s="141"/>
      <c r="CW1007" s="141"/>
      <c r="CX1007" s="141"/>
      <c r="CY1007" s="141"/>
      <c r="CZ1007" s="141"/>
      <c r="DA1007" s="141"/>
      <c r="DB1007" s="141"/>
      <c r="DC1007" s="141"/>
      <c r="DD1007" s="141"/>
      <c r="DE1007" s="141"/>
      <c r="DF1007" s="141"/>
      <c r="DG1007" s="141"/>
      <c r="DH1007" s="141"/>
      <c r="DI1007" s="141"/>
      <c r="DJ1007" s="141"/>
      <c r="DK1007" s="141"/>
      <c r="DL1007" s="141"/>
      <c r="DM1007" s="141"/>
      <c r="DN1007" s="141"/>
      <c r="DO1007" s="141"/>
      <c r="DP1007" s="141"/>
      <c r="DQ1007" s="141"/>
      <c r="DR1007" s="141"/>
      <c r="DS1007" s="141"/>
      <c r="DT1007" s="141"/>
      <c r="DU1007" s="141"/>
      <c r="DV1007" s="141"/>
      <c r="DW1007" s="141"/>
      <c r="DX1007" s="141"/>
      <c r="DY1007" s="141"/>
      <c r="DZ1007" s="141"/>
      <c r="EA1007" s="141"/>
      <c r="EB1007" s="141"/>
      <c r="EC1007" s="141"/>
      <c r="ED1007" s="141"/>
      <c r="EE1007" s="141"/>
      <c r="EF1007" s="141"/>
      <c r="EG1007" s="141"/>
      <c r="EH1007" s="141"/>
      <c r="EI1007" s="141"/>
      <c r="EJ1007" s="141"/>
      <c r="EK1007" s="141"/>
      <c r="EL1007" s="141"/>
      <c r="EM1007" s="141"/>
      <c r="EN1007" s="141"/>
      <c r="EO1007" s="141"/>
      <c r="EP1007" s="141"/>
      <c r="EQ1007" s="141"/>
      <c r="ER1007" s="141"/>
      <c r="ES1007" s="141"/>
      <c r="ET1007" s="141"/>
      <c r="EU1007" s="141"/>
      <c r="EV1007" s="141"/>
      <c r="EW1007" s="141"/>
      <c r="EX1007" s="141"/>
      <c r="EY1007" s="141"/>
      <c r="EZ1007" s="141"/>
      <c r="FA1007" s="141"/>
      <c r="FB1007" s="141"/>
      <c r="FC1007" s="141"/>
      <c r="FD1007" s="141"/>
      <c r="FE1007" s="141"/>
      <c r="FF1007" s="141"/>
      <c r="FG1007" s="141"/>
      <c r="FH1007" s="141"/>
      <c r="FI1007" s="141"/>
      <c r="FJ1007" s="141"/>
      <c r="FK1007" s="141"/>
      <c r="FL1007" s="141"/>
      <c r="FM1007" s="141"/>
      <c r="FN1007" s="141"/>
      <c r="FO1007" s="141"/>
      <c r="FP1007" s="141"/>
      <c r="FQ1007" s="141"/>
      <c r="FR1007" s="141"/>
      <c r="FS1007" s="141"/>
      <c r="FT1007" s="141"/>
      <c r="FU1007" s="141"/>
      <c r="FV1007" s="141"/>
      <c r="FW1007" s="141"/>
      <c r="FX1007" s="141"/>
      <c r="FY1007" s="141"/>
      <c r="FZ1007" s="141"/>
      <c r="GA1007" s="141"/>
      <c r="GB1007" s="141"/>
      <c r="GC1007" s="141"/>
      <c r="GD1007" s="141"/>
      <c r="GE1007" s="141"/>
      <c r="GF1007" s="141"/>
      <c r="GG1007" s="141"/>
      <c r="GH1007" s="141"/>
      <c r="GI1007" s="141"/>
      <c r="GJ1007" s="141"/>
      <c r="GK1007" s="141"/>
      <c r="GL1007" s="141"/>
      <c r="GM1007" s="141"/>
      <c r="GN1007" s="141"/>
      <c r="GO1007" s="141"/>
      <c r="GP1007" s="141"/>
      <c r="GQ1007" s="141"/>
      <c r="GR1007" s="141"/>
      <c r="GS1007" s="141"/>
      <c r="GT1007" s="141"/>
      <c r="GU1007" s="141"/>
      <c r="GV1007" s="141"/>
      <c r="GW1007" s="141"/>
      <c r="GX1007" s="141"/>
      <c r="GY1007" s="235"/>
      <c r="GZ1007" s="231"/>
      <c r="HA1007" s="231"/>
      <c r="HB1007" s="231"/>
      <c r="HC1007" s="231"/>
      <c r="HD1007" s="231"/>
      <c r="HE1007" s="231"/>
      <c r="HF1007" s="231"/>
      <c r="HG1007" s="231"/>
      <c r="HH1007" s="231"/>
      <c r="HI1007" s="232"/>
    </row>
    <row r="1008" spans="82:217" ht="10.75" customHeight="1">
      <c r="CD1008" s="229"/>
      <c r="CE1008" s="231"/>
      <c r="CF1008" s="231"/>
      <c r="CG1008" s="231"/>
      <c r="CH1008" s="231"/>
      <c r="CI1008" s="231"/>
      <c r="CJ1008" s="214"/>
      <c r="CK1008" s="49"/>
      <c r="CL1008" s="49"/>
      <c r="CM1008" s="49"/>
      <c r="CN1008" s="49"/>
      <c r="CO1008" s="49"/>
      <c r="CP1008" s="49"/>
      <c r="CQ1008" s="49"/>
      <c r="CR1008" s="49"/>
      <c r="CS1008" s="49"/>
      <c r="CT1008" s="49"/>
      <c r="CU1008" s="49"/>
      <c r="CV1008" s="49"/>
      <c r="CW1008" s="49"/>
      <c r="CX1008" s="49"/>
      <c r="CY1008" s="49"/>
      <c r="CZ1008" s="49"/>
      <c r="DA1008" s="49"/>
      <c r="DB1008" s="49"/>
      <c r="DC1008" s="49"/>
      <c r="DD1008" s="49"/>
      <c r="DE1008" s="49"/>
      <c r="DF1008" s="49"/>
      <c r="DG1008" s="49"/>
      <c r="DH1008" s="49"/>
      <c r="DI1008" s="49"/>
      <c r="DJ1008" s="49"/>
      <c r="DK1008" s="49"/>
      <c r="DL1008" s="49"/>
      <c r="DM1008" s="49"/>
      <c r="DN1008" s="49"/>
      <c r="DO1008" s="49"/>
      <c r="DP1008" s="49"/>
      <c r="DQ1008" s="49"/>
      <c r="DR1008" s="49"/>
      <c r="DS1008" s="49"/>
      <c r="DT1008" s="49"/>
      <c r="DU1008" s="49"/>
      <c r="DV1008" s="49"/>
      <c r="DW1008" s="49"/>
      <c r="DX1008" s="49"/>
      <c r="DY1008" s="49"/>
      <c r="DZ1008" s="49"/>
      <c r="EA1008" s="49"/>
      <c r="EB1008" s="49"/>
      <c r="EC1008" s="49"/>
      <c r="ED1008" s="49"/>
      <c r="EE1008" s="49"/>
      <c r="EF1008" s="49"/>
      <c r="EG1008" s="49"/>
      <c r="EH1008" s="49"/>
      <c r="EI1008" s="49"/>
      <c r="EJ1008" s="49"/>
      <c r="EK1008" s="49"/>
      <c r="EL1008" s="49"/>
      <c r="EM1008" s="49"/>
      <c r="EN1008" s="49"/>
      <c r="EO1008" s="49"/>
      <c r="EP1008" s="49"/>
      <c r="EQ1008" s="49"/>
      <c r="ER1008" s="49"/>
      <c r="ES1008" s="49"/>
      <c r="ET1008" s="49"/>
      <c r="EU1008" s="49"/>
      <c r="EV1008" s="49"/>
      <c r="EW1008" s="49"/>
      <c r="EX1008" s="49"/>
      <c r="EY1008" s="49"/>
      <c r="EZ1008" s="49"/>
      <c r="FA1008" s="49"/>
      <c r="FB1008" s="49"/>
      <c r="FC1008" s="49"/>
      <c r="FD1008" s="49"/>
      <c r="FE1008" s="49"/>
      <c r="FF1008" s="49"/>
      <c r="FG1008" s="49"/>
      <c r="FH1008" s="49"/>
      <c r="FI1008" s="49"/>
      <c r="FJ1008" s="49"/>
      <c r="FK1008" s="49"/>
      <c r="FL1008" s="49"/>
      <c r="FM1008" s="49"/>
      <c r="FN1008" s="49"/>
      <c r="FO1008" s="49"/>
      <c r="FP1008" s="49"/>
      <c r="FQ1008" s="49"/>
      <c r="FR1008" s="49"/>
      <c r="FS1008" s="49"/>
      <c r="FT1008" s="49"/>
      <c r="FU1008" s="49"/>
      <c r="FV1008" s="49"/>
      <c r="FW1008" s="49"/>
      <c r="FX1008" s="49"/>
      <c r="FY1008" s="49"/>
      <c r="FZ1008" s="49"/>
      <c r="GA1008" s="49"/>
      <c r="GB1008" s="49"/>
      <c r="GC1008" s="49"/>
      <c r="GD1008" s="49"/>
      <c r="GE1008" s="49"/>
      <c r="GF1008" s="49"/>
      <c r="GG1008" s="49"/>
      <c r="GH1008" s="49"/>
      <c r="GI1008" s="49"/>
      <c r="GJ1008" s="49"/>
      <c r="GK1008" s="49"/>
      <c r="GL1008" s="49"/>
      <c r="GM1008" s="49"/>
      <c r="GN1008" s="49"/>
      <c r="GO1008" s="49"/>
      <c r="GP1008" s="49"/>
      <c r="GQ1008" s="49"/>
      <c r="GR1008" s="49"/>
      <c r="GS1008" s="49"/>
      <c r="GT1008" s="49"/>
      <c r="GU1008" s="49"/>
      <c r="GV1008" s="49"/>
      <c r="GW1008" s="49"/>
      <c r="GX1008" s="49"/>
      <c r="GY1008" s="208"/>
      <c r="GZ1008" s="231"/>
      <c r="HA1008" s="231"/>
      <c r="HB1008" s="231"/>
      <c r="HC1008" s="231"/>
      <c r="HD1008" s="231"/>
      <c r="HE1008" s="231"/>
      <c r="HF1008" s="231"/>
      <c r="HG1008" s="231"/>
      <c r="HH1008" s="231"/>
      <c r="HI1008" s="232"/>
    </row>
    <row r="1009" spans="82:217" ht="10.75" customHeight="1">
      <c r="CD1009" s="229"/>
      <c r="CE1009" s="231"/>
      <c r="CF1009" s="231"/>
      <c r="CG1009" s="231"/>
      <c r="CH1009" s="231"/>
      <c r="CI1009" s="231"/>
      <c r="CJ1009" s="214"/>
      <c r="CK1009" s="49"/>
      <c r="CL1009" s="49"/>
      <c r="CM1009" s="49"/>
      <c r="CN1009" s="49"/>
      <c r="CO1009" s="49"/>
      <c r="CP1009" s="49"/>
      <c r="CQ1009" s="49"/>
      <c r="CR1009" s="49"/>
      <c r="CS1009" s="49"/>
      <c r="CT1009" s="49"/>
      <c r="CU1009" s="49"/>
      <c r="CV1009" s="49"/>
      <c r="CW1009" s="49"/>
      <c r="CX1009" s="49"/>
      <c r="CY1009" s="49"/>
      <c r="CZ1009" s="49"/>
      <c r="DA1009" s="49"/>
      <c r="DB1009" s="49"/>
      <c r="DC1009" s="49"/>
      <c r="DD1009" s="49"/>
      <c r="DE1009" s="49"/>
      <c r="DF1009" s="49"/>
      <c r="DG1009" s="49"/>
      <c r="DH1009" s="49"/>
      <c r="DI1009" s="49"/>
      <c r="DJ1009" s="49"/>
      <c r="DK1009" s="49"/>
      <c r="DL1009" s="49"/>
      <c r="DM1009" s="49"/>
      <c r="DN1009" s="49"/>
      <c r="DO1009" s="49"/>
      <c r="DP1009" s="49"/>
      <c r="DQ1009" s="49"/>
      <c r="DR1009" s="49"/>
      <c r="DS1009" s="49"/>
      <c r="DT1009" s="49"/>
      <c r="DU1009" s="49"/>
      <c r="DV1009" s="49"/>
      <c r="DW1009" s="49"/>
      <c r="DX1009" s="49"/>
      <c r="DY1009" s="49"/>
      <c r="DZ1009" s="49"/>
      <c r="EA1009" s="49"/>
      <c r="EB1009" s="49"/>
      <c r="EC1009" s="49"/>
      <c r="ED1009" s="49"/>
      <c r="EE1009" s="49"/>
      <c r="EF1009" s="49"/>
      <c r="EG1009" s="49"/>
      <c r="EH1009" s="49"/>
      <c r="EI1009" s="49"/>
      <c r="EJ1009" s="49"/>
      <c r="EK1009" s="49"/>
      <c r="EL1009" s="49"/>
      <c r="EM1009" s="49"/>
      <c r="EN1009" s="49"/>
      <c r="EO1009" s="49"/>
      <c r="EP1009" s="49"/>
      <c r="EQ1009" s="49"/>
      <c r="ER1009" s="49"/>
      <c r="ES1009" s="49"/>
      <c r="ET1009" s="49"/>
      <c r="EU1009" s="49"/>
      <c r="EV1009" s="49"/>
      <c r="EW1009" s="49"/>
      <c r="EX1009" s="49"/>
      <c r="EY1009" s="49"/>
      <c r="EZ1009" s="49"/>
      <c r="FA1009" s="49"/>
      <c r="FB1009" s="49"/>
      <c r="FC1009" s="49"/>
      <c r="FD1009" s="49"/>
      <c r="FE1009" s="49"/>
      <c r="FF1009" s="49"/>
      <c r="FG1009" s="49"/>
      <c r="FH1009" s="49"/>
      <c r="FI1009" s="49"/>
      <c r="FJ1009" s="49"/>
      <c r="FK1009" s="49"/>
      <c r="FL1009" s="49"/>
      <c r="FM1009" s="49"/>
      <c r="FN1009" s="49"/>
      <c r="FO1009" s="49"/>
      <c r="FP1009" s="49"/>
      <c r="FQ1009" s="49"/>
      <c r="FR1009" s="49"/>
      <c r="FS1009" s="49"/>
      <c r="FT1009" s="49"/>
      <c r="FU1009" s="49"/>
      <c r="FV1009" s="49"/>
      <c r="FW1009" s="49"/>
      <c r="FX1009" s="49"/>
      <c r="FY1009" s="49"/>
      <c r="FZ1009" s="49"/>
      <c r="GA1009" s="49"/>
      <c r="GB1009" s="49"/>
      <c r="GC1009" s="49"/>
      <c r="GD1009" s="49"/>
      <c r="GE1009" s="49"/>
      <c r="GF1009" s="49"/>
      <c r="GG1009" s="49"/>
      <c r="GH1009" s="49"/>
      <c r="GI1009" s="49"/>
      <c r="GJ1009" s="49"/>
      <c r="GK1009" s="49"/>
      <c r="GL1009" s="49"/>
      <c r="GM1009" s="49"/>
      <c r="GN1009" s="49"/>
      <c r="GO1009" s="49"/>
      <c r="GP1009" s="49"/>
      <c r="GQ1009" s="49"/>
      <c r="GR1009" s="49"/>
      <c r="GS1009" s="49"/>
      <c r="GT1009" s="49"/>
      <c r="GU1009" s="49"/>
      <c r="GV1009" s="49"/>
      <c r="GW1009" s="49"/>
      <c r="GX1009" s="49"/>
      <c r="GY1009" s="208"/>
      <c r="GZ1009" s="231"/>
      <c r="HA1009" s="231"/>
      <c r="HB1009" s="231"/>
      <c r="HC1009" s="231"/>
      <c r="HD1009" s="231"/>
      <c r="HE1009" s="231"/>
      <c r="HF1009" s="231"/>
      <c r="HG1009" s="231"/>
      <c r="HH1009" s="231"/>
      <c r="HI1009" s="232"/>
    </row>
    <row r="1010" spans="82:217" ht="10.75" customHeight="1">
      <c r="CD1010" s="229"/>
      <c r="CE1010" s="231"/>
      <c r="CF1010" s="231"/>
      <c r="CG1010" s="231"/>
      <c r="CH1010" s="231"/>
      <c r="CI1010" s="231"/>
      <c r="CJ1010" s="214"/>
      <c r="CK1010" s="49"/>
      <c r="CL1010" s="49"/>
      <c r="CM1010" s="49"/>
      <c r="CN1010" s="49"/>
      <c r="CO1010" s="49"/>
      <c r="CP1010" s="49"/>
      <c r="CQ1010" s="49"/>
      <c r="CR1010" s="49"/>
      <c r="CS1010" s="49"/>
      <c r="CT1010" s="49"/>
      <c r="CU1010" s="49"/>
      <c r="CV1010" s="49"/>
      <c r="CW1010" s="49"/>
      <c r="CX1010" s="49"/>
      <c r="CY1010" s="49"/>
      <c r="CZ1010" s="49"/>
      <c r="DA1010" s="49"/>
      <c r="DB1010" s="49"/>
      <c r="DC1010" s="49"/>
      <c r="DD1010" s="49"/>
      <c r="DE1010" s="49"/>
      <c r="DF1010" s="49"/>
      <c r="DG1010" s="49"/>
      <c r="DH1010" s="49"/>
      <c r="DI1010" s="49"/>
      <c r="DJ1010" s="49"/>
      <c r="DK1010" s="49"/>
      <c r="DL1010" s="49"/>
      <c r="DM1010" s="49"/>
      <c r="DN1010" s="49"/>
      <c r="DO1010" s="49"/>
      <c r="DP1010" s="49"/>
      <c r="DQ1010" s="49"/>
      <c r="DR1010" s="49"/>
      <c r="DS1010" s="49"/>
      <c r="DT1010" s="49"/>
      <c r="DU1010" s="49"/>
      <c r="DV1010" s="49"/>
      <c r="DW1010" s="49"/>
      <c r="DX1010" s="49"/>
      <c r="DY1010" s="49"/>
      <c r="DZ1010" s="49"/>
      <c r="EA1010" s="49"/>
      <c r="EB1010" s="49"/>
      <c r="EC1010" s="49"/>
      <c r="ED1010" s="49"/>
      <c r="EE1010" s="49"/>
      <c r="EF1010" s="49"/>
      <c r="EG1010" s="49"/>
      <c r="EH1010" s="49"/>
      <c r="EI1010" s="49"/>
      <c r="EJ1010" s="49"/>
      <c r="EK1010" s="49"/>
      <c r="EL1010" s="49"/>
      <c r="EM1010" s="49"/>
      <c r="EN1010" s="49"/>
      <c r="EO1010" s="49"/>
      <c r="EP1010" s="49"/>
      <c r="EQ1010" s="49"/>
      <c r="ER1010" s="49"/>
      <c r="ES1010" s="49"/>
      <c r="ET1010" s="49"/>
      <c r="EU1010" s="49"/>
      <c r="EV1010" s="49"/>
      <c r="EW1010" s="49"/>
      <c r="EX1010" s="49"/>
      <c r="EY1010" s="49"/>
      <c r="EZ1010" s="49"/>
      <c r="FA1010" s="49"/>
      <c r="FB1010" s="49"/>
      <c r="FC1010" s="49"/>
      <c r="FD1010" s="49"/>
      <c r="FE1010" s="49"/>
      <c r="FF1010" s="49"/>
      <c r="FG1010" s="49"/>
      <c r="FH1010" s="49"/>
      <c r="FI1010" s="49"/>
      <c r="FJ1010" s="49"/>
      <c r="FK1010" s="49"/>
      <c r="FL1010" s="49"/>
      <c r="FM1010" s="49"/>
      <c r="FN1010" s="49"/>
      <c r="FO1010" s="49"/>
      <c r="FP1010" s="49"/>
      <c r="FQ1010" s="49"/>
      <c r="FR1010" s="49"/>
      <c r="FS1010" s="49"/>
      <c r="FT1010" s="49"/>
      <c r="FU1010" s="49"/>
      <c r="FV1010" s="49"/>
      <c r="FW1010" s="49"/>
      <c r="FX1010" s="49"/>
      <c r="FY1010" s="49"/>
      <c r="FZ1010" s="49"/>
      <c r="GA1010" s="49"/>
      <c r="GB1010" s="49"/>
      <c r="GC1010" s="49"/>
      <c r="GD1010" s="49"/>
      <c r="GE1010" s="49"/>
      <c r="GF1010" s="49"/>
      <c r="GG1010" s="49"/>
      <c r="GH1010" s="49"/>
      <c r="GI1010" s="49"/>
      <c r="GJ1010" s="49"/>
      <c r="GK1010" s="49"/>
      <c r="GL1010" s="49"/>
      <c r="GM1010" s="49"/>
      <c r="GN1010" s="49"/>
      <c r="GO1010" s="49"/>
      <c r="GP1010" s="49"/>
      <c r="GQ1010" s="49"/>
      <c r="GR1010" s="49"/>
      <c r="GS1010" s="49"/>
      <c r="GT1010" s="49"/>
      <c r="GU1010" s="49"/>
      <c r="GV1010" s="49"/>
      <c r="GW1010" s="49"/>
      <c r="GX1010" s="49"/>
      <c r="GY1010" s="208"/>
      <c r="GZ1010" s="231"/>
      <c r="HA1010" s="231"/>
      <c r="HB1010" s="231"/>
      <c r="HC1010" s="231"/>
      <c r="HD1010" s="231"/>
      <c r="HE1010" s="231"/>
      <c r="HF1010" s="231"/>
      <c r="HG1010" s="231"/>
      <c r="HH1010" s="231"/>
      <c r="HI1010" s="232"/>
    </row>
    <row r="1011" spans="82:217" ht="10.75" customHeight="1">
      <c r="CD1011" s="229"/>
      <c r="CE1011" s="231"/>
      <c r="CF1011" s="231"/>
      <c r="CG1011" s="231"/>
      <c r="CH1011" s="231"/>
      <c r="CI1011" s="231"/>
      <c r="CJ1011" s="214"/>
      <c r="CK1011" s="49"/>
      <c r="CL1011" s="49"/>
      <c r="CM1011" s="49"/>
      <c r="CN1011" s="49"/>
      <c r="CO1011" s="49"/>
      <c r="CP1011" s="49"/>
      <c r="CQ1011" s="49"/>
      <c r="CR1011" s="49"/>
      <c r="CS1011" s="49"/>
      <c r="CT1011" s="49"/>
      <c r="CU1011" s="49"/>
      <c r="CV1011" s="49"/>
      <c r="CW1011" s="49"/>
      <c r="CX1011" s="49"/>
      <c r="CY1011" s="49"/>
      <c r="CZ1011" s="49"/>
      <c r="DA1011" s="49"/>
      <c r="DB1011" s="49"/>
      <c r="DC1011" s="49"/>
      <c r="DD1011" s="49"/>
      <c r="DE1011" s="49"/>
      <c r="DF1011" s="49"/>
      <c r="DG1011" s="49"/>
      <c r="DH1011" s="49"/>
      <c r="DI1011" s="49"/>
      <c r="DJ1011" s="49"/>
      <c r="DK1011" s="49"/>
      <c r="DL1011" s="49"/>
      <c r="DM1011" s="49"/>
      <c r="DN1011" s="49"/>
      <c r="DO1011" s="49"/>
      <c r="DP1011" s="49"/>
      <c r="DQ1011" s="49"/>
      <c r="DR1011" s="49"/>
      <c r="DS1011" s="49"/>
      <c r="DT1011" s="49"/>
      <c r="DU1011" s="49"/>
      <c r="DV1011" s="49"/>
      <c r="DW1011" s="49"/>
      <c r="DX1011" s="49"/>
      <c r="DY1011" s="49"/>
      <c r="DZ1011" s="49"/>
      <c r="EA1011" s="49"/>
      <c r="EB1011" s="49"/>
      <c r="EC1011" s="49"/>
      <c r="ED1011" s="49"/>
      <c r="EE1011" s="49"/>
      <c r="EF1011" s="49"/>
      <c r="EG1011" s="49"/>
      <c r="EH1011" s="49"/>
      <c r="EI1011" s="49"/>
      <c r="EJ1011" s="49"/>
      <c r="EK1011" s="49"/>
      <c r="EL1011" s="49"/>
      <c r="EM1011" s="49"/>
      <c r="EN1011" s="49"/>
      <c r="EO1011" s="49"/>
      <c r="EP1011" s="49"/>
      <c r="EQ1011" s="49"/>
      <c r="ER1011" s="49"/>
      <c r="ES1011" s="49"/>
      <c r="ET1011" s="49"/>
      <c r="EU1011" s="49"/>
      <c r="EV1011" s="49"/>
      <c r="EW1011" s="49"/>
      <c r="EX1011" s="49"/>
      <c r="EY1011" s="49"/>
      <c r="EZ1011" s="49"/>
      <c r="FA1011" s="49"/>
      <c r="FB1011" s="49"/>
      <c r="FC1011" s="49"/>
      <c r="FD1011" s="49"/>
      <c r="FE1011" s="49"/>
      <c r="FF1011" s="49"/>
      <c r="FG1011" s="49"/>
      <c r="FH1011" s="49"/>
      <c r="FI1011" s="49"/>
      <c r="FJ1011" s="49"/>
      <c r="FK1011" s="49"/>
      <c r="FL1011" s="49"/>
      <c r="FM1011" s="49"/>
      <c r="FN1011" s="49"/>
      <c r="FO1011" s="49"/>
      <c r="FP1011" s="49"/>
      <c r="FQ1011" s="49"/>
      <c r="FR1011" s="49"/>
      <c r="FS1011" s="49"/>
      <c r="FT1011" s="49"/>
      <c r="FU1011" s="49"/>
      <c r="FV1011" s="49"/>
      <c r="FW1011" s="49"/>
      <c r="FX1011" s="49"/>
      <c r="FY1011" s="49"/>
      <c r="FZ1011" s="49"/>
      <c r="GA1011" s="49"/>
      <c r="GB1011" s="49"/>
      <c r="GC1011" s="49"/>
      <c r="GD1011" s="49"/>
      <c r="GE1011" s="49"/>
      <c r="GF1011" s="49"/>
      <c r="GG1011" s="49"/>
      <c r="GH1011" s="49"/>
      <c r="GI1011" s="49"/>
      <c r="GJ1011" s="49"/>
      <c r="GK1011" s="49"/>
      <c r="GL1011" s="49"/>
      <c r="GM1011" s="49"/>
      <c r="GN1011" s="49"/>
      <c r="GO1011" s="49"/>
      <c r="GP1011" s="49"/>
      <c r="GQ1011" s="49"/>
      <c r="GR1011" s="49"/>
      <c r="GS1011" s="49"/>
      <c r="GT1011" s="49"/>
      <c r="GU1011" s="49"/>
      <c r="GV1011" s="49"/>
      <c r="GW1011" s="49"/>
      <c r="GX1011" s="49"/>
      <c r="GY1011" s="208"/>
      <c r="GZ1011" s="231"/>
      <c r="HA1011" s="231"/>
      <c r="HB1011" s="231"/>
      <c r="HC1011" s="231"/>
      <c r="HD1011" s="231"/>
      <c r="HE1011" s="231"/>
      <c r="HF1011" s="231"/>
      <c r="HG1011" s="231"/>
      <c r="HH1011" s="231"/>
      <c r="HI1011" s="232"/>
    </row>
    <row r="1012" spans="82:217" ht="10.75" customHeight="1">
      <c r="CD1012" s="229"/>
      <c r="CE1012" s="231"/>
      <c r="CF1012" s="231"/>
      <c r="CG1012" s="231"/>
      <c r="CH1012" s="231"/>
      <c r="CI1012" s="231"/>
      <c r="CJ1012" s="214"/>
      <c r="CK1012" s="49"/>
      <c r="CL1012" s="49"/>
      <c r="CM1012" s="49"/>
      <c r="CN1012" s="49"/>
      <c r="CO1012" s="49"/>
      <c r="CP1012" s="49"/>
      <c r="CQ1012" s="49"/>
      <c r="CR1012" s="49"/>
      <c r="CS1012" s="49"/>
      <c r="CT1012" s="49"/>
      <c r="CU1012" s="49"/>
      <c r="CV1012" s="49"/>
      <c r="CW1012" s="49"/>
      <c r="CX1012" s="49"/>
      <c r="CY1012" s="49"/>
      <c r="CZ1012" s="49"/>
      <c r="DA1012" s="49"/>
      <c r="DB1012" s="49"/>
      <c r="DC1012" s="49"/>
      <c r="DD1012" s="49"/>
      <c r="DE1012" s="49"/>
      <c r="DF1012" s="49"/>
      <c r="DG1012" s="49"/>
      <c r="DH1012" s="49"/>
      <c r="DI1012" s="49"/>
      <c r="DJ1012" s="49"/>
      <c r="DK1012" s="49"/>
      <c r="DL1012" s="49"/>
      <c r="DM1012" s="49"/>
      <c r="DN1012" s="49"/>
      <c r="DO1012" s="49"/>
      <c r="DP1012" s="49"/>
      <c r="DQ1012" s="49"/>
      <c r="DR1012" s="49"/>
      <c r="DS1012" s="49"/>
      <c r="DT1012" s="49"/>
      <c r="DU1012" s="49"/>
      <c r="DV1012" s="49"/>
      <c r="DW1012" s="49"/>
      <c r="DX1012" s="49"/>
      <c r="DY1012" s="49"/>
      <c r="DZ1012" s="49"/>
      <c r="EA1012" s="49"/>
      <c r="EB1012" s="49"/>
      <c r="EC1012" s="49"/>
      <c r="ED1012" s="49"/>
      <c r="EE1012" s="49"/>
      <c r="EF1012" s="49"/>
      <c r="EG1012" s="49"/>
      <c r="EH1012" s="49"/>
      <c r="EI1012" s="49"/>
      <c r="EJ1012" s="49"/>
      <c r="EK1012" s="49"/>
      <c r="EL1012" s="49"/>
      <c r="EM1012" s="49"/>
      <c r="EN1012" s="49"/>
      <c r="EO1012" s="49"/>
      <c r="EP1012" s="49"/>
      <c r="EQ1012" s="49"/>
      <c r="ER1012" s="49"/>
      <c r="ES1012" s="49"/>
      <c r="ET1012" s="49"/>
      <c r="EU1012" s="49"/>
      <c r="EV1012" s="49"/>
      <c r="EW1012" s="49"/>
      <c r="EX1012" s="49"/>
      <c r="EY1012" s="49"/>
      <c r="EZ1012" s="49"/>
      <c r="FA1012" s="49"/>
      <c r="FB1012" s="49"/>
      <c r="FC1012" s="49"/>
      <c r="FD1012" s="49"/>
      <c r="FE1012" s="49"/>
      <c r="FF1012" s="49"/>
      <c r="FG1012" s="49"/>
      <c r="FH1012" s="49"/>
      <c r="FI1012" s="49"/>
      <c r="FJ1012" s="49"/>
      <c r="FK1012" s="49"/>
      <c r="FL1012" s="49"/>
      <c r="FM1012" s="49"/>
      <c r="FN1012" s="49"/>
      <c r="FO1012" s="49"/>
      <c r="FP1012" s="49"/>
      <c r="FQ1012" s="49"/>
      <c r="FR1012" s="49"/>
      <c r="FS1012" s="49"/>
      <c r="FT1012" s="49"/>
      <c r="FU1012" s="49"/>
      <c r="FV1012" s="49"/>
      <c r="FW1012" s="49"/>
      <c r="FX1012" s="49"/>
      <c r="FY1012" s="49"/>
      <c r="FZ1012" s="49"/>
      <c r="GA1012" s="49"/>
      <c r="GB1012" s="49"/>
      <c r="GC1012" s="49"/>
      <c r="GD1012" s="49"/>
      <c r="GE1012" s="49"/>
      <c r="GF1012" s="49"/>
      <c r="GG1012" s="49"/>
      <c r="GH1012" s="49"/>
      <c r="GI1012" s="49"/>
      <c r="GJ1012" s="49"/>
      <c r="GK1012" s="49"/>
      <c r="GL1012" s="49"/>
      <c r="GM1012" s="49"/>
      <c r="GN1012" s="49"/>
      <c r="GO1012" s="49"/>
      <c r="GP1012" s="49"/>
      <c r="GQ1012" s="49"/>
      <c r="GR1012" s="49"/>
      <c r="GS1012" s="49"/>
      <c r="GT1012" s="49"/>
      <c r="GU1012" s="49"/>
      <c r="GV1012" s="49"/>
      <c r="GW1012" s="49"/>
      <c r="GX1012" s="49"/>
      <c r="GY1012" s="208"/>
      <c r="GZ1012" s="231"/>
      <c r="HA1012" s="231"/>
      <c r="HB1012" s="231"/>
      <c r="HC1012" s="231"/>
      <c r="HD1012" s="231"/>
      <c r="HE1012" s="231"/>
      <c r="HF1012" s="231"/>
      <c r="HG1012" s="231"/>
      <c r="HH1012" s="231"/>
      <c r="HI1012" s="232"/>
    </row>
    <row r="1013" spans="82:217" ht="10.75" customHeight="1">
      <c r="CD1013" s="229"/>
      <c r="CE1013" s="231"/>
      <c r="CF1013" s="231"/>
      <c r="CG1013" s="231"/>
      <c r="CH1013" s="231"/>
      <c r="CI1013" s="231"/>
      <c r="CJ1013" s="214"/>
      <c r="CK1013" s="49"/>
      <c r="CL1013" s="49"/>
      <c r="CM1013" s="49"/>
      <c r="CN1013" s="49"/>
      <c r="CO1013" s="49"/>
      <c r="CP1013" s="49"/>
      <c r="CQ1013" s="49"/>
      <c r="CR1013" s="49"/>
      <c r="CS1013" s="49"/>
      <c r="CT1013" s="56"/>
      <c r="CU1013" s="57"/>
      <c r="CV1013" s="57"/>
      <c r="CW1013" s="58"/>
      <c r="CX1013" s="41"/>
      <c r="CY1013" s="41"/>
      <c r="CZ1013" s="41"/>
      <c r="DA1013" s="41"/>
      <c r="DB1013" s="41"/>
      <c r="DC1013" s="41"/>
      <c r="DD1013" s="41"/>
      <c r="DE1013" s="41"/>
      <c r="DF1013" s="41"/>
      <c r="DG1013" s="41"/>
      <c r="DH1013" s="41"/>
      <c r="DI1013" s="41"/>
      <c r="DJ1013" s="41"/>
      <c r="DK1013" s="41"/>
      <c r="DL1013" s="41"/>
      <c r="DM1013" s="41"/>
      <c r="DN1013" s="41"/>
      <c r="DO1013" s="41"/>
      <c r="DP1013" s="41"/>
      <c r="DQ1013" s="41"/>
      <c r="DR1013" s="41"/>
      <c r="DS1013" s="41"/>
      <c r="DT1013" s="41"/>
      <c r="DU1013" s="41"/>
      <c r="DV1013" s="41"/>
      <c r="DW1013" s="41"/>
      <c r="DX1013" s="41"/>
      <c r="DY1013" s="41"/>
      <c r="DZ1013" s="41"/>
      <c r="EA1013" s="41"/>
      <c r="EB1013" s="41"/>
      <c r="EC1013" s="41"/>
      <c r="ED1013" s="41"/>
      <c r="EE1013" s="41"/>
      <c r="EF1013" s="41"/>
      <c r="EG1013" s="41"/>
      <c r="EH1013" s="41"/>
      <c r="EI1013" s="41"/>
      <c r="EJ1013" s="41"/>
      <c r="EK1013" s="41"/>
      <c r="EL1013" s="41"/>
      <c r="EM1013" s="41"/>
      <c r="EN1013" s="41"/>
      <c r="EO1013" s="41"/>
      <c r="EP1013" s="41"/>
      <c r="EQ1013" s="41"/>
      <c r="ER1013" s="56"/>
      <c r="ES1013" s="57"/>
      <c r="ET1013" s="57"/>
      <c r="EU1013" s="58"/>
      <c r="EV1013" s="41"/>
      <c r="EW1013" s="41"/>
      <c r="EX1013" s="41"/>
      <c r="EY1013" s="41"/>
      <c r="EZ1013" s="41"/>
      <c r="FA1013" s="41"/>
      <c r="FB1013" s="41"/>
      <c r="FC1013" s="41"/>
      <c r="FD1013" s="41"/>
      <c r="FE1013" s="41"/>
      <c r="FF1013" s="41"/>
      <c r="FG1013" s="41"/>
      <c r="FH1013" s="41"/>
      <c r="FI1013" s="41"/>
      <c r="FJ1013" s="41"/>
      <c r="FK1013" s="41"/>
      <c r="FL1013" s="41"/>
      <c r="FM1013" s="41"/>
      <c r="FN1013" s="41"/>
      <c r="FO1013" s="41"/>
      <c r="FP1013" s="41"/>
      <c r="FQ1013" s="41"/>
      <c r="FR1013" s="41"/>
      <c r="FS1013" s="41"/>
      <c r="FT1013" s="41"/>
      <c r="FU1013" s="41"/>
      <c r="FV1013" s="41"/>
      <c r="FW1013" s="41"/>
      <c r="FX1013" s="41"/>
      <c r="FY1013" s="41"/>
      <c r="FZ1013" s="41"/>
      <c r="GA1013" s="41"/>
      <c r="GB1013" s="41"/>
      <c r="GC1013" s="41"/>
      <c r="GD1013" s="41"/>
      <c r="GE1013" s="41"/>
      <c r="GF1013" s="41"/>
      <c r="GG1013" s="41"/>
      <c r="GH1013" s="41"/>
      <c r="GI1013" s="41"/>
      <c r="GJ1013" s="41"/>
      <c r="GK1013" s="41"/>
      <c r="GL1013" s="41"/>
      <c r="GM1013" s="41"/>
      <c r="GN1013" s="41"/>
      <c r="GO1013" s="41"/>
      <c r="GP1013" s="41"/>
      <c r="GQ1013" s="56"/>
      <c r="GR1013" s="57"/>
      <c r="GS1013" s="58"/>
      <c r="GT1013" s="49"/>
      <c r="GU1013" s="49"/>
      <c r="GV1013" s="49"/>
      <c r="GW1013" s="49"/>
      <c r="GX1013" s="49"/>
      <c r="GY1013" s="208"/>
      <c r="GZ1013" s="231"/>
      <c r="HA1013" s="231"/>
      <c r="HB1013" s="231"/>
      <c r="HC1013" s="231"/>
      <c r="HD1013" s="231"/>
      <c r="HE1013" s="231"/>
      <c r="HF1013" s="231"/>
      <c r="HG1013" s="231"/>
      <c r="HH1013" s="231"/>
      <c r="HI1013" s="232"/>
    </row>
    <row r="1014" spans="82:217" ht="10.75" customHeight="1">
      <c r="CD1014" s="229"/>
      <c r="CE1014" s="231"/>
      <c r="CF1014" s="231"/>
      <c r="CG1014" s="231"/>
      <c r="CH1014" s="231"/>
      <c r="CI1014" s="231"/>
      <c r="CJ1014" s="214"/>
      <c r="CK1014" s="49"/>
      <c r="CL1014" s="49"/>
      <c r="CM1014" s="49"/>
      <c r="CN1014" s="49"/>
      <c r="CO1014" s="49"/>
      <c r="CP1014" s="49"/>
      <c r="CQ1014" s="49"/>
      <c r="CR1014" s="49"/>
      <c r="CS1014" s="49"/>
      <c r="CT1014" s="96"/>
      <c r="CU1014" s="97"/>
      <c r="CV1014" s="97"/>
      <c r="CW1014" s="98"/>
      <c r="CX1014" s="43"/>
      <c r="CY1014" s="43"/>
      <c r="CZ1014" s="43"/>
      <c r="DA1014" s="43"/>
      <c r="DB1014" s="43"/>
      <c r="DC1014" s="43"/>
      <c r="DD1014" s="43"/>
      <c r="DE1014" s="43"/>
      <c r="DF1014" s="43"/>
      <c r="DG1014" s="43"/>
      <c r="DH1014" s="43"/>
      <c r="DI1014" s="43"/>
      <c r="DJ1014" s="43"/>
      <c r="DK1014" s="43"/>
      <c r="DL1014" s="43"/>
      <c r="DM1014" s="43"/>
      <c r="DN1014" s="43"/>
      <c r="DO1014" s="43"/>
      <c r="DP1014" s="43"/>
      <c r="DQ1014" s="43"/>
      <c r="DR1014" s="43"/>
      <c r="DS1014" s="43"/>
      <c r="DT1014" s="43"/>
      <c r="DU1014" s="43"/>
      <c r="DV1014" s="43"/>
      <c r="DW1014" s="43"/>
      <c r="DX1014" s="43"/>
      <c r="DY1014" s="43"/>
      <c r="DZ1014" s="43"/>
      <c r="EA1014" s="43"/>
      <c r="EB1014" s="43"/>
      <c r="EC1014" s="43"/>
      <c r="ED1014" s="43"/>
      <c r="EE1014" s="43"/>
      <c r="EF1014" s="43"/>
      <c r="EG1014" s="43"/>
      <c r="EH1014" s="43"/>
      <c r="EI1014" s="43"/>
      <c r="EJ1014" s="43"/>
      <c r="EK1014" s="43"/>
      <c r="EL1014" s="43"/>
      <c r="EM1014" s="43"/>
      <c r="EN1014" s="43"/>
      <c r="EO1014" s="43"/>
      <c r="EP1014" s="43"/>
      <c r="EQ1014" s="43"/>
      <c r="ER1014" s="96"/>
      <c r="ES1014" s="97"/>
      <c r="ET1014" s="97"/>
      <c r="EU1014" s="98"/>
      <c r="EV1014" s="43"/>
      <c r="EW1014" s="43"/>
      <c r="EX1014" s="43"/>
      <c r="EY1014" s="43"/>
      <c r="EZ1014" s="43"/>
      <c r="FA1014" s="43"/>
      <c r="FB1014" s="43"/>
      <c r="FC1014" s="43"/>
      <c r="FD1014" s="43"/>
      <c r="FE1014" s="43"/>
      <c r="FF1014" s="43"/>
      <c r="FG1014" s="43"/>
      <c r="FH1014" s="43"/>
      <c r="FI1014" s="43"/>
      <c r="FJ1014" s="43"/>
      <c r="FK1014" s="43"/>
      <c r="FL1014" s="43"/>
      <c r="FM1014" s="43"/>
      <c r="FN1014" s="43"/>
      <c r="FO1014" s="43"/>
      <c r="FP1014" s="43"/>
      <c r="FQ1014" s="43"/>
      <c r="FR1014" s="43"/>
      <c r="FS1014" s="43"/>
      <c r="FT1014" s="43"/>
      <c r="FU1014" s="43"/>
      <c r="FV1014" s="43"/>
      <c r="FW1014" s="43"/>
      <c r="FX1014" s="43"/>
      <c r="FY1014" s="43"/>
      <c r="FZ1014" s="43"/>
      <c r="GA1014" s="43"/>
      <c r="GB1014" s="43"/>
      <c r="GC1014" s="43"/>
      <c r="GD1014" s="43"/>
      <c r="GE1014" s="43"/>
      <c r="GF1014" s="43"/>
      <c r="GG1014" s="43"/>
      <c r="GH1014" s="43"/>
      <c r="GI1014" s="43"/>
      <c r="GJ1014" s="43"/>
      <c r="GK1014" s="43"/>
      <c r="GL1014" s="43"/>
      <c r="GM1014" s="43"/>
      <c r="GN1014" s="43"/>
      <c r="GO1014" s="43"/>
      <c r="GP1014" s="43"/>
      <c r="GQ1014" s="96"/>
      <c r="GR1014" s="97"/>
      <c r="GS1014" s="98"/>
      <c r="GT1014" s="49"/>
      <c r="GU1014" s="49"/>
      <c r="GV1014" s="49"/>
      <c r="GW1014" s="49"/>
      <c r="GX1014" s="49"/>
      <c r="GY1014" s="208"/>
      <c r="GZ1014" s="231"/>
      <c r="HA1014" s="231"/>
      <c r="HB1014" s="231"/>
      <c r="HC1014" s="231"/>
      <c r="HD1014" s="231"/>
      <c r="HE1014" s="231"/>
      <c r="HF1014" s="231"/>
      <c r="HG1014" s="231"/>
      <c r="HH1014" s="231"/>
      <c r="HI1014" s="232"/>
    </row>
    <row r="1015" spans="82:217" ht="10.75" customHeight="1">
      <c r="CD1015" s="229"/>
      <c r="CE1015" s="231"/>
      <c r="CF1015" s="231"/>
      <c r="CG1015" s="231"/>
      <c r="CH1015" s="231"/>
      <c r="CI1015" s="231"/>
      <c r="CJ1015" s="214"/>
      <c r="CK1015" s="49"/>
      <c r="CL1015" s="49"/>
      <c r="CM1015" s="49"/>
      <c r="CN1015" s="49"/>
      <c r="CO1015" s="49"/>
      <c r="CP1015" s="49"/>
      <c r="CQ1015" s="49"/>
      <c r="CR1015" s="49"/>
      <c r="CS1015" s="49"/>
      <c r="CT1015" s="59"/>
      <c r="CU1015" s="60"/>
      <c r="CV1015" s="60"/>
      <c r="CW1015" s="61"/>
      <c r="CX1015" s="43"/>
      <c r="CY1015" s="43"/>
      <c r="CZ1015" s="47"/>
      <c r="DA1015" s="47"/>
      <c r="DB1015" s="47"/>
      <c r="DC1015" s="47"/>
      <c r="DD1015" s="47"/>
      <c r="DE1015" s="47"/>
      <c r="DF1015" s="47"/>
      <c r="DG1015" s="47"/>
      <c r="DH1015" s="47"/>
      <c r="DI1015" s="47"/>
      <c r="DJ1015" s="47"/>
      <c r="DK1015" s="47"/>
      <c r="DL1015" s="47"/>
      <c r="DM1015" s="47"/>
      <c r="DN1015" s="47"/>
      <c r="DO1015" s="47"/>
      <c r="DP1015" s="47"/>
      <c r="DQ1015" s="47"/>
      <c r="DR1015" s="47"/>
      <c r="DS1015" s="47"/>
      <c r="DT1015" s="47"/>
      <c r="DU1015" s="47"/>
      <c r="DV1015" s="47"/>
      <c r="DW1015" s="47"/>
      <c r="DX1015" s="47"/>
      <c r="DY1015" s="47"/>
      <c r="DZ1015" s="47"/>
      <c r="EA1015" s="47"/>
      <c r="EB1015" s="47"/>
      <c r="EC1015" s="47"/>
      <c r="ED1015" s="47"/>
      <c r="EE1015" s="47"/>
      <c r="EF1015" s="47"/>
      <c r="EG1015" s="47"/>
      <c r="EH1015" s="47"/>
      <c r="EI1015" s="47"/>
      <c r="EJ1015" s="47"/>
      <c r="EK1015" s="47"/>
      <c r="EL1015" s="47"/>
      <c r="EM1015" s="47"/>
      <c r="EN1015" s="47"/>
      <c r="EO1015" s="47"/>
      <c r="EP1015" s="47"/>
      <c r="EQ1015" s="47"/>
      <c r="ER1015" s="59"/>
      <c r="ES1015" s="60"/>
      <c r="ET1015" s="60"/>
      <c r="EU1015" s="61"/>
      <c r="EV1015" s="47"/>
      <c r="EW1015" s="47"/>
      <c r="EX1015" s="47"/>
      <c r="EY1015" s="47"/>
      <c r="EZ1015" s="47"/>
      <c r="FA1015" s="47"/>
      <c r="FB1015" s="47"/>
      <c r="FC1015" s="47"/>
      <c r="FD1015" s="47"/>
      <c r="FE1015" s="47"/>
      <c r="FF1015" s="47"/>
      <c r="FG1015" s="47"/>
      <c r="FH1015" s="47"/>
      <c r="FI1015" s="47"/>
      <c r="FJ1015" s="47"/>
      <c r="FK1015" s="47"/>
      <c r="FL1015" s="47"/>
      <c r="FM1015" s="47"/>
      <c r="FN1015" s="47"/>
      <c r="FO1015" s="47"/>
      <c r="FP1015" s="47"/>
      <c r="FQ1015" s="47"/>
      <c r="FR1015" s="47"/>
      <c r="FS1015" s="47"/>
      <c r="FT1015" s="47"/>
      <c r="FU1015" s="47"/>
      <c r="FV1015" s="47"/>
      <c r="FW1015" s="47"/>
      <c r="FX1015" s="47"/>
      <c r="FY1015" s="47"/>
      <c r="FZ1015" s="47"/>
      <c r="GA1015" s="47"/>
      <c r="GB1015" s="47"/>
      <c r="GC1015" s="47"/>
      <c r="GD1015" s="47"/>
      <c r="GE1015" s="47"/>
      <c r="GF1015" s="47"/>
      <c r="GG1015" s="47"/>
      <c r="GH1015" s="47"/>
      <c r="GI1015" s="47"/>
      <c r="GJ1015" s="47"/>
      <c r="GK1015" s="47"/>
      <c r="GL1015" s="47"/>
      <c r="GM1015" s="47"/>
      <c r="GN1015" s="47"/>
      <c r="GO1015" s="47"/>
      <c r="GP1015" s="47"/>
      <c r="GQ1015" s="96"/>
      <c r="GR1015" s="97"/>
      <c r="GS1015" s="98"/>
      <c r="GT1015" s="49"/>
      <c r="GU1015" s="49"/>
      <c r="GV1015" s="49"/>
      <c r="GW1015" s="49"/>
      <c r="GX1015" s="49"/>
      <c r="GY1015" s="208"/>
      <c r="GZ1015" s="231"/>
      <c r="HA1015" s="231"/>
      <c r="HB1015" s="231"/>
      <c r="HC1015" s="231"/>
      <c r="HD1015" s="231"/>
      <c r="HE1015" s="231"/>
      <c r="HF1015" s="231"/>
      <c r="HG1015" s="231"/>
      <c r="HH1015" s="231"/>
      <c r="HI1015" s="232"/>
    </row>
    <row r="1016" spans="82:217" ht="10.75" customHeight="1">
      <c r="CD1016" s="229"/>
      <c r="CE1016" s="231"/>
      <c r="CF1016" s="231"/>
      <c r="CG1016" s="231"/>
      <c r="CH1016" s="231"/>
      <c r="CI1016" s="231"/>
      <c r="CJ1016" s="214"/>
      <c r="CK1016" s="49"/>
      <c r="CL1016" s="49"/>
      <c r="CM1016" s="49"/>
      <c r="CN1016" s="49"/>
      <c r="CO1016" s="49"/>
      <c r="CP1016" s="49"/>
      <c r="CQ1016" s="49"/>
      <c r="CR1016" s="49"/>
      <c r="CS1016" s="49"/>
      <c r="CT1016" s="42"/>
      <c r="CU1016" s="43"/>
      <c r="CV1016" s="43"/>
      <c r="CW1016" s="9"/>
      <c r="CX1016" s="10"/>
      <c r="CY1016" s="10"/>
      <c r="CZ1016" s="10"/>
      <c r="DA1016" s="10"/>
      <c r="DB1016" s="10"/>
      <c r="DC1016" s="10"/>
      <c r="DD1016" s="10"/>
      <c r="DE1016" s="10"/>
      <c r="DF1016" s="10"/>
      <c r="DG1016" s="10"/>
      <c r="DH1016" s="10"/>
      <c r="DI1016" s="10"/>
      <c r="DJ1016" s="10"/>
      <c r="DK1016" s="10"/>
      <c r="DL1016" s="10"/>
      <c r="DM1016" s="10"/>
      <c r="DN1016" s="10"/>
      <c r="DO1016" s="10"/>
      <c r="DP1016" s="10"/>
      <c r="DQ1016" s="10"/>
      <c r="DR1016" s="10"/>
      <c r="DS1016" s="10"/>
      <c r="DT1016" s="10"/>
      <c r="DU1016" s="10"/>
      <c r="DV1016" s="10"/>
      <c r="DW1016" s="10"/>
      <c r="DX1016" s="11"/>
      <c r="DY1016" s="158"/>
      <c r="DZ1016" s="159"/>
      <c r="EA1016" s="10"/>
      <c r="EB1016" s="10"/>
      <c r="EC1016" s="10"/>
      <c r="ED1016" s="10"/>
      <c r="EE1016" s="10"/>
      <c r="EF1016" s="10"/>
      <c r="EG1016" s="10"/>
      <c r="EH1016" s="10"/>
      <c r="EI1016" s="10"/>
      <c r="EJ1016" s="10"/>
      <c r="EK1016" s="10"/>
      <c r="EL1016" s="10"/>
      <c r="EM1016" s="10"/>
      <c r="EN1016" s="10"/>
      <c r="EO1016" s="10"/>
      <c r="EP1016" s="10"/>
      <c r="EQ1016" s="10"/>
      <c r="ER1016" s="10"/>
      <c r="ES1016" s="9"/>
      <c r="ET1016" s="11"/>
      <c r="EU1016" s="10"/>
      <c r="EV1016" s="10"/>
      <c r="EW1016" s="10"/>
      <c r="EX1016" s="10"/>
      <c r="EY1016" s="10"/>
      <c r="EZ1016" s="298"/>
      <c r="FA1016" s="10"/>
      <c r="FB1016" s="10"/>
      <c r="FC1016" s="10"/>
      <c r="FD1016" s="10"/>
      <c r="FE1016" s="10"/>
      <c r="FF1016" s="10"/>
      <c r="FG1016" s="10"/>
      <c r="FH1016" s="10"/>
      <c r="FI1016" s="10"/>
      <c r="FJ1016" s="10"/>
      <c r="FK1016" s="10"/>
      <c r="FL1016" s="10"/>
      <c r="FM1016" s="10"/>
      <c r="FN1016" s="10"/>
      <c r="FO1016" s="10"/>
      <c r="FP1016" s="10"/>
      <c r="FQ1016" s="10"/>
      <c r="FR1016" s="10"/>
      <c r="FS1016" s="10"/>
      <c r="FT1016" s="10"/>
      <c r="FU1016" s="10"/>
      <c r="FV1016" s="10"/>
      <c r="FW1016" s="10"/>
      <c r="FX1016" s="10"/>
      <c r="FY1016" s="10"/>
      <c r="FZ1016" s="10"/>
      <c r="GA1016" s="10"/>
      <c r="GB1016" s="10"/>
      <c r="GC1016" s="10"/>
      <c r="GD1016" s="10"/>
      <c r="GE1016" s="10"/>
      <c r="GF1016" s="10"/>
      <c r="GG1016" s="10"/>
      <c r="GH1016" s="10"/>
      <c r="GI1016" s="10"/>
      <c r="GJ1016" s="10"/>
      <c r="GK1016" s="10"/>
      <c r="GL1016" s="10"/>
      <c r="GM1016" s="10"/>
      <c r="GN1016" s="10"/>
      <c r="GO1016" s="10"/>
      <c r="GP1016" s="11"/>
      <c r="GQ1016" s="59"/>
      <c r="GR1016" s="60"/>
      <c r="GS1016" s="61"/>
      <c r="GT1016" s="49"/>
      <c r="GU1016" s="49"/>
      <c r="GV1016" s="49"/>
      <c r="GW1016" s="49"/>
      <c r="GX1016" s="49"/>
      <c r="GY1016" s="208"/>
      <c r="GZ1016" s="231"/>
      <c r="HA1016" s="231"/>
      <c r="HB1016" s="231"/>
      <c r="HC1016" s="231"/>
      <c r="HD1016" s="231"/>
      <c r="HE1016" s="231"/>
      <c r="HF1016" s="231"/>
      <c r="HG1016" s="231"/>
      <c r="HH1016" s="231"/>
      <c r="HI1016" s="232"/>
    </row>
    <row r="1017" spans="82:217" ht="10.75" customHeight="1">
      <c r="CD1017" s="229"/>
      <c r="CE1017" s="231"/>
      <c r="CF1017" s="231"/>
      <c r="CG1017" s="231"/>
      <c r="CH1017" s="231"/>
      <c r="CI1017" s="231"/>
      <c r="CJ1017" s="214"/>
      <c r="CK1017" s="49"/>
      <c r="CL1017" s="49"/>
      <c r="CM1017" s="49"/>
      <c r="CN1017" s="49"/>
      <c r="CO1017" s="49"/>
      <c r="CP1017" s="49"/>
      <c r="CQ1017" s="49"/>
      <c r="CR1017" s="49"/>
      <c r="CS1017" s="49"/>
      <c r="CT1017" s="42"/>
      <c r="CU1017" s="43"/>
      <c r="CV1017" s="43"/>
      <c r="CW1017" s="12"/>
      <c r="CX1017" s="317"/>
      <c r="CY1017" s="317"/>
      <c r="CZ1017" s="317"/>
      <c r="DA1017" s="317"/>
      <c r="DB1017" s="317"/>
      <c r="DC1017" s="317"/>
      <c r="DD1017" s="317"/>
      <c r="DE1017" s="317"/>
      <c r="DF1017" s="317"/>
      <c r="DG1017" s="317"/>
      <c r="DH1017" s="317"/>
      <c r="DI1017" s="317"/>
      <c r="DJ1017" s="317"/>
      <c r="DK1017" s="317"/>
      <c r="DL1017" s="317"/>
      <c r="DM1017" s="317"/>
      <c r="DN1017" s="317"/>
      <c r="DO1017" s="317"/>
      <c r="DP1017" s="317"/>
      <c r="DQ1017" s="317"/>
      <c r="DR1017" s="317"/>
      <c r="DS1017" s="317"/>
      <c r="DT1017" s="317"/>
      <c r="DU1017" s="317"/>
      <c r="DV1017" s="317"/>
      <c r="DW1017" s="317"/>
      <c r="DX1017" s="13"/>
      <c r="DY1017" s="316"/>
      <c r="DZ1017" s="161"/>
      <c r="EA1017" s="317"/>
      <c r="EB1017" s="317"/>
      <c r="EC1017" s="317"/>
      <c r="ED1017" s="317"/>
      <c r="EE1017" s="317"/>
      <c r="EF1017" s="317"/>
      <c r="EG1017" s="317"/>
      <c r="EH1017" s="317"/>
      <c r="EI1017" s="317"/>
      <c r="EJ1017" s="317"/>
      <c r="EK1017" s="317"/>
      <c r="EL1017" s="317"/>
      <c r="EM1017" s="317"/>
      <c r="EN1017" s="317"/>
      <c r="EO1017" s="317"/>
      <c r="EP1017" s="317"/>
      <c r="EQ1017" s="317"/>
      <c r="ER1017" s="317"/>
      <c r="ES1017" s="12"/>
      <c r="ET1017" s="13"/>
      <c r="EU1017" s="317"/>
      <c r="EV1017" s="317"/>
      <c r="EW1017" s="317"/>
      <c r="EX1017" s="317"/>
      <c r="EY1017" s="317"/>
      <c r="EZ1017" s="297"/>
      <c r="FA1017" s="317"/>
      <c r="FB1017" s="317"/>
      <c r="FC1017" s="317"/>
      <c r="FD1017" s="317"/>
      <c r="FE1017" s="317"/>
      <c r="FF1017" s="317"/>
      <c r="FG1017" s="317"/>
      <c r="FH1017" s="317"/>
      <c r="FI1017" s="317"/>
      <c r="FJ1017" s="317"/>
      <c r="FK1017" s="317"/>
      <c r="FL1017" s="317"/>
      <c r="FM1017" s="317"/>
      <c r="FN1017" s="317"/>
      <c r="FO1017" s="317"/>
      <c r="FP1017" s="317"/>
      <c r="FQ1017" s="317"/>
      <c r="FR1017" s="317"/>
      <c r="FS1017" s="317"/>
      <c r="FT1017" s="317"/>
      <c r="FU1017" s="317"/>
      <c r="FV1017" s="317"/>
      <c r="FW1017" s="317"/>
      <c r="FX1017" s="317"/>
      <c r="FY1017" s="317"/>
      <c r="FZ1017" s="317"/>
      <c r="GA1017" s="317"/>
      <c r="GB1017" s="317"/>
      <c r="GC1017" s="317"/>
      <c r="GD1017" s="317"/>
      <c r="GE1017" s="317"/>
      <c r="GF1017" s="317"/>
      <c r="GG1017" s="317"/>
      <c r="GH1017" s="317"/>
      <c r="GI1017" s="317"/>
      <c r="GJ1017" s="317"/>
      <c r="GK1017" s="317"/>
      <c r="GL1017" s="317"/>
      <c r="GM1017" s="317"/>
      <c r="GN1017" s="317"/>
      <c r="GO1017" s="317"/>
      <c r="GP1017" s="13"/>
      <c r="GQ1017" s="43"/>
      <c r="GR1017" s="43"/>
      <c r="GS1017" s="45"/>
      <c r="GT1017" s="49"/>
      <c r="GU1017" s="49"/>
      <c r="GV1017" s="49"/>
      <c r="GW1017" s="49"/>
      <c r="GX1017" s="49"/>
      <c r="GY1017" s="208"/>
      <c r="GZ1017" s="231"/>
      <c r="HA1017" s="231"/>
      <c r="HB1017" s="231"/>
      <c r="HC1017" s="231"/>
      <c r="HD1017" s="231"/>
      <c r="HE1017" s="231"/>
      <c r="HF1017" s="231"/>
      <c r="HG1017" s="231"/>
      <c r="HH1017" s="231"/>
      <c r="HI1017" s="232"/>
    </row>
    <row r="1018" spans="82:217" ht="10.75" customHeight="1">
      <c r="CD1018" s="229"/>
      <c r="CE1018" s="231"/>
      <c r="CF1018" s="231"/>
      <c r="CG1018" s="231"/>
      <c r="CH1018" s="231"/>
      <c r="CI1018" s="231"/>
      <c r="CJ1018" s="214"/>
      <c r="CK1018" s="49"/>
      <c r="CL1018" s="49"/>
      <c r="CM1018" s="49"/>
      <c r="CN1018" s="49"/>
      <c r="CO1018" s="49"/>
      <c r="CP1018" s="49"/>
      <c r="CQ1018" s="49"/>
      <c r="CR1018" s="49"/>
      <c r="CS1018" s="49"/>
      <c r="CT1018" s="42"/>
      <c r="CU1018" s="43"/>
      <c r="CV1018" s="43"/>
      <c r="CW1018" s="12"/>
      <c r="CX1018" s="317"/>
      <c r="CY1018" s="317"/>
      <c r="CZ1018" s="317"/>
      <c r="DA1018" s="317"/>
      <c r="DB1018" s="317"/>
      <c r="DC1018" s="317"/>
      <c r="DD1018" s="317"/>
      <c r="DE1018" s="317"/>
      <c r="DF1018" s="317"/>
      <c r="DG1018" s="317"/>
      <c r="DH1018" s="317"/>
      <c r="DI1018" s="317"/>
      <c r="DJ1018" s="317"/>
      <c r="DK1018" s="317"/>
      <c r="DL1018" s="317"/>
      <c r="DM1018" s="317"/>
      <c r="DN1018" s="317"/>
      <c r="DO1018" s="317"/>
      <c r="DP1018" s="317"/>
      <c r="DQ1018" s="317"/>
      <c r="DR1018" s="317"/>
      <c r="DS1018" s="317"/>
      <c r="DT1018" s="317"/>
      <c r="DU1018" s="317"/>
      <c r="DV1018" s="317"/>
      <c r="DW1018" s="317"/>
      <c r="DX1018" s="13"/>
      <c r="DY1018" s="316"/>
      <c r="DZ1018" s="161"/>
      <c r="EA1018" s="317"/>
      <c r="EB1018" s="317"/>
      <c r="EC1018" s="317"/>
      <c r="ED1018" s="317"/>
      <c r="EE1018" s="317"/>
      <c r="EF1018" s="317"/>
      <c r="EG1018" s="317"/>
      <c r="EH1018" s="317"/>
      <c r="EI1018" s="317"/>
      <c r="EJ1018" s="317"/>
      <c r="EK1018" s="317"/>
      <c r="EL1018" s="317"/>
      <c r="EM1018" s="317"/>
      <c r="EN1018" s="317"/>
      <c r="EO1018" s="317"/>
      <c r="EP1018" s="317"/>
      <c r="EQ1018" s="317"/>
      <c r="ER1018" s="317"/>
      <c r="ES1018" s="12"/>
      <c r="ET1018" s="321"/>
      <c r="EU1018" s="317"/>
      <c r="EV1018" s="317"/>
      <c r="EW1018" s="317"/>
      <c r="EX1018" s="317"/>
      <c r="EY1018" s="317"/>
      <c r="EZ1018" s="297"/>
      <c r="FA1018" s="317"/>
      <c r="FB1018" s="317"/>
      <c r="FC1018" s="317"/>
      <c r="FD1018" s="317"/>
      <c r="FE1018" s="317"/>
      <c r="FF1018" s="317"/>
      <c r="FG1018" s="317"/>
      <c r="FH1018" s="317"/>
      <c r="FI1018" s="317"/>
      <c r="FJ1018" s="317"/>
      <c r="FK1018" s="317"/>
      <c r="FL1018" s="317"/>
      <c r="FM1018" s="317"/>
      <c r="FN1018" s="317"/>
      <c r="FO1018" s="317"/>
      <c r="FP1018" s="317"/>
      <c r="FQ1018" s="317"/>
      <c r="FR1018" s="317"/>
      <c r="FS1018" s="317"/>
      <c r="FT1018" s="317"/>
      <c r="FU1018" s="317"/>
      <c r="FV1018" s="317"/>
      <c r="FW1018" s="317"/>
      <c r="FX1018" s="317"/>
      <c r="FY1018" s="317"/>
      <c r="FZ1018" s="317"/>
      <c r="GA1018" s="317"/>
      <c r="GB1018" s="317"/>
      <c r="GC1018" s="317"/>
      <c r="GD1018" s="317"/>
      <c r="GE1018" s="317"/>
      <c r="GF1018" s="317"/>
      <c r="GG1018" s="317"/>
      <c r="GH1018" s="317"/>
      <c r="GI1018" s="317"/>
      <c r="GJ1018" s="317"/>
      <c r="GK1018" s="317"/>
      <c r="GL1018" s="317"/>
      <c r="GM1018" s="317"/>
      <c r="GN1018" s="317"/>
      <c r="GO1018" s="317"/>
      <c r="GP1018" s="13"/>
      <c r="GQ1018" s="43"/>
      <c r="GR1018" s="43"/>
      <c r="GS1018" s="45"/>
      <c r="GT1018" s="49"/>
      <c r="GU1018" s="49"/>
      <c r="GV1018" s="49"/>
      <c r="GW1018" s="49"/>
      <c r="GX1018" s="49"/>
      <c r="GY1018" s="208"/>
      <c r="GZ1018" s="231"/>
      <c r="HA1018" s="231"/>
      <c r="HB1018" s="231"/>
      <c r="HC1018" s="231"/>
      <c r="HD1018" s="231"/>
      <c r="HE1018" s="231"/>
      <c r="HF1018" s="231"/>
      <c r="HG1018" s="231"/>
      <c r="HH1018" s="231"/>
      <c r="HI1018" s="232"/>
    </row>
    <row r="1019" spans="82:217" ht="10.75" customHeight="1">
      <c r="CD1019" s="229"/>
      <c r="CE1019" s="231"/>
      <c r="CF1019" s="231"/>
      <c r="CG1019" s="231"/>
      <c r="CH1019" s="231"/>
      <c r="CI1019" s="231"/>
      <c r="CJ1019" s="214"/>
      <c r="CK1019" s="49"/>
      <c r="CL1019" s="49"/>
      <c r="CM1019" s="49"/>
      <c r="CN1019" s="49"/>
      <c r="CO1019" s="49"/>
      <c r="CP1019" s="49"/>
      <c r="CQ1019" s="49"/>
      <c r="CR1019" s="49"/>
      <c r="CS1019" s="49"/>
      <c r="CT1019" s="42"/>
      <c r="CU1019" s="43"/>
      <c r="CV1019" s="43"/>
      <c r="CW1019" s="9"/>
      <c r="CX1019" s="11"/>
      <c r="CY1019" s="10"/>
      <c r="CZ1019" s="10"/>
      <c r="DA1019" s="10"/>
      <c r="DB1019" s="10"/>
      <c r="DC1019" s="10"/>
      <c r="DD1019" s="10"/>
      <c r="DE1019" s="11"/>
      <c r="DF1019" s="317"/>
      <c r="DG1019" s="317"/>
      <c r="DH1019" s="317"/>
      <c r="DI1019" s="317"/>
      <c r="DJ1019" s="317"/>
      <c r="DK1019" s="317"/>
      <c r="DL1019" s="317"/>
      <c r="DM1019" s="317"/>
      <c r="DN1019" s="317"/>
      <c r="DO1019" s="317"/>
      <c r="DP1019" s="317"/>
      <c r="DQ1019" s="317"/>
      <c r="DR1019" s="317"/>
      <c r="DS1019" s="317"/>
      <c r="DT1019" s="317"/>
      <c r="DU1019" s="317"/>
      <c r="DV1019" s="317"/>
      <c r="DW1019" s="317"/>
      <c r="DX1019" s="13"/>
      <c r="DY1019" s="316"/>
      <c r="DZ1019" s="161"/>
      <c r="EA1019" s="9"/>
      <c r="EB1019" s="11"/>
      <c r="EC1019" s="10"/>
      <c r="ED1019" s="10"/>
      <c r="EE1019" s="10"/>
      <c r="EF1019" s="11"/>
      <c r="EG1019" s="317"/>
      <c r="EH1019" s="317"/>
      <c r="EI1019" s="317"/>
      <c r="EJ1019" s="317"/>
      <c r="EK1019" s="317"/>
      <c r="EL1019" s="317"/>
      <c r="EM1019" s="317"/>
      <c r="EN1019" s="317"/>
      <c r="EO1019" s="317"/>
      <c r="EP1019" s="317"/>
      <c r="EQ1019" s="317"/>
      <c r="ER1019" s="317"/>
      <c r="ES1019" s="12"/>
      <c r="ET1019" s="321"/>
      <c r="EU1019" s="317"/>
      <c r="EV1019" s="317"/>
      <c r="EW1019" s="317"/>
      <c r="EX1019" s="317"/>
      <c r="EY1019" s="317"/>
      <c r="EZ1019" s="297"/>
      <c r="FA1019" s="317"/>
      <c r="FB1019" s="317"/>
      <c r="FC1019" s="317"/>
      <c r="FD1019" s="317"/>
      <c r="FE1019" s="317"/>
      <c r="FF1019" s="317"/>
      <c r="FG1019" s="317"/>
      <c r="FH1019" s="317"/>
      <c r="FI1019" s="317"/>
      <c r="FJ1019" s="317"/>
      <c r="FK1019" s="317"/>
      <c r="FL1019" s="317"/>
      <c r="FM1019" s="317"/>
      <c r="FN1019" s="317"/>
      <c r="FO1019" s="317"/>
      <c r="FP1019" s="317"/>
      <c r="FQ1019" s="317"/>
      <c r="FR1019" s="317"/>
      <c r="FS1019" s="317"/>
      <c r="FT1019" s="317"/>
      <c r="FU1019" s="317"/>
      <c r="FV1019" s="317"/>
      <c r="FW1019" s="317"/>
      <c r="FX1019" s="317"/>
      <c r="FY1019" s="317"/>
      <c r="FZ1019" s="317"/>
      <c r="GA1019" s="317"/>
      <c r="GB1019" s="317"/>
      <c r="GC1019" s="317"/>
      <c r="GD1019" s="317"/>
      <c r="GE1019" s="317"/>
      <c r="GF1019" s="317"/>
      <c r="GG1019" s="317"/>
      <c r="GH1019" s="317"/>
      <c r="GI1019" s="317"/>
      <c r="GJ1019" s="317"/>
      <c r="GK1019" s="317"/>
      <c r="GL1019" s="317"/>
      <c r="GM1019" s="317"/>
      <c r="GN1019" s="317"/>
      <c r="GO1019" s="317"/>
      <c r="GP1019" s="13"/>
      <c r="GQ1019" s="43"/>
      <c r="GR1019" s="43"/>
      <c r="GS1019" s="45"/>
      <c r="GT1019" s="49"/>
      <c r="GU1019" s="49"/>
      <c r="GV1019" s="49"/>
      <c r="GW1019" s="49"/>
      <c r="GX1019" s="49"/>
      <c r="GY1019" s="208"/>
      <c r="GZ1019" s="231"/>
      <c r="HA1019" s="231"/>
      <c r="HB1019" s="231"/>
      <c r="HC1019" s="231"/>
      <c r="HD1019" s="231"/>
      <c r="HE1019" s="231"/>
      <c r="HF1019" s="231"/>
      <c r="HG1019" s="231"/>
      <c r="HH1019" s="231"/>
      <c r="HI1019" s="232"/>
    </row>
    <row r="1020" spans="82:217" ht="10.75" customHeight="1">
      <c r="CD1020" s="229"/>
      <c r="CE1020" s="231"/>
      <c r="CF1020" s="231"/>
      <c r="CG1020" s="231"/>
      <c r="CH1020" s="231"/>
      <c r="CI1020" s="231"/>
      <c r="CJ1020" s="214"/>
      <c r="CK1020" s="49"/>
      <c r="CL1020" s="49"/>
      <c r="CM1020" s="49"/>
      <c r="CN1020" s="49"/>
      <c r="CO1020" s="49"/>
      <c r="CP1020" s="49"/>
      <c r="CQ1020" s="49"/>
      <c r="CR1020" s="49"/>
      <c r="CS1020" s="49"/>
      <c r="CT1020" s="42"/>
      <c r="CU1020" s="43"/>
      <c r="CV1020" s="43"/>
      <c r="CW1020" s="12"/>
      <c r="CX1020" s="13"/>
      <c r="CY1020" s="317"/>
      <c r="CZ1020" s="317"/>
      <c r="DA1020" s="317"/>
      <c r="DB1020" s="317"/>
      <c r="DC1020" s="317"/>
      <c r="DD1020" s="317"/>
      <c r="DE1020" s="13"/>
      <c r="DF1020" s="317"/>
      <c r="DG1020" s="317"/>
      <c r="DH1020" s="317"/>
      <c r="DI1020" s="317"/>
      <c r="DJ1020" s="317"/>
      <c r="DK1020" s="317"/>
      <c r="DL1020" s="317"/>
      <c r="DM1020" s="317"/>
      <c r="DN1020" s="317"/>
      <c r="DO1020" s="317"/>
      <c r="DP1020" s="317"/>
      <c r="DQ1020" s="317"/>
      <c r="DR1020" s="317"/>
      <c r="DS1020" s="317"/>
      <c r="DT1020" s="317"/>
      <c r="DU1020" s="317"/>
      <c r="DV1020" s="317"/>
      <c r="DW1020" s="317"/>
      <c r="DX1020" s="13"/>
      <c r="DY1020" s="316"/>
      <c r="DZ1020" s="161"/>
      <c r="EA1020" s="12"/>
      <c r="EB1020" s="13"/>
      <c r="EC1020" s="317"/>
      <c r="ED1020" s="317"/>
      <c r="EE1020" s="317"/>
      <c r="EF1020" s="13"/>
      <c r="EG1020" s="317"/>
      <c r="EH1020" s="317"/>
      <c r="EI1020" s="317"/>
      <c r="EJ1020" s="317"/>
      <c r="EK1020" s="317"/>
      <c r="EL1020" s="317"/>
      <c r="EM1020" s="317"/>
      <c r="EN1020" s="317"/>
      <c r="EO1020" s="317"/>
      <c r="EP1020" s="317"/>
      <c r="EQ1020" s="317"/>
      <c r="ER1020" s="317"/>
      <c r="ES1020" s="12"/>
      <c r="ET1020" s="321"/>
      <c r="EU1020" s="317"/>
      <c r="EV1020" s="317"/>
      <c r="EW1020" s="317"/>
      <c r="EX1020" s="317"/>
      <c r="EY1020" s="317"/>
      <c r="EZ1020" s="297"/>
      <c r="FA1020" s="317"/>
      <c r="FB1020" s="317"/>
      <c r="FC1020" s="317"/>
      <c r="FD1020" s="317"/>
      <c r="FE1020" s="317"/>
      <c r="FF1020" s="317"/>
      <c r="FG1020" s="317"/>
      <c r="FH1020" s="317"/>
      <c r="FI1020" s="317"/>
      <c r="FJ1020" s="317"/>
      <c r="FK1020" s="317"/>
      <c r="FL1020" s="317"/>
      <c r="FM1020" s="317"/>
      <c r="FN1020" s="317"/>
      <c r="FO1020" s="317"/>
      <c r="FP1020" s="317"/>
      <c r="FQ1020" s="317"/>
      <c r="FR1020" s="317"/>
      <c r="FS1020" s="317"/>
      <c r="FT1020" s="317"/>
      <c r="FU1020" s="317"/>
      <c r="FV1020" s="317"/>
      <c r="FW1020" s="317"/>
      <c r="FX1020" s="317"/>
      <c r="FY1020" s="317"/>
      <c r="FZ1020" s="317"/>
      <c r="GA1020" s="317"/>
      <c r="GB1020" s="317"/>
      <c r="GC1020" s="317"/>
      <c r="GD1020" s="317"/>
      <c r="GE1020" s="317"/>
      <c r="GF1020" s="317"/>
      <c r="GG1020" s="317"/>
      <c r="GH1020" s="317"/>
      <c r="GI1020" s="317"/>
      <c r="GJ1020" s="317"/>
      <c r="GK1020" s="317"/>
      <c r="GL1020" s="317"/>
      <c r="GM1020" s="317"/>
      <c r="GN1020" s="317"/>
      <c r="GO1020" s="317"/>
      <c r="GP1020" s="13"/>
      <c r="GQ1020" s="43"/>
      <c r="GR1020" s="43"/>
      <c r="GS1020" s="45"/>
      <c r="GT1020" s="49"/>
      <c r="GU1020" s="49"/>
      <c r="GV1020" s="49"/>
      <c r="GW1020" s="49"/>
      <c r="GX1020" s="49"/>
      <c r="GY1020" s="208"/>
      <c r="GZ1020" s="231"/>
      <c r="HA1020" s="231"/>
      <c r="HB1020" s="231"/>
      <c r="HC1020" s="231"/>
      <c r="HD1020" s="231"/>
      <c r="HE1020" s="231"/>
      <c r="HF1020" s="231"/>
      <c r="HG1020" s="231"/>
      <c r="HH1020" s="231"/>
      <c r="HI1020" s="232"/>
    </row>
    <row r="1021" spans="82:217" ht="10.75" customHeight="1">
      <c r="CD1021" s="229"/>
      <c r="CE1021" s="231"/>
      <c r="CF1021" s="231"/>
      <c r="CG1021" s="231"/>
      <c r="CH1021" s="231"/>
      <c r="CI1021" s="231"/>
      <c r="CJ1021" s="214"/>
      <c r="CK1021" s="49"/>
      <c r="CL1021" s="49"/>
      <c r="CM1021" s="49"/>
      <c r="CN1021" s="49"/>
      <c r="CO1021" s="49"/>
      <c r="CP1021" s="49"/>
      <c r="CQ1021" s="49"/>
      <c r="CR1021" s="49"/>
      <c r="CS1021" s="49"/>
      <c r="CT1021" s="42"/>
      <c r="CU1021" s="43"/>
      <c r="CV1021" s="43"/>
      <c r="CW1021" s="12"/>
      <c r="CX1021" s="13"/>
      <c r="CY1021" s="317"/>
      <c r="CZ1021" s="317"/>
      <c r="DA1021" s="317"/>
      <c r="DB1021" s="317"/>
      <c r="DC1021" s="317"/>
      <c r="DD1021" s="317"/>
      <c r="DE1021" s="13"/>
      <c r="DF1021" s="317"/>
      <c r="DG1021" s="317"/>
      <c r="DH1021" s="317"/>
      <c r="DI1021" s="317"/>
      <c r="DJ1021" s="317"/>
      <c r="DK1021" s="317"/>
      <c r="DL1021" s="317"/>
      <c r="DM1021" s="317"/>
      <c r="DN1021" s="317"/>
      <c r="DO1021" s="317"/>
      <c r="DP1021" s="317"/>
      <c r="DQ1021" s="317"/>
      <c r="DR1021" s="317"/>
      <c r="DS1021" s="317"/>
      <c r="DT1021" s="317"/>
      <c r="DU1021" s="317"/>
      <c r="DV1021" s="317"/>
      <c r="DW1021" s="317"/>
      <c r="DX1021" s="13"/>
      <c r="DY1021" s="316"/>
      <c r="DZ1021" s="161"/>
      <c r="EA1021" s="12"/>
      <c r="EB1021" s="13"/>
      <c r="EC1021" s="317"/>
      <c r="ED1021" s="317"/>
      <c r="EE1021" s="317"/>
      <c r="EF1021" s="13"/>
      <c r="EG1021" s="317"/>
      <c r="EH1021" s="317"/>
      <c r="EI1021" s="317"/>
      <c r="EJ1021" s="317"/>
      <c r="EK1021" s="317"/>
      <c r="EL1021" s="317"/>
      <c r="EM1021" s="317"/>
      <c r="EN1021" s="317"/>
      <c r="EO1021" s="317"/>
      <c r="EP1021" s="317"/>
      <c r="EQ1021" s="317"/>
      <c r="ER1021" s="317"/>
      <c r="ES1021" s="12"/>
      <c r="ET1021" s="321"/>
      <c r="EU1021" s="317"/>
      <c r="EV1021" s="317"/>
      <c r="EW1021" s="317"/>
      <c r="EX1021" s="317"/>
      <c r="EY1021" s="317"/>
      <c r="EZ1021" s="297"/>
      <c r="FA1021" s="317"/>
      <c r="FB1021" s="317"/>
      <c r="FC1021" s="317"/>
      <c r="FD1021" s="317"/>
      <c r="FE1021" s="317"/>
      <c r="FF1021" s="317"/>
      <c r="FG1021" s="317"/>
      <c r="FH1021" s="317"/>
      <c r="FI1021" s="317"/>
      <c r="FJ1021" s="317"/>
      <c r="FK1021" s="317"/>
      <c r="FL1021" s="317"/>
      <c r="FM1021" s="317"/>
      <c r="FN1021" s="317"/>
      <c r="FO1021" s="317"/>
      <c r="FP1021" s="317"/>
      <c r="FQ1021" s="317"/>
      <c r="FR1021" s="317"/>
      <c r="FS1021" s="317"/>
      <c r="FT1021" s="317"/>
      <c r="FU1021" s="317"/>
      <c r="FV1021" s="317"/>
      <c r="FW1021" s="317"/>
      <c r="FX1021" s="317"/>
      <c r="FY1021" s="317"/>
      <c r="FZ1021" s="317"/>
      <c r="GA1021" s="317"/>
      <c r="GB1021" s="317"/>
      <c r="GC1021" s="317"/>
      <c r="GD1021" s="317"/>
      <c r="GE1021" s="317"/>
      <c r="GF1021" s="317"/>
      <c r="GG1021" s="317"/>
      <c r="GH1021" s="317"/>
      <c r="GI1021" s="317"/>
      <c r="GJ1021" s="317"/>
      <c r="GK1021" s="317"/>
      <c r="GL1021" s="317"/>
      <c r="GM1021" s="317"/>
      <c r="GN1021" s="317"/>
      <c r="GO1021" s="317"/>
      <c r="GP1021" s="13"/>
      <c r="GQ1021" s="43"/>
      <c r="GR1021" s="43"/>
      <c r="GS1021" s="45"/>
      <c r="GT1021" s="49"/>
      <c r="GU1021" s="49"/>
      <c r="GV1021" s="49"/>
      <c r="GW1021" s="49"/>
      <c r="GX1021" s="49"/>
      <c r="GY1021" s="208"/>
      <c r="GZ1021" s="231"/>
      <c r="HA1021" s="231"/>
      <c r="HB1021" s="231"/>
      <c r="HC1021" s="231"/>
      <c r="HD1021" s="231"/>
      <c r="HE1021" s="231"/>
      <c r="HF1021" s="231"/>
      <c r="HG1021" s="231"/>
      <c r="HH1021" s="231"/>
      <c r="HI1021" s="232"/>
    </row>
    <row r="1022" spans="82:217" ht="10.75" customHeight="1">
      <c r="CD1022" s="229"/>
      <c r="CE1022" s="231"/>
      <c r="CF1022" s="231"/>
      <c r="CG1022" s="231"/>
      <c r="CH1022" s="231"/>
      <c r="CI1022" s="231"/>
      <c r="CJ1022" s="214"/>
      <c r="CK1022" s="49"/>
      <c r="CL1022" s="49"/>
      <c r="CM1022" s="49"/>
      <c r="CN1022" s="49"/>
      <c r="CO1022" s="49"/>
      <c r="CP1022" s="49"/>
      <c r="CQ1022" s="49"/>
      <c r="CR1022" s="49"/>
      <c r="CS1022" s="49"/>
      <c r="CT1022" s="42"/>
      <c r="CU1022" s="43"/>
      <c r="CV1022" s="43"/>
      <c r="CW1022" s="12"/>
      <c r="CX1022" s="13"/>
      <c r="CY1022" s="317"/>
      <c r="CZ1022" s="317"/>
      <c r="DA1022" s="317"/>
      <c r="DB1022" s="317"/>
      <c r="DC1022" s="317"/>
      <c r="DD1022" s="317"/>
      <c r="DE1022" s="13"/>
      <c r="DF1022" s="317"/>
      <c r="DG1022" s="317"/>
      <c r="DH1022" s="317"/>
      <c r="DI1022" s="317"/>
      <c r="DJ1022" s="317"/>
      <c r="DK1022" s="317"/>
      <c r="DL1022" s="317"/>
      <c r="DM1022" s="317"/>
      <c r="DN1022" s="317"/>
      <c r="DO1022" s="317"/>
      <c r="DP1022" s="317"/>
      <c r="DQ1022" s="317"/>
      <c r="DR1022" s="317"/>
      <c r="DS1022" s="317"/>
      <c r="DT1022" s="317"/>
      <c r="DU1022" s="317"/>
      <c r="DV1022" s="317"/>
      <c r="DW1022" s="317"/>
      <c r="DX1022" s="13"/>
      <c r="DY1022" s="316"/>
      <c r="DZ1022" s="161"/>
      <c r="EA1022" s="12"/>
      <c r="EB1022" s="13"/>
      <c r="EC1022" s="317"/>
      <c r="ED1022" s="317"/>
      <c r="EE1022" s="317"/>
      <c r="EF1022" s="13"/>
      <c r="EG1022" s="317"/>
      <c r="EH1022" s="317"/>
      <c r="EI1022" s="317"/>
      <c r="EJ1022" s="317"/>
      <c r="EK1022" s="317"/>
      <c r="EL1022" s="317"/>
      <c r="EM1022" s="317"/>
      <c r="EN1022" s="317"/>
      <c r="EO1022" s="317"/>
      <c r="EP1022" s="317"/>
      <c r="EQ1022" s="317"/>
      <c r="ER1022" s="317"/>
      <c r="ES1022" s="12"/>
      <c r="ET1022" s="321"/>
      <c r="EU1022" s="317"/>
      <c r="EV1022" s="317"/>
      <c r="EW1022" s="317"/>
      <c r="EX1022" s="317"/>
      <c r="EY1022" s="317"/>
      <c r="EZ1022" s="297"/>
      <c r="FA1022" s="317"/>
      <c r="FB1022" s="317"/>
      <c r="FC1022" s="317"/>
      <c r="FD1022" s="317"/>
      <c r="FE1022" s="317"/>
      <c r="FF1022" s="317"/>
      <c r="FG1022" s="317"/>
      <c r="FH1022" s="317"/>
      <c r="FI1022" s="317"/>
      <c r="FJ1022" s="317"/>
      <c r="FK1022" s="317"/>
      <c r="FL1022" s="317"/>
      <c r="FM1022" s="317"/>
      <c r="FN1022" s="317"/>
      <c r="FO1022" s="317"/>
      <c r="FP1022" s="317"/>
      <c r="FQ1022" s="317"/>
      <c r="FR1022" s="317"/>
      <c r="FS1022" s="317"/>
      <c r="FT1022" s="317"/>
      <c r="FU1022" s="317"/>
      <c r="FV1022" s="317"/>
      <c r="FW1022" s="317"/>
      <c r="FX1022" s="317"/>
      <c r="FY1022" s="317"/>
      <c r="FZ1022" s="317"/>
      <c r="GA1022" s="317"/>
      <c r="GB1022" s="317"/>
      <c r="GC1022" s="317"/>
      <c r="GD1022" s="317"/>
      <c r="GE1022" s="317"/>
      <c r="GF1022" s="317"/>
      <c r="GG1022" s="317"/>
      <c r="GH1022" s="317"/>
      <c r="GI1022" s="317"/>
      <c r="GJ1022" s="317"/>
      <c r="GK1022" s="317"/>
      <c r="GL1022" s="317"/>
      <c r="GM1022" s="317"/>
      <c r="GN1022" s="317"/>
      <c r="GO1022" s="317"/>
      <c r="GP1022" s="13"/>
      <c r="GQ1022" s="43"/>
      <c r="GR1022" s="43"/>
      <c r="GS1022" s="45"/>
      <c r="GT1022" s="49"/>
      <c r="GU1022" s="49"/>
      <c r="GV1022" s="49"/>
      <c r="GW1022" s="49"/>
      <c r="GX1022" s="49"/>
      <c r="GY1022" s="208"/>
      <c r="GZ1022" s="231"/>
      <c r="HA1022" s="231"/>
      <c r="HB1022" s="231"/>
      <c r="HC1022" s="231"/>
      <c r="HD1022" s="231"/>
      <c r="HE1022" s="231"/>
      <c r="HF1022" s="231"/>
      <c r="HG1022" s="231"/>
      <c r="HH1022" s="231"/>
      <c r="HI1022" s="232"/>
    </row>
    <row r="1023" spans="82:217" ht="10.75" customHeight="1">
      <c r="CD1023" s="229"/>
      <c r="CE1023" s="231"/>
      <c r="CF1023" s="231"/>
      <c r="CG1023" s="231"/>
      <c r="CH1023" s="231"/>
      <c r="CI1023" s="231"/>
      <c r="CJ1023" s="214"/>
      <c r="CK1023" s="49"/>
      <c r="CL1023" s="49"/>
      <c r="CM1023" s="49"/>
      <c r="CN1023" s="49"/>
      <c r="CO1023" s="49"/>
      <c r="CP1023" s="49"/>
      <c r="CQ1023" s="49"/>
      <c r="CR1023" s="49"/>
      <c r="CS1023" s="49"/>
      <c r="CT1023" s="42"/>
      <c r="CU1023" s="43"/>
      <c r="CV1023" s="43"/>
      <c r="CW1023" s="14"/>
      <c r="CX1023" s="16"/>
      <c r="CY1023" s="15"/>
      <c r="CZ1023" s="15"/>
      <c r="DA1023" s="15"/>
      <c r="DB1023" s="15"/>
      <c r="DC1023" s="15"/>
      <c r="DD1023" s="15"/>
      <c r="DE1023" s="16"/>
      <c r="DF1023" s="317"/>
      <c r="DG1023" s="317"/>
      <c r="DH1023" s="317"/>
      <c r="DI1023" s="317"/>
      <c r="DJ1023" s="317"/>
      <c r="DK1023" s="317"/>
      <c r="DL1023" s="317"/>
      <c r="DM1023" s="317"/>
      <c r="DN1023" s="317"/>
      <c r="DO1023" s="317"/>
      <c r="DP1023" s="317"/>
      <c r="DQ1023" s="317"/>
      <c r="DR1023" s="317"/>
      <c r="DS1023" s="317"/>
      <c r="DT1023" s="317"/>
      <c r="DU1023" s="317"/>
      <c r="DV1023" s="317"/>
      <c r="DW1023" s="317"/>
      <c r="DX1023" s="13"/>
      <c r="DY1023" s="316"/>
      <c r="DZ1023" s="161"/>
      <c r="EA1023" s="12"/>
      <c r="EB1023" s="13"/>
      <c r="EC1023" s="317"/>
      <c r="ED1023" s="317"/>
      <c r="EE1023" s="317"/>
      <c r="EF1023" s="13"/>
      <c r="EG1023" s="317"/>
      <c r="EH1023" s="317"/>
      <c r="EI1023" s="317"/>
      <c r="EJ1023" s="317"/>
      <c r="EK1023" s="317"/>
      <c r="EL1023" s="317"/>
      <c r="EM1023" s="317"/>
      <c r="EN1023" s="317"/>
      <c r="EO1023" s="317"/>
      <c r="EP1023" s="317"/>
      <c r="EQ1023" s="317"/>
      <c r="ER1023" s="317"/>
      <c r="ES1023" s="12"/>
      <c r="ET1023" s="321"/>
      <c r="EU1023" s="317"/>
      <c r="EV1023" s="317"/>
      <c r="EW1023" s="317"/>
      <c r="EX1023" s="317"/>
      <c r="EY1023" s="317"/>
      <c r="EZ1023" s="297"/>
      <c r="FA1023" s="317"/>
      <c r="FB1023" s="317"/>
      <c r="FC1023" s="317"/>
      <c r="FD1023" s="317"/>
      <c r="FE1023" s="317"/>
      <c r="FF1023" s="317"/>
      <c r="FG1023" s="317"/>
      <c r="FH1023" s="317"/>
      <c r="FI1023" s="317"/>
      <c r="FJ1023" s="317"/>
      <c r="FK1023" s="317"/>
      <c r="FL1023" s="317"/>
      <c r="FM1023" s="317"/>
      <c r="FN1023" s="317"/>
      <c r="FO1023" s="317"/>
      <c r="FP1023" s="317"/>
      <c r="FQ1023" s="317"/>
      <c r="FR1023" s="317"/>
      <c r="FS1023" s="317"/>
      <c r="FT1023" s="317"/>
      <c r="FU1023" s="317"/>
      <c r="FV1023" s="317"/>
      <c r="FW1023" s="317"/>
      <c r="FX1023" s="317"/>
      <c r="FY1023" s="317"/>
      <c r="FZ1023" s="317"/>
      <c r="GA1023" s="317"/>
      <c r="GB1023" s="317"/>
      <c r="GC1023" s="317"/>
      <c r="GD1023" s="317"/>
      <c r="GE1023" s="317"/>
      <c r="GF1023" s="317"/>
      <c r="GG1023" s="317"/>
      <c r="GH1023" s="317"/>
      <c r="GI1023" s="317"/>
      <c r="GJ1023" s="317"/>
      <c r="GK1023" s="317"/>
      <c r="GL1023" s="317"/>
      <c r="GM1023" s="317"/>
      <c r="GN1023" s="317"/>
      <c r="GO1023" s="317"/>
      <c r="GP1023" s="13"/>
      <c r="GQ1023" s="43"/>
      <c r="GR1023" s="43"/>
      <c r="GS1023" s="45"/>
      <c r="GT1023" s="49"/>
      <c r="GU1023" s="49"/>
      <c r="GV1023" s="49"/>
      <c r="GW1023" s="49"/>
      <c r="GX1023" s="49"/>
      <c r="GY1023" s="208"/>
      <c r="GZ1023" s="231"/>
      <c r="HA1023" s="231"/>
      <c r="HB1023" s="231"/>
      <c r="HC1023" s="231"/>
      <c r="HD1023" s="231"/>
      <c r="HE1023" s="231"/>
      <c r="HF1023" s="231"/>
      <c r="HG1023" s="231"/>
      <c r="HH1023" s="231"/>
      <c r="HI1023" s="232"/>
    </row>
    <row r="1024" spans="82:217" ht="10.75" customHeight="1">
      <c r="CD1024" s="229"/>
      <c r="CE1024" s="231"/>
      <c r="CF1024" s="231"/>
      <c r="CG1024" s="231"/>
      <c r="CH1024" s="231"/>
      <c r="CI1024" s="231"/>
      <c r="CJ1024" s="214"/>
      <c r="CK1024" s="49"/>
      <c r="CL1024" s="49"/>
      <c r="CM1024" s="49"/>
      <c r="CN1024" s="49"/>
      <c r="CO1024" s="49"/>
      <c r="CP1024" s="49"/>
      <c r="CQ1024" s="49"/>
      <c r="CR1024" s="49"/>
      <c r="CS1024" s="49"/>
      <c r="CT1024" s="42"/>
      <c r="CU1024" s="43"/>
      <c r="CV1024" s="43"/>
      <c r="CW1024" s="12"/>
      <c r="CX1024" s="317"/>
      <c r="CY1024" s="317"/>
      <c r="CZ1024" s="317"/>
      <c r="DA1024" s="317"/>
      <c r="DB1024" s="317"/>
      <c r="DC1024" s="317"/>
      <c r="DD1024" s="317"/>
      <c r="DE1024" s="317"/>
      <c r="DF1024" s="317"/>
      <c r="DG1024" s="317"/>
      <c r="DH1024" s="317"/>
      <c r="DI1024" s="317"/>
      <c r="DJ1024" s="317"/>
      <c r="DK1024" s="317"/>
      <c r="DL1024" s="317"/>
      <c r="DM1024" s="317"/>
      <c r="DN1024" s="317"/>
      <c r="DO1024" s="317"/>
      <c r="DP1024" s="317"/>
      <c r="DQ1024" s="317"/>
      <c r="DR1024" s="317"/>
      <c r="DS1024" s="317"/>
      <c r="DT1024" s="317"/>
      <c r="DU1024" s="317"/>
      <c r="DV1024" s="317"/>
      <c r="DW1024" s="317"/>
      <c r="DX1024" s="13"/>
      <c r="DY1024" s="316"/>
      <c r="DZ1024" s="161"/>
      <c r="EA1024" s="12"/>
      <c r="EB1024" s="13"/>
      <c r="EC1024" s="317"/>
      <c r="ED1024" s="317"/>
      <c r="EE1024" s="317"/>
      <c r="EF1024" s="13"/>
      <c r="EG1024" s="317"/>
      <c r="EH1024" s="317"/>
      <c r="EI1024" s="317"/>
      <c r="EJ1024" s="317"/>
      <c r="EK1024" s="317"/>
      <c r="EL1024" s="317"/>
      <c r="EM1024" s="317"/>
      <c r="EN1024" s="317"/>
      <c r="EO1024" s="317"/>
      <c r="EP1024" s="317"/>
      <c r="EQ1024" s="317"/>
      <c r="ER1024" s="317"/>
      <c r="ES1024" s="12"/>
      <c r="ET1024" s="321"/>
      <c r="EU1024" s="317"/>
      <c r="EV1024" s="317"/>
      <c r="EW1024" s="317"/>
      <c r="EX1024" s="317"/>
      <c r="EY1024" s="317"/>
      <c r="EZ1024" s="297"/>
      <c r="FA1024" s="317"/>
      <c r="FB1024" s="317"/>
      <c r="FC1024" s="317"/>
      <c r="FD1024" s="317"/>
      <c r="FE1024" s="317"/>
      <c r="FF1024" s="317"/>
      <c r="FG1024" s="317"/>
      <c r="FH1024" s="317"/>
      <c r="FI1024" s="317"/>
      <c r="FJ1024" s="317"/>
      <c r="FK1024" s="317"/>
      <c r="FL1024" s="317"/>
      <c r="FM1024" s="317"/>
      <c r="FN1024" s="317"/>
      <c r="FO1024" s="317"/>
      <c r="FP1024" s="317"/>
      <c r="FQ1024" s="317"/>
      <c r="FR1024" s="317"/>
      <c r="FS1024" s="317"/>
      <c r="FT1024" s="317"/>
      <c r="FU1024" s="317"/>
      <c r="FV1024" s="317"/>
      <c r="FW1024" s="317"/>
      <c r="FX1024" s="317"/>
      <c r="FY1024" s="317"/>
      <c r="FZ1024" s="317"/>
      <c r="GA1024" s="317"/>
      <c r="GB1024" s="317"/>
      <c r="GC1024" s="317"/>
      <c r="GD1024" s="317"/>
      <c r="GE1024" s="317"/>
      <c r="GF1024" s="317"/>
      <c r="GG1024" s="317"/>
      <c r="GH1024" s="317"/>
      <c r="GI1024" s="317"/>
      <c r="GJ1024" s="317"/>
      <c r="GK1024" s="317"/>
      <c r="GL1024" s="317"/>
      <c r="GM1024" s="317"/>
      <c r="GN1024" s="317"/>
      <c r="GO1024" s="317"/>
      <c r="GP1024" s="13"/>
      <c r="GQ1024" s="43"/>
      <c r="GR1024" s="43"/>
      <c r="GS1024" s="45"/>
      <c r="GT1024" s="49"/>
      <c r="GU1024" s="49"/>
      <c r="GV1024" s="49"/>
      <c r="GW1024" s="49"/>
      <c r="GX1024" s="49"/>
      <c r="GY1024" s="208"/>
      <c r="GZ1024" s="231"/>
      <c r="HA1024" s="231"/>
      <c r="HB1024" s="231"/>
      <c r="HC1024" s="231"/>
      <c r="HD1024" s="231"/>
      <c r="HE1024" s="231"/>
      <c r="HF1024" s="231"/>
      <c r="HG1024" s="231"/>
      <c r="HH1024" s="231"/>
      <c r="HI1024" s="232"/>
    </row>
    <row r="1025" spans="82:217" ht="10.75" customHeight="1">
      <c r="CD1025" s="229"/>
      <c r="CE1025" s="231"/>
      <c r="CF1025" s="231"/>
      <c r="CG1025" s="231"/>
      <c r="CH1025" s="231"/>
      <c r="CI1025" s="231"/>
      <c r="CJ1025" s="214"/>
      <c r="CK1025" s="49"/>
      <c r="CL1025" s="49"/>
      <c r="CM1025" s="49"/>
      <c r="CN1025" s="49"/>
      <c r="CO1025" s="49"/>
      <c r="CP1025" s="49"/>
      <c r="CQ1025" s="49"/>
      <c r="CR1025" s="49"/>
      <c r="CS1025" s="49"/>
      <c r="CT1025" s="42"/>
      <c r="CU1025" s="43"/>
      <c r="CV1025" s="43"/>
      <c r="CW1025" s="12"/>
      <c r="CX1025" s="317"/>
      <c r="CY1025" s="317"/>
      <c r="CZ1025" s="317"/>
      <c r="DA1025" s="317"/>
      <c r="DB1025" s="317"/>
      <c r="DC1025" s="317"/>
      <c r="DD1025" s="317"/>
      <c r="DE1025" s="317"/>
      <c r="DF1025" s="317"/>
      <c r="DG1025" s="317"/>
      <c r="DH1025" s="317"/>
      <c r="DI1025" s="317"/>
      <c r="DJ1025" s="317"/>
      <c r="DK1025" s="317"/>
      <c r="DL1025" s="317"/>
      <c r="DM1025" s="317"/>
      <c r="DN1025" s="317"/>
      <c r="DO1025" s="317"/>
      <c r="DP1025" s="317"/>
      <c r="DQ1025" s="317"/>
      <c r="DR1025" s="317"/>
      <c r="DS1025" s="317"/>
      <c r="DT1025" s="317"/>
      <c r="DU1025" s="317"/>
      <c r="DV1025" s="317"/>
      <c r="DW1025" s="317"/>
      <c r="DX1025" s="13"/>
      <c r="DY1025" s="316"/>
      <c r="DZ1025" s="161"/>
      <c r="EA1025" s="14"/>
      <c r="EB1025" s="16"/>
      <c r="EC1025" s="15"/>
      <c r="ED1025" s="15"/>
      <c r="EE1025" s="15"/>
      <c r="EF1025" s="16"/>
      <c r="EG1025" s="317"/>
      <c r="EH1025" s="317"/>
      <c r="EI1025" s="317"/>
      <c r="EJ1025" s="317"/>
      <c r="EK1025" s="317"/>
      <c r="EL1025" s="317"/>
      <c r="EM1025" s="317"/>
      <c r="EN1025" s="317"/>
      <c r="EO1025" s="317"/>
      <c r="EP1025" s="317"/>
      <c r="EQ1025" s="317"/>
      <c r="ER1025" s="317"/>
      <c r="ES1025" s="12"/>
      <c r="ET1025" s="321"/>
      <c r="EU1025" s="317"/>
      <c r="EV1025" s="317"/>
      <c r="EW1025" s="317"/>
      <c r="EX1025" s="317"/>
      <c r="EY1025" s="317"/>
      <c r="EZ1025" s="297"/>
      <c r="FA1025" s="317"/>
      <c r="FB1025" s="317"/>
      <c r="FC1025" s="317"/>
      <c r="FD1025" s="317"/>
      <c r="FE1025" s="317"/>
      <c r="FF1025" s="317"/>
      <c r="FG1025" s="317"/>
      <c r="FH1025" s="317"/>
      <c r="FI1025" s="317"/>
      <c r="FJ1025" s="317"/>
      <c r="FK1025" s="317"/>
      <c r="FL1025" s="317"/>
      <c r="FM1025" s="317"/>
      <c r="FN1025" s="317"/>
      <c r="FO1025" s="317"/>
      <c r="FP1025" s="317"/>
      <c r="FQ1025" s="317"/>
      <c r="FR1025" s="317"/>
      <c r="FS1025" s="317"/>
      <c r="FT1025" s="317"/>
      <c r="FU1025" s="317"/>
      <c r="FV1025" s="317"/>
      <c r="FW1025" s="317"/>
      <c r="FX1025" s="317"/>
      <c r="FY1025" s="317"/>
      <c r="FZ1025" s="317"/>
      <c r="GA1025" s="317"/>
      <c r="GB1025" s="317"/>
      <c r="GC1025" s="317"/>
      <c r="GD1025" s="317"/>
      <c r="GE1025" s="317"/>
      <c r="GF1025" s="317"/>
      <c r="GG1025" s="317"/>
      <c r="GH1025" s="317"/>
      <c r="GI1025" s="317"/>
      <c r="GJ1025" s="317"/>
      <c r="GK1025" s="317"/>
      <c r="GL1025" s="317"/>
      <c r="GM1025" s="317"/>
      <c r="GN1025" s="317"/>
      <c r="GO1025" s="317"/>
      <c r="GP1025" s="13"/>
      <c r="GQ1025" s="43"/>
      <c r="GR1025" s="43"/>
      <c r="GS1025" s="45"/>
      <c r="GT1025" s="49"/>
      <c r="GU1025" s="49"/>
      <c r="GV1025" s="49"/>
      <c r="GW1025" s="49"/>
      <c r="GX1025" s="49"/>
      <c r="GY1025" s="208"/>
      <c r="GZ1025" s="231"/>
      <c r="HA1025" s="231"/>
      <c r="HB1025" s="231"/>
      <c r="HC1025" s="231"/>
      <c r="HD1025" s="231"/>
      <c r="HE1025" s="231"/>
      <c r="HF1025" s="231"/>
      <c r="HG1025" s="231"/>
      <c r="HH1025" s="231"/>
      <c r="HI1025" s="232"/>
    </row>
    <row r="1026" spans="82:217" ht="10.75" customHeight="1">
      <c r="CD1026" s="229"/>
      <c r="CE1026" s="231"/>
      <c r="CF1026" s="231"/>
      <c r="CG1026" s="231"/>
      <c r="CH1026" s="231"/>
      <c r="CI1026" s="231"/>
      <c r="CJ1026" s="214"/>
      <c r="CK1026" s="49"/>
      <c r="CL1026" s="49"/>
      <c r="CM1026" s="49"/>
      <c r="CN1026" s="49"/>
      <c r="CO1026" s="49"/>
      <c r="CP1026" s="49"/>
      <c r="CQ1026" s="49"/>
      <c r="CR1026" s="49"/>
      <c r="CS1026" s="49"/>
      <c r="CT1026" s="42"/>
      <c r="CU1026" s="43"/>
      <c r="CV1026" s="43"/>
      <c r="CW1026" s="9"/>
      <c r="CX1026" s="11"/>
      <c r="CY1026" s="10"/>
      <c r="CZ1026" s="10"/>
      <c r="DA1026" s="10"/>
      <c r="DB1026" s="11"/>
      <c r="DC1026" s="317"/>
      <c r="DD1026" s="317"/>
      <c r="DE1026" s="317"/>
      <c r="DF1026" s="317"/>
      <c r="DG1026" s="317"/>
      <c r="DH1026" s="317"/>
      <c r="DI1026" s="317"/>
      <c r="DJ1026" s="317"/>
      <c r="DK1026" s="317"/>
      <c r="DL1026" s="317"/>
      <c r="DM1026" s="317"/>
      <c r="DN1026" s="317"/>
      <c r="DO1026" s="317"/>
      <c r="DP1026" s="317"/>
      <c r="DQ1026" s="317"/>
      <c r="DR1026" s="317"/>
      <c r="DS1026" s="317"/>
      <c r="DT1026" s="317"/>
      <c r="DU1026" s="317"/>
      <c r="DV1026" s="317"/>
      <c r="DW1026" s="317"/>
      <c r="DX1026" s="13"/>
      <c r="DY1026" s="316"/>
      <c r="DZ1026" s="161"/>
      <c r="EA1026" s="12"/>
      <c r="EB1026" s="317"/>
      <c r="EC1026" s="317"/>
      <c r="ED1026" s="317"/>
      <c r="EE1026" s="317"/>
      <c r="EF1026" s="317"/>
      <c r="EG1026" s="317"/>
      <c r="EH1026" s="317"/>
      <c r="EI1026" s="317"/>
      <c r="EJ1026" s="317"/>
      <c r="EK1026" s="317"/>
      <c r="EL1026" s="317"/>
      <c r="EM1026" s="317"/>
      <c r="EN1026" s="317"/>
      <c r="EO1026" s="317"/>
      <c r="EP1026" s="317"/>
      <c r="EQ1026" s="317"/>
      <c r="ER1026" s="317"/>
      <c r="ES1026" s="12"/>
      <c r="ET1026" s="321"/>
      <c r="EU1026" s="317"/>
      <c r="EV1026" s="317"/>
      <c r="EW1026" s="317"/>
      <c r="EX1026" s="317"/>
      <c r="EY1026" s="317"/>
      <c r="EZ1026" s="297"/>
      <c r="FA1026" s="317"/>
      <c r="FB1026" s="317"/>
      <c r="FC1026" s="317"/>
      <c r="FD1026" s="317"/>
      <c r="FE1026" s="317"/>
      <c r="FF1026" s="317"/>
      <c r="FG1026" s="317"/>
      <c r="FH1026" s="317"/>
      <c r="FI1026" s="317"/>
      <c r="FJ1026" s="317"/>
      <c r="FK1026" s="317"/>
      <c r="FL1026" s="317"/>
      <c r="FM1026" s="317"/>
      <c r="FN1026" s="317"/>
      <c r="FO1026" s="317"/>
      <c r="FP1026" s="317"/>
      <c r="FQ1026" s="317"/>
      <c r="FR1026" s="317"/>
      <c r="FS1026" s="317"/>
      <c r="FT1026" s="317"/>
      <c r="FU1026" s="317"/>
      <c r="FV1026" s="317"/>
      <c r="FW1026" s="317"/>
      <c r="FX1026" s="317"/>
      <c r="FY1026" s="317"/>
      <c r="FZ1026" s="317"/>
      <c r="GA1026" s="317"/>
      <c r="GB1026" s="317"/>
      <c r="GC1026" s="317"/>
      <c r="GD1026" s="317"/>
      <c r="GE1026" s="317"/>
      <c r="GF1026" s="317"/>
      <c r="GG1026" s="317"/>
      <c r="GH1026" s="317"/>
      <c r="GI1026" s="317"/>
      <c r="GJ1026" s="317"/>
      <c r="GK1026" s="317"/>
      <c r="GL1026" s="317"/>
      <c r="GM1026" s="317"/>
      <c r="GN1026" s="317"/>
      <c r="GO1026" s="317"/>
      <c r="GP1026" s="13"/>
      <c r="GQ1026" s="43"/>
      <c r="GR1026" s="43"/>
      <c r="GS1026" s="45"/>
      <c r="GT1026" s="49"/>
      <c r="GU1026" s="49"/>
      <c r="GV1026" s="49"/>
      <c r="GW1026" s="49"/>
      <c r="GX1026" s="49"/>
      <c r="GY1026" s="208"/>
      <c r="GZ1026" s="231"/>
      <c r="HA1026" s="231"/>
      <c r="HB1026" s="231"/>
      <c r="HC1026" s="231"/>
      <c r="HD1026" s="231"/>
      <c r="HE1026" s="231"/>
      <c r="HF1026" s="231"/>
      <c r="HG1026" s="231"/>
      <c r="HH1026" s="231"/>
      <c r="HI1026" s="232"/>
    </row>
    <row r="1027" spans="82:217" ht="10.75" customHeight="1">
      <c r="CD1027" s="229"/>
      <c r="CE1027" s="231"/>
      <c r="CF1027" s="231"/>
      <c r="CG1027" s="231"/>
      <c r="CH1027" s="231"/>
      <c r="CI1027" s="231"/>
      <c r="CJ1027" s="214"/>
      <c r="CK1027" s="49"/>
      <c r="CL1027" s="49"/>
      <c r="CM1027" s="49"/>
      <c r="CN1027" s="49"/>
      <c r="CO1027" s="49"/>
      <c r="CP1027" s="49"/>
      <c r="CQ1027" s="49"/>
      <c r="CR1027" s="49"/>
      <c r="CS1027" s="49"/>
      <c r="CT1027" s="42"/>
      <c r="CU1027" s="43"/>
      <c r="CV1027" s="43"/>
      <c r="CW1027" s="12"/>
      <c r="CX1027" s="13"/>
      <c r="CY1027" s="317"/>
      <c r="CZ1027" s="317"/>
      <c r="DA1027" s="317"/>
      <c r="DB1027" s="13"/>
      <c r="DC1027" s="317"/>
      <c r="DD1027" s="317"/>
      <c r="DE1027" s="317"/>
      <c r="DF1027" s="317"/>
      <c r="DG1027" s="317"/>
      <c r="DH1027" s="317"/>
      <c r="DI1027" s="317"/>
      <c r="DJ1027" s="317"/>
      <c r="DK1027" s="317"/>
      <c r="DL1027" s="317"/>
      <c r="DM1027" s="317"/>
      <c r="DN1027" s="317"/>
      <c r="DO1027" s="317"/>
      <c r="DP1027" s="317"/>
      <c r="DQ1027" s="317"/>
      <c r="DR1027" s="317"/>
      <c r="DS1027" s="317"/>
      <c r="DT1027" s="317"/>
      <c r="DU1027" s="317"/>
      <c r="DV1027" s="317"/>
      <c r="DW1027" s="317"/>
      <c r="DX1027" s="13"/>
      <c r="DY1027" s="316"/>
      <c r="DZ1027" s="161"/>
      <c r="EA1027" s="12"/>
      <c r="EB1027" s="317"/>
      <c r="EC1027" s="317"/>
      <c r="ED1027" s="317"/>
      <c r="EE1027" s="317"/>
      <c r="EF1027" s="317"/>
      <c r="EG1027" s="317"/>
      <c r="EH1027" s="317"/>
      <c r="EI1027" s="317"/>
      <c r="EJ1027" s="317"/>
      <c r="EK1027" s="317"/>
      <c r="EL1027" s="317"/>
      <c r="EM1027" s="317"/>
      <c r="EN1027" s="317"/>
      <c r="EO1027" s="317"/>
      <c r="EP1027" s="317"/>
      <c r="EQ1027" s="317"/>
      <c r="ER1027" s="317"/>
      <c r="ES1027" s="12"/>
      <c r="ET1027" s="13"/>
      <c r="EU1027" s="317"/>
      <c r="EV1027" s="317"/>
      <c r="EW1027" s="317"/>
      <c r="EX1027" s="317"/>
      <c r="EY1027" s="317"/>
      <c r="EZ1027" s="297"/>
      <c r="FA1027" s="317"/>
      <c r="FB1027" s="317"/>
      <c r="FC1027" s="317"/>
      <c r="FD1027" s="317"/>
      <c r="FE1027" s="317"/>
      <c r="FF1027" s="317"/>
      <c r="FG1027" s="317"/>
      <c r="FH1027" s="317"/>
      <c r="FI1027" s="317"/>
      <c r="FJ1027" s="317"/>
      <c r="FK1027" s="317"/>
      <c r="FL1027" s="317"/>
      <c r="FM1027" s="317"/>
      <c r="FN1027" s="317"/>
      <c r="FO1027" s="317"/>
      <c r="FP1027" s="317"/>
      <c r="FQ1027" s="317"/>
      <c r="FR1027" s="317"/>
      <c r="FS1027" s="317"/>
      <c r="FT1027" s="317"/>
      <c r="FU1027" s="317"/>
      <c r="FV1027" s="317"/>
      <c r="FW1027" s="317"/>
      <c r="FX1027" s="317"/>
      <c r="FY1027" s="317"/>
      <c r="FZ1027" s="317"/>
      <c r="GA1027" s="317"/>
      <c r="GB1027" s="317"/>
      <c r="GC1027" s="317"/>
      <c r="GD1027" s="317"/>
      <c r="GE1027" s="317"/>
      <c r="GF1027" s="317"/>
      <c r="GG1027" s="317"/>
      <c r="GH1027" s="317"/>
      <c r="GI1027" s="317"/>
      <c r="GJ1027" s="317"/>
      <c r="GK1027" s="317"/>
      <c r="GL1027" s="317"/>
      <c r="GM1027" s="317"/>
      <c r="GN1027" s="317"/>
      <c r="GO1027" s="317"/>
      <c r="GP1027" s="13"/>
      <c r="GQ1027" s="43"/>
      <c r="GR1027" s="43"/>
      <c r="GS1027" s="45"/>
      <c r="GT1027" s="49"/>
      <c r="GU1027" s="49"/>
      <c r="GV1027" s="49"/>
      <c r="GW1027" s="49"/>
      <c r="GX1027" s="49"/>
      <c r="GY1027" s="208"/>
      <c r="GZ1027" s="231"/>
      <c r="HA1027" s="231"/>
      <c r="HB1027" s="231"/>
      <c r="HC1027" s="231"/>
      <c r="HD1027" s="231"/>
      <c r="HE1027" s="231"/>
      <c r="HF1027" s="231"/>
      <c r="HG1027" s="231"/>
      <c r="HH1027" s="231"/>
      <c r="HI1027" s="232"/>
    </row>
    <row r="1028" spans="82:217" ht="10.75" customHeight="1">
      <c r="CD1028" s="229"/>
      <c r="CE1028" s="231"/>
      <c r="CF1028" s="231"/>
      <c r="CG1028" s="231"/>
      <c r="CH1028" s="231"/>
      <c r="CI1028" s="231"/>
      <c r="CJ1028" s="214"/>
      <c r="CK1028" s="49"/>
      <c r="CL1028" s="49"/>
      <c r="CM1028" s="49"/>
      <c r="CN1028" s="49"/>
      <c r="CO1028" s="49"/>
      <c r="CP1028" s="49"/>
      <c r="CQ1028" s="49"/>
      <c r="CR1028" s="49"/>
      <c r="CS1028" s="49"/>
      <c r="CT1028" s="42"/>
      <c r="CU1028" s="43"/>
      <c r="CV1028" s="43"/>
      <c r="CW1028" s="12"/>
      <c r="CX1028" s="13"/>
      <c r="CY1028" s="317"/>
      <c r="CZ1028" s="317"/>
      <c r="DA1028" s="317"/>
      <c r="DB1028" s="13"/>
      <c r="DC1028" s="317"/>
      <c r="DD1028" s="317"/>
      <c r="DE1028" s="317"/>
      <c r="DF1028" s="317"/>
      <c r="DG1028" s="317"/>
      <c r="DH1028" s="317"/>
      <c r="DI1028" s="317"/>
      <c r="DJ1028" s="317"/>
      <c r="DK1028" s="317"/>
      <c r="DL1028" s="317"/>
      <c r="DM1028" s="317"/>
      <c r="DN1028" s="317"/>
      <c r="DO1028" s="317"/>
      <c r="DP1028" s="317"/>
      <c r="DQ1028" s="317"/>
      <c r="DR1028" s="317"/>
      <c r="DS1028" s="317"/>
      <c r="DT1028" s="317"/>
      <c r="DU1028" s="317"/>
      <c r="DV1028" s="317"/>
      <c r="DW1028" s="317"/>
      <c r="DX1028" s="13"/>
      <c r="DY1028" s="316"/>
      <c r="DZ1028" s="161"/>
      <c r="EA1028" s="9"/>
      <c r="EB1028" s="11"/>
      <c r="EC1028" s="10"/>
      <c r="ED1028" s="10"/>
      <c r="EE1028" s="10"/>
      <c r="EF1028" s="10"/>
      <c r="EG1028" s="10"/>
      <c r="EH1028" s="10"/>
      <c r="EI1028" s="11"/>
      <c r="EJ1028" s="317"/>
      <c r="EK1028" s="317"/>
      <c r="EL1028" s="317"/>
      <c r="EM1028" s="317"/>
      <c r="EN1028" s="317"/>
      <c r="EO1028" s="317"/>
      <c r="EP1028" s="317"/>
      <c r="EQ1028" s="317"/>
      <c r="ER1028" s="317"/>
      <c r="ES1028" s="12"/>
      <c r="ET1028" s="13"/>
      <c r="EU1028" s="317"/>
      <c r="EV1028" s="317"/>
      <c r="EW1028" s="317"/>
      <c r="EX1028" s="317"/>
      <c r="EY1028" s="317"/>
      <c r="EZ1028" s="297"/>
      <c r="FA1028" s="317"/>
      <c r="FB1028" s="317"/>
      <c r="FC1028" s="317"/>
      <c r="FD1028" s="317"/>
      <c r="FE1028" s="317"/>
      <c r="FF1028" s="317"/>
      <c r="FG1028" s="317"/>
      <c r="FH1028" s="317"/>
      <c r="FI1028" s="317"/>
      <c r="FJ1028" s="317"/>
      <c r="FK1028" s="317"/>
      <c r="FL1028" s="317"/>
      <c r="FM1028" s="317"/>
      <c r="FN1028" s="317"/>
      <c r="FO1028" s="317"/>
      <c r="FP1028" s="317"/>
      <c r="FQ1028" s="317"/>
      <c r="FR1028" s="317"/>
      <c r="FS1028" s="317"/>
      <c r="FT1028" s="317"/>
      <c r="FU1028" s="317"/>
      <c r="FV1028" s="317"/>
      <c r="FW1028" s="317"/>
      <c r="FX1028" s="317"/>
      <c r="FY1028" s="317"/>
      <c r="FZ1028" s="317"/>
      <c r="GA1028" s="317"/>
      <c r="GB1028" s="317"/>
      <c r="GC1028" s="317"/>
      <c r="GD1028" s="317"/>
      <c r="GE1028" s="317"/>
      <c r="GF1028" s="317"/>
      <c r="GG1028" s="317"/>
      <c r="GH1028" s="317"/>
      <c r="GI1028" s="317"/>
      <c r="GJ1028" s="317"/>
      <c r="GK1028" s="317"/>
      <c r="GL1028" s="317"/>
      <c r="GM1028" s="317"/>
      <c r="GN1028" s="317"/>
      <c r="GO1028" s="317"/>
      <c r="GP1028" s="13"/>
      <c r="GQ1028" s="43"/>
      <c r="GR1028" s="43"/>
      <c r="GS1028" s="45"/>
      <c r="GT1028" s="49"/>
      <c r="GU1028" s="49"/>
      <c r="GV1028" s="49"/>
      <c r="GW1028" s="49"/>
      <c r="GX1028" s="49"/>
      <c r="GY1028" s="208"/>
      <c r="GZ1028" s="231"/>
      <c r="HA1028" s="231"/>
      <c r="HB1028" s="231"/>
      <c r="HC1028" s="231"/>
      <c r="HD1028" s="231"/>
      <c r="HE1028" s="231"/>
      <c r="HF1028" s="231"/>
      <c r="HG1028" s="231"/>
      <c r="HH1028" s="231"/>
      <c r="HI1028" s="232"/>
    </row>
    <row r="1029" spans="82:217" ht="10.75" customHeight="1">
      <c r="CD1029" s="229"/>
      <c r="CE1029" s="231"/>
      <c r="CF1029" s="231"/>
      <c r="CG1029" s="231"/>
      <c r="CH1029" s="231"/>
      <c r="CI1029" s="231"/>
      <c r="CJ1029" s="214"/>
      <c r="CK1029" s="49"/>
      <c r="CL1029" s="49"/>
      <c r="CM1029" s="49"/>
      <c r="CN1029" s="49"/>
      <c r="CO1029" s="49"/>
      <c r="CP1029" s="49"/>
      <c r="CQ1029" s="49"/>
      <c r="CR1029" s="49"/>
      <c r="CS1029" s="208"/>
      <c r="CT1029" s="42"/>
      <c r="CU1029" s="43"/>
      <c r="CV1029" s="43"/>
      <c r="CW1029" s="12"/>
      <c r="CX1029" s="13"/>
      <c r="CY1029" s="317"/>
      <c r="CZ1029" s="317"/>
      <c r="DA1029" s="317"/>
      <c r="DB1029" s="13"/>
      <c r="DC1029" s="317"/>
      <c r="DD1029" s="317"/>
      <c r="DE1029" s="317"/>
      <c r="DF1029" s="317"/>
      <c r="DG1029" s="317"/>
      <c r="DH1029" s="317"/>
      <c r="DI1029" s="317"/>
      <c r="DJ1029" s="317"/>
      <c r="DK1029" s="317"/>
      <c r="DL1029" s="317"/>
      <c r="DM1029" s="317"/>
      <c r="DN1029" s="317"/>
      <c r="DO1029" s="317"/>
      <c r="DP1029" s="317"/>
      <c r="DQ1029" s="317"/>
      <c r="DR1029" s="317"/>
      <c r="DS1029" s="317"/>
      <c r="DT1029" s="317"/>
      <c r="DU1029" s="317"/>
      <c r="DV1029" s="317"/>
      <c r="DW1029" s="317"/>
      <c r="DX1029" s="13"/>
      <c r="DY1029" s="316"/>
      <c r="DZ1029" s="161"/>
      <c r="EA1029" s="12"/>
      <c r="EB1029" s="13"/>
      <c r="EC1029" s="317"/>
      <c r="ED1029" s="317"/>
      <c r="EE1029" s="317"/>
      <c r="EF1029" s="317"/>
      <c r="EG1029" s="317"/>
      <c r="EH1029" s="317"/>
      <c r="EI1029" s="13"/>
      <c r="EJ1029" s="317"/>
      <c r="EK1029" s="317"/>
      <c r="EL1029" s="317"/>
      <c r="EM1029" s="317"/>
      <c r="EN1029" s="317"/>
      <c r="EO1029" s="317"/>
      <c r="EP1029" s="317"/>
      <c r="EQ1029" s="317"/>
      <c r="ER1029" s="317"/>
      <c r="ES1029" s="12"/>
      <c r="ET1029" s="13"/>
      <c r="EU1029" s="317"/>
      <c r="EV1029" s="317"/>
      <c r="EW1029" s="317"/>
      <c r="EX1029" s="317"/>
      <c r="EY1029" s="317"/>
      <c r="EZ1029" s="297"/>
      <c r="FA1029" s="317"/>
      <c r="FB1029" s="317"/>
      <c r="FC1029" s="317"/>
      <c r="FD1029" s="317"/>
      <c r="FE1029" s="317"/>
      <c r="FF1029" s="317"/>
      <c r="FG1029" s="317"/>
      <c r="FH1029" s="317"/>
      <c r="FI1029" s="317"/>
      <c r="FJ1029" s="317"/>
      <c r="FK1029" s="317"/>
      <c r="FL1029" s="317"/>
      <c r="FM1029" s="317"/>
      <c r="FN1029" s="317"/>
      <c r="FO1029" s="317"/>
      <c r="FP1029" s="317"/>
      <c r="FQ1029" s="317"/>
      <c r="FR1029" s="317"/>
      <c r="FS1029" s="317"/>
      <c r="FT1029" s="317"/>
      <c r="FU1029" s="317"/>
      <c r="FV1029" s="317"/>
      <c r="FW1029" s="317"/>
      <c r="FX1029" s="317"/>
      <c r="FY1029" s="317"/>
      <c r="FZ1029" s="317"/>
      <c r="GA1029" s="317"/>
      <c r="GB1029" s="317"/>
      <c r="GC1029" s="317"/>
      <c r="GD1029" s="317"/>
      <c r="GE1029" s="317"/>
      <c r="GF1029" s="317"/>
      <c r="GG1029" s="317"/>
      <c r="GH1029" s="317"/>
      <c r="GI1029" s="317"/>
      <c r="GJ1029" s="317"/>
      <c r="GK1029" s="317"/>
      <c r="GL1029" s="317"/>
      <c r="GM1029" s="317"/>
      <c r="GN1029" s="317"/>
      <c r="GO1029" s="317"/>
      <c r="GP1029" s="13"/>
      <c r="GQ1029" s="43"/>
      <c r="GR1029" s="43"/>
      <c r="GS1029" s="45"/>
      <c r="GT1029" s="49"/>
      <c r="GU1029" s="49"/>
      <c r="GV1029" s="49"/>
      <c r="GW1029" s="49"/>
      <c r="GX1029" s="49"/>
      <c r="GY1029" s="208"/>
      <c r="GZ1029" s="231"/>
      <c r="HA1029" s="231"/>
      <c r="HB1029" s="231"/>
      <c r="HC1029" s="231"/>
      <c r="HD1029" s="231"/>
      <c r="HE1029" s="231"/>
      <c r="HF1029" s="231"/>
      <c r="HG1029" s="231"/>
      <c r="HH1029" s="231"/>
      <c r="HI1029" s="232"/>
    </row>
    <row r="1030" spans="82:217" ht="10.75" customHeight="1">
      <c r="CD1030" s="229"/>
      <c r="CE1030" s="231"/>
      <c r="CF1030" s="231"/>
      <c r="CG1030" s="231"/>
      <c r="CH1030" s="231"/>
      <c r="CI1030" s="231"/>
      <c r="CJ1030" s="214"/>
      <c r="CK1030" s="49"/>
      <c r="CL1030" s="49"/>
      <c r="CM1030" s="49"/>
      <c r="CN1030" s="49"/>
      <c r="CO1030" s="49"/>
      <c r="CP1030" s="49"/>
      <c r="CQ1030" s="49"/>
      <c r="CR1030" s="49"/>
      <c r="CS1030" s="49"/>
      <c r="CT1030" s="42"/>
      <c r="CU1030" s="43"/>
      <c r="CV1030" s="43"/>
      <c r="CW1030" s="12"/>
      <c r="CX1030" s="13"/>
      <c r="CY1030" s="317"/>
      <c r="CZ1030" s="317"/>
      <c r="DA1030" s="317"/>
      <c r="DB1030" s="13"/>
      <c r="DC1030" s="317"/>
      <c r="DD1030" s="317"/>
      <c r="DE1030" s="317"/>
      <c r="DF1030" s="317"/>
      <c r="DG1030" s="317"/>
      <c r="DH1030" s="317"/>
      <c r="DI1030" s="317"/>
      <c r="DJ1030" s="317"/>
      <c r="DK1030" s="317"/>
      <c r="DL1030" s="317"/>
      <c r="DM1030" s="317"/>
      <c r="DN1030" s="317"/>
      <c r="DO1030" s="317"/>
      <c r="DP1030" s="317"/>
      <c r="DQ1030" s="317"/>
      <c r="DR1030" s="317"/>
      <c r="DS1030" s="317"/>
      <c r="DT1030" s="317"/>
      <c r="DU1030" s="317"/>
      <c r="DV1030" s="317"/>
      <c r="DW1030" s="317"/>
      <c r="DX1030" s="13"/>
      <c r="DY1030" s="316"/>
      <c r="DZ1030" s="161"/>
      <c r="EA1030" s="12"/>
      <c r="EB1030" s="13"/>
      <c r="EC1030" s="317"/>
      <c r="ED1030" s="317"/>
      <c r="EE1030" s="317"/>
      <c r="EF1030" s="317"/>
      <c r="EG1030" s="317"/>
      <c r="EH1030" s="317"/>
      <c r="EI1030" s="13"/>
      <c r="EJ1030" s="317"/>
      <c r="EK1030" s="317"/>
      <c r="EL1030" s="317"/>
      <c r="EM1030" s="317"/>
      <c r="EN1030" s="317"/>
      <c r="EO1030" s="317"/>
      <c r="EP1030" s="317"/>
      <c r="EQ1030" s="317"/>
      <c r="ER1030" s="317"/>
      <c r="ES1030" s="12"/>
      <c r="ET1030" s="13"/>
      <c r="EU1030" s="317"/>
      <c r="EV1030" s="317"/>
      <c r="EW1030" s="317"/>
      <c r="EX1030" s="317"/>
      <c r="EY1030" s="317"/>
      <c r="EZ1030" s="297"/>
      <c r="FA1030" s="317"/>
      <c r="FB1030" s="317"/>
      <c r="FC1030" s="317"/>
      <c r="FD1030" s="317"/>
      <c r="FE1030" s="317"/>
      <c r="FF1030" s="317"/>
      <c r="FG1030" s="317"/>
      <c r="FH1030" s="317"/>
      <c r="FI1030" s="317"/>
      <c r="FJ1030" s="317"/>
      <c r="FK1030" s="317"/>
      <c r="FL1030" s="317"/>
      <c r="FM1030" s="317"/>
      <c r="FN1030" s="317"/>
      <c r="FO1030" s="317"/>
      <c r="FP1030" s="317"/>
      <c r="FQ1030" s="317"/>
      <c r="FR1030" s="317"/>
      <c r="FS1030" s="317"/>
      <c r="FT1030" s="317"/>
      <c r="FU1030" s="317"/>
      <c r="FV1030" s="317"/>
      <c r="FW1030" s="317"/>
      <c r="FX1030" s="317"/>
      <c r="FY1030" s="317"/>
      <c r="FZ1030" s="317"/>
      <c r="GA1030" s="317"/>
      <c r="GB1030" s="317"/>
      <c r="GC1030" s="317"/>
      <c r="GD1030" s="317"/>
      <c r="GE1030" s="317"/>
      <c r="GF1030" s="317"/>
      <c r="GG1030" s="317"/>
      <c r="GH1030" s="317"/>
      <c r="GI1030" s="317"/>
      <c r="GJ1030" s="317"/>
      <c r="GK1030" s="317"/>
      <c r="GL1030" s="317"/>
      <c r="GM1030" s="317"/>
      <c r="GN1030" s="317"/>
      <c r="GO1030" s="317"/>
      <c r="GP1030" s="13"/>
      <c r="GQ1030" s="43"/>
      <c r="GR1030" s="43"/>
      <c r="GS1030" s="45"/>
      <c r="GT1030" s="49"/>
      <c r="GU1030" s="49"/>
      <c r="GV1030" s="49"/>
      <c r="GW1030" s="49"/>
      <c r="GX1030" s="49"/>
      <c r="GY1030" s="208"/>
      <c r="GZ1030" s="231"/>
      <c r="HA1030" s="231"/>
      <c r="HB1030" s="231"/>
      <c r="HC1030" s="231"/>
      <c r="HD1030" s="231"/>
      <c r="HE1030" s="231"/>
      <c r="HF1030" s="231"/>
      <c r="HG1030" s="231"/>
      <c r="HH1030" s="231"/>
      <c r="HI1030" s="232"/>
    </row>
    <row r="1031" spans="82:217" ht="10.75" customHeight="1">
      <c r="CD1031" s="229"/>
      <c r="CE1031" s="231"/>
      <c r="CF1031" s="231"/>
      <c r="CG1031" s="231"/>
      <c r="CH1031" s="231"/>
      <c r="CI1031" s="231"/>
      <c r="CJ1031" s="214"/>
      <c r="CK1031" s="49"/>
      <c r="CL1031" s="49"/>
      <c r="CM1031" s="49"/>
      <c r="CN1031" s="49"/>
      <c r="CO1031" s="49"/>
      <c r="CP1031" s="49"/>
      <c r="CQ1031" s="49"/>
      <c r="CR1031" s="49"/>
      <c r="CS1031" s="49"/>
      <c r="CT1031" s="42"/>
      <c r="CU1031" s="43"/>
      <c r="CV1031" s="43"/>
      <c r="CW1031" s="12"/>
      <c r="CX1031" s="13"/>
      <c r="CY1031" s="317"/>
      <c r="CZ1031" s="317"/>
      <c r="DA1031" s="317"/>
      <c r="DB1031" s="13"/>
      <c r="DC1031" s="317"/>
      <c r="DD1031" s="317"/>
      <c r="DE1031" s="317"/>
      <c r="DF1031" s="317"/>
      <c r="DG1031" s="317"/>
      <c r="DH1031" s="317"/>
      <c r="DI1031" s="317"/>
      <c r="DJ1031" s="317"/>
      <c r="DK1031" s="317"/>
      <c r="DL1031" s="317"/>
      <c r="DM1031" s="317"/>
      <c r="DN1031" s="317"/>
      <c r="DO1031" s="317"/>
      <c r="DP1031" s="317"/>
      <c r="DQ1031" s="317"/>
      <c r="DR1031" s="317"/>
      <c r="DS1031" s="317"/>
      <c r="DT1031" s="317"/>
      <c r="DU1031" s="317"/>
      <c r="DV1031" s="317"/>
      <c r="DW1031" s="317"/>
      <c r="DX1031" s="13"/>
      <c r="DY1031" s="316"/>
      <c r="DZ1031" s="161"/>
      <c r="EA1031" s="12"/>
      <c r="EB1031" s="13"/>
      <c r="EC1031" s="317"/>
      <c r="ED1031" s="317"/>
      <c r="EE1031" s="317"/>
      <c r="EF1031" s="317"/>
      <c r="EG1031" s="317"/>
      <c r="EH1031" s="317"/>
      <c r="EI1031" s="13"/>
      <c r="EJ1031" s="317"/>
      <c r="EK1031" s="317"/>
      <c r="EL1031" s="317"/>
      <c r="EM1031" s="317"/>
      <c r="EN1031" s="317"/>
      <c r="EO1031" s="317"/>
      <c r="EP1031" s="317"/>
      <c r="EQ1031" s="317"/>
      <c r="ER1031" s="317"/>
      <c r="ES1031" s="12"/>
      <c r="ET1031" s="13"/>
      <c r="EU1031" s="317"/>
      <c r="EV1031" s="317"/>
      <c r="EW1031" s="317"/>
      <c r="EX1031" s="317"/>
      <c r="EY1031" s="317"/>
      <c r="EZ1031" s="297"/>
      <c r="FA1031" s="317"/>
      <c r="FB1031" s="317"/>
      <c r="FC1031" s="317"/>
      <c r="FD1031" s="317"/>
      <c r="FE1031" s="317"/>
      <c r="FF1031" s="317"/>
      <c r="FG1031" s="317"/>
      <c r="FH1031" s="317"/>
      <c r="FI1031" s="317"/>
      <c r="FJ1031" s="317"/>
      <c r="FK1031" s="317"/>
      <c r="FL1031" s="317"/>
      <c r="FM1031" s="317"/>
      <c r="FN1031" s="317"/>
      <c r="FO1031" s="317"/>
      <c r="FP1031" s="317"/>
      <c r="FQ1031" s="317"/>
      <c r="FR1031" s="317"/>
      <c r="FS1031" s="317"/>
      <c r="FT1031" s="317"/>
      <c r="FU1031" s="317"/>
      <c r="FV1031" s="317"/>
      <c r="FW1031" s="317"/>
      <c r="FX1031" s="317"/>
      <c r="FY1031" s="317"/>
      <c r="FZ1031" s="317"/>
      <c r="GA1031" s="317"/>
      <c r="GB1031" s="317"/>
      <c r="GC1031" s="317"/>
      <c r="GD1031" s="317"/>
      <c r="GE1031" s="317"/>
      <c r="GF1031" s="317"/>
      <c r="GG1031" s="317"/>
      <c r="GH1031" s="317"/>
      <c r="GI1031" s="317"/>
      <c r="GJ1031" s="317"/>
      <c r="GK1031" s="317"/>
      <c r="GL1031" s="317"/>
      <c r="GM1031" s="317"/>
      <c r="GN1031" s="317"/>
      <c r="GO1031" s="317"/>
      <c r="GP1031" s="13"/>
      <c r="GQ1031" s="43"/>
      <c r="GR1031" s="43"/>
      <c r="GS1031" s="45"/>
      <c r="GT1031" s="49"/>
      <c r="GU1031" s="49"/>
      <c r="GV1031" s="49"/>
      <c r="GW1031" s="49"/>
      <c r="GX1031" s="49"/>
      <c r="GY1031" s="208"/>
      <c r="GZ1031" s="231"/>
      <c r="HA1031" s="231"/>
      <c r="HB1031" s="231"/>
      <c r="HC1031" s="231"/>
      <c r="HD1031" s="231"/>
      <c r="HE1031" s="231"/>
      <c r="HF1031" s="231"/>
      <c r="HG1031" s="231"/>
      <c r="HH1031" s="231"/>
      <c r="HI1031" s="232"/>
    </row>
    <row r="1032" spans="82:217" ht="10.75" customHeight="1">
      <c r="CD1032" s="229"/>
      <c r="CE1032" s="231"/>
      <c r="CF1032" s="231"/>
      <c r="CG1032" s="231"/>
      <c r="CH1032" s="231"/>
      <c r="CI1032" s="231"/>
      <c r="CJ1032" s="214"/>
      <c r="CK1032" s="49"/>
      <c r="CL1032" s="49"/>
      <c r="CM1032" s="49"/>
      <c r="CN1032" s="49"/>
      <c r="CO1032" s="49"/>
      <c r="CP1032" s="49"/>
      <c r="CQ1032" s="49"/>
      <c r="CR1032" s="49"/>
      <c r="CS1032" s="49"/>
      <c r="CT1032" s="42"/>
      <c r="CU1032" s="43"/>
      <c r="CV1032" s="43"/>
      <c r="CW1032" s="14"/>
      <c r="CX1032" s="16"/>
      <c r="CY1032" s="15"/>
      <c r="CZ1032" s="15"/>
      <c r="DA1032" s="15"/>
      <c r="DB1032" s="16"/>
      <c r="DC1032" s="317"/>
      <c r="DD1032" s="317"/>
      <c r="DE1032" s="317"/>
      <c r="DF1032" s="317"/>
      <c r="DG1032" s="317"/>
      <c r="DH1032" s="317"/>
      <c r="DI1032" s="317"/>
      <c r="DJ1032" s="317"/>
      <c r="DK1032" s="317"/>
      <c r="DL1032" s="317"/>
      <c r="DM1032" s="317"/>
      <c r="DN1032" s="317"/>
      <c r="DO1032" s="317"/>
      <c r="DP1032" s="317"/>
      <c r="DQ1032" s="317"/>
      <c r="DR1032" s="317"/>
      <c r="DS1032" s="317"/>
      <c r="DT1032" s="317"/>
      <c r="DU1032" s="317"/>
      <c r="DV1032" s="317"/>
      <c r="DW1032" s="317"/>
      <c r="DX1032" s="13"/>
      <c r="DY1032" s="316"/>
      <c r="DZ1032" s="161"/>
      <c r="EA1032" s="14"/>
      <c r="EB1032" s="16"/>
      <c r="EC1032" s="15"/>
      <c r="ED1032" s="15"/>
      <c r="EE1032" s="15"/>
      <c r="EF1032" s="15"/>
      <c r="EG1032" s="15"/>
      <c r="EH1032" s="15"/>
      <c r="EI1032" s="16"/>
      <c r="EJ1032" s="317"/>
      <c r="EK1032" s="317"/>
      <c r="EL1032" s="317"/>
      <c r="EM1032" s="317"/>
      <c r="EN1032" s="317"/>
      <c r="EO1032" s="317"/>
      <c r="EP1032" s="317"/>
      <c r="EQ1032" s="317"/>
      <c r="ER1032" s="317"/>
      <c r="ES1032" s="12"/>
      <c r="ET1032" s="13"/>
      <c r="EU1032" s="317"/>
      <c r="EV1032" s="317"/>
      <c r="EW1032" s="317"/>
      <c r="EX1032" s="317"/>
      <c r="EY1032" s="317"/>
      <c r="EZ1032" s="297"/>
      <c r="FA1032" s="317"/>
      <c r="FB1032" s="317"/>
      <c r="FC1032" s="317"/>
      <c r="FD1032" s="317"/>
      <c r="FE1032" s="317"/>
      <c r="FF1032" s="317"/>
      <c r="FG1032" s="317"/>
      <c r="FH1032" s="317"/>
      <c r="FI1032" s="317"/>
      <c r="FJ1032" s="317"/>
      <c r="FK1032" s="317"/>
      <c r="FL1032" s="317"/>
      <c r="FM1032" s="317"/>
      <c r="FN1032" s="317"/>
      <c r="FO1032" s="317"/>
      <c r="FP1032" s="317"/>
      <c r="FQ1032" s="317"/>
      <c r="FR1032" s="317"/>
      <c r="FS1032" s="317"/>
      <c r="FT1032" s="317"/>
      <c r="FU1032" s="317"/>
      <c r="FV1032" s="317"/>
      <c r="FW1032" s="317"/>
      <c r="FX1032" s="317"/>
      <c r="FY1032" s="317"/>
      <c r="FZ1032" s="317"/>
      <c r="GA1032" s="317"/>
      <c r="GB1032" s="317"/>
      <c r="GC1032" s="317"/>
      <c r="GD1032" s="317"/>
      <c r="GE1032" s="317"/>
      <c r="GF1032" s="317"/>
      <c r="GG1032" s="317"/>
      <c r="GH1032" s="317"/>
      <c r="GI1032" s="317"/>
      <c r="GJ1032" s="317"/>
      <c r="GK1032" s="317"/>
      <c r="GL1032" s="317"/>
      <c r="GM1032" s="317"/>
      <c r="GN1032" s="317"/>
      <c r="GO1032" s="317"/>
      <c r="GP1032" s="13"/>
      <c r="GQ1032" s="43"/>
      <c r="GR1032" s="43"/>
      <c r="GS1032" s="45"/>
      <c r="GT1032" s="49"/>
      <c r="GU1032" s="49"/>
      <c r="GV1032" s="49"/>
      <c r="GW1032" s="49"/>
      <c r="GX1032" s="49"/>
      <c r="GY1032" s="208"/>
      <c r="GZ1032" s="231"/>
      <c r="HA1032" s="231"/>
      <c r="HB1032" s="231"/>
      <c r="HC1032" s="231"/>
      <c r="HD1032" s="231"/>
      <c r="HE1032" s="231"/>
      <c r="HF1032" s="231"/>
      <c r="HG1032" s="231"/>
      <c r="HH1032" s="231"/>
      <c r="HI1032" s="232"/>
    </row>
    <row r="1033" spans="82:217" ht="10.75" customHeight="1">
      <c r="CD1033" s="229"/>
      <c r="CE1033" s="231"/>
      <c r="CF1033" s="231"/>
      <c r="CG1033" s="231"/>
      <c r="CH1033" s="231"/>
      <c r="CI1033" s="231"/>
      <c r="CJ1033" s="214"/>
      <c r="CK1033" s="49"/>
      <c r="CL1033" s="49"/>
      <c r="CM1033" s="49"/>
      <c r="CN1033" s="49"/>
      <c r="CO1033" s="49"/>
      <c r="CP1033" s="49"/>
      <c r="CQ1033" s="49"/>
      <c r="CR1033" s="49"/>
      <c r="CS1033" s="49"/>
      <c r="CT1033" s="42"/>
      <c r="CU1033" s="43"/>
      <c r="CV1033" s="43"/>
      <c r="CW1033" s="12"/>
      <c r="CX1033" s="317"/>
      <c r="CY1033" s="317"/>
      <c r="CZ1033" s="317"/>
      <c r="DA1033" s="317"/>
      <c r="DB1033" s="317"/>
      <c r="DC1033" s="317"/>
      <c r="DD1033" s="317"/>
      <c r="DE1033" s="317"/>
      <c r="DF1033" s="317"/>
      <c r="DG1033" s="317"/>
      <c r="DH1033" s="317"/>
      <c r="DI1033" s="317"/>
      <c r="DJ1033" s="317"/>
      <c r="DK1033" s="317"/>
      <c r="DL1033" s="317"/>
      <c r="DM1033" s="317"/>
      <c r="DN1033" s="317"/>
      <c r="DO1033" s="317"/>
      <c r="DP1033" s="317"/>
      <c r="DQ1033" s="317"/>
      <c r="DR1033" s="317"/>
      <c r="DS1033" s="317"/>
      <c r="DT1033" s="317"/>
      <c r="DU1033" s="317"/>
      <c r="DV1033" s="317"/>
      <c r="DW1033" s="317"/>
      <c r="DX1033" s="13"/>
      <c r="DY1033" s="316"/>
      <c r="DZ1033" s="161"/>
      <c r="EA1033" s="12"/>
      <c r="EB1033" s="317"/>
      <c r="EC1033" s="317"/>
      <c r="ED1033" s="317"/>
      <c r="EE1033" s="317"/>
      <c r="EF1033" s="317"/>
      <c r="EG1033" s="317"/>
      <c r="EH1033" s="317"/>
      <c r="EI1033" s="317"/>
      <c r="EJ1033" s="317"/>
      <c r="EK1033" s="317"/>
      <c r="EL1033" s="317"/>
      <c r="EM1033" s="317"/>
      <c r="EN1033" s="317"/>
      <c r="EO1033" s="317"/>
      <c r="EP1033" s="317"/>
      <c r="EQ1033" s="317"/>
      <c r="ER1033" s="317"/>
      <c r="ES1033" s="12"/>
      <c r="ET1033" s="13"/>
      <c r="EU1033" s="317"/>
      <c r="EV1033" s="317"/>
      <c r="EW1033" s="317"/>
      <c r="EX1033" s="317"/>
      <c r="EY1033" s="317"/>
      <c r="EZ1033" s="297"/>
      <c r="FA1033" s="317"/>
      <c r="FB1033" s="317"/>
      <c r="FC1033" s="317"/>
      <c r="FD1033" s="317"/>
      <c r="FE1033" s="317"/>
      <c r="FF1033" s="317"/>
      <c r="FG1033" s="317"/>
      <c r="FH1033" s="317"/>
      <c r="FI1033" s="317"/>
      <c r="FJ1033" s="317"/>
      <c r="FK1033" s="317"/>
      <c r="FL1033" s="317"/>
      <c r="FM1033" s="317"/>
      <c r="FN1033" s="317"/>
      <c r="FO1033" s="317"/>
      <c r="FP1033" s="317"/>
      <c r="FQ1033" s="317"/>
      <c r="FR1033" s="317"/>
      <c r="FS1033" s="317"/>
      <c r="FT1033" s="317"/>
      <c r="FU1033" s="317"/>
      <c r="FV1033" s="317"/>
      <c r="FW1033" s="317"/>
      <c r="FX1033" s="317"/>
      <c r="FY1033" s="317"/>
      <c r="FZ1033" s="317"/>
      <c r="GA1033" s="317"/>
      <c r="GB1033" s="317"/>
      <c r="GC1033" s="317"/>
      <c r="GD1033" s="317"/>
      <c r="GE1033" s="317"/>
      <c r="GF1033" s="317"/>
      <c r="GG1033" s="317"/>
      <c r="GH1033" s="317"/>
      <c r="GI1033" s="317"/>
      <c r="GJ1033" s="317"/>
      <c r="GK1033" s="317"/>
      <c r="GL1033" s="317"/>
      <c r="GM1033" s="317"/>
      <c r="GN1033" s="317"/>
      <c r="GO1033" s="317"/>
      <c r="GP1033" s="13"/>
      <c r="GQ1033" s="43"/>
      <c r="GR1033" s="43"/>
      <c r="GS1033" s="45"/>
      <c r="GT1033" s="49"/>
      <c r="GU1033" s="49"/>
      <c r="GV1033" s="49"/>
      <c r="GW1033" s="49"/>
      <c r="GX1033" s="49"/>
      <c r="GY1033" s="208"/>
      <c r="GZ1033" s="231"/>
      <c r="HA1033" s="231"/>
      <c r="HB1033" s="231"/>
      <c r="HC1033" s="231"/>
      <c r="HD1033" s="231"/>
      <c r="HE1033" s="231"/>
      <c r="HF1033" s="231"/>
      <c r="HG1033" s="231"/>
      <c r="HH1033" s="231"/>
      <c r="HI1033" s="232"/>
    </row>
    <row r="1034" spans="82:217" ht="10.75" customHeight="1">
      <c r="CD1034" s="229"/>
      <c r="CE1034" s="231"/>
      <c r="CF1034" s="231"/>
      <c r="CG1034" s="231"/>
      <c r="CH1034" s="231"/>
      <c r="CI1034" s="231"/>
      <c r="CJ1034" s="214"/>
      <c r="CK1034" s="49"/>
      <c r="CL1034" s="49"/>
      <c r="CM1034" s="49"/>
      <c r="CN1034" s="49"/>
      <c r="CO1034" s="49"/>
      <c r="CP1034" s="49"/>
      <c r="CQ1034" s="49"/>
      <c r="CR1034" s="49"/>
      <c r="CS1034" s="49"/>
      <c r="CT1034" s="42"/>
      <c r="CU1034" s="43"/>
      <c r="CV1034" s="43"/>
      <c r="CW1034" s="12"/>
      <c r="CX1034" s="317"/>
      <c r="CY1034" s="317"/>
      <c r="CZ1034" s="317"/>
      <c r="DA1034" s="317"/>
      <c r="DB1034" s="317"/>
      <c r="DC1034" s="317"/>
      <c r="DD1034" s="317"/>
      <c r="DE1034" s="317"/>
      <c r="DF1034" s="317"/>
      <c r="DG1034" s="317"/>
      <c r="DH1034" s="317"/>
      <c r="DI1034" s="317"/>
      <c r="DJ1034" s="317"/>
      <c r="DK1034" s="317"/>
      <c r="DL1034" s="317"/>
      <c r="DM1034" s="317"/>
      <c r="DN1034" s="317"/>
      <c r="DO1034" s="317"/>
      <c r="DP1034" s="317"/>
      <c r="DQ1034" s="317"/>
      <c r="DR1034" s="317"/>
      <c r="DS1034" s="317"/>
      <c r="DT1034" s="317"/>
      <c r="DU1034" s="317"/>
      <c r="DV1034" s="317"/>
      <c r="DW1034" s="317"/>
      <c r="DX1034" s="13"/>
      <c r="DY1034" s="316"/>
      <c r="DZ1034" s="161"/>
      <c r="EA1034" s="317"/>
      <c r="EB1034" s="317"/>
      <c r="EC1034" s="317"/>
      <c r="ED1034" s="317"/>
      <c r="EE1034" s="317"/>
      <c r="EF1034" s="317"/>
      <c r="EG1034" s="317"/>
      <c r="EH1034" s="317"/>
      <c r="EI1034" s="317"/>
      <c r="EJ1034" s="317"/>
      <c r="EK1034" s="317"/>
      <c r="EL1034" s="317"/>
      <c r="EM1034" s="317"/>
      <c r="EN1034" s="317"/>
      <c r="EO1034" s="317"/>
      <c r="EP1034" s="317"/>
      <c r="EQ1034" s="317"/>
      <c r="ER1034" s="317"/>
      <c r="ES1034" s="12"/>
      <c r="ET1034" s="13"/>
      <c r="EU1034" s="317"/>
      <c r="EV1034" s="317"/>
      <c r="EW1034" s="317"/>
      <c r="EX1034" s="317"/>
      <c r="EY1034" s="317"/>
      <c r="EZ1034" s="297"/>
      <c r="FA1034" s="317"/>
      <c r="FB1034" s="317"/>
      <c r="FC1034" s="317"/>
      <c r="FD1034" s="317"/>
      <c r="FE1034" s="317"/>
      <c r="FF1034" s="317"/>
      <c r="FG1034" s="317"/>
      <c r="FH1034" s="317"/>
      <c r="FI1034" s="317"/>
      <c r="FJ1034" s="317"/>
      <c r="FK1034" s="317"/>
      <c r="FL1034" s="317"/>
      <c r="FM1034" s="317"/>
      <c r="FN1034" s="317"/>
      <c r="FO1034" s="317"/>
      <c r="FP1034" s="317"/>
      <c r="FQ1034" s="317"/>
      <c r="FR1034" s="317"/>
      <c r="FS1034" s="317"/>
      <c r="FT1034" s="317"/>
      <c r="FU1034" s="317"/>
      <c r="FV1034" s="317"/>
      <c r="FW1034" s="317"/>
      <c r="FX1034" s="317"/>
      <c r="FY1034" s="317"/>
      <c r="FZ1034" s="317"/>
      <c r="GA1034" s="317"/>
      <c r="GB1034" s="317"/>
      <c r="GC1034" s="317"/>
      <c r="GD1034" s="317"/>
      <c r="GE1034" s="317"/>
      <c r="GF1034" s="317"/>
      <c r="GG1034" s="317"/>
      <c r="GH1034" s="317"/>
      <c r="GI1034" s="317"/>
      <c r="GJ1034" s="317"/>
      <c r="GK1034" s="317"/>
      <c r="GL1034" s="317"/>
      <c r="GM1034" s="317"/>
      <c r="GN1034" s="317"/>
      <c r="GO1034" s="317"/>
      <c r="GP1034" s="13"/>
      <c r="GQ1034" s="43"/>
      <c r="GR1034" s="43"/>
      <c r="GS1034" s="45"/>
      <c r="GT1034" s="49"/>
      <c r="GU1034" s="49"/>
      <c r="GV1034" s="49"/>
      <c r="GW1034" s="49"/>
      <c r="GX1034" s="49"/>
      <c r="GY1034" s="208"/>
      <c r="GZ1034" s="231"/>
      <c r="HA1034" s="231"/>
      <c r="HB1034" s="231"/>
      <c r="HC1034" s="231"/>
      <c r="HD1034" s="231"/>
      <c r="HE1034" s="231"/>
      <c r="HF1034" s="231"/>
      <c r="HG1034" s="231"/>
      <c r="HH1034" s="231"/>
      <c r="HI1034" s="232"/>
    </row>
    <row r="1035" spans="82:217" ht="10.75" customHeight="1">
      <c r="CD1035" s="229"/>
      <c r="CE1035" s="231"/>
      <c r="CF1035" s="231"/>
      <c r="CG1035" s="231"/>
      <c r="CH1035" s="231"/>
      <c r="CI1035" s="231"/>
      <c r="CJ1035" s="214"/>
      <c r="CK1035" s="49"/>
      <c r="CL1035" s="49"/>
      <c r="CM1035" s="49"/>
      <c r="CN1035" s="49"/>
      <c r="CO1035" s="49"/>
      <c r="CP1035" s="49"/>
      <c r="CQ1035" s="49"/>
      <c r="CR1035" s="49"/>
      <c r="CS1035" s="208"/>
      <c r="CT1035" s="42"/>
      <c r="CU1035" s="43"/>
      <c r="CV1035" s="43"/>
      <c r="CW1035" s="14"/>
      <c r="CX1035" s="15"/>
      <c r="CY1035" s="15"/>
      <c r="CZ1035" s="15"/>
      <c r="DA1035" s="15"/>
      <c r="DB1035" s="15"/>
      <c r="DC1035" s="15"/>
      <c r="DD1035" s="15"/>
      <c r="DE1035" s="15"/>
      <c r="DF1035" s="15"/>
      <c r="DG1035" s="15"/>
      <c r="DH1035" s="15"/>
      <c r="DI1035" s="15"/>
      <c r="DJ1035" s="15"/>
      <c r="DK1035" s="15"/>
      <c r="DL1035" s="15"/>
      <c r="DM1035" s="15"/>
      <c r="DN1035" s="15"/>
      <c r="DO1035" s="15"/>
      <c r="DP1035" s="15"/>
      <c r="DQ1035" s="15"/>
      <c r="DR1035" s="15"/>
      <c r="DS1035" s="15"/>
      <c r="DT1035" s="15"/>
      <c r="DU1035" s="15"/>
      <c r="DV1035" s="15"/>
      <c r="DW1035" s="15"/>
      <c r="DX1035" s="16"/>
      <c r="DY1035" s="316"/>
      <c r="DZ1035" s="161"/>
      <c r="EA1035" s="15"/>
      <c r="EB1035" s="15"/>
      <c r="EC1035" s="15"/>
      <c r="ED1035" s="15"/>
      <c r="EE1035" s="15"/>
      <c r="EF1035" s="15"/>
      <c r="EG1035" s="15"/>
      <c r="EH1035" s="15"/>
      <c r="EI1035" s="15"/>
      <c r="EJ1035" s="15"/>
      <c r="EK1035" s="15"/>
      <c r="EL1035" s="15"/>
      <c r="EM1035" s="15"/>
      <c r="EN1035" s="15"/>
      <c r="EO1035" s="15"/>
      <c r="EP1035" s="15"/>
      <c r="EQ1035" s="15"/>
      <c r="ER1035" s="15"/>
      <c r="ES1035" s="12"/>
      <c r="ET1035" s="13"/>
      <c r="EU1035" s="317"/>
      <c r="EV1035" s="317"/>
      <c r="EW1035" s="317"/>
      <c r="EX1035" s="317"/>
      <c r="EY1035" s="317"/>
      <c r="EZ1035" s="299"/>
      <c r="FA1035" s="294"/>
      <c r="FB1035" s="317"/>
      <c r="FC1035" s="317"/>
      <c r="FD1035" s="317"/>
      <c r="FE1035" s="317"/>
      <c r="FF1035" s="317"/>
      <c r="FG1035" s="317"/>
      <c r="FH1035" s="317"/>
      <c r="FI1035" s="317"/>
      <c r="FJ1035" s="317"/>
      <c r="FK1035" s="317"/>
      <c r="FL1035" s="317"/>
      <c r="FM1035" s="317"/>
      <c r="FN1035" s="317"/>
      <c r="FO1035" s="317"/>
      <c r="FP1035" s="317"/>
      <c r="FQ1035" s="317"/>
      <c r="FR1035" s="317"/>
      <c r="FS1035" s="317"/>
      <c r="FT1035" s="317"/>
      <c r="FU1035" s="317"/>
      <c r="FV1035" s="317"/>
      <c r="FW1035" s="317"/>
      <c r="FX1035" s="317"/>
      <c r="FY1035" s="317"/>
      <c r="FZ1035" s="317"/>
      <c r="GA1035" s="317"/>
      <c r="GB1035" s="317"/>
      <c r="GC1035" s="317"/>
      <c r="GD1035" s="317"/>
      <c r="GE1035" s="317"/>
      <c r="GF1035" s="317"/>
      <c r="GG1035" s="317"/>
      <c r="GH1035" s="317"/>
      <c r="GI1035" s="317"/>
      <c r="GJ1035" s="317"/>
      <c r="GK1035" s="317"/>
      <c r="GL1035" s="317"/>
      <c r="GM1035" s="317"/>
      <c r="GN1035" s="317"/>
      <c r="GO1035" s="317"/>
      <c r="GP1035" s="13"/>
      <c r="GQ1035" s="43"/>
      <c r="GR1035" s="43"/>
      <c r="GS1035" s="45"/>
      <c r="GT1035" s="49"/>
      <c r="GU1035" s="49"/>
      <c r="GV1035" s="49"/>
      <c r="GW1035" s="49"/>
      <c r="GX1035" s="49"/>
      <c r="GY1035" s="208"/>
      <c r="GZ1035" s="231"/>
      <c r="HA1035" s="231"/>
      <c r="HB1035" s="231"/>
      <c r="HC1035" s="231"/>
      <c r="HD1035" s="231"/>
      <c r="HE1035" s="231"/>
      <c r="HF1035" s="231"/>
      <c r="HG1035" s="231"/>
      <c r="HH1035" s="231"/>
      <c r="HI1035" s="232"/>
    </row>
    <row r="1036" spans="82:217" ht="10.75" customHeight="1">
      <c r="CD1036" s="229"/>
      <c r="CE1036" s="231"/>
      <c r="CF1036" s="231"/>
      <c r="CG1036" s="231"/>
      <c r="CH1036" s="231"/>
      <c r="CI1036" s="231"/>
      <c r="CJ1036" s="214"/>
      <c r="CK1036" s="49"/>
      <c r="CL1036" s="49"/>
      <c r="CM1036" s="49"/>
      <c r="CN1036" s="49"/>
      <c r="CO1036" s="49"/>
      <c r="CP1036" s="49"/>
      <c r="CQ1036" s="49"/>
      <c r="CR1036" s="49"/>
      <c r="CS1036" s="208"/>
      <c r="CT1036" s="42"/>
      <c r="CU1036" s="43"/>
      <c r="CV1036" s="43"/>
      <c r="CW1036" s="160"/>
      <c r="CX1036" s="316"/>
      <c r="CY1036" s="316"/>
      <c r="CZ1036" s="316"/>
      <c r="DA1036" s="316"/>
      <c r="DB1036" s="316"/>
      <c r="DC1036" s="316"/>
      <c r="DD1036" s="316"/>
      <c r="DE1036" s="316"/>
      <c r="DF1036" s="316"/>
      <c r="DG1036" s="316"/>
      <c r="DH1036" s="316"/>
      <c r="DI1036" s="316"/>
      <c r="DJ1036" s="316"/>
      <c r="DK1036" s="316"/>
      <c r="DL1036" s="316"/>
      <c r="DM1036" s="316"/>
      <c r="DN1036" s="316"/>
      <c r="DO1036" s="316"/>
      <c r="DP1036" s="316"/>
      <c r="DQ1036" s="316"/>
      <c r="DR1036" s="316"/>
      <c r="DS1036" s="316"/>
      <c r="DT1036" s="316"/>
      <c r="DU1036" s="316"/>
      <c r="DV1036" s="316"/>
      <c r="DW1036" s="316"/>
      <c r="DX1036" s="316"/>
      <c r="DY1036" s="316"/>
      <c r="DZ1036" s="316"/>
      <c r="EA1036" s="316"/>
      <c r="EB1036" s="316"/>
      <c r="EC1036" s="316"/>
      <c r="ED1036" s="316"/>
      <c r="EE1036" s="316"/>
      <c r="EF1036" s="316"/>
      <c r="EG1036" s="316"/>
      <c r="EH1036" s="316"/>
      <c r="EI1036" s="316"/>
      <c r="EJ1036" s="316"/>
      <c r="EK1036" s="316"/>
      <c r="EL1036" s="316"/>
      <c r="EM1036" s="316"/>
      <c r="EN1036" s="316"/>
      <c r="EO1036" s="316"/>
      <c r="EP1036" s="316"/>
      <c r="EQ1036" s="316"/>
      <c r="ER1036" s="158"/>
      <c r="ES1036" s="158"/>
      <c r="ET1036" s="159"/>
      <c r="EU1036" s="317"/>
      <c r="EV1036" s="317"/>
      <c r="EW1036" s="317"/>
      <c r="EX1036" s="317"/>
      <c r="EY1036" s="317"/>
      <c r="EZ1036" s="317"/>
      <c r="FA1036" s="317"/>
      <c r="FB1036" s="317"/>
      <c r="FC1036" s="317"/>
      <c r="FD1036" s="317"/>
      <c r="FE1036" s="317"/>
      <c r="FF1036" s="317"/>
      <c r="FG1036" s="317"/>
      <c r="FH1036" s="317"/>
      <c r="FI1036" s="317"/>
      <c r="FJ1036" s="317"/>
      <c r="FK1036" s="317"/>
      <c r="FL1036" s="317"/>
      <c r="FM1036" s="317"/>
      <c r="FN1036" s="317"/>
      <c r="FO1036" s="317"/>
      <c r="FP1036" s="317"/>
      <c r="FQ1036" s="317"/>
      <c r="FR1036" s="317"/>
      <c r="FS1036" s="317"/>
      <c r="FT1036" s="317"/>
      <c r="FU1036" s="317"/>
      <c r="FV1036" s="317"/>
      <c r="FW1036" s="317"/>
      <c r="FX1036" s="317"/>
      <c r="FY1036" s="317"/>
      <c r="FZ1036" s="317"/>
      <c r="GA1036" s="317"/>
      <c r="GB1036" s="317"/>
      <c r="GC1036" s="317"/>
      <c r="GD1036" s="317"/>
      <c r="GE1036" s="317"/>
      <c r="GF1036" s="317"/>
      <c r="GG1036" s="317"/>
      <c r="GH1036" s="317"/>
      <c r="GI1036" s="317"/>
      <c r="GJ1036" s="317"/>
      <c r="GK1036" s="317"/>
      <c r="GL1036" s="317"/>
      <c r="GM1036" s="317"/>
      <c r="GN1036" s="317"/>
      <c r="GO1036" s="317"/>
      <c r="GP1036" s="13"/>
      <c r="GQ1036" s="43"/>
      <c r="GR1036" s="43"/>
      <c r="GS1036" s="45"/>
      <c r="GT1036" s="49"/>
      <c r="GU1036" s="49"/>
      <c r="GV1036" s="49"/>
      <c r="GW1036" s="49"/>
      <c r="GX1036" s="49"/>
      <c r="GY1036" s="208"/>
      <c r="GZ1036" s="231"/>
      <c r="HA1036" s="231"/>
      <c r="HB1036" s="231"/>
      <c r="HC1036" s="231"/>
      <c r="HD1036" s="231"/>
      <c r="HE1036" s="231"/>
      <c r="HF1036" s="231"/>
      <c r="HG1036" s="231"/>
      <c r="HH1036" s="231"/>
      <c r="HI1036" s="232"/>
    </row>
    <row r="1037" spans="82:217" ht="10.75" customHeight="1">
      <c r="CD1037" s="229"/>
      <c r="CE1037" s="231"/>
      <c r="CF1037" s="231"/>
      <c r="CG1037" s="231"/>
      <c r="CH1037" s="231"/>
      <c r="CI1037" s="231"/>
      <c r="CJ1037" s="214"/>
      <c r="CK1037" s="49"/>
      <c r="CL1037" s="49"/>
      <c r="CM1037" s="49"/>
      <c r="CN1037" s="49"/>
      <c r="CO1037" s="49"/>
      <c r="CP1037" s="49"/>
      <c r="CQ1037" s="49"/>
      <c r="CR1037" s="49"/>
      <c r="CS1037" s="208"/>
      <c r="CT1037" s="42"/>
      <c r="CU1037" s="43"/>
      <c r="CV1037" s="43"/>
      <c r="CW1037" s="160"/>
      <c r="CX1037" s="316"/>
      <c r="CY1037" s="316"/>
      <c r="CZ1037" s="316"/>
      <c r="DA1037" s="316"/>
      <c r="DB1037" s="316"/>
      <c r="DC1037" s="316"/>
      <c r="DD1037" s="316"/>
      <c r="DE1037" s="325"/>
      <c r="DF1037" s="325"/>
      <c r="DG1037" s="325"/>
      <c r="DH1037" s="325"/>
      <c r="DI1037" s="325"/>
      <c r="DJ1037" s="325"/>
      <c r="DK1037" s="325"/>
      <c r="DL1037" s="325"/>
      <c r="DM1037" s="325"/>
      <c r="DN1037" s="316"/>
      <c r="DO1037" s="316"/>
      <c r="DP1037" s="316"/>
      <c r="DQ1037" s="316"/>
      <c r="DR1037" s="316"/>
      <c r="DS1037" s="316"/>
      <c r="DT1037" s="316"/>
      <c r="DU1037" s="316"/>
      <c r="DV1037" s="316"/>
      <c r="DW1037" s="316"/>
      <c r="DX1037" s="316"/>
      <c r="DY1037" s="316"/>
      <c r="DZ1037" s="316"/>
      <c r="EA1037" s="316"/>
      <c r="EB1037" s="316"/>
      <c r="EC1037" s="316"/>
      <c r="ED1037" s="316"/>
      <c r="EE1037" s="316"/>
      <c r="EF1037" s="316"/>
      <c r="EG1037" s="316"/>
      <c r="EH1037" s="316"/>
      <c r="EI1037" s="316"/>
      <c r="EJ1037" s="316"/>
      <c r="EK1037" s="316"/>
      <c r="EL1037" s="316"/>
      <c r="EM1037" s="316"/>
      <c r="EN1037" s="316"/>
      <c r="EO1037" s="316"/>
      <c r="EP1037" s="316"/>
      <c r="EQ1037" s="316"/>
      <c r="ER1037" s="163"/>
      <c r="ES1037" s="316"/>
      <c r="ET1037" s="161"/>
      <c r="EU1037" s="317"/>
      <c r="EV1037" s="317"/>
      <c r="EW1037" s="317"/>
      <c r="EX1037" s="317"/>
      <c r="EY1037" s="317"/>
      <c r="EZ1037" s="294"/>
      <c r="FA1037" s="294"/>
      <c r="FB1037" s="317"/>
      <c r="FC1037" s="317"/>
      <c r="FD1037" s="317"/>
      <c r="FE1037" s="317"/>
      <c r="FF1037" s="317"/>
      <c r="FG1037" s="317"/>
      <c r="FH1037" s="317"/>
      <c r="FI1037" s="317"/>
      <c r="FJ1037" s="317"/>
      <c r="FK1037" s="317"/>
      <c r="FL1037" s="317"/>
      <c r="FM1037" s="317"/>
      <c r="FN1037" s="317"/>
      <c r="FO1037" s="317"/>
      <c r="FP1037" s="317"/>
      <c r="FQ1037" s="317"/>
      <c r="FR1037" s="317"/>
      <c r="FS1037" s="317"/>
      <c r="FT1037" s="317"/>
      <c r="FU1037" s="317"/>
      <c r="FV1037" s="317"/>
      <c r="FW1037" s="317"/>
      <c r="FX1037" s="317"/>
      <c r="FY1037" s="317"/>
      <c r="FZ1037" s="317"/>
      <c r="GA1037" s="317"/>
      <c r="GB1037" s="317"/>
      <c r="GC1037" s="317"/>
      <c r="GD1037" s="317"/>
      <c r="GE1037" s="317"/>
      <c r="GF1037" s="317"/>
      <c r="GG1037" s="317"/>
      <c r="GH1037" s="317"/>
      <c r="GI1037" s="317"/>
      <c r="GJ1037" s="317"/>
      <c r="GK1037" s="317"/>
      <c r="GL1037" s="317"/>
      <c r="GM1037" s="317"/>
      <c r="GN1037" s="317"/>
      <c r="GO1037" s="317"/>
      <c r="GP1037" s="13"/>
      <c r="GQ1037" s="43"/>
      <c r="GR1037" s="43"/>
      <c r="GS1037" s="45"/>
      <c r="GT1037" s="49"/>
      <c r="GU1037" s="49"/>
      <c r="GV1037" s="49"/>
      <c r="GW1037" s="49"/>
      <c r="GX1037" s="49"/>
      <c r="GY1037" s="208"/>
      <c r="GZ1037" s="231"/>
      <c r="HA1037" s="231"/>
      <c r="HB1037" s="231"/>
      <c r="HC1037" s="231"/>
      <c r="HD1037" s="231"/>
      <c r="HE1037" s="231"/>
      <c r="HF1037" s="231"/>
      <c r="HG1037" s="231"/>
      <c r="HH1037" s="231"/>
      <c r="HI1037" s="232"/>
    </row>
    <row r="1038" spans="82:217" ht="10.75" customHeight="1">
      <c r="CD1038" s="229"/>
      <c r="CE1038" s="231"/>
      <c r="CF1038" s="231"/>
      <c r="CG1038" s="231"/>
      <c r="CH1038" s="231"/>
      <c r="CI1038" s="231"/>
      <c r="CJ1038" s="9"/>
      <c r="CK1038" s="10"/>
      <c r="CL1038" s="10"/>
      <c r="CM1038" s="10"/>
      <c r="CN1038" s="10"/>
      <c r="CO1038" s="10"/>
      <c r="CP1038" s="10"/>
      <c r="CQ1038" s="10"/>
      <c r="CR1038" s="10"/>
      <c r="CS1038" s="11"/>
      <c r="CT1038" s="42"/>
      <c r="CU1038" s="43"/>
      <c r="CV1038" s="43"/>
      <c r="CW1038" s="9"/>
      <c r="CX1038" s="10"/>
      <c r="CY1038" s="10"/>
      <c r="CZ1038" s="10"/>
      <c r="DA1038" s="10"/>
      <c r="DB1038" s="10"/>
      <c r="DC1038" s="10"/>
      <c r="DD1038" s="10"/>
      <c r="DE1038" s="10"/>
      <c r="DF1038" s="10"/>
      <c r="DG1038" s="10"/>
      <c r="DH1038" s="10"/>
      <c r="DI1038" s="10"/>
      <c r="DJ1038" s="10"/>
      <c r="DK1038" s="10"/>
      <c r="DL1038" s="10"/>
      <c r="DM1038" s="10"/>
      <c r="DN1038" s="10"/>
      <c r="DO1038" s="10"/>
      <c r="DP1038" s="10"/>
      <c r="DQ1038" s="10"/>
      <c r="DR1038" s="10"/>
      <c r="DS1038" s="10"/>
      <c r="DT1038" s="10"/>
      <c r="DU1038" s="10"/>
      <c r="DV1038" s="10"/>
      <c r="DW1038" s="10"/>
      <c r="DX1038" s="10"/>
      <c r="DY1038" s="10"/>
      <c r="DZ1038" s="10"/>
      <c r="EA1038" s="10"/>
      <c r="EB1038" s="10"/>
      <c r="EC1038" s="10"/>
      <c r="ED1038" s="10"/>
      <c r="EE1038" s="10"/>
      <c r="EF1038" s="10"/>
      <c r="EG1038" s="10"/>
      <c r="EH1038" s="10"/>
      <c r="EI1038" s="10"/>
      <c r="EJ1038" s="10"/>
      <c r="EK1038" s="10"/>
      <c r="EL1038" s="10"/>
      <c r="EM1038" s="10"/>
      <c r="EN1038" s="10"/>
      <c r="EO1038" s="10"/>
      <c r="EP1038" s="10"/>
      <c r="EQ1038" s="10"/>
      <c r="ER1038" s="10"/>
      <c r="ES1038" s="160"/>
      <c r="ET1038" s="161"/>
      <c r="EU1038" s="317"/>
      <c r="EV1038" s="317"/>
      <c r="EW1038" s="317"/>
      <c r="EX1038" s="317"/>
      <c r="EY1038" s="317"/>
      <c r="EZ1038" s="317"/>
      <c r="FA1038" s="291"/>
      <c r="FB1038" s="317"/>
      <c r="FC1038" s="317"/>
      <c r="FD1038" s="317"/>
      <c r="FE1038" s="317"/>
      <c r="FF1038" s="317"/>
      <c r="FG1038" s="317"/>
      <c r="FH1038" s="317"/>
      <c r="FI1038" s="317"/>
      <c r="FJ1038" s="317"/>
      <c r="FK1038" s="317"/>
      <c r="FL1038" s="317"/>
      <c r="FM1038" s="317"/>
      <c r="FN1038" s="317"/>
      <c r="FO1038" s="317"/>
      <c r="FP1038" s="317"/>
      <c r="FQ1038" s="317"/>
      <c r="FR1038" s="317"/>
      <c r="FS1038" s="317"/>
      <c r="FT1038" s="317"/>
      <c r="FU1038" s="317"/>
      <c r="FV1038" s="317"/>
      <c r="FW1038" s="317"/>
      <c r="FX1038" s="317"/>
      <c r="FY1038" s="317"/>
      <c r="FZ1038" s="317"/>
      <c r="GA1038" s="317"/>
      <c r="GB1038" s="317"/>
      <c r="GC1038" s="317"/>
      <c r="GD1038" s="317"/>
      <c r="GE1038" s="317"/>
      <c r="GF1038" s="317"/>
      <c r="GG1038" s="317"/>
      <c r="GH1038" s="317"/>
      <c r="GI1038" s="317"/>
      <c r="GJ1038" s="317"/>
      <c r="GK1038" s="317"/>
      <c r="GL1038" s="317"/>
      <c r="GM1038" s="317"/>
      <c r="GN1038" s="317"/>
      <c r="GO1038" s="317"/>
      <c r="GP1038" s="13"/>
      <c r="GQ1038" s="43"/>
      <c r="GR1038" s="43"/>
      <c r="GS1038" s="45"/>
      <c r="GT1038" s="49"/>
      <c r="GU1038" s="49"/>
      <c r="GV1038" s="49"/>
      <c r="GW1038" s="49"/>
      <c r="GX1038" s="49"/>
      <c r="GY1038" s="208"/>
      <c r="GZ1038" s="231"/>
      <c r="HA1038" s="231"/>
      <c r="HB1038" s="231"/>
      <c r="HC1038" s="231"/>
      <c r="HD1038" s="231"/>
      <c r="HE1038" s="231"/>
      <c r="HF1038" s="231"/>
      <c r="HG1038" s="231"/>
      <c r="HH1038" s="231"/>
      <c r="HI1038" s="232"/>
    </row>
    <row r="1039" spans="82:217" ht="10.75" customHeight="1">
      <c r="CD1039" s="229"/>
      <c r="CE1039" s="231"/>
      <c r="CF1039" s="231"/>
      <c r="CG1039" s="231"/>
      <c r="CH1039" s="231"/>
      <c r="CI1039" s="231"/>
      <c r="CJ1039" s="12"/>
      <c r="CS1039" s="13"/>
      <c r="CT1039" s="42"/>
      <c r="CU1039" s="43"/>
      <c r="CV1039" s="43"/>
      <c r="CW1039" s="12"/>
      <c r="CX1039" s="317"/>
      <c r="CY1039" s="317"/>
      <c r="CZ1039" s="317"/>
      <c r="DA1039" s="317"/>
      <c r="DB1039" s="317"/>
      <c r="DC1039" s="317"/>
      <c r="DD1039" s="317"/>
      <c r="DE1039" s="317"/>
      <c r="DF1039" s="317"/>
      <c r="DG1039" s="317"/>
      <c r="DH1039" s="317"/>
      <c r="DI1039" s="317"/>
      <c r="DJ1039" s="317"/>
      <c r="DK1039" s="317"/>
      <c r="DL1039" s="317"/>
      <c r="DM1039" s="317"/>
      <c r="DN1039" s="317"/>
      <c r="DO1039" s="317"/>
      <c r="DP1039" s="317"/>
      <c r="DQ1039" s="317"/>
      <c r="DR1039" s="317"/>
      <c r="DS1039" s="317"/>
      <c r="DT1039" s="317"/>
      <c r="DU1039" s="317"/>
      <c r="DV1039" s="317"/>
      <c r="DW1039" s="317"/>
      <c r="DX1039" s="317"/>
      <c r="DY1039" s="317"/>
      <c r="DZ1039" s="317"/>
      <c r="EA1039" s="317"/>
      <c r="EB1039" s="317"/>
      <c r="EC1039" s="317"/>
      <c r="ED1039" s="317"/>
      <c r="EE1039" s="317"/>
      <c r="EF1039" s="317"/>
      <c r="EG1039" s="317"/>
      <c r="EH1039" s="317"/>
      <c r="EI1039" s="317"/>
      <c r="EJ1039" s="317"/>
      <c r="EK1039" s="317"/>
      <c r="EL1039" s="317"/>
      <c r="EM1039" s="317"/>
      <c r="EN1039" s="317"/>
      <c r="EO1039" s="317"/>
      <c r="EP1039" s="317"/>
      <c r="EQ1039" s="317"/>
      <c r="ER1039" s="317"/>
      <c r="ES1039" s="160"/>
      <c r="ET1039" s="161"/>
      <c r="EU1039" s="317"/>
      <c r="EV1039" s="317"/>
      <c r="EW1039" s="317"/>
      <c r="EX1039" s="317"/>
      <c r="EY1039" s="317"/>
      <c r="EZ1039" s="317"/>
      <c r="FA1039" s="291"/>
      <c r="FB1039" s="317"/>
      <c r="FC1039" s="317"/>
      <c r="FD1039" s="317"/>
      <c r="FE1039" s="317"/>
      <c r="FF1039" s="317"/>
      <c r="FG1039" s="317"/>
      <c r="FH1039" s="317"/>
      <c r="FI1039" s="317"/>
      <c r="FJ1039" s="317"/>
      <c r="FK1039" s="317"/>
      <c r="FL1039" s="317"/>
      <c r="FM1039" s="317"/>
      <c r="FN1039" s="317"/>
      <c r="FO1039" s="317"/>
      <c r="FP1039" s="317"/>
      <c r="FQ1039" s="317"/>
      <c r="FR1039" s="317"/>
      <c r="FS1039" s="317"/>
      <c r="FT1039" s="317"/>
      <c r="FU1039" s="317"/>
      <c r="FV1039" s="317"/>
      <c r="FW1039" s="317"/>
      <c r="FX1039" s="317"/>
      <c r="FY1039" s="317"/>
      <c r="FZ1039" s="317"/>
      <c r="GA1039" s="317"/>
      <c r="GB1039" s="317"/>
      <c r="GC1039" s="317"/>
      <c r="GD1039" s="317"/>
      <c r="GE1039" s="317"/>
      <c r="GF1039" s="317"/>
      <c r="GG1039" s="317"/>
      <c r="GH1039" s="317"/>
      <c r="GI1039" s="317"/>
      <c r="GJ1039" s="317"/>
      <c r="GK1039" s="317"/>
      <c r="GL1039" s="317"/>
      <c r="GM1039" s="317"/>
      <c r="GN1039" s="317"/>
      <c r="GO1039" s="317"/>
      <c r="GP1039" s="13"/>
      <c r="GQ1039" s="43"/>
      <c r="GR1039" s="43"/>
      <c r="GS1039" s="45"/>
      <c r="GT1039" s="49"/>
      <c r="GU1039" s="49"/>
      <c r="GV1039" s="49"/>
      <c r="GW1039" s="49"/>
      <c r="GX1039" s="49"/>
      <c r="GY1039" s="208"/>
      <c r="GZ1039" s="231"/>
      <c r="HA1039" s="231"/>
      <c r="HB1039" s="231"/>
      <c r="HC1039" s="231"/>
      <c r="HD1039" s="231"/>
      <c r="HE1039" s="231"/>
      <c r="HF1039" s="231"/>
      <c r="HG1039" s="231"/>
      <c r="HH1039" s="231"/>
      <c r="HI1039" s="232"/>
    </row>
    <row r="1040" spans="82:217" ht="10.75" customHeight="1">
      <c r="CD1040" s="229"/>
      <c r="CE1040" s="231"/>
      <c r="CF1040" s="231"/>
      <c r="CG1040" s="231"/>
      <c r="CH1040" s="231"/>
      <c r="CI1040" s="231"/>
      <c r="CJ1040" s="12"/>
      <c r="CS1040" s="13"/>
      <c r="CT1040" s="42"/>
      <c r="CU1040" s="43"/>
      <c r="CV1040" s="43"/>
      <c r="CW1040" s="12"/>
      <c r="CX1040" s="317"/>
      <c r="CY1040" s="317"/>
      <c r="CZ1040" s="317"/>
      <c r="DA1040" s="317"/>
      <c r="DB1040" s="317"/>
      <c r="DC1040" s="317"/>
      <c r="DD1040" s="317"/>
      <c r="DE1040" s="317"/>
      <c r="DF1040" s="317"/>
      <c r="DG1040" s="317"/>
      <c r="DH1040" s="317"/>
      <c r="DI1040" s="317"/>
      <c r="DJ1040" s="317"/>
      <c r="DK1040" s="317"/>
      <c r="DL1040" s="317"/>
      <c r="DM1040" s="317"/>
      <c r="DN1040" s="317"/>
      <c r="DO1040" s="317"/>
      <c r="DP1040" s="317"/>
      <c r="DQ1040" s="317"/>
      <c r="DR1040" s="317"/>
      <c r="DS1040" s="317"/>
      <c r="DT1040" s="317"/>
      <c r="DU1040" s="317"/>
      <c r="DV1040" s="317"/>
      <c r="DW1040" s="317"/>
      <c r="DX1040" s="317"/>
      <c r="DY1040" s="317"/>
      <c r="DZ1040" s="317"/>
      <c r="EA1040" s="317"/>
      <c r="EB1040" s="317"/>
      <c r="EC1040" s="317"/>
      <c r="ED1040" s="317"/>
      <c r="EE1040" s="317"/>
      <c r="EF1040" s="317"/>
      <c r="EG1040" s="317"/>
      <c r="EH1040" s="317"/>
      <c r="EI1040" s="317"/>
      <c r="EJ1040" s="317"/>
      <c r="EK1040" s="317"/>
      <c r="EL1040" s="317"/>
      <c r="EM1040" s="317"/>
      <c r="EN1040" s="317"/>
      <c r="EO1040" s="317"/>
      <c r="EP1040" s="317"/>
      <c r="EQ1040" s="317"/>
      <c r="ER1040" s="317"/>
      <c r="ES1040" s="160"/>
      <c r="ET1040" s="161"/>
      <c r="EU1040" s="317"/>
      <c r="EV1040" s="317"/>
      <c r="EW1040" s="317"/>
      <c r="EX1040" s="317"/>
      <c r="EY1040" s="317"/>
      <c r="EZ1040" s="317"/>
      <c r="FA1040" s="291"/>
      <c r="FB1040" s="317"/>
      <c r="FC1040" s="317"/>
      <c r="FD1040" s="317"/>
      <c r="FE1040" s="317"/>
      <c r="FF1040" s="317"/>
      <c r="FG1040" s="317"/>
      <c r="FH1040" s="317"/>
      <c r="FI1040" s="317"/>
      <c r="FJ1040" s="317"/>
      <c r="FK1040" s="317"/>
      <c r="FL1040" s="317"/>
      <c r="FM1040" s="317"/>
      <c r="FN1040" s="317"/>
      <c r="FO1040" s="317"/>
      <c r="FP1040" s="317"/>
      <c r="FQ1040" s="317"/>
      <c r="FR1040" s="317"/>
      <c r="FS1040" s="317"/>
      <c r="FT1040" s="317"/>
      <c r="FU1040" s="317"/>
      <c r="FV1040" s="317"/>
      <c r="FW1040" s="317"/>
      <c r="FX1040" s="317"/>
      <c r="FY1040" s="317"/>
      <c r="FZ1040" s="317"/>
      <c r="GA1040" s="317"/>
      <c r="GB1040" s="317"/>
      <c r="GC1040" s="317"/>
      <c r="GD1040" s="317"/>
      <c r="GE1040" s="317"/>
      <c r="GF1040" s="317"/>
      <c r="GG1040" s="317"/>
      <c r="GH1040" s="317"/>
      <c r="GI1040" s="317"/>
      <c r="GJ1040" s="317"/>
      <c r="GK1040" s="317"/>
      <c r="GL1040" s="317"/>
      <c r="GM1040" s="317"/>
      <c r="GN1040" s="317"/>
      <c r="GO1040" s="317"/>
      <c r="GP1040" s="13"/>
      <c r="GQ1040" s="43"/>
      <c r="GR1040" s="43"/>
      <c r="GS1040" s="45"/>
      <c r="GT1040" s="49"/>
      <c r="GU1040" s="49"/>
      <c r="GV1040" s="49"/>
      <c r="GW1040" s="49"/>
      <c r="GX1040" s="49"/>
      <c r="GY1040" s="208"/>
      <c r="GZ1040" s="231"/>
      <c r="HA1040" s="231"/>
      <c r="HB1040" s="231"/>
      <c r="HC1040" s="231"/>
      <c r="HD1040" s="231"/>
      <c r="HE1040" s="231"/>
      <c r="HF1040" s="231"/>
      <c r="HG1040" s="231"/>
      <c r="HH1040" s="231"/>
      <c r="HI1040" s="232"/>
    </row>
    <row r="1041" spans="82:217" ht="10.75" customHeight="1">
      <c r="CD1041" s="229"/>
      <c r="CE1041" s="231"/>
      <c r="CF1041" s="231"/>
      <c r="CG1041" s="231"/>
      <c r="CH1041" s="231"/>
      <c r="CI1041" s="231"/>
      <c r="CJ1041" s="12"/>
      <c r="CS1041" s="13"/>
      <c r="CT1041" s="42"/>
      <c r="CU1041" s="43"/>
      <c r="CV1041" s="43"/>
      <c r="CW1041" s="12"/>
      <c r="CX1041" s="317"/>
      <c r="CY1041" s="317"/>
      <c r="CZ1041" s="317"/>
      <c r="DA1041" s="317"/>
      <c r="DB1041" s="317"/>
      <c r="DC1041" s="317"/>
      <c r="DD1041" s="317"/>
      <c r="DE1041" s="317"/>
      <c r="DF1041" s="317"/>
      <c r="DG1041" s="317"/>
      <c r="DH1041" s="317"/>
      <c r="DI1041" s="317"/>
      <c r="DJ1041" s="317"/>
      <c r="DK1041" s="317"/>
      <c r="DL1041" s="317"/>
      <c r="DM1041" s="317"/>
      <c r="DN1041" s="317"/>
      <c r="DO1041" s="317"/>
      <c r="DP1041" s="317"/>
      <c r="DQ1041" s="317"/>
      <c r="DR1041" s="317"/>
      <c r="DS1041" s="317"/>
      <c r="DT1041" s="317"/>
      <c r="DU1041" s="317"/>
      <c r="DV1041" s="317"/>
      <c r="DW1041" s="317"/>
      <c r="DX1041" s="317"/>
      <c r="DY1041" s="317"/>
      <c r="DZ1041" s="317"/>
      <c r="EA1041" s="317"/>
      <c r="EB1041" s="317"/>
      <c r="EC1041" s="317"/>
      <c r="ED1041" s="317"/>
      <c r="EE1041" s="317"/>
      <c r="EF1041" s="317"/>
      <c r="EG1041" s="317"/>
      <c r="EH1041" s="317"/>
      <c r="EI1041" s="317"/>
      <c r="EJ1041" s="317"/>
      <c r="EK1041" s="317"/>
      <c r="EL1041" s="317"/>
      <c r="EM1041" s="317"/>
      <c r="EN1041" s="317"/>
      <c r="EO1041" s="317"/>
      <c r="EP1041" s="317"/>
      <c r="EQ1041" s="317"/>
      <c r="ER1041" s="317"/>
      <c r="ES1041" s="160"/>
      <c r="ET1041" s="161"/>
      <c r="EU1041" s="317"/>
      <c r="EV1041" s="317"/>
      <c r="EW1041" s="317"/>
      <c r="EX1041" s="317"/>
      <c r="EY1041" s="317"/>
      <c r="EZ1041" s="317"/>
      <c r="FA1041" s="291"/>
      <c r="FB1041" s="317"/>
      <c r="FC1041" s="317"/>
      <c r="FD1041" s="317"/>
      <c r="FE1041" s="317"/>
      <c r="FF1041" s="317"/>
      <c r="FG1041" s="317"/>
      <c r="FH1041" s="317"/>
      <c r="FI1041" s="317"/>
      <c r="FJ1041" s="317"/>
      <c r="FK1041" s="317"/>
      <c r="FL1041" s="317"/>
      <c r="FM1041" s="317"/>
      <c r="FN1041" s="317"/>
      <c r="FO1041" s="317"/>
      <c r="FP1041" s="317"/>
      <c r="FQ1041" s="317"/>
      <c r="FR1041" s="317"/>
      <c r="FS1041" s="317"/>
      <c r="FT1041" s="317"/>
      <c r="FU1041" s="317"/>
      <c r="FV1041" s="317"/>
      <c r="FW1041" s="317"/>
      <c r="FX1041" s="317"/>
      <c r="FY1041" s="317"/>
      <c r="FZ1041" s="317"/>
      <c r="GA1041" s="317"/>
      <c r="GB1041" s="317"/>
      <c r="GC1041" s="317"/>
      <c r="GD1041" s="317"/>
      <c r="GE1041" s="317"/>
      <c r="GF1041" s="317"/>
      <c r="GG1041" s="317"/>
      <c r="GH1041" s="317"/>
      <c r="GI1041" s="317"/>
      <c r="GJ1041" s="317"/>
      <c r="GK1041" s="317"/>
      <c r="GL1041" s="317"/>
      <c r="GM1041" s="317"/>
      <c r="GN1041" s="317"/>
      <c r="GO1041" s="317"/>
      <c r="GP1041" s="13"/>
      <c r="GQ1041" s="43"/>
      <c r="GR1041" s="43"/>
      <c r="GS1041" s="45"/>
      <c r="GT1041" s="49"/>
      <c r="GU1041" s="49"/>
      <c r="GV1041" s="49"/>
      <c r="GW1041" s="49"/>
      <c r="GX1041" s="49"/>
      <c r="GY1041" s="208"/>
      <c r="GZ1041" s="231"/>
      <c r="HA1041" s="231"/>
      <c r="HB1041" s="231"/>
      <c r="HC1041" s="231"/>
      <c r="HD1041" s="231"/>
      <c r="HE1041" s="231"/>
      <c r="HF1041" s="231"/>
      <c r="HG1041" s="231"/>
      <c r="HH1041" s="231"/>
      <c r="HI1041" s="232"/>
    </row>
    <row r="1042" spans="82:217" ht="10.75" customHeight="1">
      <c r="CD1042" s="229"/>
      <c r="CE1042" s="231"/>
      <c r="CF1042" s="231"/>
      <c r="CG1042" s="231"/>
      <c r="CH1042" s="231"/>
      <c r="CI1042" s="231"/>
      <c r="CJ1042" s="9"/>
      <c r="CK1042" s="10"/>
      <c r="CL1042" s="10"/>
      <c r="CM1042" s="10"/>
      <c r="CN1042" s="10"/>
      <c r="CO1042" s="10"/>
      <c r="CP1042" s="10"/>
      <c r="CQ1042" s="10"/>
      <c r="CR1042" s="10"/>
      <c r="CS1042" s="11"/>
      <c r="CT1042" s="42"/>
      <c r="CU1042" s="43"/>
      <c r="CV1042" s="43"/>
      <c r="CW1042" s="295"/>
      <c r="CX1042" s="294"/>
      <c r="CY1042" s="294"/>
      <c r="CZ1042" s="294"/>
      <c r="DA1042" s="294"/>
      <c r="DB1042" s="294"/>
      <c r="DC1042" s="294"/>
      <c r="DD1042" s="294"/>
      <c r="DE1042" s="294"/>
      <c r="DF1042" s="294"/>
      <c r="DG1042" s="294"/>
      <c r="DH1042" s="294"/>
      <c r="DI1042" s="294"/>
      <c r="DJ1042" s="294"/>
      <c r="DK1042" s="294"/>
      <c r="DL1042" s="294"/>
      <c r="DM1042" s="294"/>
      <c r="DN1042" s="294"/>
      <c r="DO1042" s="294"/>
      <c r="DP1042" s="294"/>
      <c r="DQ1042" s="294"/>
      <c r="DR1042" s="294"/>
      <c r="DS1042" s="294"/>
      <c r="DT1042" s="294"/>
      <c r="DU1042" s="294"/>
      <c r="DV1042" s="294"/>
      <c r="DW1042" s="294"/>
      <c r="DX1042" s="294"/>
      <c r="DY1042" s="291"/>
      <c r="DZ1042" s="297"/>
      <c r="EA1042" s="294"/>
      <c r="EB1042" s="294"/>
      <c r="EC1042" s="294"/>
      <c r="ED1042" s="294"/>
      <c r="EE1042" s="294"/>
      <c r="EF1042" s="294"/>
      <c r="EG1042" s="294"/>
      <c r="EH1042" s="294"/>
      <c r="EI1042" s="294"/>
      <c r="EJ1042" s="294"/>
      <c r="EK1042" s="294"/>
      <c r="EL1042" s="294"/>
      <c r="EM1042" s="294"/>
      <c r="EN1042" s="294"/>
      <c r="EO1042" s="294"/>
      <c r="EP1042" s="294"/>
      <c r="EQ1042" s="294"/>
      <c r="ER1042" s="296"/>
      <c r="ES1042" s="160"/>
      <c r="ET1042" s="161"/>
      <c r="EU1042" s="317"/>
      <c r="EV1042" s="317"/>
      <c r="EW1042" s="317"/>
      <c r="EX1042" s="317"/>
      <c r="EY1042" s="317"/>
      <c r="EZ1042" s="317"/>
      <c r="FA1042" s="291"/>
      <c r="FB1042" s="317"/>
      <c r="FC1042" s="317"/>
      <c r="FD1042" s="317"/>
      <c r="FE1042" s="317"/>
      <c r="FF1042" s="317"/>
      <c r="FG1042" s="317"/>
      <c r="FH1042" s="317"/>
      <c r="FI1042" s="317"/>
      <c r="FJ1042" s="317"/>
      <c r="FK1042" s="317"/>
      <c r="FL1042" s="317"/>
      <c r="FM1042" s="317"/>
      <c r="FN1042" s="317"/>
      <c r="FO1042" s="317"/>
      <c r="FP1042" s="317"/>
      <c r="FQ1042" s="317"/>
      <c r="FR1042" s="317"/>
      <c r="FS1042" s="317"/>
      <c r="FT1042" s="317"/>
      <c r="FU1042" s="317"/>
      <c r="FV1042" s="317"/>
      <c r="FW1042" s="317"/>
      <c r="FX1042" s="317"/>
      <c r="FY1042" s="317"/>
      <c r="FZ1042" s="317"/>
      <c r="GA1042" s="317"/>
      <c r="GB1042" s="317"/>
      <c r="GC1042" s="317"/>
      <c r="GD1042" s="317"/>
      <c r="GE1042" s="317"/>
      <c r="GF1042" s="317"/>
      <c r="GG1042" s="317"/>
      <c r="GH1042" s="317"/>
      <c r="GI1042" s="317"/>
      <c r="GJ1042" s="317"/>
      <c r="GK1042" s="317"/>
      <c r="GL1042" s="317"/>
      <c r="GM1042" s="317"/>
      <c r="GN1042" s="317"/>
      <c r="GO1042" s="317"/>
      <c r="GP1042" s="13"/>
      <c r="GQ1042" s="43"/>
      <c r="GR1042" s="43"/>
      <c r="GS1042" s="45"/>
      <c r="GT1042" s="49"/>
      <c r="GU1042" s="49"/>
      <c r="GV1042" s="49"/>
      <c r="GW1042" s="49"/>
      <c r="GX1042" s="49"/>
      <c r="GY1042" s="208"/>
      <c r="GZ1042" s="231"/>
      <c r="HA1042" s="231"/>
      <c r="HB1042" s="231"/>
      <c r="HC1042" s="231"/>
      <c r="HD1042" s="231"/>
      <c r="HE1042" s="231"/>
      <c r="HF1042" s="231"/>
      <c r="HG1042" s="231"/>
      <c r="HH1042" s="231"/>
      <c r="HI1042" s="232"/>
    </row>
    <row r="1043" spans="82:217" ht="10.75" customHeight="1">
      <c r="CD1043" s="229"/>
      <c r="CE1043" s="231"/>
      <c r="CF1043" s="231"/>
      <c r="CG1043" s="231"/>
      <c r="CH1043" s="231"/>
      <c r="CI1043" s="231"/>
      <c r="CJ1043" s="12"/>
      <c r="CS1043" s="13"/>
      <c r="CT1043" s="42"/>
      <c r="CU1043" s="43"/>
      <c r="CV1043" s="43"/>
      <c r="CW1043" s="12"/>
      <c r="CX1043" s="317"/>
      <c r="CY1043" s="317"/>
      <c r="CZ1043" s="317"/>
      <c r="DA1043" s="317"/>
      <c r="DB1043" s="317"/>
      <c r="DC1043" s="317"/>
      <c r="DD1043" s="317"/>
      <c r="DE1043" s="317"/>
      <c r="DF1043" s="317"/>
      <c r="DG1043" s="317"/>
      <c r="DH1043" s="317"/>
      <c r="DI1043" s="317"/>
      <c r="DJ1043" s="317"/>
      <c r="DK1043" s="317"/>
      <c r="DL1043" s="317"/>
      <c r="DM1043" s="317"/>
      <c r="DN1043" s="317"/>
      <c r="DO1043" s="317"/>
      <c r="DP1043" s="317"/>
      <c r="DQ1043" s="317"/>
      <c r="DR1043" s="317"/>
      <c r="DS1043" s="317"/>
      <c r="DT1043" s="317"/>
      <c r="DU1043" s="317"/>
      <c r="DV1043" s="317"/>
      <c r="DW1043" s="317"/>
      <c r="DX1043" s="317"/>
      <c r="DY1043" s="291"/>
      <c r="DZ1043" s="297"/>
      <c r="EA1043" s="317"/>
      <c r="EB1043" s="317"/>
      <c r="EC1043" s="317"/>
      <c r="ED1043" s="317"/>
      <c r="EE1043" s="317"/>
      <c r="EF1043" s="317"/>
      <c r="EG1043" s="317"/>
      <c r="EH1043" s="317"/>
      <c r="EI1043" s="317"/>
      <c r="EJ1043" s="317"/>
      <c r="EK1043" s="317"/>
      <c r="EL1043" s="317"/>
      <c r="EM1043" s="317"/>
      <c r="EN1043" s="317"/>
      <c r="EO1043" s="317"/>
      <c r="EP1043" s="317"/>
      <c r="EQ1043" s="317"/>
      <c r="ER1043" s="317"/>
      <c r="ES1043" s="160"/>
      <c r="ET1043" s="161"/>
      <c r="EU1043" s="317"/>
      <c r="EV1043" s="317"/>
      <c r="EW1043" s="317"/>
      <c r="EX1043" s="317"/>
      <c r="EY1043" s="317"/>
      <c r="EZ1043" s="317"/>
      <c r="FA1043" s="291"/>
      <c r="FB1043" s="317"/>
      <c r="FC1043" s="317"/>
      <c r="FD1043" s="317"/>
      <c r="FE1043" s="317"/>
      <c r="FF1043" s="317"/>
      <c r="FG1043" s="317"/>
      <c r="FH1043" s="317"/>
      <c r="FI1043" s="317"/>
      <c r="FJ1043" s="317"/>
      <c r="FK1043" s="317"/>
      <c r="FL1043" s="317"/>
      <c r="FM1043" s="317"/>
      <c r="FN1043" s="317"/>
      <c r="FO1043" s="317"/>
      <c r="FP1043" s="317"/>
      <c r="FQ1043" s="317"/>
      <c r="FR1043" s="317"/>
      <c r="FS1043" s="317"/>
      <c r="FT1043" s="317"/>
      <c r="FU1043" s="317"/>
      <c r="FV1043" s="317"/>
      <c r="FW1043" s="317"/>
      <c r="FX1043" s="317"/>
      <c r="FY1043" s="317"/>
      <c r="FZ1043" s="317"/>
      <c r="GA1043" s="317"/>
      <c r="GB1043" s="317"/>
      <c r="GC1043" s="317"/>
      <c r="GD1043" s="317"/>
      <c r="GE1043" s="317"/>
      <c r="GF1043" s="317"/>
      <c r="GG1043" s="317"/>
      <c r="GH1043" s="317"/>
      <c r="GI1043" s="317"/>
      <c r="GJ1043" s="317"/>
      <c r="GK1043" s="317"/>
      <c r="GL1043" s="317"/>
      <c r="GM1043" s="317"/>
      <c r="GN1043" s="317"/>
      <c r="GO1043" s="317"/>
      <c r="GP1043" s="13"/>
      <c r="GQ1043" s="43"/>
      <c r="GR1043" s="43"/>
      <c r="GS1043" s="45"/>
      <c r="GT1043" s="49"/>
      <c r="GU1043" s="49"/>
      <c r="GV1043" s="49"/>
      <c r="GW1043" s="49"/>
      <c r="GX1043" s="49"/>
      <c r="GY1043" s="208"/>
      <c r="GZ1043" s="231"/>
      <c r="HA1043" s="231"/>
      <c r="HB1043" s="231"/>
      <c r="HC1043" s="231"/>
      <c r="HD1043" s="231"/>
      <c r="HE1043" s="231"/>
      <c r="HF1043" s="231"/>
      <c r="HG1043" s="231"/>
      <c r="HH1043" s="231"/>
      <c r="HI1043" s="232"/>
    </row>
    <row r="1044" spans="82:217" ht="10.75" customHeight="1">
      <c r="CD1044" s="229"/>
      <c r="CE1044" s="231"/>
      <c r="CF1044" s="231"/>
      <c r="CG1044" s="231"/>
      <c r="CH1044" s="231"/>
      <c r="CI1044" s="231"/>
      <c r="CJ1044" s="12"/>
      <c r="CS1044" s="13"/>
      <c r="CT1044" s="42"/>
      <c r="CU1044" s="43"/>
      <c r="CV1044" s="43"/>
      <c r="CW1044" s="12"/>
      <c r="CX1044" s="317"/>
      <c r="CY1044" s="317"/>
      <c r="CZ1044" s="317"/>
      <c r="DA1044" s="317"/>
      <c r="DB1044" s="317"/>
      <c r="DC1044" s="317"/>
      <c r="DD1044" s="317"/>
      <c r="DE1044" s="317"/>
      <c r="DF1044" s="317"/>
      <c r="DG1044" s="317"/>
      <c r="DH1044" s="317"/>
      <c r="DI1044" s="317"/>
      <c r="DJ1044" s="317"/>
      <c r="DK1044" s="317"/>
      <c r="DL1044" s="317"/>
      <c r="DM1044" s="317"/>
      <c r="DN1044" s="317"/>
      <c r="DO1044" s="317"/>
      <c r="DP1044" s="317"/>
      <c r="DQ1044" s="317"/>
      <c r="DR1044" s="317"/>
      <c r="DS1044" s="317"/>
      <c r="DT1044" s="317"/>
      <c r="DU1044" s="317"/>
      <c r="DV1044" s="317"/>
      <c r="DW1044" s="317"/>
      <c r="DX1044" s="317"/>
      <c r="DY1044" s="317"/>
      <c r="DZ1044" s="317"/>
      <c r="EA1044" s="317"/>
      <c r="EB1044" s="317"/>
      <c r="EC1044" s="317"/>
      <c r="ED1044" s="317"/>
      <c r="EE1044" s="317"/>
      <c r="EF1044" s="317"/>
      <c r="EG1044" s="317"/>
      <c r="EH1044" s="317"/>
      <c r="EI1044" s="317"/>
      <c r="EJ1044" s="317"/>
      <c r="EK1044" s="317"/>
      <c r="EL1044" s="317"/>
      <c r="EM1044" s="317"/>
      <c r="EN1044" s="317"/>
      <c r="EO1044" s="317"/>
      <c r="EP1044" s="317"/>
      <c r="EQ1044" s="317"/>
      <c r="ER1044" s="317"/>
      <c r="ES1044" s="160"/>
      <c r="ET1044" s="161"/>
      <c r="EU1044" s="317"/>
      <c r="EV1044" s="317"/>
      <c r="EW1044" s="317"/>
      <c r="EX1044" s="317"/>
      <c r="EY1044" s="317"/>
      <c r="EZ1044" s="317"/>
      <c r="FA1044" s="291"/>
      <c r="FB1044" s="317"/>
      <c r="FC1044" s="317"/>
      <c r="FD1044" s="317"/>
      <c r="FE1044" s="317"/>
      <c r="FF1044" s="317"/>
      <c r="FG1044" s="317"/>
      <c r="FH1044" s="317"/>
      <c r="FI1044" s="317"/>
      <c r="FJ1044" s="317"/>
      <c r="FK1044" s="317"/>
      <c r="FL1044" s="317"/>
      <c r="FM1044" s="317"/>
      <c r="FN1044" s="317"/>
      <c r="FO1044" s="317"/>
      <c r="FP1044" s="317"/>
      <c r="FQ1044" s="317"/>
      <c r="FR1044" s="317"/>
      <c r="FS1044" s="317"/>
      <c r="FT1044" s="317"/>
      <c r="FU1044" s="317"/>
      <c r="FV1044" s="317"/>
      <c r="FW1044" s="317"/>
      <c r="FX1044" s="317"/>
      <c r="FY1044" s="317"/>
      <c r="FZ1044" s="317"/>
      <c r="GA1044" s="317"/>
      <c r="GB1044" s="317"/>
      <c r="GC1044" s="317"/>
      <c r="GD1044" s="317"/>
      <c r="GE1044" s="317"/>
      <c r="GF1044" s="317"/>
      <c r="GG1044" s="317"/>
      <c r="GH1044" s="317"/>
      <c r="GI1044" s="317"/>
      <c r="GJ1044" s="317"/>
      <c r="GK1044" s="317"/>
      <c r="GL1044" s="317"/>
      <c r="GM1044" s="317"/>
      <c r="GN1044" s="317"/>
      <c r="GO1044" s="317"/>
      <c r="GP1044" s="13"/>
      <c r="GQ1044" s="43"/>
      <c r="GR1044" s="43"/>
      <c r="GS1044" s="45"/>
      <c r="GT1044" s="49"/>
      <c r="GU1044" s="49"/>
      <c r="GV1044" s="49"/>
      <c r="GW1044" s="49"/>
      <c r="GX1044" s="49"/>
      <c r="GY1044" s="208"/>
      <c r="GZ1044" s="231"/>
      <c r="HA1044" s="231"/>
      <c r="HB1044" s="231"/>
      <c r="HC1044" s="231"/>
      <c r="HD1044" s="231"/>
      <c r="HE1044" s="231"/>
      <c r="HF1044" s="231"/>
      <c r="HG1044" s="231"/>
      <c r="HH1044" s="231"/>
      <c r="HI1044" s="232"/>
    </row>
    <row r="1045" spans="82:217" ht="10.75" customHeight="1">
      <c r="CD1045" s="229"/>
      <c r="CE1045" s="231"/>
      <c r="CF1045" s="231"/>
      <c r="CG1045" s="231"/>
      <c r="CH1045" s="231"/>
      <c r="CI1045" s="231"/>
      <c r="CJ1045" s="12"/>
      <c r="CS1045" s="13"/>
      <c r="CT1045" s="42"/>
      <c r="CU1045" s="43"/>
      <c r="CV1045" s="43"/>
      <c r="CW1045" s="12"/>
      <c r="CX1045" s="317"/>
      <c r="CY1045" s="317"/>
      <c r="CZ1045" s="317"/>
      <c r="DA1045" s="317"/>
      <c r="DB1045" s="317"/>
      <c r="DC1045" s="317"/>
      <c r="DD1045" s="317"/>
      <c r="DE1045" s="317"/>
      <c r="DF1045" s="317"/>
      <c r="DG1045" s="317"/>
      <c r="DH1045" s="317"/>
      <c r="DI1045" s="317"/>
      <c r="DJ1045" s="317"/>
      <c r="DK1045" s="317"/>
      <c r="DL1045" s="317"/>
      <c r="DM1045" s="317"/>
      <c r="DN1045" s="317"/>
      <c r="DO1045" s="317"/>
      <c r="DP1045" s="317"/>
      <c r="DQ1045" s="317"/>
      <c r="DR1045" s="317"/>
      <c r="DS1045" s="317"/>
      <c r="DT1045" s="317"/>
      <c r="DU1045" s="317"/>
      <c r="DV1045" s="317"/>
      <c r="DW1045" s="317"/>
      <c r="DX1045" s="317"/>
      <c r="DY1045" s="317"/>
      <c r="DZ1045" s="317"/>
      <c r="EA1045" s="317"/>
      <c r="EB1045" s="317"/>
      <c r="EC1045" s="317"/>
      <c r="ED1045" s="317"/>
      <c r="EE1045" s="317"/>
      <c r="EF1045" s="317"/>
      <c r="EG1045" s="317"/>
      <c r="EH1045" s="317"/>
      <c r="EI1045" s="317"/>
      <c r="EJ1045" s="317"/>
      <c r="EK1045" s="317"/>
      <c r="EL1045" s="317"/>
      <c r="EM1045" s="317"/>
      <c r="EN1045" s="317"/>
      <c r="EO1045" s="317"/>
      <c r="EP1045" s="317"/>
      <c r="EQ1045" s="317"/>
      <c r="ER1045" s="317"/>
      <c r="ES1045" s="160"/>
      <c r="ET1045" s="161"/>
      <c r="EU1045" s="317"/>
      <c r="EV1045" s="317"/>
      <c r="EW1045" s="317"/>
      <c r="EX1045" s="317"/>
      <c r="EY1045" s="317"/>
      <c r="EZ1045" s="317"/>
      <c r="FA1045" s="291"/>
      <c r="FB1045" s="317"/>
      <c r="FC1045" s="317"/>
      <c r="FD1045" s="317"/>
      <c r="FE1045" s="317"/>
      <c r="FF1045" s="317"/>
      <c r="FG1045" s="317"/>
      <c r="FH1045" s="317"/>
      <c r="FI1045" s="317"/>
      <c r="FJ1045" s="317"/>
      <c r="FK1045" s="317"/>
      <c r="FL1045" s="317"/>
      <c r="FM1045" s="317"/>
      <c r="FN1045" s="317"/>
      <c r="FO1045" s="317"/>
      <c r="FP1045" s="317"/>
      <c r="FQ1045" s="317"/>
      <c r="FR1045" s="317"/>
      <c r="FS1045" s="317"/>
      <c r="FT1045" s="317"/>
      <c r="FU1045" s="317"/>
      <c r="FV1045" s="317"/>
      <c r="FW1045" s="317"/>
      <c r="FX1045" s="317"/>
      <c r="FY1045" s="317"/>
      <c r="FZ1045" s="317"/>
      <c r="GA1045" s="317"/>
      <c r="GB1045" s="317"/>
      <c r="GC1045" s="317"/>
      <c r="GD1045" s="317"/>
      <c r="GE1045" s="317"/>
      <c r="GF1045" s="317"/>
      <c r="GG1045" s="317"/>
      <c r="GH1045" s="317"/>
      <c r="GI1045" s="317"/>
      <c r="GJ1045" s="317"/>
      <c r="GK1045" s="317"/>
      <c r="GL1045" s="317"/>
      <c r="GM1045" s="317"/>
      <c r="GN1045" s="317"/>
      <c r="GO1045" s="317"/>
      <c r="GP1045" s="13"/>
      <c r="GQ1045" s="43"/>
      <c r="GR1045" s="43"/>
      <c r="GS1045" s="45"/>
      <c r="GT1045" s="49"/>
      <c r="GU1045" s="49"/>
      <c r="GV1045" s="49"/>
      <c r="GW1045" s="49"/>
      <c r="GX1045" s="49"/>
      <c r="GY1045" s="208"/>
      <c r="GZ1045" s="231"/>
      <c r="HA1045" s="231"/>
      <c r="HB1045" s="231"/>
      <c r="HC1045" s="231"/>
      <c r="HD1045" s="231"/>
      <c r="HE1045" s="231"/>
      <c r="HF1045" s="231"/>
      <c r="HG1045" s="231"/>
      <c r="HH1045" s="231"/>
      <c r="HI1045" s="232"/>
    </row>
    <row r="1046" spans="82:217" ht="10.75" customHeight="1">
      <c r="CD1046" s="229"/>
      <c r="CE1046" s="231"/>
      <c r="CF1046" s="231"/>
      <c r="CG1046" s="231"/>
      <c r="CH1046" s="231"/>
      <c r="CI1046" s="231"/>
      <c r="CJ1046" s="9"/>
      <c r="CK1046" s="10"/>
      <c r="CL1046" s="10"/>
      <c r="CM1046" s="10"/>
      <c r="CN1046" s="10"/>
      <c r="CO1046" s="10"/>
      <c r="CP1046" s="10"/>
      <c r="CQ1046" s="10"/>
      <c r="CR1046" s="10"/>
      <c r="CS1046" s="11"/>
      <c r="CT1046" s="42"/>
      <c r="CU1046" s="322"/>
      <c r="CV1046" s="43"/>
      <c r="CW1046" s="12"/>
      <c r="CX1046" s="317"/>
      <c r="CY1046" s="317"/>
      <c r="CZ1046" s="317"/>
      <c r="DA1046" s="317"/>
      <c r="DB1046" s="317"/>
      <c r="DC1046" s="317"/>
      <c r="DD1046" s="317"/>
      <c r="DE1046" s="317"/>
      <c r="DF1046" s="317"/>
      <c r="DG1046" s="317"/>
      <c r="DH1046" s="317"/>
      <c r="DI1046" s="317"/>
      <c r="DJ1046" s="317"/>
      <c r="DK1046" s="317"/>
      <c r="DL1046" s="317"/>
      <c r="DM1046" s="317"/>
      <c r="DN1046" s="317"/>
      <c r="DO1046" s="317"/>
      <c r="DP1046" s="317"/>
      <c r="DQ1046" s="317"/>
      <c r="DR1046" s="317"/>
      <c r="DS1046" s="317"/>
      <c r="DT1046" s="317"/>
      <c r="DU1046" s="317"/>
      <c r="DV1046" s="317"/>
      <c r="DW1046" s="317"/>
      <c r="DX1046" s="317"/>
      <c r="DY1046" s="317"/>
      <c r="DZ1046" s="317"/>
      <c r="EA1046" s="317"/>
      <c r="EB1046" s="317"/>
      <c r="EC1046" s="317"/>
      <c r="ED1046" s="317"/>
      <c r="EE1046" s="317"/>
      <c r="EF1046" s="317"/>
      <c r="EG1046" s="317"/>
      <c r="EH1046" s="317"/>
      <c r="EI1046" s="317"/>
      <c r="EJ1046" s="317"/>
      <c r="EK1046" s="317"/>
      <c r="EL1046" s="317"/>
      <c r="EM1046" s="317"/>
      <c r="EN1046" s="317"/>
      <c r="EO1046" s="317"/>
      <c r="EP1046" s="317"/>
      <c r="EQ1046" s="317"/>
      <c r="ER1046" s="317"/>
      <c r="ES1046" s="160"/>
      <c r="ET1046" s="161"/>
      <c r="EU1046" s="317"/>
      <c r="EV1046" s="317"/>
      <c r="EW1046" s="317"/>
      <c r="EX1046" s="317"/>
      <c r="EY1046" s="317"/>
      <c r="EZ1046" s="317"/>
      <c r="FA1046" s="291"/>
      <c r="FB1046" s="317"/>
      <c r="FC1046" s="317"/>
      <c r="FD1046" s="317"/>
      <c r="FE1046" s="317"/>
      <c r="FF1046" s="317"/>
      <c r="FG1046" s="317"/>
      <c r="FH1046" s="317"/>
      <c r="FI1046" s="317"/>
      <c r="FJ1046" s="317"/>
      <c r="FK1046" s="317"/>
      <c r="FL1046" s="317"/>
      <c r="FM1046" s="317"/>
      <c r="FN1046" s="317"/>
      <c r="FO1046" s="317"/>
      <c r="FP1046" s="317"/>
      <c r="FQ1046" s="317"/>
      <c r="FR1046" s="317"/>
      <c r="FS1046" s="317"/>
      <c r="FT1046" s="317"/>
      <c r="FU1046" s="317"/>
      <c r="FV1046" s="317"/>
      <c r="FW1046" s="317"/>
      <c r="FX1046" s="317"/>
      <c r="FY1046" s="317"/>
      <c r="FZ1046" s="317"/>
      <c r="GA1046" s="317"/>
      <c r="GB1046" s="317"/>
      <c r="GC1046" s="317"/>
      <c r="GD1046" s="317"/>
      <c r="GE1046" s="317"/>
      <c r="GF1046" s="317"/>
      <c r="GG1046" s="317"/>
      <c r="GH1046" s="317"/>
      <c r="GI1046" s="317"/>
      <c r="GJ1046" s="317"/>
      <c r="GK1046" s="317"/>
      <c r="GL1046" s="317"/>
      <c r="GM1046" s="317"/>
      <c r="GN1046" s="317"/>
      <c r="GO1046" s="317"/>
      <c r="GP1046" s="13"/>
      <c r="GQ1046" s="43"/>
      <c r="GR1046" s="43"/>
      <c r="GS1046" s="45"/>
      <c r="GT1046" s="49"/>
      <c r="GU1046" s="49"/>
      <c r="GV1046" s="49"/>
      <c r="GW1046" s="49"/>
      <c r="GX1046" s="49"/>
      <c r="GY1046" s="208"/>
      <c r="GZ1046" s="231"/>
      <c r="HA1046" s="231"/>
      <c r="HB1046" s="231"/>
      <c r="HC1046" s="231"/>
      <c r="HD1046" s="231"/>
      <c r="HE1046" s="231"/>
      <c r="HF1046" s="231"/>
      <c r="HG1046" s="231"/>
      <c r="HH1046" s="231"/>
      <c r="HI1046" s="232"/>
    </row>
    <row r="1047" spans="82:217" ht="10.75" customHeight="1">
      <c r="CD1047" s="229"/>
      <c r="CE1047" s="231"/>
      <c r="CF1047" s="231"/>
      <c r="CG1047" s="231"/>
      <c r="CH1047" s="231"/>
      <c r="CI1047" s="231"/>
      <c r="CJ1047" s="12"/>
      <c r="CS1047" s="13"/>
      <c r="CT1047" s="42"/>
      <c r="CU1047" s="323"/>
      <c r="CV1047" s="43"/>
      <c r="CW1047" s="12"/>
      <c r="CX1047" s="317"/>
      <c r="CY1047" s="317"/>
      <c r="CZ1047" s="317"/>
      <c r="DA1047" s="317"/>
      <c r="DB1047" s="317"/>
      <c r="DC1047" s="317"/>
      <c r="DD1047" s="317"/>
      <c r="DE1047" s="317"/>
      <c r="DF1047" s="317"/>
      <c r="DG1047" s="317"/>
      <c r="DH1047" s="317"/>
      <c r="DI1047" s="317"/>
      <c r="DJ1047" s="317"/>
      <c r="DK1047" s="317"/>
      <c r="DL1047" s="317"/>
      <c r="DM1047" s="317"/>
      <c r="DN1047" s="317"/>
      <c r="DO1047" s="317"/>
      <c r="DP1047" s="317"/>
      <c r="DQ1047" s="317"/>
      <c r="DR1047" s="317"/>
      <c r="DS1047" s="317"/>
      <c r="DT1047" s="317"/>
      <c r="DU1047" s="317"/>
      <c r="DV1047" s="317"/>
      <c r="DW1047" s="317"/>
      <c r="DX1047" s="317"/>
      <c r="DY1047" s="317"/>
      <c r="DZ1047" s="317"/>
      <c r="EA1047" s="317"/>
      <c r="EB1047" s="317"/>
      <c r="EC1047" s="317"/>
      <c r="ED1047" s="317"/>
      <c r="EE1047" s="317"/>
      <c r="EF1047" s="317"/>
      <c r="EG1047" s="317"/>
      <c r="EH1047" s="317"/>
      <c r="EI1047" s="317"/>
      <c r="EJ1047" s="317"/>
      <c r="EK1047" s="317"/>
      <c r="EL1047" s="317"/>
      <c r="EM1047" s="317"/>
      <c r="EN1047" s="317"/>
      <c r="EO1047" s="317"/>
      <c r="EP1047" s="317"/>
      <c r="EQ1047" s="317"/>
      <c r="ER1047" s="317"/>
      <c r="ES1047" s="160"/>
      <c r="ET1047" s="161"/>
      <c r="EU1047" s="317"/>
      <c r="EV1047" s="317"/>
      <c r="EW1047" s="317"/>
      <c r="EX1047" s="317"/>
      <c r="EY1047" s="317"/>
      <c r="EZ1047" s="317"/>
      <c r="FA1047" s="291"/>
      <c r="FB1047" s="317"/>
      <c r="FC1047" s="317"/>
      <c r="FD1047" s="317"/>
      <c r="FE1047" s="317"/>
      <c r="FF1047" s="317"/>
      <c r="FG1047" s="317"/>
      <c r="FH1047" s="317"/>
      <c r="FI1047" s="317"/>
      <c r="FJ1047" s="317"/>
      <c r="FK1047" s="317"/>
      <c r="FL1047" s="317"/>
      <c r="FM1047" s="317"/>
      <c r="FN1047" s="317"/>
      <c r="FO1047" s="317"/>
      <c r="FP1047" s="317"/>
      <c r="FQ1047" s="317"/>
      <c r="FR1047" s="317"/>
      <c r="FS1047" s="317"/>
      <c r="FT1047" s="317"/>
      <c r="FU1047" s="317"/>
      <c r="FV1047" s="317"/>
      <c r="FW1047" s="317"/>
      <c r="FX1047" s="317"/>
      <c r="FY1047" s="317"/>
      <c r="FZ1047" s="317"/>
      <c r="GA1047" s="317"/>
      <c r="GB1047" s="317"/>
      <c r="GC1047" s="317"/>
      <c r="GD1047" s="317"/>
      <c r="GE1047" s="317"/>
      <c r="GF1047" s="317"/>
      <c r="GG1047" s="317"/>
      <c r="GH1047" s="317"/>
      <c r="GI1047" s="317"/>
      <c r="GJ1047" s="317"/>
      <c r="GK1047" s="317"/>
      <c r="GL1047" s="317"/>
      <c r="GM1047" s="317"/>
      <c r="GN1047" s="317"/>
      <c r="GO1047" s="317"/>
      <c r="GP1047" s="13"/>
      <c r="GQ1047" s="43"/>
      <c r="GR1047" s="43"/>
      <c r="GS1047" s="45"/>
      <c r="GT1047" s="49"/>
      <c r="GU1047" s="49"/>
      <c r="GV1047" s="49"/>
      <c r="GW1047" s="49"/>
      <c r="GX1047" s="49"/>
      <c r="GY1047" s="208"/>
      <c r="GZ1047" s="231"/>
      <c r="HA1047" s="231"/>
      <c r="HB1047" s="231"/>
      <c r="HC1047" s="231"/>
      <c r="HD1047" s="231"/>
      <c r="HE1047" s="231"/>
      <c r="HF1047" s="231"/>
      <c r="HG1047" s="231"/>
      <c r="HH1047" s="231"/>
      <c r="HI1047" s="232"/>
    </row>
    <row r="1048" spans="82:217" ht="10.75" customHeight="1">
      <c r="CD1048" s="229"/>
      <c r="CE1048" s="231"/>
      <c r="CF1048" s="231"/>
      <c r="CG1048" s="231"/>
      <c r="CH1048" s="231"/>
      <c r="CI1048" s="231"/>
      <c r="CJ1048" s="12"/>
      <c r="CS1048" s="13"/>
      <c r="CT1048" s="42"/>
      <c r="CU1048" s="323"/>
      <c r="CV1048" s="43"/>
      <c r="CW1048" s="12"/>
      <c r="CX1048" s="317"/>
      <c r="CY1048" s="317"/>
      <c r="CZ1048" s="317"/>
      <c r="DA1048" s="317"/>
      <c r="DB1048" s="317"/>
      <c r="DC1048" s="317"/>
      <c r="DD1048" s="317"/>
      <c r="DE1048" s="317"/>
      <c r="DF1048" s="317"/>
      <c r="DG1048" s="317"/>
      <c r="DH1048" s="317"/>
      <c r="DI1048" s="317"/>
      <c r="DJ1048" s="317"/>
      <c r="DK1048" s="317"/>
      <c r="DL1048" s="317"/>
      <c r="DM1048" s="317"/>
      <c r="DN1048" s="317"/>
      <c r="DO1048" s="317"/>
      <c r="DP1048" s="317"/>
      <c r="DQ1048" s="317"/>
      <c r="DR1048" s="317"/>
      <c r="DS1048" s="317"/>
      <c r="DT1048" s="317"/>
      <c r="DU1048" s="317"/>
      <c r="DV1048" s="317"/>
      <c r="DW1048" s="317"/>
      <c r="DX1048" s="317"/>
      <c r="DY1048" s="317"/>
      <c r="DZ1048" s="317"/>
      <c r="EA1048" s="317"/>
      <c r="EB1048" s="317"/>
      <c r="EC1048" s="317"/>
      <c r="ED1048" s="317"/>
      <c r="EE1048" s="317"/>
      <c r="EF1048" s="317"/>
      <c r="EG1048" s="317"/>
      <c r="EH1048" s="317"/>
      <c r="EI1048" s="317"/>
      <c r="EJ1048" s="317"/>
      <c r="EK1048" s="317"/>
      <c r="EL1048" s="317"/>
      <c r="EM1048" s="317"/>
      <c r="EN1048" s="317"/>
      <c r="EO1048" s="317"/>
      <c r="EP1048" s="317"/>
      <c r="EQ1048" s="317"/>
      <c r="ER1048" s="317"/>
      <c r="ES1048" s="160"/>
      <c r="ET1048" s="161"/>
      <c r="EU1048" s="317"/>
      <c r="EV1048" s="317"/>
      <c r="EW1048" s="317"/>
      <c r="EX1048" s="317"/>
      <c r="EY1048" s="317"/>
      <c r="EZ1048" s="317"/>
      <c r="FA1048" s="291"/>
      <c r="FB1048" s="317"/>
      <c r="FC1048" s="317"/>
      <c r="FD1048" s="317"/>
      <c r="FE1048" s="317"/>
      <c r="FF1048" s="317"/>
      <c r="FG1048" s="317"/>
      <c r="FH1048" s="317"/>
      <c r="FI1048" s="317"/>
      <c r="FJ1048" s="317"/>
      <c r="FK1048" s="317"/>
      <c r="FL1048" s="317"/>
      <c r="FM1048" s="317"/>
      <c r="FN1048" s="317"/>
      <c r="FO1048" s="317"/>
      <c r="FP1048" s="317"/>
      <c r="FQ1048" s="317"/>
      <c r="FR1048" s="317"/>
      <c r="FS1048" s="317"/>
      <c r="FT1048" s="317"/>
      <c r="FU1048" s="317"/>
      <c r="FV1048" s="317"/>
      <c r="FW1048" s="317"/>
      <c r="FX1048" s="317"/>
      <c r="FY1048" s="317"/>
      <c r="FZ1048" s="317"/>
      <c r="GA1048" s="317"/>
      <c r="GB1048" s="317"/>
      <c r="GC1048" s="317"/>
      <c r="GD1048" s="317"/>
      <c r="GE1048" s="317"/>
      <c r="GF1048" s="317"/>
      <c r="GG1048" s="317"/>
      <c r="GH1048" s="317"/>
      <c r="GI1048" s="317"/>
      <c r="GJ1048" s="317"/>
      <c r="GK1048" s="317"/>
      <c r="GL1048" s="317"/>
      <c r="GM1048" s="317"/>
      <c r="GN1048" s="317"/>
      <c r="GO1048" s="317"/>
      <c r="GP1048" s="13"/>
      <c r="GQ1048" s="43"/>
      <c r="GR1048" s="43"/>
      <c r="GS1048" s="45"/>
      <c r="GT1048" s="49"/>
      <c r="GU1048" s="49"/>
      <c r="GV1048" s="49"/>
      <c r="GW1048" s="49"/>
      <c r="GX1048" s="49"/>
      <c r="GY1048" s="208"/>
      <c r="GZ1048" s="231"/>
      <c r="HA1048" s="231"/>
      <c r="HB1048" s="231"/>
      <c r="HC1048" s="231"/>
      <c r="HD1048" s="231"/>
      <c r="HE1048" s="231"/>
      <c r="HF1048" s="231"/>
      <c r="HG1048" s="231"/>
      <c r="HH1048" s="231"/>
      <c r="HI1048" s="232"/>
    </row>
    <row r="1049" spans="82:217" ht="10.75" customHeight="1">
      <c r="CD1049" s="229"/>
      <c r="CE1049" s="231"/>
      <c r="CF1049" s="231"/>
      <c r="CG1049" s="231"/>
      <c r="CH1049" s="231"/>
      <c r="CI1049" s="231"/>
      <c r="CJ1049" s="14"/>
      <c r="CK1049" s="15"/>
      <c r="CL1049" s="15"/>
      <c r="CM1049" s="15"/>
      <c r="CN1049" s="15"/>
      <c r="CO1049" s="15"/>
      <c r="CP1049" s="15"/>
      <c r="CQ1049" s="15"/>
      <c r="CR1049" s="15"/>
      <c r="CS1049" s="16"/>
      <c r="CT1049" s="42"/>
      <c r="CU1049" s="323"/>
      <c r="CV1049" s="43"/>
      <c r="CW1049" s="12"/>
      <c r="CX1049" s="317"/>
      <c r="CY1049" s="317"/>
      <c r="CZ1049" s="317"/>
      <c r="DA1049" s="317"/>
      <c r="DB1049" s="317"/>
      <c r="DC1049" s="317"/>
      <c r="DD1049" s="317"/>
      <c r="DE1049" s="317"/>
      <c r="DF1049" s="317"/>
      <c r="DG1049" s="317"/>
      <c r="DH1049" s="317"/>
      <c r="DI1049" s="317"/>
      <c r="DJ1049" s="317"/>
      <c r="DK1049" s="317"/>
      <c r="DL1049" s="317"/>
      <c r="DM1049" s="317"/>
      <c r="DN1049" s="317"/>
      <c r="DO1049" s="317"/>
      <c r="DP1049" s="317"/>
      <c r="DQ1049" s="317"/>
      <c r="DR1049" s="317"/>
      <c r="DS1049" s="317"/>
      <c r="DT1049" s="317"/>
      <c r="DU1049" s="317"/>
      <c r="DV1049" s="317"/>
      <c r="DW1049" s="317"/>
      <c r="DX1049" s="317"/>
      <c r="DY1049" s="317"/>
      <c r="DZ1049" s="317"/>
      <c r="EA1049" s="317"/>
      <c r="EB1049" s="317"/>
      <c r="EC1049" s="317"/>
      <c r="ED1049" s="317"/>
      <c r="EE1049" s="317"/>
      <c r="EF1049" s="317"/>
      <c r="EG1049" s="317"/>
      <c r="EH1049" s="317"/>
      <c r="EI1049" s="317"/>
      <c r="EJ1049" s="317"/>
      <c r="EK1049" s="317"/>
      <c r="EL1049" s="317"/>
      <c r="EM1049" s="317"/>
      <c r="EN1049" s="317"/>
      <c r="EO1049" s="317"/>
      <c r="EP1049" s="317"/>
      <c r="EQ1049" s="317"/>
      <c r="ER1049" s="317"/>
      <c r="ES1049" s="160"/>
      <c r="ET1049" s="161"/>
      <c r="EU1049" s="317"/>
      <c r="EV1049" s="317"/>
      <c r="EW1049" s="317"/>
      <c r="EX1049" s="317"/>
      <c r="EY1049" s="317"/>
      <c r="EZ1049" s="317"/>
      <c r="FA1049" s="291"/>
      <c r="FB1049" s="317"/>
      <c r="FC1049" s="317"/>
      <c r="FD1049" s="317"/>
      <c r="FE1049" s="317"/>
      <c r="FF1049" s="317"/>
      <c r="FG1049" s="317"/>
      <c r="FH1049" s="317"/>
      <c r="FI1049" s="317"/>
      <c r="FJ1049" s="317"/>
      <c r="FK1049" s="317"/>
      <c r="FL1049" s="317"/>
      <c r="FM1049" s="317"/>
      <c r="FN1049" s="317"/>
      <c r="FO1049" s="317"/>
      <c r="FP1049" s="317"/>
      <c r="FQ1049" s="317"/>
      <c r="FR1049" s="317"/>
      <c r="FS1049" s="317"/>
      <c r="FT1049" s="317"/>
      <c r="FU1049" s="317"/>
      <c r="FV1049" s="317"/>
      <c r="FW1049" s="317"/>
      <c r="FX1049" s="317"/>
      <c r="FY1049" s="317"/>
      <c r="FZ1049" s="317"/>
      <c r="GA1049" s="317"/>
      <c r="GB1049" s="317"/>
      <c r="GC1049" s="317"/>
      <c r="GD1049" s="317"/>
      <c r="GE1049" s="317"/>
      <c r="GF1049" s="317"/>
      <c r="GG1049" s="317"/>
      <c r="GH1049" s="317"/>
      <c r="GI1049" s="317"/>
      <c r="GJ1049" s="317"/>
      <c r="GK1049" s="317"/>
      <c r="GL1049" s="317"/>
      <c r="GM1049" s="317"/>
      <c r="GN1049" s="317"/>
      <c r="GO1049" s="317"/>
      <c r="GP1049" s="13"/>
      <c r="GQ1049" s="43"/>
      <c r="GR1049" s="43"/>
      <c r="GS1049" s="45"/>
      <c r="GT1049" s="49"/>
      <c r="GU1049" s="49"/>
      <c r="GV1049" s="49"/>
      <c r="GW1049" s="49"/>
      <c r="GX1049" s="49"/>
      <c r="GY1049" s="208"/>
      <c r="GZ1049" s="231"/>
      <c r="HA1049" s="231"/>
      <c r="HB1049" s="231"/>
      <c r="HC1049" s="231"/>
      <c r="HD1049" s="231"/>
      <c r="HE1049" s="231"/>
      <c r="HF1049" s="231"/>
      <c r="HG1049" s="231"/>
      <c r="HH1049" s="231"/>
      <c r="HI1049" s="232"/>
    </row>
    <row r="1050" spans="82:217" ht="10.75" customHeight="1">
      <c r="CD1050" s="229"/>
      <c r="CE1050" s="231"/>
      <c r="CF1050" s="231"/>
      <c r="CG1050" s="231"/>
      <c r="CH1050" s="231"/>
      <c r="CI1050" s="231"/>
      <c r="CJ1050" s="12"/>
      <c r="CS1050" s="13"/>
      <c r="CT1050" s="42"/>
      <c r="CU1050" s="323"/>
      <c r="CV1050" s="43"/>
      <c r="CW1050" s="12"/>
      <c r="CX1050" s="317"/>
      <c r="CY1050" s="317"/>
      <c r="CZ1050" s="317"/>
      <c r="DA1050" s="317"/>
      <c r="DB1050" s="317"/>
      <c r="DC1050" s="317"/>
      <c r="DD1050" s="317"/>
      <c r="DE1050" s="317"/>
      <c r="DF1050" s="317"/>
      <c r="DG1050" s="317"/>
      <c r="DH1050" s="317"/>
      <c r="DI1050" s="317"/>
      <c r="DJ1050" s="317"/>
      <c r="DK1050" s="317"/>
      <c r="DL1050" s="317"/>
      <c r="DM1050" s="317"/>
      <c r="DN1050" s="317"/>
      <c r="DO1050" s="317"/>
      <c r="DP1050" s="317"/>
      <c r="DQ1050" s="317"/>
      <c r="DR1050" s="317"/>
      <c r="DS1050" s="317"/>
      <c r="DT1050" s="317"/>
      <c r="DU1050" s="317"/>
      <c r="DV1050" s="317"/>
      <c r="DW1050" s="317"/>
      <c r="DX1050" s="317"/>
      <c r="DY1050" s="317"/>
      <c r="DZ1050" s="317"/>
      <c r="EA1050" s="317"/>
      <c r="EB1050" s="317"/>
      <c r="EC1050" s="317"/>
      <c r="ED1050" s="317"/>
      <c r="EE1050" s="317"/>
      <c r="EF1050" s="317"/>
      <c r="EG1050" s="317"/>
      <c r="EH1050" s="317"/>
      <c r="EI1050" s="317"/>
      <c r="EJ1050" s="317"/>
      <c r="EK1050" s="317"/>
      <c r="EL1050" s="317"/>
      <c r="EM1050" s="317"/>
      <c r="EN1050" s="317"/>
      <c r="EO1050" s="317"/>
      <c r="EP1050" s="317"/>
      <c r="EQ1050" s="317"/>
      <c r="ER1050" s="317"/>
      <c r="ES1050" s="160"/>
      <c r="ET1050" s="161"/>
      <c r="EU1050" s="317"/>
      <c r="EV1050" s="317"/>
      <c r="EW1050" s="317"/>
      <c r="EX1050" s="317"/>
      <c r="EY1050" s="317"/>
      <c r="EZ1050" s="317"/>
      <c r="FA1050" s="291"/>
      <c r="FB1050" s="317"/>
      <c r="FC1050" s="317"/>
      <c r="FD1050" s="317"/>
      <c r="FE1050" s="317"/>
      <c r="FF1050" s="317"/>
      <c r="FG1050" s="317"/>
      <c r="FH1050" s="317"/>
      <c r="FI1050" s="317"/>
      <c r="FJ1050" s="317"/>
      <c r="FK1050" s="317"/>
      <c r="FL1050" s="317"/>
      <c r="FM1050" s="317"/>
      <c r="FN1050" s="317"/>
      <c r="FO1050" s="317"/>
      <c r="FP1050" s="317"/>
      <c r="FQ1050" s="317"/>
      <c r="FR1050" s="317"/>
      <c r="FS1050" s="317"/>
      <c r="FT1050" s="317"/>
      <c r="FU1050" s="317"/>
      <c r="FV1050" s="317"/>
      <c r="FW1050" s="317"/>
      <c r="FX1050" s="317"/>
      <c r="FY1050" s="317"/>
      <c r="FZ1050" s="317"/>
      <c r="GA1050" s="317"/>
      <c r="GB1050" s="317"/>
      <c r="GC1050" s="317"/>
      <c r="GD1050" s="317"/>
      <c r="GE1050" s="317"/>
      <c r="GF1050" s="317"/>
      <c r="GG1050" s="317"/>
      <c r="GH1050" s="317"/>
      <c r="GI1050" s="317"/>
      <c r="GJ1050" s="317"/>
      <c r="GK1050" s="317"/>
      <c r="GL1050" s="317"/>
      <c r="GM1050" s="317"/>
      <c r="GN1050" s="317"/>
      <c r="GO1050" s="317"/>
      <c r="GP1050" s="13"/>
      <c r="GQ1050" s="43"/>
      <c r="GR1050" s="43"/>
      <c r="GS1050" s="45"/>
      <c r="GT1050" s="49"/>
      <c r="GU1050" s="49"/>
      <c r="GV1050" s="49"/>
      <c r="GW1050" s="49"/>
      <c r="GX1050" s="49"/>
      <c r="GY1050" s="208"/>
      <c r="GZ1050" s="231"/>
      <c r="HA1050" s="231"/>
      <c r="HB1050" s="231"/>
      <c r="HC1050" s="231"/>
      <c r="HD1050" s="231"/>
      <c r="HE1050" s="231"/>
      <c r="HF1050" s="231"/>
      <c r="HG1050" s="231"/>
      <c r="HH1050" s="231"/>
      <c r="HI1050" s="232"/>
    </row>
    <row r="1051" spans="82:217" ht="10.75" customHeight="1">
      <c r="CD1051" s="229"/>
      <c r="CE1051" s="231"/>
      <c r="CF1051" s="231"/>
      <c r="CG1051" s="231"/>
      <c r="CH1051" s="231"/>
      <c r="CI1051" s="231"/>
      <c r="CJ1051" s="12"/>
      <c r="CS1051" s="13"/>
      <c r="CT1051" s="42"/>
      <c r="CU1051" s="323"/>
      <c r="CV1051" s="43"/>
      <c r="CW1051" s="12"/>
      <c r="CX1051" s="317"/>
      <c r="CY1051" s="317"/>
      <c r="CZ1051" s="317"/>
      <c r="DA1051" s="317"/>
      <c r="DB1051" s="317"/>
      <c r="DC1051" s="317"/>
      <c r="DD1051" s="317"/>
      <c r="DE1051" s="317"/>
      <c r="DF1051" s="317"/>
      <c r="DG1051" s="317"/>
      <c r="DH1051" s="317"/>
      <c r="DI1051" s="317"/>
      <c r="DJ1051" s="317"/>
      <c r="DK1051" s="317"/>
      <c r="DL1051" s="317"/>
      <c r="DM1051" s="317"/>
      <c r="DN1051" s="317"/>
      <c r="DO1051" s="317"/>
      <c r="DP1051" s="317"/>
      <c r="DQ1051" s="317"/>
      <c r="DR1051" s="317"/>
      <c r="DS1051" s="317"/>
      <c r="DT1051" s="317"/>
      <c r="DU1051" s="317"/>
      <c r="DV1051" s="317"/>
      <c r="DW1051" s="317"/>
      <c r="DX1051" s="317"/>
      <c r="DY1051" s="317"/>
      <c r="DZ1051" s="317"/>
      <c r="EA1051" s="317"/>
      <c r="EB1051" s="317"/>
      <c r="EC1051" s="317"/>
      <c r="ED1051" s="317"/>
      <c r="EE1051" s="317"/>
      <c r="EF1051" s="317"/>
      <c r="EG1051" s="317"/>
      <c r="EH1051" s="317"/>
      <c r="EI1051" s="317"/>
      <c r="EJ1051" s="317"/>
      <c r="EK1051" s="317"/>
      <c r="EL1051" s="317"/>
      <c r="EM1051" s="317"/>
      <c r="EN1051" s="317"/>
      <c r="EO1051" s="317"/>
      <c r="EP1051" s="317"/>
      <c r="EQ1051" s="317"/>
      <c r="ER1051" s="317"/>
      <c r="ES1051" s="160"/>
      <c r="ET1051" s="161"/>
      <c r="EU1051" s="317"/>
      <c r="EV1051" s="317"/>
      <c r="EW1051" s="317"/>
      <c r="EX1051" s="317"/>
      <c r="EY1051" s="317"/>
      <c r="EZ1051" s="317"/>
      <c r="FA1051" s="291"/>
      <c r="FB1051" s="317"/>
      <c r="FC1051" s="317"/>
      <c r="FD1051" s="317"/>
      <c r="FE1051" s="317"/>
      <c r="FF1051" s="317"/>
      <c r="FG1051" s="317"/>
      <c r="FH1051" s="317"/>
      <c r="FI1051" s="317"/>
      <c r="FJ1051" s="317"/>
      <c r="FK1051" s="317"/>
      <c r="FL1051" s="317"/>
      <c r="FM1051" s="317"/>
      <c r="FN1051" s="317"/>
      <c r="FO1051" s="317"/>
      <c r="FP1051" s="317"/>
      <c r="FQ1051" s="317"/>
      <c r="FR1051" s="317"/>
      <c r="FS1051" s="317"/>
      <c r="FT1051" s="317"/>
      <c r="FU1051" s="317"/>
      <c r="FV1051" s="317"/>
      <c r="FW1051" s="317"/>
      <c r="FX1051" s="317"/>
      <c r="FY1051" s="317"/>
      <c r="FZ1051" s="317"/>
      <c r="GA1051" s="317"/>
      <c r="GB1051" s="317"/>
      <c r="GC1051" s="317"/>
      <c r="GD1051" s="317"/>
      <c r="GE1051" s="317"/>
      <c r="GF1051" s="317"/>
      <c r="GG1051" s="317"/>
      <c r="GH1051" s="317"/>
      <c r="GI1051" s="317"/>
      <c r="GJ1051" s="317"/>
      <c r="GK1051" s="317"/>
      <c r="GL1051" s="317"/>
      <c r="GM1051" s="317"/>
      <c r="GN1051" s="317"/>
      <c r="GO1051" s="317"/>
      <c r="GP1051" s="13"/>
      <c r="GQ1051" s="43"/>
      <c r="GR1051" s="43"/>
      <c r="GS1051" s="45"/>
      <c r="GT1051" s="49"/>
      <c r="GU1051" s="49"/>
      <c r="GV1051" s="49"/>
      <c r="GW1051" s="49"/>
      <c r="GX1051" s="49"/>
      <c r="GY1051" s="208"/>
      <c r="GZ1051" s="231"/>
      <c r="HA1051" s="231"/>
      <c r="HB1051" s="231"/>
      <c r="HC1051" s="231"/>
      <c r="HD1051" s="231"/>
      <c r="HE1051" s="231"/>
      <c r="HF1051" s="231"/>
      <c r="HG1051" s="231"/>
      <c r="HH1051" s="231"/>
      <c r="HI1051" s="232"/>
    </row>
    <row r="1052" spans="82:217" ht="10.75" customHeight="1">
      <c r="CD1052" s="229"/>
      <c r="CE1052" s="231"/>
      <c r="CF1052" s="231"/>
      <c r="CG1052" s="231"/>
      <c r="CH1052" s="231"/>
      <c r="CI1052" s="231"/>
      <c r="CJ1052" s="12"/>
      <c r="CS1052" s="13"/>
      <c r="CT1052" s="42"/>
      <c r="CU1052" s="323"/>
      <c r="CV1052" s="43"/>
      <c r="CW1052" s="12"/>
      <c r="CX1052" s="317"/>
      <c r="CY1052" s="317"/>
      <c r="CZ1052" s="317"/>
      <c r="DA1052" s="317"/>
      <c r="DB1052" s="317"/>
      <c r="DC1052" s="317"/>
      <c r="DD1052" s="317"/>
      <c r="DE1052" s="317"/>
      <c r="DF1052" s="317"/>
      <c r="DG1052" s="317"/>
      <c r="DH1052" s="317"/>
      <c r="DI1052" s="317"/>
      <c r="DJ1052" s="317"/>
      <c r="DK1052" s="317"/>
      <c r="DL1052" s="317"/>
      <c r="DM1052" s="317"/>
      <c r="DN1052" s="317"/>
      <c r="DO1052" s="317"/>
      <c r="DP1052" s="317"/>
      <c r="DQ1052" s="317"/>
      <c r="DR1052" s="317"/>
      <c r="DS1052" s="317"/>
      <c r="DT1052" s="317"/>
      <c r="DU1052" s="317"/>
      <c r="DV1052" s="317"/>
      <c r="DW1052" s="317"/>
      <c r="DX1052" s="317"/>
      <c r="DY1052" s="317"/>
      <c r="DZ1052" s="317"/>
      <c r="EA1052" s="317"/>
      <c r="EB1052" s="317"/>
      <c r="EC1052" s="317"/>
      <c r="ED1052" s="317"/>
      <c r="EE1052" s="317"/>
      <c r="EF1052" s="317"/>
      <c r="EG1052" s="317"/>
      <c r="EH1052" s="317"/>
      <c r="EI1052" s="317"/>
      <c r="EJ1052" s="317"/>
      <c r="EK1052" s="317"/>
      <c r="EL1052" s="317"/>
      <c r="EM1052" s="317"/>
      <c r="EN1052" s="317"/>
      <c r="EO1052" s="317"/>
      <c r="EP1052" s="317"/>
      <c r="EQ1052" s="317"/>
      <c r="ER1052" s="317"/>
      <c r="ES1052" s="160"/>
      <c r="ET1052" s="161"/>
      <c r="EU1052" s="317"/>
      <c r="EV1052" s="317"/>
      <c r="EW1052" s="317"/>
      <c r="EX1052" s="317"/>
      <c r="EY1052" s="317"/>
      <c r="EZ1052" s="317"/>
      <c r="FA1052" s="291"/>
      <c r="FB1052" s="317"/>
      <c r="FC1052" s="317"/>
      <c r="FD1052" s="317"/>
      <c r="FE1052" s="317"/>
      <c r="FF1052" s="317"/>
      <c r="FG1052" s="317"/>
      <c r="FH1052" s="317"/>
      <c r="FI1052" s="317"/>
      <c r="FJ1052" s="317"/>
      <c r="FK1052" s="317"/>
      <c r="FL1052" s="317"/>
      <c r="FM1052" s="317"/>
      <c r="FN1052" s="317"/>
      <c r="FO1052" s="317"/>
      <c r="FP1052" s="317"/>
      <c r="FQ1052" s="317"/>
      <c r="FR1052" s="317"/>
      <c r="FS1052" s="317"/>
      <c r="FT1052" s="317"/>
      <c r="FU1052" s="317"/>
      <c r="FV1052" s="317"/>
      <c r="FW1052" s="317"/>
      <c r="FX1052" s="317"/>
      <c r="FY1052" s="317"/>
      <c r="FZ1052" s="317"/>
      <c r="GA1052" s="317"/>
      <c r="GB1052" s="317"/>
      <c r="GC1052" s="317"/>
      <c r="GD1052" s="317"/>
      <c r="GE1052" s="317"/>
      <c r="GF1052" s="317"/>
      <c r="GG1052" s="317"/>
      <c r="GH1052" s="317"/>
      <c r="GI1052" s="317"/>
      <c r="GJ1052" s="317"/>
      <c r="GK1052" s="317"/>
      <c r="GL1052" s="317"/>
      <c r="GM1052" s="317"/>
      <c r="GN1052" s="317"/>
      <c r="GO1052" s="317"/>
      <c r="GP1052" s="13"/>
      <c r="GQ1052" s="43"/>
      <c r="GR1052" s="43"/>
      <c r="GS1052" s="45"/>
      <c r="GT1052" s="49"/>
      <c r="GU1052" s="49"/>
      <c r="GV1052" s="49"/>
      <c r="GW1052" s="49"/>
      <c r="GX1052" s="49"/>
      <c r="GY1052" s="208"/>
      <c r="GZ1052" s="231"/>
      <c r="HA1052" s="231"/>
      <c r="HB1052" s="231"/>
      <c r="HC1052" s="231"/>
      <c r="HD1052" s="231"/>
      <c r="HE1052" s="231"/>
      <c r="HF1052" s="231"/>
      <c r="HG1052" s="231"/>
      <c r="HH1052" s="231"/>
      <c r="HI1052" s="232"/>
    </row>
    <row r="1053" spans="82:217" ht="10.75" customHeight="1">
      <c r="CD1053" s="229"/>
      <c r="CE1053" s="231"/>
      <c r="CF1053" s="231"/>
      <c r="CG1053" s="231"/>
      <c r="CH1053" s="231"/>
      <c r="CI1053" s="231"/>
      <c r="CJ1053" s="12"/>
      <c r="CS1053" s="13"/>
      <c r="CT1053" s="42"/>
      <c r="CU1053" s="323"/>
      <c r="CV1053" s="43"/>
      <c r="CW1053" s="12"/>
      <c r="CX1053" s="317"/>
      <c r="CY1053" s="317"/>
      <c r="CZ1053" s="317"/>
      <c r="DA1053" s="317"/>
      <c r="DB1053" s="317"/>
      <c r="DC1053" s="317"/>
      <c r="DD1053" s="317"/>
      <c r="DE1053" s="317"/>
      <c r="DF1053" s="317"/>
      <c r="DG1053" s="317"/>
      <c r="DH1053" s="317"/>
      <c r="DI1053" s="317"/>
      <c r="DJ1053" s="317"/>
      <c r="DK1053" s="317"/>
      <c r="DL1053" s="317"/>
      <c r="DM1053" s="317"/>
      <c r="DN1053" s="317"/>
      <c r="DO1053" s="317"/>
      <c r="DP1053" s="317"/>
      <c r="DQ1053" s="317"/>
      <c r="DR1053" s="317"/>
      <c r="DS1053" s="317"/>
      <c r="DT1053" s="317"/>
      <c r="DU1053" s="317"/>
      <c r="DV1053" s="317"/>
      <c r="DW1053" s="317"/>
      <c r="DX1053" s="317"/>
      <c r="DY1053" s="317"/>
      <c r="DZ1053" s="317"/>
      <c r="EA1053" s="317"/>
      <c r="EB1053" s="317"/>
      <c r="EC1053" s="317"/>
      <c r="ED1053" s="317"/>
      <c r="EE1053" s="317"/>
      <c r="EF1053" s="317"/>
      <c r="EG1053" s="317"/>
      <c r="EH1053" s="317"/>
      <c r="EI1053" s="317"/>
      <c r="EJ1053" s="317"/>
      <c r="EK1053" s="317"/>
      <c r="EL1053" s="317"/>
      <c r="EM1053" s="317"/>
      <c r="EN1053" s="317"/>
      <c r="EO1053" s="317"/>
      <c r="EP1053" s="317"/>
      <c r="EQ1053" s="317"/>
      <c r="ER1053" s="317"/>
      <c r="ES1053" s="160"/>
      <c r="ET1053" s="161"/>
      <c r="EU1053" s="317"/>
      <c r="EV1053" s="317"/>
      <c r="EW1053" s="317"/>
      <c r="EX1053" s="317"/>
      <c r="EY1053" s="317"/>
      <c r="EZ1053" s="317"/>
      <c r="FA1053" s="291"/>
      <c r="FB1053" s="317"/>
      <c r="FC1053" s="317"/>
      <c r="FD1053" s="317"/>
      <c r="FE1053" s="317"/>
      <c r="FF1053" s="317"/>
      <c r="FG1053" s="317"/>
      <c r="FH1053" s="317"/>
      <c r="FI1053" s="317"/>
      <c r="FJ1053" s="317"/>
      <c r="FK1053" s="317"/>
      <c r="FL1053" s="317"/>
      <c r="FM1053" s="317"/>
      <c r="FN1053" s="317"/>
      <c r="FO1053" s="317"/>
      <c r="FP1053" s="317"/>
      <c r="FQ1053" s="317"/>
      <c r="FR1053" s="317"/>
      <c r="FS1053" s="317"/>
      <c r="FT1053" s="317"/>
      <c r="FU1053" s="317"/>
      <c r="FV1053" s="317"/>
      <c r="FW1053" s="317"/>
      <c r="FX1053" s="317"/>
      <c r="FY1053" s="317"/>
      <c r="FZ1053" s="317"/>
      <c r="GA1053" s="317"/>
      <c r="GB1053" s="317"/>
      <c r="GC1053" s="317"/>
      <c r="GD1053" s="317"/>
      <c r="GE1053" s="317"/>
      <c r="GF1053" s="317"/>
      <c r="GG1053" s="317"/>
      <c r="GH1053" s="317"/>
      <c r="GI1053" s="317"/>
      <c r="GJ1053" s="317"/>
      <c r="GK1053" s="317"/>
      <c r="GL1053" s="317"/>
      <c r="GM1053" s="317"/>
      <c r="GN1053" s="317"/>
      <c r="GO1053" s="317"/>
      <c r="GP1053" s="13"/>
      <c r="GQ1053" s="43"/>
      <c r="GR1053" s="43"/>
      <c r="GS1053" s="45"/>
      <c r="GT1053" s="49"/>
      <c r="GU1053" s="49"/>
      <c r="GV1053" s="49"/>
      <c r="GW1053" s="49"/>
      <c r="GX1053" s="49"/>
      <c r="GY1053" s="208"/>
      <c r="GZ1053" s="231"/>
      <c r="HA1053" s="231"/>
      <c r="HB1053" s="231"/>
      <c r="HC1053" s="231"/>
      <c r="HD1053" s="231"/>
      <c r="HE1053" s="231"/>
      <c r="HF1053" s="231"/>
      <c r="HG1053" s="231"/>
      <c r="HH1053" s="231"/>
      <c r="HI1053" s="232"/>
    </row>
    <row r="1054" spans="82:217" ht="10.75" customHeight="1">
      <c r="CD1054" s="229"/>
      <c r="CE1054" s="231"/>
      <c r="CF1054" s="231"/>
      <c r="CG1054" s="231"/>
      <c r="CH1054" s="231"/>
      <c r="CI1054" s="231"/>
      <c r="CJ1054" s="9"/>
      <c r="CK1054" s="10"/>
      <c r="CL1054" s="10"/>
      <c r="CM1054" s="10"/>
      <c r="CN1054" s="10"/>
      <c r="CO1054" s="10"/>
      <c r="CP1054" s="10"/>
      <c r="CQ1054" s="10"/>
      <c r="CR1054" s="10"/>
      <c r="CS1054" s="11"/>
      <c r="CT1054" s="42"/>
      <c r="CU1054" s="323"/>
      <c r="CV1054" s="43"/>
      <c r="CW1054" s="12"/>
      <c r="CX1054" s="317"/>
      <c r="CY1054" s="317"/>
      <c r="CZ1054" s="317"/>
      <c r="DA1054" s="317"/>
      <c r="DB1054" s="317"/>
      <c r="DC1054" s="317"/>
      <c r="DD1054" s="317"/>
      <c r="DE1054" s="317"/>
      <c r="DF1054" s="317"/>
      <c r="DG1054" s="317"/>
      <c r="DH1054" s="317"/>
      <c r="DI1054" s="317"/>
      <c r="DJ1054" s="317"/>
      <c r="DK1054" s="317"/>
      <c r="DL1054" s="317"/>
      <c r="DM1054" s="317"/>
      <c r="DN1054" s="317"/>
      <c r="DO1054" s="317"/>
      <c r="DP1054" s="317"/>
      <c r="DQ1054" s="317"/>
      <c r="DR1054" s="317"/>
      <c r="DS1054" s="317"/>
      <c r="DT1054" s="317"/>
      <c r="DU1054" s="317"/>
      <c r="DV1054" s="317"/>
      <c r="DW1054" s="317"/>
      <c r="DX1054" s="317"/>
      <c r="DY1054" s="317"/>
      <c r="DZ1054" s="317"/>
      <c r="EA1054" s="317"/>
      <c r="EB1054" s="317"/>
      <c r="EC1054" s="317"/>
      <c r="ED1054" s="317"/>
      <c r="EE1054" s="317"/>
      <c r="EF1054" s="317"/>
      <c r="EG1054" s="317"/>
      <c r="EH1054" s="317"/>
      <c r="EI1054" s="317"/>
      <c r="EJ1054" s="317"/>
      <c r="EK1054" s="317"/>
      <c r="EL1054" s="317"/>
      <c r="EM1054" s="317"/>
      <c r="EN1054" s="317"/>
      <c r="EO1054" s="317"/>
      <c r="EP1054" s="317"/>
      <c r="EQ1054" s="317"/>
      <c r="ER1054" s="317"/>
      <c r="ES1054" s="160"/>
      <c r="ET1054" s="161"/>
      <c r="EU1054" s="317"/>
      <c r="EV1054" s="317"/>
      <c r="EW1054" s="317"/>
      <c r="EX1054" s="317"/>
      <c r="EY1054" s="317"/>
      <c r="EZ1054" s="317"/>
      <c r="FA1054" s="291"/>
      <c r="FB1054" s="317"/>
      <c r="FC1054" s="317"/>
      <c r="FD1054" s="317"/>
      <c r="FE1054" s="317"/>
      <c r="FF1054" s="317"/>
      <c r="FG1054" s="317"/>
      <c r="FH1054" s="317"/>
      <c r="FI1054" s="317"/>
      <c r="FJ1054" s="317"/>
      <c r="FK1054" s="317"/>
      <c r="FL1054" s="317"/>
      <c r="FM1054" s="317"/>
      <c r="FN1054" s="317"/>
      <c r="FO1054" s="317"/>
      <c r="FP1054" s="317"/>
      <c r="FQ1054" s="317"/>
      <c r="FR1054" s="317"/>
      <c r="FS1054" s="317"/>
      <c r="FT1054" s="317"/>
      <c r="FU1054" s="317"/>
      <c r="FV1054" s="317"/>
      <c r="FW1054" s="317"/>
      <c r="FX1054" s="317"/>
      <c r="FY1054" s="317"/>
      <c r="FZ1054" s="317"/>
      <c r="GA1054" s="317"/>
      <c r="GB1054" s="317"/>
      <c r="GC1054" s="317"/>
      <c r="GD1054" s="317"/>
      <c r="GE1054" s="317"/>
      <c r="GF1054" s="317"/>
      <c r="GG1054" s="317"/>
      <c r="GH1054" s="317"/>
      <c r="GI1054" s="317"/>
      <c r="GJ1054" s="317"/>
      <c r="GK1054" s="317"/>
      <c r="GL1054" s="317"/>
      <c r="GM1054" s="317"/>
      <c r="GN1054" s="317"/>
      <c r="GO1054" s="317"/>
      <c r="GP1054" s="13"/>
      <c r="GQ1054" s="43"/>
      <c r="GR1054" s="43"/>
      <c r="GS1054" s="45"/>
      <c r="GT1054" s="49"/>
      <c r="GU1054" s="49"/>
      <c r="GV1054" s="49"/>
      <c r="GW1054" s="49"/>
      <c r="GX1054" s="49"/>
      <c r="GY1054" s="208"/>
      <c r="GZ1054" s="231"/>
      <c r="HA1054" s="231"/>
      <c r="HB1054" s="231"/>
      <c r="HC1054" s="231"/>
      <c r="HD1054" s="231"/>
      <c r="HE1054" s="231"/>
      <c r="HF1054" s="231"/>
      <c r="HG1054" s="231"/>
      <c r="HH1054" s="231"/>
      <c r="HI1054" s="232"/>
    </row>
    <row r="1055" spans="82:217" ht="10.75" customHeight="1">
      <c r="CD1055" s="229"/>
      <c r="CE1055" s="231"/>
      <c r="CF1055" s="231"/>
      <c r="CG1055" s="231"/>
      <c r="CH1055" s="231"/>
      <c r="CI1055" s="231"/>
      <c r="CJ1055" s="12"/>
      <c r="CS1055" s="13"/>
      <c r="CT1055" s="42"/>
      <c r="CU1055" s="323"/>
      <c r="CV1055" s="43"/>
      <c r="CW1055" s="12"/>
      <c r="CX1055" s="317"/>
      <c r="CY1055" s="317"/>
      <c r="CZ1055" s="317"/>
      <c r="DA1055" s="317"/>
      <c r="DB1055" s="317"/>
      <c r="DC1055" s="317"/>
      <c r="DD1055" s="317"/>
      <c r="DE1055" s="317"/>
      <c r="DF1055" s="317"/>
      <c r="DG1055" s="317"/>
      <c r="DH1055" s="317"/>
      <c r="DI1055" s="317"/>
      <c r="DJ1055" s="317"/>
      <c r="DK1055" s="317"/>
      <c r="DL1055" s="317"/>
      <c r="DM1055" s="317"/>
      <c r="DN1055" s="317"/>
      <c r="DO1055" s="317"/>
      <c r="DP1055" s="317"/>
      <c r="DQ1055" s="317"/>
      <c r="DR1055" s="317"/>
      <c r="DS1055" s="317"/>
      <c r="DT1055" s="317"/>
      <c r="DU1055" s="317"/>
      <c r="DV1055" s="317"/>
      <c r="DW1055" s="317"/>
      <c r="DX1055" s="317"/>
      <c r="DY1055" s="317"/>
      <c r="DZ1055" s="317"/>
      <c r="EA1055" s="317"/>
      <c r="EB1055" s="317"/>
      <c r="EC1055" s="317"/>
      <c r="ED1055" s="317"/>
      <c r="EE1055" s="317"/>
      <c r="EF1055" s="317"/>
      <c r="EG1055" s="317"/>
      <c r="EH1055" s="317"/>
      <c r="EI1055" s="317"/>
      <c r="EJ1055" s="317"/>
      <c r="EK1055" s="317"/>
      <c r="EL1055" s="317"/>
      <c r="EM1055" s="317"/>
      <c r="EN1055" s="317"/>
      <c r="EO1055" s="317"/>
      <c r="EP1055" s="317"/>
      <c r="EQ1055" s="317"/>
      <c r="ER1055" s="317"/>
      <c r="ES1055" s="160"/>
      <c r="ET1055" s="161"/>
      <c r="EU1055" s="317"/>
      <c r="EV1055" s="317"/>
      <c r="EW1055" s="317"/>
      <c r="EX1055" s="317"/>
      <c r="EY1055" s="317"/>
      <c r="EZ1055" s="317"/>
      <c r="FA1055" s="291"/>
      <c r="FB1055" s="317"/>
      <c r="FC1055" s="317"/>
      <c r="FD1055" s="317"/>
      <c r="FE1055" s="317"/>
      <c r="FF1055" s="317"/>
      <c r="FG1055" s="317"/>
      <c r="FH1055" s="317"/>
      <c r="FI1055" s="317"/>
      <c r="FJ1055" s="317"/>
      <c r="FK1055" s="317"/>
      <c r="FL1055" s="317"/>
      <c r="FM1055" s="317"/>
      <c r="FN1055" s="317"/>
      <c r="FO1055" s="317"/>
      <c r="FP1055" s="317"/>
      <c r="FQ1055" s="317"/>
      <c r="FR1055" s="317"/>
      <c r="FS1055" s="317"/>
      <c r="FT1055" s="317"/>
      <c r="FU1055" s="317"/>
      <c r="FV1055" s="317"/>
      <c r="FW1055" s="317"/>
      <c r="FX1055" s="317"/>
      <c r="FY1055" s="317"/>
      <c r="FZ1055" s="317"/>
      <c r="GA1055" s="317"/>
      <c r="GB1055" s="317"/>
      <c r="GC1055" s="317"/>
      <c r="GD1055" s="317"/>
      <c r="GE1055" s="317"/>
      <c r="GF1055" s="317"/>
      <c r="GG1055" s="317"/>
      <c r="GH1055" s="317"/>
      <c r="GI1055" s="317"/>
      <c r="GJ1055" s="317"/>
      <c r="GK1055" s="317"/>
      <c r="GL1055" s="317"/>
      <c r="GM1055" s="317"/>
      <c r="GN1055" s="317"/>
      <c r="GO1055" s="317"/>
      <c r="GP1055" s="13"/>
      <c r="GQ1055" s="43"/>
      <c r="GR1055" s="43"/>
      <c r="GS1055" s="45"/>
      <c r="GT1055" s="49"/>
      <c r="GU1055" s="49"/>
      <c r="GV1055" s="49"/>
      <c r="GW1055" s="49"/>
      <c r="GX1055" s="49"/>
      <c r="GY1055" s="208"/>
      <c r="GZ1055" s="231"/>
      <c r="HA1055" s="231"/>
      <c r="HB1055" s="231"/>
      <c r="HC1055" s="231"/>
      <c r="HD1055" s="231"/>
      <c r="HE1055" s="231"/>
      <c r="HF1055" s="231"/>
      <c r="HG1055" s="231"/>
      <c r="HH1055" s="231"/>
      <c r="HI1055" s="232"/>
    </row>
    <row r="1056" spans="82:217" ht="10.75" customHeight="1">
      <c r="CD1056" s="229"/>
      <c r="CE1056" s="231"/>
      <c r="CF1056" s="231"/>
      <c r="CG1056" s="231"/>
      <c r="CH1056" s="231"/>
      <c r="CI1056" s="231"/>
      <c r="CJ1056" s="12"/>
      <c r="CS1056" s="13"/>
      <c r="CT1056" s="42"/>
      <c r="CU1056" s="323"/>
      <c r="CV1056" s="43"/>
      <c r="CW1056" s="12"/>
      <c r="CX1056" s="317"/>
      <c r="CY1056" s="317"/>
      <c r="CZ1056" s="317"/>
      <c r="DA1056" s="317"/>
      <c r="DB1056" s="317"/>
      <c r="DC1056" s="317"/>
      <c r="DD1056" s="317"/>
      <c r="DE1056" s="317"/>
      <c r="DF1056" s="317"/>
      <c r="DG1056" s="317"/>
      <c r="DH1056" s="317"/>
      <c r="DI1056" s="317"/>
      <c r="DJ1056" s="317"/>
      <c r="DK1056" s="317"/>
      <c r="DL1056" s="317"/>
      <c r="DM1056" s="317"/>
      <c r="DN1056" s="317"/>
      <c r="DO1056" s="317"/>
      <c r="DP1056" s="317"/>
      <c r="DQ1056" s="317"/>
      <c r="DR1056" s="317"/>
      <c r="DS1056" s="317"/>
      <c r="DT1056" s="317"/>
      <c r="DU1056" s="317"/>
      <c r="DV1056" s="317"/>
      <c r="DW1056" s="317"/>
      <c r="DX1056" s="317"/>
      <c r="DY1056" s="317"/>
      <c r="DZ1056" s="317"/>
      <c r="EA1056" s="317"/>
      <c r="EB1056" s="317"/>
      <c r="EC1056" s="317"/>
      <c r="ED1056" s="317"/>
      <c r="EE1056" s="317"/>
      <c r="EF1056" s="317"/>
      <c r="EG1056" s="317"/>
      <c r="EH1056" s="317"/>
      <c r="EI1056" s="317"/>
      <c r="EJ1056" s="317"/>
      <c r="EK1056" s="317"/>
      <c r="EL1056" s="317"/>
      <c r="EM1056" s="317"/>
      <c r="EN1056" s="317"/>
      <c r="EO1056" s="317"/>
      <c r="EP1056" s="317"/>
      <c r="EQ1056" s="317"/>
      <c r="ER1056" s="317"/>
      <c r="ES1056" s="160"/>
      <c r="ET1056" s="161"/>
      <c r="EU1056" s="317"/>
      <c r="EV1056" s="317"/>
      <c r="EW1056" s="317"/>
      <c r="EX1056" s="317"/>
      <c r="EY1056" s="317"/>
      <c r="EZ1056" s="317"/>
      <c r="FA1056" s="291"/>
      <c r="FB1056" s="317"/>
      <c r="FC1056" s="317"/>
      <c r="FD1056" s="317"/>
      <c r="FE1056" s="317"/>
      <c r="FF1056" s="317"/>
      <c r="FG1056" s="317"/>
      <c r="FH1056" s="317"/>
      <c r="FI1056" s="317"/>
      <c r="FJ1056" s="317"/>
      <c r="FK1056" s="317"/>
      <c r="FL1056" s="317"/>
      <c r="FM1056" s="317"/>
      <c r="FN1056" s="317"/>
      <c r="FO1056" s="317"/>
      <c r="FP1056" s="317"/>
      <c r="FQ1056" s="317"/>
      <c r="FR1056" s="317"/>
      <c r="FS1056" s="317"/>
      <c r="FT1056" s="317"/>
      <c r="FU1056" s="317"/>
      <c r="FV1056" s="317"/>
      <c r="FW1056" s="317"/>
      <c r="FX1056" s="317"/>
      <c r="FY1056" s="317"/>
      <c r="FZ1056" s="317"/>
      <c r="GA1056" s="317"/>
      <c r="GB1056" s="317"/>
      <c r="GC1056" s="317"/>
      <c r="GD1056" s="317"/>
      <c r="GE1056" s="317"/>
      <c r="GF1056" s="317"/>
      <c r="GG1056" s="317"/>
      <c r="GH1056" s="317"/>
      <c r="GI1056" s="317"/>
      <c r="GJ1056" s="317"/>
      <c r="GK1056" s="317"/>
      <c r="GL1056" s="317"/>
      <c r="GM1056" s="317"/>
      <c r="GN1056" s="317"/>
      <c r="GO1056" s="317"/>
      <c r="GP1056" s="13"/>
      <c r="GQ1056" s="43"/>
      <c r="GR1056" s="43"/>
      <c r="GS1056" s="45"/>
      <c r="GT1056" s="49"/>
      <c r="GU1056" s="49"/>
      <c r="GV1056" s="49"/>
      <c r="GW1056" s="49"/>
      <c r="GX1056" s="49"/>
      <c r="GY1056" s="208"/>
      <c r="GZ1056" s="231"/>
      <c r="HA1056" s="231"/>
      <c r="HB1056" s="231"/>
      <c r="HC1056" s="231"/>
      <c r="HD1056" s="231"/>
      <c r="HE1056" s="231"/>
      <c r="HF1056" s="231"/>
      <c r="HG1056" s="231"/>
      <c r="HH1056" s="231"/>
      <c r="HI1056" s="232"/>
    </row>
    <row r="1057" spans="82:217" ht="10.75" customHeight="1">
      <c r="CD1057" s="230"/>
      <c r="CE1057" s="233"/>
      <c r="CF1057" s="233"/>
      <c r="CG1057" s="233"/>
      <c r="CH1057" s="233"/>
      <c r="CI1057" s="234"/>
      <c r="CJ1057" s="14"/>
      <c r="CK1057" s="15"/>
      <c r="CL1057" s="15"/>
      <c r="CM1057" s="15"/>
      <c r="CN1057" s="15"/>
      <c r="CO1057" s="15"/>
      <c r="CP1057" s="15"/>
      <c r="CQ1057" s="15"/>
      <c r="CR1057" s="15"/>
      <c r="CS1057" s="16"/>
      <c r="CT1057" s="42"/>
      <c r="CU1057" s="324"/>
      <c r="CV1057" s="43"/>
      <c r="CW1057" s="12"/>
      <c r="CX1057" s="317"/>
      <c r="CY1057" s="317"/>
      <c r="CZ1057" s="317"/>
      <c r="DA1057" s="317"/>
      <c r="DB1057" s="317"/>
      <c r="DC1057" s="317"/>
      <c r="DD1057" s="317"/>
      <c r="DE1057" s="317"/>
      <c r="DF1057" s="317"/>
      <c r="DG1057" s="317"/>
      <c r="DH1057" s="317"/>
      <c r="DI1057" s="317"/>
      <c r="DJ1057" s="317"/>
      <c r="DK1057" s="317"/>
      <c r="DL1057" s="317"/>
      <c r="DM1057" s="317"/>
      <c r="DN1057" s="317"/>
      <c r="DO1057" s="317"/>
      <c r="DP1057" s="317"/>
      <c r="DQ1057" s="317"/>
      <c r="DR1057" s="317"/>
      <c r="DS1057" s="317"/>
      <c r="DT1057" s="317"/>
      <c r="DU1057" s="317"/>
      <c r="DV1057" s="317"/>
      <c r="DW1057" s="317"/>
      <c r="DX1057" s="317"/>
      <c r="DY1057" s="317"/>
      <c r="DZ1057" s="317"/>
      <c r="EA1057" s="317"/>
      <c r="EB1057" s="317"/>
      <c r="EC1057" s="317"/>
      <c r="ED1057" s="317"/>
      <c r="EE1057" s="317"/>
      <c r="EF1057" s="317"/>
      <c r="EG1057" s="317"/>
      <c r="EH1057" s="317"/>
      <c r="EI1057" s="317"/>
      <c r="EJ1057" s="317"/>
      <c r="EK1057" s="317"/>
      <c r="EL1057" s="317"/>
      <c r="EM1057" s="317"/>
      <c r="EN1057" s="317"/>
      <c r="EO1057" s="317"/>
      <c r="EP1057" s="317"/>
      <c r="EQ1057" s="317"/>
      <c r="ER1057" s="317"/>
      <c r="ES1057" s="160"/>
      <c r="ET1057" s="161"/>
      <c r="EU1057" s="317"/>
      <c r="EV1057" s="317"/>
      <c r="EW1057" s="317"/>
      <c r="EX1057" s="317"/>
      <c r="EY1057" s="317"/>
      <c r="EZ1057" s="317"/>
      <c r="FA1057" s="291"/>
      <c r="FB1057" s="317"/>
      <c r="FC1057" s="317"/>
      <c r="FD1057" s="317"/>
      <c r="FE1057" s="317"/>
      <c r="FF1057" s="317"/>
      <c r="FG1057" s="317"/>
      <c r="FH1057" s="317"/>
      <c r="FI1057" s="317"/>
      <c r="FJ1057" s="317"/>
      <c r="FK1057" s="317"/>
      <c r="FL1057" s="317"/>
      <c r="FM1057" s="317"/>
      <c r="FN1057" s="317"/>
      <c r="FO1057" s="317"/>
      <c r="FP1057" s="317"/>
      <c r="FQ1057" s="317"/>
      <c r="FR1057" s="317"/>
      <c r="FS1057" s="317"/>
      <c r="FT1057" s="317"/>
      <c r="FU1057" s="317"/>
      <c r="FV1057" s="317"/>
      <c r="FW1057" s="317"/>
      <c r="FX1057" s="317"/>
      <c r="FY1057" s="317"/>
      <c r="FZ1057" s="317"/>
      <c r="GA1057" s="317"/>
      <c r="GB1057" s="317"/>
      <c r="GC1057" s="317"/>
      <c r="GD1057" s="317"/>
      <c r="GE1057" s="317"/>
      <c r="GF1057" s="317"/>
      <c r="GG1057" s="317"/>
      <c r="GH1057" s="317"/>
      <c r="GI1057" s="317"/>
      <c r="GJ1057" s="317"/>
      <c r="GK1057" s="317"/>
      <c r="GL1057" s="317"/>
      <c r="GM1057" s="317"/>
      <c r="GN1057" s="317"/>
      <c r="GO1057" s="317"/>
      <c r="GP1057" s="13"/>
      <c r="GQ1057" s="43"/>
      <c r="GR1057" s="43"/>
      <c r="GS1057" s="45"/>
      <c r="GT1057" s="49"/>
      <c r="GU1057" s="49"/>
      <c r="GV1057" s="49"/>
      <c r="GW1057" s="49"/>
      <c r="GX1057" s="49"/>
      <c r="GY1057" s="208"/>
      <c r="GZ1057" s="231"/>
      <c r="HA1057" s="231"/>
      <c r="HB1057" s="231"/>
      <c r="HC1057" s="231"/>
      <c r="HD1057" s="231"/>
      <c r="HE1057" s="231"/>
      <c r="HF1057" s="231"/>
      <c r="HG1057" s="231"/>
      <c r="HH1057" s="231"/>
      <c r="HI1057" s="232"/>
    </row>
    <row r="1058" spans="82:217" ht="10.75" customHeight="1">
      <c r="CJ1058" s="12"/>
      <c r="CS1058" s="13"/>
      <c r="CT1058" s="42"/>
      <c r="CU1058" s="43"/>
      <c r="CV1058" s="43"/>
      <c r="CW1058" s="12"/>
      <c r="CX1058" s="317"/>
      <c r="CY1058" s="317"/>
      <c r="CZ1058" s="317"/>
      <c r="DA1058" s="317"/>
      <c r="DB1058" s="317"/>
      <c r="DC1058" s="317"/>
      <c r="DD1058" s="317"/>
      <c r="DE1058" s="317"/>
      <c r="DF1058" s="317"/>
      <c r="DG1058" s="317"/>
      <c r="DH1058" s="317"/>
      <c r="DI1058" s="317"/>
      <c r="DJ1058" s="317"/>
      <c r="DK1058" s="317"/>
      <c r="DL1058" s="317"/>
      <c r="DM1058" s="317"/>
      <c r="DN1058" s="317"/>
      <c r="DO1058" s="317"/>
      <c r="DP1058" s="317"/>
      <c r="DQ1058" s="317"/>
      <c r="DR1058" s="317"/>
      <c r="DS1058" s="317"/>
      <c r="DT1058" s="317"/>
      <c r="DU1058" s="317"/>
      <c r="DV1058" s="317"/>
      <c r="DW1058" s="317"/>
      <c r="DX1058" s="317"/>
      <c r="DY1058" s="317"/>
      <c r="DZ1058" s="317"/>
      <c r="EA1058" s="317"/>
      <c r="EB1058" s="317"/>
      <c r="EC1058" s="317"/>
      <c r="ED1058" s="317"/>
      <c r="EE1058" s="317"/>
      <c r="EF1058" s="317"/>
      <c r="EG1058" s="317"/>
      <c r="EH1058" s="317"/>
      <c r="EI1058" s="317"/>
      <c r="EJ1058" s="317"/>
      <c r="EK1058" s="317"/>
      <c r="EL1058" s="317"/>
      <c r="EM1058" s="317"/>
      <c r="EN1058" s="317"/>
      <c r="EO1058" s="317"/>
      <c r="EP1058" s="317"/>
      <c r="EQ1058" s="317"/>
      <c r="ER1058" s="317"/>
      <c r="ES1058" s="160"/>
      <c r="ET1058" s="161"/>
      <c r="EU1058" s="317"/>
      <c r="EV1058" s="317"/>
      <c r="EW1058" s="317"/>
      <c r="EX1058" s="317"/>
      <c r="EY1058" s="317"/>
      <c r="EZ1058" s="317"/>
      <c r="FA1058" s="291"/>
      <c r="FB1058" s="317"/>
      <c r="FC1058" s="317"/>
      <c r="FD1058" s="317"/>
      <c r="FE1058" s="317"/>
      <c r="FF1058" s="317"/>
      <c r="FG1058" s="317"/>
      <c r="FH1058" s="317"/>
      <c r="FI1058" s="317"/>
      <c r="FJ1058" s="317"/>
      <c r="FK1058" s="317"/>
      <c r="FL1058" s="317"/>
      <c r="FM1058" s="317"/>
      <c r="FN1058" s="317"/>
      <c r="FO1058" s="317"/>
      <c r="FP1058" s="317"/>
      <c r="FQ1058" s="317"/>
      <c r="FR1058" s="317"/>
      <c r="FS1058" s="317"/>
      <c r="FT1058" s="317"/>
      <c r="FU1058" s="317"/>
      <c r="FV1058" s="317"/>
      <c r="FW1058" s="317"/>
      <c r="FX1058" s="317"/>
      <c r="FY1058" s="317"/>
      <c r="FZ1058" s="317"/>
      <c r="GA1058" s="317"/>
      <c r="GB1058" s="317"/>
      <c r="GC1058" s="317"/>
      <c r="GD1058" s="317"/>
      <c r="GE1058" s="317"/>
      <c r="GF1058" s="317"/>
      <c r="GG1058" s="317"/>
      <c r="GH1058" s="317"/>
      <c r="GI1058" s="317"/>
      <c r="GJ1058" s="317"/>
      <c r="GK1058" s="317"/>
      <c r="GL1058" s="317"/>
      <c r="GM1058" s="317"/>
      <c r="GN1058" s="317"/>
      <c r="GO1058" s="317"/>
      <c r="GP1058" s="13"/>
      <c r="GQ1058" s="43"/>
      <c r="GR1058" s="43"/>
      <c r="GS1058" s="45"/>
      <c r="GT1058" s="49"/>
      <c r="GU1058" s="49"/>
      <c r="GV1058" s="49"/>
      <c r="GW1058" s="49"/>
      <c r="GX1058" s="49"/>
      <c r="GY1058" s="208"/>
      <c r="GZ1058" s="231"/>
      <c r="HA1058" s="231"/>
      <c r="HB1058" s="231"/>
      <c r="HC1058" s="231"/>
      <c r="HD1058" s="231"/>
      <c r="HE1058" s="231"/>
      <c r="HF1058" s="231"/>
      <c r="HG1058" s="231"/>
      <c r="HH1058" s="231"/>
      <c r="HI1058" s="232"/>
    </row>
    <row r="1059" spans="82:217" ht="10.75" customHeight="1">
      <c r="CJ1059" s="12"/>
      <c r="CS1059" s="13"/>
      <c r="CT1059" s="42"/>
      <c r="CU1059" s="43"/>
      <c r="CV1059" s="43"/>
      <c r="CW1059" s="12"/>
      <c r="CX1059" s="317"/>
      <c r="CY1059" s="317"/>
      <c r="CZ1059" s="317"/>
      <c r="DA1059" s="317"/>
      <c r="DB1059" s="317"/>
      <c r="DC1059" s="317"/>
      <c r="DD1059" s="317"/>
      <c r="DE1059" s="317"/>
      <c r="DF1059" s="317"/>
      <c r="DG1059" s="317"/>
      <c r="DH1059" s="317"/>
      <c r="DI1059" s="317"/>
      <c r="DJ1059" s="317"/>
      <c r="DK1059" s="317"/>
      <c r="DL1059" s="317"/>
      <c r="DM1059" s="317"/>
      <c r="DN1059" s="317"/>
      <c r="DO1059" s="317"/>
      <c r="DP1059" s="317"/>
      <c r="DQ1059" s="317"/>
      <c r="DR1059" s="317"/>
      <c r="DS1059" s="317"/>
      <c r="DT1059" s="317"/>
      <c r="DU1059" s="317"/>
      <c r="DV1059" s="317"/>
      <c r="DW1059" s="317"/>
      <c r="DX1059" s="317"/>
      <c r="DY1059" s="317"/>
      <c r="DZ1059" s="317"/>
      <c r="EA1059" s="317"/>
      <c r="EB1059" s="317"/>
      <c r="EC1059" s="317"/>
      <c r="ED1059" s="317"/>
      <c r="EE1059" s="317"/>
      <c r="EF1059" s="317"/>
      <c r="EG1059" s="317"/>
      <c r="EH1059" s="317"/>
      <c r="EI1059" s="317"/>
      <c r="EJ1059" s="317"/>
      <c r="EK1059" s="317"/>
      <c r="EL1059" s="317"/>
      <c r="EM1059" s="317"/>
      <c r="EN1059" s="317"/>
      <c r="EO1059" s="317"/>
      <c r="EP1059" s="317"/>
      <c r="EQ1059" s="317"/>
      <c r="ER1059" s="317"/>
      <c r="ES1059" s="160"/>
      <c r="ET1059" s="161"/>
      <c r="EU1059" s="317"/>
      <c r="EV1059" s="317"/>
      <c r="EW1059" s="317"/>
      <c r="EX1059" s="317"/>
      <c r="EY1059" s="317"/>
      <c r="EZ1059" s="317"/>
      <c r="FA1059" s="291"/>
      <c r="FB1059" s="317"/>
      <c r="FC1059" s="317"/>
      <c r="FD1059" s="317"/>
      <c r="FE1059" s="317"/>
      <c r="FF1059" s="317"/>
      <c r="FG1059" s="317"/>
      <c r="FH1059" s="317"/>
      <c r="FI1059" s="317"/>
      <c r="FJ1059" s="317"/>
      <c r="FK1059" s="317"/>
      <c r="FL1059" s="317"/>
      <c r="FM1059" s="317"/>
      <c r="FN1059" s="317"/>
      <c r="FO1059" s="317"/>
      <c r="FP1059" s="317"/>
      <c r="FQ1059" s="317"/>
      <c r="FR1059" s="317"/>
      <c r="FS1059" s="317"/>
      <c r="FT1059" s="317"/>
      <c r="FU1059" s="317"/>
      <c r="FV1059" s="317"/>
      <c r="FW1059" s="317"/>
      <c r="FX1059" s="317"/>
      <c r="FY1059" s="317"/>
      <c r="FZ1059" s="317"/>
      <c r="GA1059" s="317"/>
      <c r="GB1059" s="317"/>
      <c r="GC1059" s="317"/>
      <c r="GD1059" s="317"/>
      <c r="GE1059" s="317"/>
      <c r="GF1059" s="317"/>
      <c r="GG1059" s="317"/>
      <c r="GH1059" s="317"/>
      <c r="GI1059" s="317"/>
      <c r="GJ1059" s="317"/>
      <c r="GK1059" s="317"/>
      <c r="GL1059" s="317"/>
      <c r="GM1059" s="317"/>
      <c r="GN1059" s="317"/>
      <c r="GO1059" s="317"/>
      <c r="GP1059" s="13"/>
      <c r="GQ1059" s="43"/>
      <c r="GR1059" s="43"/>
      <c r="GS1059" s="45"/>
      <c r="GT1059" s="49"/>
      <c r="GU1059" s="49"/>
      <c r="GV1059" s="49"/>
      <c r="GW1059" s="49"/>
      <c r="GX1059" s="49"/>
      <c r="GY1059" s="208"/>
      <c r="GZ1059" s="231"/>
      <c r="HA1059" s="231"/>
      <c r="HB1059" s="231"/>
      <c r="HC1059" s="231"/>
      <c r="HD1059" s="231"/>
      <c r="HE1059" s="231"/>
      <c r="HF1059" s="231"/>
      <c r="HG1059" s="231"/>
      <c r="HH1059" s="231"/>
      <c r="HI1059" s="232"/>
    </row>
    <row r="1060" spans="82:217" ht="10.75" customHeight="1">
      <c r="CJ1060" s="12"/>
      <c r="CS1060" s="13"/>
      <c r="CT1060" s="42"/>
      <c r="CU1060" s="43"/>
      <c r="CV1060" s="43"/>
      <c r="CW1060" s="12"/>
      <c r="CX1060" s="317"/>
      <c r="CY1060" s="317"/>
      <c r="CZ1060" s="317"/>
      <c r="DA1060" s="317"/>
      <c r="DB1060" s="317"/>
      <c r="DC1060" s="317"/>
      <c r="DD1060" s="317"/>
      <c r="DE1060" s="317"/>
      <c r="DF1060" s="317"/>
      <c r="DG1060" s="317"/>
      <c r="DH1060" s="317"/>
      <c r="DI1060" s="317"/>
      <c r="DJ1060" s="317"/>
      <c r="DK1060" s="317"/>
      <c r="DL1060" s="317"/>
      <c r="DM1060" s="317"/>
      <c r="DN1060" s="317"/>
      <c r="DO1060" s="317"/>
      <c r="DP1060" s="317"/>
      <c r="DQ1060" s="317"/>
      <c r="DR1060" s="317"/>
      <c r="DS1060" s="317"/>
      <c r="DT1060" s="317"/>
      <c r="DU1060" s="317"/>
      <c r="DV1060" s="317"/>
      <c r="DW1060" s="317"/>
      <c r="DX1060" s="317"/>
      <c r="DY1060" s="317"/>
      <c r="DZ1060" s="317"/>
      <c r="EA1060" s="317"/>
      <c r="EB1060" s="317"/>
      <c r="EC1060" s="317"/>
      <c r="ED1060" s="317"/>
      <c r="EE1060" s="317"/>
      <c r="EF1060" s="317"/>
      <c r="EG1060" s="317"/>
      <c r="EH1060" s="317"/>
      <c r="EI1060" s="317"/>
      <c r="EJ1060" s="317"/>
      <c r="EK1060" s="317"/>
      <c r="EL1060" s="317"/>
      <c r="EM1060" s="317"/>
      <c r="EN1060" s="317"/>
      <c r="EO1060" s="317"/>
      <c r="EP1060" s="317"/>
      <c r="EQ1060" s="317"/>
      <c r="ER1060" s="317"/>
      <c r="ES1060" s="160"/>
      <c r="ET1060" s="161"/>
      <c r="EU1060" s="317"/>
      <c r="EV1060" s="317"/>
      <c r="EW1060" s="317"/>
      <c r="EX1060" s="317"/>
      <c r="EY1060" s="317"/>
      <c r="EZ1060" s="317"/>
      <c r="FA1060" s="291"/>
      <c r="FB1060" s="317"/>
      <c r="FC1060" s="317"/>
      <c r="FD1060" s="317"/>
      <c r="FE1060" s="317"/>
      <c r="FF1060" s="317"/>
      <c r="FG1060" s="317"/>
      <c r="FH1060" s="317"/>
      <c r="FI1060" s="317"/>
      <c r="FJ1060" s="317"/>
      <c r="FK1060" s="317"/>
      <c r="FL1060" s="317"/>
      <c r="FM1060" s="317"/>
      <c r="FN1060" s="317"/>
      <c r="FO1060" s="317"/>
      <c r="FP1060" s="317"/>
      <c r="FQ1060" s="317"/>
      <c r="FR1060" s="317"/>
      <c r="FS1060" s="317"/>
      <c r="FT1060" s="317"/>
      <c r="FU1060" s="317"/>
      <c r="FV1060" s="317"/>
      <c r="FW1060" s="317"/>
      <c r="FX1060" s="317"/>
      <c r="FY1060" s="317"/>
      <c r="FZ1060" s="317"/>
      <c r="GA1060" s="317"/>
      <c r="GB1060" s="317"/>
      <c r="GC1060" s="317"/>
      <c r="GD1060" s="317"/>
      <c r="GE1060" s="317"/>
      <c r="GF1060" s="317"/>
      <c r="GG1060" s="317"/>
      <c r="GH1060" s="317"/>
      <c r="GI1060" s="317"/>
      <c r="GJ1060" s="317"/>
      <c r="GK1060" s="317"/>
      <c r="GL1060" s="317"/>
      <c r="GM1060" s="317"/>
      <c r="GN1060" s="317"/>
      <c r="GO1060" s="317"/>
      <c r="GP1060" s="13"/>
      <c r="GQ1060" s="43"/>
      <c r="GR1060" s="43"/>
      <c r="GS1060" s="45"/>
      <c r="GT1060" s="49"/>
      <c r="GU1060" s="49"/>
      <c r="GV1060" s="49"/>
      <c r="GW1060" s="49"/>
      <c r="GX1060" s="49"/>
      <c r="GY1060" s="208"/>
      <c r="GZ1060" s="231"/>
      <c r="HA1060" s="231"/>
      <c r="HB1060" s="231"/>
      <c r="HC1060" s="231"/>
      <c r="HD1060" s="231"/>
      <c r="HE1060" s="231"/>
      <c r="HF1060" s="231"/>
      <c r="HG1060" s="231"/>
      <c r="HH1060" s="231"/>
      <c r="HI1060" s="232"/>
    </row>
    <row r="1061" spans="82:217" ht="10.75" customHeight="1">
      <c r="CJ1061" s="12"/>
      <c r="CS1061" s="13"/>
      <c r="CT1061" s="42"/>
      <c r="CU1061" s="43"/>
      <c r="CV1061" s="43"/>
      <c r="CW1061" s="12"/>
      <c r="CX1061" s="317"/>
      <c r="CY1061" s="317"/>
      <c r="CZ1061" s="317"/>
      <c r="DA1061" s="317"/>
      <c r="DB1061" s="317"/>
      <c r="DC1061" s="317"/>
      <c r="DD1061" s="317"/>
      <c r="DE1061" s="317"/>
      <c r="DF1061" s="317"/>
      <c r="DG1061" s="317"/>
      <c r="DH1061" s="317"/>
      <c r="DI1061" s="317"/>
      <c r="DJ1061" s="317"/>
      <c r="DK1061" s="317"/>
      <c r="DL1061" s="317"/>
      <c r="DM1061" s="317"/>
      <c r="DN1061" s="317"/>
      <c r="DO1061" s="317"/>
      <c r="DP1061" s="317"/>
      <c r="DQ1061" s="317"/>
      <c r="DR1061" s="317"/>
      <c r="DS1061" s="317"/>
      <c r="DT1061" s="317"/>
      <c r="DU1061" s="317"/>
      <c r="DV1061" s="317"/>
      <c r="DW1061" s="317"/>
      <c r="DX1061" s="317"/>
      <c r="DY1061" s="317"/>
      <c r="DZ1061" s="317"/>
      <c r="EA1061" s="317"/>
      <c r="EB1061" s="317"/>
      <c r="EC1061" s="317"/>
      <c r="ED1061" s="317"/>
      <c r="EE1061" s="317"/>
      <c r="EF1061" s="317"/>
      <c r="EG1061" s="317"/>
      <c r="EH1061" s="317"/>
      <c r="EI1061" s="317"/>
      <c r="EJ1061" s="317"/>
      <c r="EK1061" s="317"/>
      <c r="EL1061" s="317"/>
      <c r="EM1061" s="317"/>
      <c r="EN1061" s="317"/>
      <c r="EO1061" s="317"/>
      <c r="EP1061" s="317"/>
      <c r="EQ1061" s="317"/>
      <c r="ER1061" s="317"/>
      <c r="ES1061" s="160"/>
      <c r="ET1061" s="161"/>
      <c r="EU1061" s="317"/>
      <c r="EV1061" s="317"/>
      <c r="EW1061" s="317"/>
      <c r="EX1061" s="317"/>
      <c r="EY1061" s="317"/>
      <c r="EZ1061" s="317"/>
      <c r="FA1061" s="291"/>
      <c r="FB1061" s="317"/>
      <c r="FC1061" s="317"/>
      <c r="FD1061" s="317"/>
      <c r="FE1061" s="317"/>
      <c r="FF1061" s="317"/>
      <c r="FG1061" s="317"/>
      <c r="FH1061" s="317"/>
      <c r="FI1061" s="317"/>
      <c r="FJ1061" s="317"/>
      <c r="FK1061" s="317"/>
      <c r="FL1061" s="317"/>
      <c r="FM1061" s="317"/>
      <c r="FN1061" s="317"/>
      <c r="FO1061" s="317"/>
      <c r="FP1061" s="317"/>
      <c r="FQ1061" s="317"/>
      <c r="FR1061" s="317"/>
      <c r="FS1061" s="317"/>
      <c r="FT1061" s="317"/>
      <c r="FU1061" s="317"/>
      <c r="FV1061" s="317"/>
      <c r="FW1061" s="317"/>
      <c r="FX1061" s="317"/>
      <c r="FY1061" s="317"/>
      <c r="FZ1061" s="317"/>
      <c r="GA1061" s="317"/>
      <c r="GB1061" s="317"/>
      <c r="GC1061" s="317"/>
      <c r="GD1061" s="317"/>
      <c r="GE1061" s="317"/>
      <c r="GF1061" s="317"/>
      <c r="GG1061" s="317"/>
      <c r="GH1061" s="317"/>
      <c r="GI1061" s="317"/>
      <c r="GJ1061" s="317"/>
      <c r="GK1061" s="317"/>
      <c r="GL1061" s="317"/>
      <c r="GM1061" s="317"/>
      <c r="GN1061" s="317"/>
      <c r="GO1061" s="317"/>
      <c r="GP1061" s="13"/>
      <c r="GQ1061" s="43"/>
      <c r="GR1061" s="43"/>
      <c r="GS1061" s="45"/>
      <c r="GT1061" s="49"/>
      <c r="GU1061" s="49"/>
      <c r="GV1061" s="49"/>
      <c r="GW1061" s="49"/>
      <c r="GX1061" s="49"/>
      <c r="GY1061" s="208"/>
      <c r="GZ1061" s="231"/>
      <c r="HA1061" s="231"/>
      <c r="HB1061" s="231"/>
      <c r="HC1061" s="231"/>
      <c r="HD1061" s="231"/>
      <c r="HE1061" s="231"/>
      <c r="HF1061" s="231"/>
      <c r="HG1061" s="231"/>
      <c r="HH1061" s="231"/>
      <c r="HI1061" s="232"/>
    </row>
    <row r="1062" spans="82:217" ht="10.75" customHeight="1">
      <c r="CJ1062" s="9"/>
      <c r="CK1062" s="10"/>
      <c r="CL1062" s="10"/>
      <c r="CM1062" s="10"/>
      <c r="CN1062" s="10"/>
      <c r="CO1062" s="10"/>
      <c r="CP1062" s="10"/>
      <c r="CQ1062" s="10"/>
      <c r="CR1062" s="10"/>
      <c r="CS1062" s="11"/>
      <c r="CT1062" s="42"/>
      <c r="CU1062" s="43"/>
      <c r="CV1062" s="43"/>
      <c r="CW1062" s="12"/>
      <c r="CX1062" s="317"/>
      <c r="CY1062" s="317"/>
      <c r="CZ1062" s="317"/>
      <c r="DA1062" s="317"/>
      <c r="DB1062" s="317"/>
      <c r="DC1062" s="317"/>
      <c r="DD1062" s="317"/>
      <c r="DE1062" s="317"/>
      <c r="DF1062" s="317"/>
      <c r="DG1062" s="317"/>
      <c r="DH1062" s="317"/>
      <c r="DI1062" s="317"/>
      <c r="DJ1062" s="317"/>
      <c r="DK1062" s="317"/>
      <c r="DL1062" s="317"/>
      <c r="DM1062" s="317"/>
      <c r="DN1062" s="317"/>
      <c r="DO1062" s="317"/>
      <c r="DP1062" s="317"/>
      <c r="DQ1062" s="317"/>
      <c r="DR1062" s="317"/>
      <c r="DS1062" s="317"/>
      <c r="DT1062" s="317"/>
      <c r="DU1062" s="317"/>
      <c r="DV1062" s="317"/>
      <c r="DW1062" s="317"/>
      <c r="DX1062" s="317"/>
      <c r="DY1062" s="317"/>
      <c r="DZ1062" s="317"/>
      <c r="EA1062" s="317"/>
      <c r="EB1062" s="317"/>
      <c r="EC1062" s="317"/>
      <c r="ED1062" s="317"/>
      <c r="EE1062" s="317"/>
      <c r="EF1062" s="317"/>
      <c r="EG1062" s="317"/>
      <c r="EH1062" s="317"/>
      <c r="EI1062" s="317"/>
      <c r="EJ1062" s="317"/>
      <c r="EK1062" s="317"/>
      <c r="EL1062" s="317"/>
      <c r="EM1062" s="317"/>
      <c r="EN1062" s="317"/>
      <c r="EO1062" s="317"/>
      <c r="EP1062" s="317"/>
      <c r="EQ1062" s="317"/>
      <c r="ER1062" s="317"/>
      <c r="ES1062" s="160"/>
      <c r="ET1062" s="161"/>
      <c r="EU1062" s="317"/>
      <c r="EV1062" s="317"/>
      <c r="EW1062" s="317"/>
      <c r="EX1062" s="317"/>
      <c r="EY1062" s="317"/>
      <c r="EZ1062" s="317"/>
      <c r="FA1062" s="291"/>
      <c r="FB1062" s="317"/>
      <c r="FC1062" s="317"/>
      <c r="FD1062" s="317"/>
      <c r="FE1062" s="317"/>
      <c r="FF1062" s="317"/>
      <c r="FG1062" s="317"/>
      <c r="FH1062" s="317"/>
      <c r="FI1062" s="317"/>
      <c r="FJ1062" s="317"/>
      <c r="FK1062" s="317"/>
      <c r="FL1062" s="317"/>
      <c r="FM1062" s="317"/>
      <c r="FN1062" s="317"/>
      <c r="FO1062" s="317"/>
      <c r="FP1062" s="317"/>
      <c r="FQ1062" s="317"/>
      <c r="FR1062" s="317"/>
      <c r="FS1062" s="317"/>
      <c r="FT1062" s="317"/>
      <c r="FU1062" s="317"/>
      <c r="FV1062" s="317"/>
      <c r="FW1062" s="317"/>
      <c r="FX1062" s="317"/>
      <c r="FY1062" s="317"/>
      <c r="FZ1062" s="317"/>
      <c r="GA1062" s="317"/>
      <c r="GB1062" s="317"/>
      <c r="GC1062" s="317"/>
      <c r="GD1062" s="317"/>
      <c r="GE1062" s="317"/>
      <c r="GF1062" s="317"/>
      <c r="GG1062" s="317"/>
      <c r="GH1062" s="317"/>
      <c r="GI1062" s="317"/>
      <c r="GJ1062" s="317"/>
      <c r="GK1062" s="317"/>
      <c r="GL1062" s="317"/>
      <c r="GM1062" s="317"/>
      <c r="GN1062" s="317"/>
      <c r="GO1062" s="317"/>
      <c r="GP1062" s="13"/>
      <c r="GQ1062" s="43"/>
      <c r="GR1062" s="43"/>
      <c r="GS1062" s="45"/>
      <c r="GT1062" s="49"/>
      <c r="GU1062" s="49"/>
      <c r="GV1062" s="49"/>
      <c r="GW1062" s="49"/>
      <c r="GX1062" s="49"/>
      <c r="GY1062" s="208"/>
      <c r="GZ1062" s="231"/>
      <c r="HA1062" s="231"/>
      <c r="HB1062" s="231"/>
      <c r="HC1062" s="231"/>
      <c r="HD1062" s="231"/>
      <c r="HE1062" s="231"/>
      <c r="HF1062" s="231"/>
      <c r="HG1062" s="231"/>
      <c r="HH1062" s="231"/>
      <c r="HI1062" s="232"/>
    </row>
    <row r="1063" spans="82:217" ht="10.75" customHeight="1">
      <c r="CJ1063" s="12"/>
      <c r="CS1063" s="13"/>
      <c r="CT1063" s="42"/>
      <c r="CU1063" s="43"/>
      <c r="CV1063" s="43"/>
      <c r="CW1063" s="12"/>
      <c r="CX1063" s="317"/>
      <c r="CY1063" s="317"/>
      <c r="CZ1063" s="317"/>
      <c r="DA1063" s="317"/>
      <c r="DB1063" s="317"/>
      <c r="DC1063" s="317"/>
      <c r="DD1063" s="317"/>
      <c r="DE1063" s="317"/>
      <c r="DF1063" s="317"/>
      <c r="DG1063" s="317"/>
      <c r="DH1063" s="317"/>
      <c r="DI1063" s="317"/>
      <c r="DJ1063" s="317"/>
      <c r="DK1063" s="317"/>
      <c r="DL1063" s="317"/>
      <c r="DM1063" s="317"/>
      <c r="DN1063" s="317"/>
      <c r="DO1063" s="317"/>
      <c r="DP1063" s="317"/>
      <c r="DQ1063" s="317"/>
      <c r="DR1063" s="317"/>
      <c r="DS1063" s="317"/>
      <c r="DT1063" s="317"/>
      <c r="DU1063" s="317"/>
      <c r="DV1063" s="317"/>
      <c r="DW1063" s="317"/>
      <c r="DX1063" s="317"/>
      <c r="DY1063" s="317"/>
      <c r="DZ1063" s="317"/>
      <c r="EA1063" s="317"/>
      <c r="EB1063" s="317"/>
      <c r="EC1063" s="317"/>
      <c r="ED1063" s="317"/>
      <c r="EE1063" s="317"/>
      <c r="EF1063" s="317"/>
      <c r="EG1063" s="317"/>
      <c r="EH1063" s="317"/>
      <c r="EI1063" s="317"/>
      <c r="EJ1063" s="317"/>
      <c r="EK1063" s="317"/>
      <c r="EL1063" s="317"/>
      <c r="EM1063" s="317"/>
      <c r="EN1063" s="317"/>
      <c r="EO1063" s="317"/>
      <c r="EP1063" s="317"/>
      <c r="EQ1063" s="317"/>
      <c r="ER1063" s="317"/>
      <c r="ES1063" s="160"/>
      <c r="ET1063" s="161"/>
      <c r="EU1063" s="317"/>
      <c r="EV1063" s="317"/>
      <c r="EW1063" s="317"/>
      <c r="EX1063" s="317"/>
      <c r="EY1063" s="317"/>
      <c r="EZ1063" s="317"/>
      <c r="FA1063" s="291"/>
      <c r="FB1063" s="317"/>
      <c r="FC1063" s="317"/>
      <c r="FD1063" s="317"/>
      <c r="FE1063" s="317"/>
      <c r="FF1063" s="317"/>
      <c r="FG1063" s="317"/>
      <c r="FH1063" s="317"/>
      <c r="FI1063" s="317"/>
      <c r="FJ1063" s="317"/>
      <c r="FK1063" s="317"/>
      <c r="FL1063" s="317"/>
      <c r="FM1063" s="317"/>
      <c r="FN1063" s="317"/>
      <c r="FO1063" s="317"/>
      <c r="FP1063" s="317"/>
      <c r="FQ1063" s="317"/>
      <c r="FR1063" s="317"/>
      <c r="FS1063" s="317"/>
      <c r="FT1063" s="317"/>
      <c r="FU1063" s="317"/>
      <c r="FV1063" s="317"/>
      <c r="FW1063" s="317"/>
      <c r="FX1063" s="317"/>
      <c r="FY1063" s="317"/>
      <c r="FZ1063" s="317"/>
      <c r="GA1063" s="317"/>
      <c r="GB1063" s="317"/>
      <c r="GC1063" s="317"/>
      <c r="GD1063" s="317"/>
      <c r="GE1063" s="317"/>
      <c r="GF1063" s="317"/>
      <c r="GG1063" s="317"/>
      <c r="GH1063" s="317"/>
      <c r="GI1063" s="317"/>
      <c r="GJ1063" s="317"/>
      <c r="GK1063" s="317"/>
      <c r="GL1063" s="317"/>
      <c r="GM1063" s="317"/>
      <c r="GN1063" s="317"/>
      <c r="GO1063" s="317"/>
      <c r="GP1063" s="13"/>
      <c r="GQ1063" s="43"/>
      <c r="GR1063" s="43"/>
      <c r="GS1063" s="45"/>
      <c r="GT1063" s="49"/>
      <c r="GU1063" s="49"/>
      <c r="GV1063" s="49"/>
      <c r="GW1063" s="49"/>
      <c r="GX1063" s="49"/>
      <c r="GY1063" s="208"/>
      <c r="GZ1063" s="231"/>
      <c r="HA1063" s="231"/>
      <c r="HB1063" s="231"/>
      <c r="HC1063" s="231"/>
      <c r="HD1063" s="231"/>
      <c r="HE1063" s="231"/>
      <c r="HF1063" s="231"/>
      <c r="HG1063" s="231"/>
      <c r="HH1063" s="231"/>
      <c r="HI1063" s="232"/>
    </row>
    <row r="1064" spans="82:217" ht="10.75" customHeight="1">
      <c r="CJ1064" s="12"/>
      <c r="CS1064" s="13"/>
      <c r="CT1064" s="42"/>
      <c r="CU1064" s="43"/>
      <c r="CV1064" s="43"/>
      <c r="CW1064" s="12"/>
      <c r="CX1064" s="317"/>
      <c r="CY1064" s="317"/>
      <c r="CZ1064" s="317"/>
      <c r="DA1064" s="317"/>
      <c r="DB1064" s="317"/>
      <c r="DC1064" s="317"/>
      <c r="DD1064" s="317"/>
      <c r="DE1064" s="317"/>
      <c r="DF1064" s="317"/>
      <c r="DG1064" s="317"/>
      <c r="DH1064" s="317"/>
      <c r="DI1064" s="317"/>
      <c r="DJ1064" s="317"/>
      <c r="DK1064" s="317"/>
      <c r="DL1064" s="317"/>
      <c r="DM1064" s="317"/>
      <c r="DN1064" s="317"/>
      <c r="DO1064" s="317"/>
      <c r="DP1064" s="317"/>
      <c r="DQ1064" s="317"/>
      <c r="DR1064" s="317"/>
      <c r="DS1064" s="317"/>
      <c r="DT1064" s="317"/>
      <c r="DU1064" s="317"/>
      <c r="DV1064" s="317"/>
      <c r="DW1064" s="317"/>
      <c r="DX1064" s="317"/>
      <c r="DY1064" s="317"/>
      <c r="DZ1064" s="317"/>
      <c r="EA1064" s="317"/>
      <c r="EB1064" s="317"/>
      <c r="EC1064" s="317"/>
      <c r="ED1064" s="317"/>
      <c r="EE1064" s="317"/>
      <c r="EF1064" s="317"/>
      <c r="EG1064" s="317"/>
      <c r="EH1064" s="317"/>
      <c r="EI1064" s="317"/>
      <c r="EJ1064" s="317"/>
      <c r="EK1064" s="317"/>
      <c r="EL1064" s="317"/>
      <c r="EM1064" s="317"/>
      <c r="EN1064" s="317"/>
      <c r="EO1064" s="317"/>
      <c r="EP1064" s="317"/>
      <c r="EQ1064" s="317"/>
      <c r="ER1064" s="317"/>
      <c r="ES1064" s="160"/>
      <c r="ET1064" s="161"/>
      <c r="EU1064" s="317"/>
      <c r="EV1064" s="317"/>
      <c r="EW1064" s="317"/>
      <c r="EX1064" s="317"/>
      <c r="EY1064" s="317"/>
      <c r="EZ1064" s="317"/>
      <c r="FA1064" s="291"/>
      <c r="FB1064" s="317"/>
      <c r="FC1064" s="317"/>
      <c r="FD1064" s="317"/>
      <c r="FE1064" s="317"/>
      <c r="FF1064" s="317"/>
      <c r="FG1064" s="317"/>
      <c r="FH1064" s="317"/>
      <c r="FI1064" s="317"/>
      <c r="FJ1064" s="317"/>
      <c r="FK1064" s="317"/>
      <c r="FL1064" s="317"/>
      <c r="FM1064" s="317"/>
      <c r="FN1064" s="317"/>
      <c r="FO1064" s="317"/>
      <c r="FP1064" s="317"/>
      <c r="FQ1064" s="317"/>
      <c r="FR1064" s="317"/>
      <c r="FS1064" s="317"/>
      <c r="FT1064" s="317"/>
      <c r="FU1064" s="317"/>
      <c r="FV1064" s="317"/>
      <c r="FW1064" s="317"/>
      <c r="FX1064" s="317"/>
      <c r="FY1064" s="317"/>
      <c r="FZ1064" s="317"/>
      <c r="GA1064" s="317"/>
      <c r="GB1064" s="317"/>
      <c r="GC1064" s="317"/>
      <c r="GD1064" s="317"/>
      <c r="GE1064" s="317"/>
      <c r="GF1064" s="317"/>
      <c r="GG1064" s="317"/>
      <c r="GH1064" s="317"/>
      <c r="GI1064" s="317"/>
      <c r="GJ1064" s="317"/>
      <c r="GK1064" s="317"/>
      <c r="GL1064" s="317"/>
      <c r="GM1064" s="317"/>
      <c r="GN1064" s="317"/>
      <c r="GO1064" s="317"/>
      <c r="GP1064" s="13"/>
      <c r="GQ1064" s="43"/>
      <c r="GR1064" s="43"/>
      <c r="GS1064" s="45"/>
      <c r="GT1064" s="49"/>
      <c r="GU1064" s="49"/>
      <c r="GV1064" s="49"/>
      <c r="GW1064" s="49"/>
      <c r="GX1064" s="49"/>
      <c r="GY1064" s="208"/>
      <c r="GZ1064" s="231"/>
      <c r="HA1064" s="231"/>
      <c r="HB1064" s="231"/>
      <c r="HC1064" s="231"/>
      <c r="HD1064" s="231"/>
      <c r="HE1064" s="231"/>
      <c r="HF1064" s="231"/>
      <c r="HG1064" s="231"/>
      <c r="HH1064" s="231"/>
      <c r="HI1064" s="232"/>
    </row>
    <row r="1065" spans="82:217" ht="10.75" customHeight="1">
      <c r="CJ1065" s="12"/>
      <c r="CS1065" s="13"/>
      <c r="CT1065" s="42"/>
      <c r="CU1065" s="43"/>
      <c r="CV1065" s="43"/>
      <c r="CW1065" s="12"/>
      <c r="CX1065" s="317"/>
      <c r="CY1065" s="317"/>
      <c r="CZ1065" s="317"/>
      <c r="DA1065" s="317"/>
      <c r="DB1065" s="317"/>
      <c r="DC1065" s="317"/>
      <c r="DD1065" s="317"/>
      <c r="DE1065" s="317"/>
      <c r="DF1065" s="317"/>
      <c r="DG1065" s="317"/>
      <c r="DH1065" s="317"/>
      <c r="DI1065" s="317"/>
      <c r="DJ1065" s="317"/>
      <c r="DK1065" s="317"/>
      <c r="DL1065" s="317"/>
      <c r="DM1065" s="317"/>
      <c r="DN1065" s="317"/>
      <c r="DO1065" s="317"/>
      <c r="DP1065" s="317"/>
      <c r="DQ1065" s="317"/>
      <c r="DR1065" s="317"/>
      <c r="DS1065" s="317"/>
      <c r="DT1065" s="317"/>
      <c r="DU1065" s="317"/>
      <c r="DV1065" s="317"/>
      <c r="DW1065" s="317"/>
      <c r="DX1065" s="317"/>
      <c r="DY1065" s="317"/>
      <c r="DZ1065" s="317"/>
      <c r="EA1065" s="317"/>
      <c r="EB1065" s="317"/>
      <c r="EC1065" s="317"/>
      <c r="ED1065" s="317"/>
      <c r="EE1065" s="317"/>
      <c r="EF1065" s="317"/>
      <c r="EG1065" s="317"/>
      <c r="EH1065" s="317"/>
      <c r="EI1065" s="317"/>
      <c r="EJ1065" s="317"/>
      <c r="EK1065" s="317"/>
      <c r="EL1065" s="317"/>
      <c r="EM1065" s="317"/>
      <c r="EN1065" s="317"/>
      <c r="EO1065" s="317"/>
      <c r="EP1065" s="317"/>
      <c r="EQ1065" s="317"/>
      <c r="ER1065" s="317"/>
      <c r="ES1065" s="160"/>
      <c r="ET1065" s="161"/>
      <c r="EU1065" s="317"/>
      <c r="EV1065" s="317"/>
      <c r="EW1065" s="317"/>
      <c r="EX1065" s="317"/>
      <c r="EY1065" s="317"/>
      <c r="EZ1065" s="317"/>
      <c r="FA1065" s="291"/>
      <c r="FB1065" s="317"/>
      <c r="FC1065" s="317"/>
      <c r="FD1065" s="317"/>
      <c r="FE1065" s="317"/>
      <c r="FF1065" s="317"/>
      <c r="FG1065" s="317"/>
      <c r="FH1065" s="317"/>
      <c r="FI1065" s="317"/>
      <c r="FJ1065" s="317"/>
      <c r="FK1065" s="317"/>
      <c r="FL1065" s="317"/>
      <c r="FM1065" s="317"/>
      <c r="FN1065" s="317"/>
      <c r="FO1065" s="317"/>
      <c r="FP1065" s="317"/>
      <c r="FQ1065" s="317"/>
      <c r="FR1065" s="317"/>
      <c r="FS1065" s="317"/>
      <c r="FT1065" s="317"/>
      <c r="FU1065" s="317"/>
      <c r="FV1065" s="317"/>
      <c r="FW1065" s="317"/>
      <c r="FX1065" s="317"/>
      <c r="FY1065" s="317"/>
      <c r="FZ1065" s="317"/>
      <c r="GA1065" s="317"/>
      <c r="GB1065" s="317"/>
      <c r="GC1065" s="317"/>
      <c r="GD1065" s="317"/>
      <c r="GE1065" s="317"/>
      <c r="GF1065" s="317"/>
      <c r="GG1065" s="317"/>
      <c r="GH1065" s="317"/>
      <c r="GI1065" s="317"/>
      <c r="GJ1065" s="317"/>
      <c r="GK1065" s="317"/>
      <c r="GL1065" s="317"/>
      <c r="GM1065" s="317"/>
      <c r="GN1065" s="317"/>
      <c r="GO1065" s="317"/>
      <c r="GP1065" s="13"/>
      <c r="GQ1065" s="43"/>
      <c r="GR1065" s="43"/>
      <c r="GS1065" s="45"/>
      <c r="GT1065" s="49"/>
      <c r="GU1065" s="49"/>
      <c r="GV1065" s="49"/>
      <c r="GW1065" s="49"/>
      <c r="GX1065" s="49"/>
      <c r="GY1065" s="208"/>
      <c r="GZ1065" s="231"/>
      <c r="HA1065" s="231"/>
      <c r="HB1065" s="231"/>
      <c r="HC1065" s="231"/>
      <c r="HD1065" s="231"/>
      <c r="HE1065" s="231"/>
      <c r="HF1065" s="231"/>
      <c r="HG1065" s="231"/>
      <c r="HH1065" s="231"/>
      <c r="HI1065" s="232"/>
    </row>
    <row r="1066" spans="82:217" ht="10.75" customHeight="1">
      <c r="CJ1066" s="9"/>
      <c r="CK1066" s="10"/>
      <c r="CL1066" s="10"/>
      <c r="CM1066" s="10"/>
      <c r="CN1066" s="10"/>
      <c r="CO1066" s="10"/>
      <c r="CP1066" s="10"/>
      <c r="CQ1066" s="10"/>
      <c r="CR1066" s="10"/>
      <c r="CS1066" s="11"/>
      <c r="CT1066" s="42"/>
      <c r="CU1066" s="43"/>
      <c r="CV1066" s="43"/>
      <c r="CW1066" s="12"/>
      <c r="CX1066" s="317"/>
      <c r="CY1066" s="317"/>
      <c r="CZ1066" s="317"/>
      <c r="DA1066" s="317"/>
      <c r="DB1066" s="317"/>
      <c r="DC1066" s="317"/>
      <c r="DD1066" s="317"/>
      <c r="DE1066" s="317"/>
      <c r="DF1066" s="317"/>
      <c r="DG1066" s="317"/>
      <c r="DH1066" s="317"/>
      <c r="DI1066" s="317"/>
      <c r="DJ1066" s="317"/>
      <c r="DK1066" s="317"/>
      <c r="DL1066" s="317"/>
      <c r="DM1066" s="317"/>
      <c r="DN1066" s="317"/>
      <c r="DO1066" s="317"/>
      <c r="DP1066" s="317"/>
      <c r="DQ1066" s="317"/>
      <c r="DR1066" s="317"/>
      <c r="DS1066" s="317"/>
      <c r="DT1066" s="317"/>
      <c r="DU1066" s="317"/>
      <c r="DV1066" s="317"/>
      <c r="DW1066" s="317"/>
      <c r="DX1066" s="317"/>
      <c r="DY1066" s="317"/>
      <c r="DZ1066" s="317"/>
      <c r="EA1066" s="317"/>
      <c r="EB1066" s="317"/>
      <c r="EC1066" s="317"/>
      <c r="ED1066" s="317"/>
      <c r="EE1066" s="317"/>
      <c r="EF1066" s="317"/>
      <c r="EG1066" s="317"/>
      <c r="EH1066" s="317"/>
      <c r="EI1066" s="317"/>
      <c r="EJ1066" s="317"/>
      <c r="EK1066" s="317"/>
      <c r="EL1066" s="317"/>
      <c r="EM1066" s="317"/>
      <c r="EN1066" s="317"/>
      <c r="EO1066" s="317"/>
      <c r="EP1066" s="317"/>
      <c r="EQ1066" s="317"/>
      <c r="ER1066" s="317"/>
      <c r="ES1066" s="160"/>
      <c r="ET1066" s="161"/>
      <c r="EU1066" s="317"/>
      <c r="EV1066" s="317"/>
      <c r="EW1066" s="317"/>
      <c r="EX1066" s="317"/>
      <c r="EY1066" s="317"/>
      <c r="EZ1066" s="317"/>
      <c r="FA1066" s="291"/>
      <c r="FB1066" s="317"/>
      <c r="FC1066" s="317"/>
      <c r="FD1066" s="317"/>
      <c r="FE1066" s="317"/>
      <c r="FF1066" s="317"/>
      <c r="FG1066" s="317"/>
      <c r="FH1066" s="317"/>
      <c r="FI1066" s="317"/>
      <c r="FJ1066" s="317"/>
      <c r="FK1066" s="317"/>
      <c r="FL1066" s="317"/>
      <c r="FM1066" s="317"/>
      <c r="FN1066" s="317"/>
      <c r="FO1066" s="317"/>
      <c r="FP1066" s="317"/>
      <c r="FQ1066" s="317"/>
      <c r="FR1066" s="317"/>
      <c r="FS1066" s="317"/>
      <c r="FT1066" s="317"/>
      <c r="FU1066" s="317"/>
      <c r="FV1066" s="317"/>
      <c r="FW1066" s="317"/>
      <c r="FX1066" s="317"/>
      <c r="FY1066" s="317"/>
      <c r="FZ1066" s="317"/>
      <c r="GA1066" s="317"/>
      <c r="GB1066" s="317"/>
      <c r="GC1066" s="317"/>
      <c r="GD1066" s="317"/>
      <c r="GE1066" s="317"/>
      <c r="GF1066" s="317"/>
      <c r="GG1066" s="317"/>
      <c r="GH1066" s="317"/>
      <c r="GI1066" s="317"/>
      <c r="GJ1066" s="317"/>
      <c r="GK1066" s="317"/>
      <c r="GL1066" s="317"/>
      <c r="GM1066" s="317"/>
      <c r="GN1066" s="317"/>
      <c r="GO1066" s="317"/>
      <c r="GP1066" s="13"/>
      <c r="GQ1066" s="43"/>
      <c r="GR1066" s="43"/>
      <c r="GS1066" s="45"/>
      <c r="GT1066" s="49"/>
      <c r="GU1066" s="49"/>
      <c r="GV1066" s="49"/>
      <c r="GW1066" s="49"/>
      <c r="GX1066" s="49"/>
      <c r="GY1066" s="208"/>
      <c r="GZ1066" s="231"/>
      <c r="HA1066" s="231"/>
      <c r="HB1066" s="231"/>
      <c r="HC1066" s="231"/>
      <c r="HD1066" s="231"/>
      <c r="HE1066" s="231"/>
      <c r="HF1066" s="231"/>
      <c r="HG1066" s="231"/>
      <c r="HH1066" s="231"/>
      <c r="HI1066" s="232"/>
    </row>
    <row r="1067" spans="82:217" ht="10.75" customHeight="1">
      <c r="CJ1067" s="12"/>
      <c r="CS1067" s="13"/>
      <c r="CT1067" s="42"/>
      <c r="CU1067" s="43"/>
      <c r="CV1067" s="43"/>
      <c r="CW1067" s="12"/>
      <c r="CX1067" s="317"/>
      <c r="CY1067" s="317"/>
      <c r="CZ1067" s="317"/>
      <c r="DA1067" s="317"/>
      <c r="DB1067" s="317"/>
      <c r="DC1067" s="317"/>
      <c r="DD1067" s="317"/>
      <c r="DE1067" s="317"/>
      <c r="DF1067" s="317"/>
      <c r="DG1067" s="317"/>
      <c r="DH1067" s="317"/>
      <c r="DI1067" s="317"/>
      <c r="DJ1067" s="317"/>
      <c r="DK1067" s="317"/>
      <c r="DL1067" s="317"/>
      <c r="DM1067" s="317"/>
      <c r="DN1067" s="317"/>
      <c r="DO1067" s="317"/>
      <c r="DP1067" s="317"/>
      <c r="DQ1067" s="317"/>
      <c r="DR1067" s="317"/>
      <c r="DS1067" s="317"/>
      <c r="DT1067" s="317"/>
      <c r="DU1067" s="317"/>
      <c r="DV1067" s="317"/>
      <c r="DW1067" s="317"/>
      <c r="DX1067" s="317"/>
      <c r="DY1067" s="317"/>
      <c r="DZ1067" s="317"/>
      <c r="EA1067" s="317"/>
      <c r="EB1067" s="317"/>
      <c r="EC1067" s="317"/>
      <c r="ED1067" s="317"/>
      <c r="EE1067" s="317"/>
      <c r="EF1067" s="317"/>
      <c r="EG1067" s="317"/>
      <c r="EH1067" s="317"/>
      <c r="EI1067" s="317"/>
      <c r="EJ1067" s="317"/>
      <c r="EK1067" s="317"/>
      <c r="EL1067" s="317"/>
      <c r="EM1067" s="317"/>
      <c r="EN1067" s="317"/>
      <c r="EO1067" s="317"/>
      <c r="EP1067" s="317"/>
      <c r="EQ1067" s="317"/>
      <c r="ER1067" s="317"/>
      <c r="ES1067" s="160"/>
      <c r="ET1067" s="161"/>
      <c r="EU1067" s="317"/>
      <c r="EV1067" s="317"/>
      <c r="EW1067" s="317"/>
      <c r="EX1067" s="317"/>
      <c r="EY1067" s="317"/>
      <c r="EZ1067" s="317"/>
      <c r="FA1067" s="291"/>
      <c r="FB1067" s="317"/>
      <c r="FC1067" s="317"/>
      <c r="FD1067" s="317"/>
      <c r="FE1067" s="317"/>
      <c r="FF1067" s="317"/>
      <c r="FG1067" s="317"/>
      <c r="FH1067" s="317"/>
      <c r="FI1067" s="317"/>
      <c r="FJ1067" s="317"/>
      <c r="FK1067" s="317"/>
      <c r="FL1067" s="317"/>
      <c r="FM1067" s="317"/>
      <c r="FN1067" s="317"/>
      <c r="FO1067" s="317"/>
      <c r="FP1067" s="317"/>
      <c r="FQ1067" s="317"/>
      <c r="FR1067" s="317"/>
      <c r="FS1067" s="317"/>
      <c r="FT1067" s="317"/>
      <c r="FU1067" s="317"/>
      <c r="FV1067" s="317"/>
      <c r="FW1067" s="317"/>
      <c r="FX1067" s="317"/>
      <c r="FY1067" s="317"/>
      <c r="FZ1067" s="317"/>
      <c r="GA1067" s="317"/>
      <c r="GB1067" s="317"/>
      <c r="GC1067" s="317"/>
      <c r="GD1067" s="317"/>
      <c r="GE1067" s="317"/>
      <c r="GF1067" s="317"/>
      <c r="GG1067" s="317"/>
      <c r="GH1067" s="317"/>
      <c r="GI1067" s="317"/>
      <c r="GJ1067" s="317"/>
      <c r="GK1067" s="317"/>
      <c r="GL1067" s="317"/>
      <c r="GM1067" s="317"/>
      <c r="GN1067" s="317"/>
      <c r="GO1067" s="317"/>
      <c r="GP1067" s="13"/>
      <c r="GQ1067" s="43"/>
      <c r="GR1067" s="43"/>
      <c r="GS1067" s="45"/>
      <c r="GT1067" s="49"/>
      <c r="GU1067" s="49"/>
      <c r="GV1067" s="49"/>
      <c r="GW1067" s="49"/>
      <c r="GX1067" s="49"/>
      <c r="GY1067" s="208"/>
      <c r="GZ1067" s="231"/>
      <c r="HA1067" s="231"/>
      <c r="HB1067" s="231"/>
      <c r="HC1067" s="231"/>
      <c r="HD1067" s="231"/>
      <c r="HE1067" s="231"/>
      <c r="HF1067" s="231"/>
      <c r="HG1067" s="231"/>
      <c r="HH1067" s="231"/>
      <c r="HI1067" s="232"/>
    </row>
    <row r="1068" spans="82:217" ht="10.75" customHeight="1" thickBot="1">
      <c r="CJ1068" s="12"/>
      <c r="CS1068" s="13"/>
      <c r="CT1068" s="56"/>
      <c r="CU1068" s="57"/>
      <c r="CV1068" s="58"/>
      <c r="CW1068" s="12"/>
      <c r="CX1068" s="317"/>
      <c r="CY1068" s="317"/>
      <c r="CZ1068" s="317"/>
      <c r="DA1068" s="317"/>
      <c r="DB1068" s="317"/>
      <c r="DC1068" s="317"/>
      <c r="DD1068" s="317"/>
      <c r="DE1068" s="317"/>
      <c r="DF1068" s="317"/>
      <c r="DG1068" s="317"/>
      <c r="DH1068" s="317"/>
      <c r="DI1068" s="317"/>
      <c r="DJ1068" s="317"/>
      <c r="DK1068" s="317"/>
      <c r="DL1068" s="317"/>
      <c r="DM1068" s="317"/>
      <c r="DN1068" s="317"/>
      <c r="DO1068" s="317"/>
      <c r="DP1068" s="317"/>
      <c r="DQ1068" s="317"/>
      <c r="DR1068" s="317"/>
      <c r="DS1068" s="317"/>
      <c r="DT1068" s="317"/>
      <c r="DU1068" s="317"/>
      <c r="DV1068" s="317"/>
      <c r="DW1068" s="317"/>
      <c r="DX1068" s="317"/>
      <c r="DY1068" s="317"/>
      <c r="DZ1068" s="317"/>
      <c r="EA1068" s="317"/>
      <c r="EB1068" s="317"/>
      <c r="EC1068" s="317"/>
      <c r="ED1068" s="317"/>
      <c r="EE1068" s="317"/>
      <c r="EF1068" s="317"/>
      <c r="EG1068" s="317"/>
      <c r="EH1068" s="317"/>
      <c r="EI1068" s="317"/>
      <c r="EJ1068" s="317"/>
      <c r="EK1068" s="317"/>
      <c r="EL1068" s="317"/>
      <c r="EM1068" s="317"/>
      <c r="EN1068" s="317"/>
      <c r="EO1068" s="317"/>
      <c r="EP1068" s="317"/>
      <c r="EQ1068" s="317"/>
      <c r="ER1068" s="56"/>
      <c r="ES1068" s="56"/>
      <c r="ET1068" s="58"/>
      <c r="EU1068" s="317"/>
      <c r="EV1068" s="317"/>
      <c r="EW1068" s="317"/>
      <c r="EX1068" s="317"/>
      <c r="EY1068" s="317"/>
      <c r="EZ1068" s="317"/>
      <c r="FA1068" s="291"/>
      <c r="FB1068" s="317"/>
      <c r="FC1068" s="317"/>
      <c r="FD1068" s="317"/>
      <c r="FE1068" s="317"/>
      <c r="FF1068" s="317"/>
      <c r="FG1068" s="317"/>
      <c r="FH1068" s="317"/>
      <c r="FI1068" s="317"/>
      <c r="FJ1068" s="317"/>
      <c r="FK1068" s="317"/>
      <c r="FL1068" s="317"/>
      <c r="FM1068" s="317"/>
      <c r="FN1068" s="317"/>
      <c r="FO1068" s="317"/>
      <c r="FP1068" s="317"/>
      <c r="FQ1068" s="317"/>
      <c r="FR1068" s="317"/>
      <c r="FS1068" s="317"/>
      <c r="FT1068" s="317"/>
      <c r="FU1068" s="317"/>
      <c r="FV1068" s="317"/>
      <c r="FW1068" s="317"/>
      <c r="FX1068" s="317"/>
      <c r="FY1068" s="317"/>
      <c r="FZ1068" s="317"/>
      <c r="GA1068" s="317"/>
      <c r="GB1068" s="317"/>
      <c r="GC1068" s="317"/>
      <c r="GD1068" s="317"/>
      <c r="GE1068" s="317"/>
      <c r="GF1068" s="317"/>
      <c r="GG1068" s="317"/>
      <c r="GH1068" s="317"/>
      <c r="GI1068" s="317"/>
      <c r="GJ1068" s="317"/>
      <c r="GK1068" s="317"/>
      <c r="GL1068" s="317"/>
      <c r="GM1068" s="317"/>
      <c r="GN1068" s="317"/>
      <c r="GO1068" s="317"/>
      <c r="GP1068" s="13"/>
      <c r="GQ1068" s="56"/>
      <c r="GR1068" s="57"/>
      <c r="GS1068" s="58"/>
      <c r="GT1068" s="49"/>
      <c r="GU1068" s="49"/>
      <c r="GV1068" s="49"/>
      <c r="GW1068" s="49"/>
      <c r="GX1068" s="49"/>
      <c r="GY1068" s="208"/>
      <c r="GZ1068" s="231"/>
      <c r="HA1068" s="231"/>
      <c r="HB1068" s="231"/>
      <c r="HC1068" s="231"/>
      <c r="HD1068" s="231"/>
      <c r="HE1068" s="231"/>
      <c r="HF1068" s="231"/>
      <c r="HG1068" s="231"/>
      <c r="HH1068" s="231"/>
      <c r="HI1068" s="232"/>
    </row>
    <row r="1069" spans="82:217" ht="10.75" customHeight="1">
      <c r="CJ1069" s="14"/>
      <c r="CK1069" s="15"/>
      <c r="CL1069" s="15"/>
      <c r="CM1069" s="15"/>
      <c r="CN1069" s="15"/>
      <c r="CO1069" s="15"/>
      <c r="CP1069" s="15"/>
      <c r="CQ1069" s="15"/>
      <c r="CR1069" s="15"/>
      <c r="CS1069" s="16"/>
      <c r="CT1069" s="96"/>
      <c r="CU1069" s="97"/>
      <c r="CV1069" s="98"/>
      <c r="CW1069" s="305"/>
      <c r="CX1069" s="306"/>
      <c r="CY1069" s="306"/>
      <c r="CZ1069" s="306"/>
      <c r="DA1069" s="306"/>
      <c r="DB1069" s="306"/>
      <c r="DC1069" s="306"/>
      <c r="DD1069" s="306"/>
      <c r="DE1069" s="306"/>
      <c r="DF1069" s="317"/>
      <c r="DG1069" s="317"/>
      <c r="DH1069" s="317"/>
      <c r="DI1069" s="317"/>
      <c r="DJ1069" s="317"/>
      <c r="DK1069" s="317"/>
      <c r="DL1069" s="317"/>
      <c r="DM1069" s="317"/>
      <c r="DN1069" s="317"/>
      <c r="DO1069" s="317"/>
      <c r="DP1069" s="317"/>
      <c r="DQ1069" s="317"/>
      <c r="DR1069" s="317"/>
      <c r="DS1069" s="317"/>
      <c r="DT1069" s="317"/>
      <c r="DU1069" s="317"/>
      <c r="DV1069" s="317"/>
      <c r="DW1069" s="317"/>
      <c r="DX1069" s="317"/>
      <c r="DY1069" s="317"/>
      <c r="DZ1069" s="317"/>
      <c r="EA1069" s="317"/>
      <c r="EB1069" s="317"/>
      <c r="EC1069" s="317"/>
      <c r="ED1069" s="317"/>
      <c r="EE1069" s="317"/>
      <c r="EF1069" s="317"/>
      <c r="EG1069" s="317"/>
      <c r="EH1069" s="317"/>
      <c r="EI1069" s="317"/>
      <c r="EJ1069" s="317"/>
      <c r="EK1069" s="317"/>
      <c r="EL1069" s="317"/>
      <c r="EM1069" s="317"/>
      <c r="EN1069" s="317"/>
      <c r="EO1069" s="317"/>
      <c r="EP1069" s="317"/>
      <c r="EQ1069" s="317"/>
      <c r="ER1069" s="96"/>
      <c r="ES1069" s="96"/>
      <c r="ET1069" s="98"/>
      <c r="EU1069" s="317"/>
      <c r="EV1069" s="317"/>
      <c r="EW1069" s="317"/>
      <c r="EX1069" s="317"/>
      <c r="EY1069" s="317"/>
      <c r="EZ1069" s="317"/>
      <c r="FA1069" s="291"/>
      <c r="FB1069" s="317"/>
      <c r="FC1069" s="317"/>
      <c r="FD1069" s="317"/>
      <c r="FE1069" s="317"/>
      <c r="FF1069" s="317"/>
      <c r="FG1069" s="317"/>
      <c r="FH1069" s="317"/>
      <c r="FI1069" s="317"/>
      <c r="FJ1069" s="317"/>
      <c r="FK1069" s="317"/>
      <c r="FL1069" s="317"/>
      <c r="FM1069" s="317"/>
      <c r="FN1069" s="317"/>
      <c r="FO1069" s="317"/>
      <c r="FP1069" s="317"/>
      <c r="FQ1069" s="317"/>
      <c r="FR1069" s="317"/>
      <c r="FS1069" s="317"/>
      <c r="FT1069" s="317"/>
      <c r="FU1069" s="317"/>
      <c r="FV1069" s="317"/>
      <c r="FW1069" s="317"/>
      <c r="FX1069" s="317"/>
      <c r="FY1069" s="317"/>
      <c r="FZ1069" s="317"/>
      <c r="GA1069" s="317"/>
      <c r="GB1069" s="317"/>
      <c r="GC1069" s="317"/>
      <c r="GD1069" s="317"/>
      <c r="GE1069" s="317"/>
      <c r="GF1069" s="317"/>
      <c r="GG1069" s="306"/>
      <c r="GH1069" s="306"/>
      <c r="GI1069" s="306"/>
      <c r="GJ1069" s="306"/>
      <c r="GK1069" s="306"/>
      <c r="GL1069" s="306"/>
      <c r="GM1069" s="306"/>
      <c r="GN1069" s="306"/>
      <c r="GO1069" s="306"/>
      <c r="GP1069" s="307"/>
      <c r="GQ1069" s="96"/>
      <c r="GR1069" s="97"/>
      <c r="GS1069" s="98"/>
      <c r="GT1069" s="49"/>
      <c r="GU1069" s="49"/>
      <c r="GV1069" s="49"/>
      <c r="GW1069" s="49"/>
      <c r="GX1069" s="49"/>
      <c r="GY1069" s="208"/>
      <c r="GZ1069" s="231"/>
      <c r="HA1069" s="231"/>
      <c r="HB1069" s="231"/>
      <c r="HC1069" s="231"/>
      <c r="HD1069" s="231"/>
      <c r="HE1069" s="231"/>
      <c r="HF1069" s="231"/>
      <c r="HG1069" s="231"/>
      <c r="HH1069" s="231"/>
      <c r="HI1069" s="232"/>
    </row>
    <row r="1070" spans="82:217" ht="10.75" customHeight="1">
      <c r="CJ1070" s="9"/>
      <c r="CK1070" s="10"/>
      <c r="CL1070" s="10"/>
      <c r="CM1070" s="10"/>
      <c r="CN1070" s="10"/>
      <c r="CO1070" s="10"/>
      <c r="CP1070" s="10"/>
      <c r="CQ1070" s="10"/>
      <c r="CR1070" s="10"/>
      <c r="CS1070" s="11"/>
      <c r="CT1070" s="96"/>
      <c r="CU1070" s="97"/>
      <c r="CV1070" s="98"/>
      <c r="CW1070" s="12"/>
      <c r="CX1070" s="317"/>
      <c r="CY1070" s="317"/>
      <c r="CZ1070" s="317"/>
      <c r="DA1070" s="317"/>
      <c r="DB1070" s="317"/>
      <c r="DC1070" s="317"/>
      <c r="DD1070" s="317"/>
      <c r="DE1070" s="317"/>
      <c r="DF1070" s="317"/>
      <c r="DG1070" s="317"/>
      <c r="DH1070" s="317"/>
      <c r="DI1070" s="317"/>
      <c r="DJ1070" s="317"/>
      <c r="DK1070" s="317"/>
      <c r="DL1070" s="317"/>
      <c r="DM1070" s="317"/>
      <c r="DN1070" s="317"/>
      <c r="DO1070" s="317"/>
      <c r="DP1070" s="317"/>
      <c r="DQ1070" s="317"/>
      <c r="DR1070" s="317"/>
      <c r="DS1070" s="317"/>
      <c r="DT1070" s="317"/>
      <c r="DU1070" s="317"/>
      <c r="DV1070" s="317"/>
      <c r="DW1070" s="317"/>
      <c r="DX1070" s="317"/>
      <c r="DY1070" s="317"/>
      <c r="DZ1070" s="317"/>
      <c r="EA1070" s="317"/>
      <c r="EB1070" s="317"/>
      <c r="EC1070" s="317"/>
      <c r="ED1070" s="317"/>
      <c r="EE1070" s="317"/>
      <c r="EF1070" s="317"/>
      <c r="EG1070" s="317"/>
      <c r="EH1070" s="317"/>
      <c r="EI1070" s="317"/>
      <c r="EJ1070" s="317"/>
      <c r="EK1070" s="317"/>
      <c r="EL1070" s="317"/>
      <c r="EM1070" s="317"/>
      <c r="EN1070" s="317"/>
      <c r="EO1070" s="317"/>
      <c r="EP1070" s="317"/>
      <c r="EQ1070" s="317"/>
      <c r="ER1070" s="96"/>
      <c r="ES1070" s="96"/>
      <c r="ET1070" s="98"/>
      <c r="EU1070" s="317"/>
      <c r="EV1070" s="317"/>
      <c r="EW1070" s="317"/>
      <c r="EX1070" s="317"/>
      <c r="EY1070" s="317"/>
      <c r="EZ1070" s="317"/>
      <c r="FA1070" s="291"/>
      <c r="FB1070" s="317"/>
      <c r="FC1070" s="317"/>
      <c r="FD1070" s="317"/>
      <c r="FE1070" s="317"/>
      <c r="FF1070" s="317"/>
      <c r="FG1070" s="317"/>
      <c r="FH1070" s="317"/>
      <c r="FI1070" s="317"/>
      <c r="FJ1070" s="317"/>
      <c r="FK1070" s="317"/>
      <c r="FL1070" s="317"/>
      <c r="FM1070" s="317"/>
      <c r="FN1070" s="317"/>
      <c r="FO1070" s="317"/>
      <c r="FP1070" s="317"/>
      <c r="FQ1070" s="317"/>
      <c r="FR1070" s="317"/>
      <c r="FS1070" s="317"/>
      <c r="FT1070" s="317"/>
      <c r="FU1070" s="317"/>
      <c r="FV1070" s="317"/>
      <c r="FW1070" s="317"/>
      <c r="FX1070" s="317"/>
      <c r="FY1070" s="317"/>
      <c r="FZ1070" s="317"/>
      <c r="GA1070" s="317"/>
      <c r="GB1070" s="317"/>
      <c r="GC1070" s="317"/>
      <c r="GD1070" s="317"/>
      <c r="GE1070" s="317"/>
      <c r="GF1070" s="317"/>
      <c r="GG1070" s="317"/>
      <c r="GH1070" s="317"/>
      <c r="GI1070" s="317"/>
      <c r="GJ1070" s="317"/>
      <c r="GK1070" s="317"/>
      <c r="GL1070" s="317"/>
      <c r="GM1070" s="317"/>
      <c r="GN1070" s="317"/>
      <c r="GO1070" s="317"/>
      <c r="GP1070" s="13"/>
      <c r="GQ1070" s="96"/>
      <c r="GR1070" s="97"/>
      <c r="GS1070" s="98"/>
      <c r="GT1070" s="49"/>
      <c r="GU1070" s="49"/>
      <c r="GV1070" s="49"/>
      <c r="GW1070" s="49"/>
      <c r="GX1070" s="49"/>
      <c r="GY1070" s="208"/>
      <c r="GZ1070" s="231"/>
      <c r="HA1070" s="231"/>
      <c r="HB1070" s="231"/>
      <c r="HC1070" s="231"/>
      <c r="HD1070" s="231"/>
      <c r="HE1070" s="231"/>
      <c r="HF1070" s="231"/>
      <c r="HG1070" s="231"/>
      <c r="HH1070" s="231"/>
      <c r="HI1070" s="232"/>
    </row>
    <row r="1071" spans="82:217" ht="10.75" customHeight="1" thickBot="1">
      <c r="CJ1071" s="12"/>
      <c r="CS1071" s="13"/>
      <c r="CT1071" s="59"/>
      <c r="CU1071" s="60"/>
      <c r="CV1071" s="61"/>
      <c r="CW1071" s="303"/>
      <c r="CX1071" s="304"/>
      <c r="CY1071" s="304"/>
      <c r="CZ1071" s="304"/>
      <c r="DA1071" s="304"/>
      <c r="DB1071" s="304"/>
      <c r="DC1071" s="304"/>
      <c r="DD1071" s="304"/>
      <c r="DE1071" s="304"/>
      <c r="DF1071" s="317"/>
      <c r="DG1071" s="317"/>
      <c r="DH1071" s="317"/>
      <c r="DI1071" s="317"/>
      <c r="DJ1071" s="317"/>
      <c r="DK1071" s="317"/>
      <c r="DL1071" s="317"/>
      <c r="DM1071" s="317"/>
      <c r="DN1071" s="317"/>
      <c r="DO1071" s="317"/>
      <c r="DP1071" s="317"/>
      <c r="DQ1071" s="317"/>
      <c r="DR1071" s="317"/>
      <c r="DS1071" s="317"/>
      <c r="DT1071" s="317"/>
      <c r="DU1071" s="317"/>
      <c r="DV1071" s="317"/>
      <c r="DW1071" s="317"/>
      <c r="DX1071" s="317"/>
      <c r="DY1071" s="317"/>
      <c r="DZ1071" s="317"/>
      <c r="EA1071" s="317"/>
      <c r="EB1071" s="317"/>
      <c r="EC1071" s="317"/>
      <c r="ED1071" s="317"/>
      <c r="EE1071" s="317"/>
      <c r="EF1071" s="317"/>
      <c r="EG1071" s="317"/>
      <c r="EH1071" s="317"/>
      <c r="EI1071" s="317"/>
      <c r="EJ1071" s="317"/>
      <c r="EK1071" s="317"/>
      <c r="EL1071" s="317"/>
      <c r="EM1071" s="317"/>
      <c r="EN1071" s="317"/>
      <c r="EO1071" s="317"/>
      <c r="EP1071" s="317"/>
      <c r="EQ1071" s="317"/>
      <c r="ER1071" s="59"/>
      <c r="ES1071" s="59"/>
      <c r="ET1071" s="61"/>
      <c r="EU1071" s="317"/>
      <c r="EV1071" s="317"/>
      <c r="EW1071" s="317"/>
      <c r="EX1071" s="317"/>
      <c r="EY1071" s="317"/>
      <c r="EZ1071" s="317"/>
      <c r="FA1071" s="291"/>
      <c r="FB1071" s="317"/>
      <c r="FC1071" s="317"/>
      <c r="FD1071" s="317"/>
      <c r="FE1071" s="317"/>
      <c r="FF1071" s="317"/>
      <c r="FG1071" s="317"/>
      <c r="FH1071" s="317"/>
      <c r="FI1071" s="317"/>
      <c r="FJ1071" s="317"/>
      <c r="FK1071" s="317"/>
      <c r="FL1071" s="317"/>
      <c r="FM1071" s="317"/>
      <c r="FN1071" s="317"/>
      <c r="FO1071" s="317"/>
      <c r="FP1071" s="317"/>
      <c r="FQ1071" s="317"/>
      <c r="FR1071" s="317"/>
      <c r="FS1071" s="317"/>
      <c r="FT1071" s="317"/>
      <c r="FU1071" s="317"/>
      <c r="FV1071" s="317"/>
      <c r="FW1071" s="317"/>
      <c r="FX1071" s="317"/>
      <c r="FY1071" s="317"/>
      <c r="FZ1071" s="317"/>
      <c r="GA1071" s="317"/>
      <c r="GB1071" s="317"/>
      <c r="GC1071" s="317"/>
      <c r="GD1071" s="317"/>
      <c r="GE1071" s="317"/>
      <c r="GF1071" s="317"/>
      <c r="GG1071" s="304"/>
      <c r="GH1071" s="304"/>
      <c r="GI1071" s="304"/>
      <c r="GJ1071" s="304"/>
      <c r="GK1071" s="304"/>
      <c r="GL1071" s="304"/>
      <c r="GM1071" s="304"/>
      <c r="GN1071" s="304"/>
      <c r="GO1071" s="304"/>
      <c r="GP1071" s="308"/>
      <c r="GQ1071" s="59"/>
      <c r="GR1071" s="60"/>
      <c r="GS1071" s="61"/>
      <c r="GT1071" s="49"/>
      <c r="GU1071" s="49"/>
      <c r="GV1071" s="49"/>
      <c r="GW1071" s="49"/>
      <c r="GX1071" s="49"/>
      <c r="GY1071" s="208"/>
      <c r="GZ1071" s="231"/>
      <c r="HA1071" s="231"/>
      <c r="HB1071" s="231"/>
      <c r="HC1071" s="231"/>
      <c r="HD1071" s="231"/>
      <c r="HE1071" s="231"/>
      <c r="HF1071" s="231"/>
      <c r="HG1071" s="231"/>
      <c r="HH1071" s="231"/>
      <c r="HI1071" s="232"/>
    </row>
    <row r="1072" spans="82:217" ht="10.75" customHeight="1">
      <c r="CJ1072" s="12"/>
      <c r="CS1072" s="13"/>
      <c r="CT1072" s="40"/>
      <c r="CU1072" s="41"/>
      <c r="CV1072" s="44"/>
      <c r="CW1072" s="12"/>
      <c r="CX1072" s="317"/>
      <c r="CY1072" s="317"/>
      <c r="CZ1072" s="317"/>
      <c r="DA1072" s="317"/>
      <c r="DB1072" s="317"/>
      <c r="DC1072" s="317"/>
      <c r="DD1072" s="317"/>
      <c r="DE1072" s="317"/>
      <c r="DF1072" s="317"/>
      <c r="DG1072" s="317"/>
      <c r="DH1072" s="317"/>
      <c r="DI1072" s="317"/>
      <c r="DJ1072" s="317"/>
      <c r="DK1072" s="317"/>
      <c r="DL1072" s="317"/>
      <c r="DM1072" s="317"/>
      <c r="DN1072" s="317"/>
      <c r="DO1072" s="317"/>
      <c r="DP1072" s="317"/>
      <c r="DQ1072" s="317"/>
      <c r="DR1072" s="317"/>
      <c r="DS1072" s="317"/>
      <c r="DT1072" s="317"/>
      <c r="DU1072" s="317"/>
      <c r="DV1072" s="317"/>
      <c r="DW1072" s="317"/>
      <c r="DX1072" s="317"/>
      <c r="DY1072" s="317"/>
      <c r="DZ1072" s="317"/>
      <c r="EA1072" s="317"/>
      <c r="EB1072" s="317"/>
      <c r="EC1072" s="317"/>
      <c r="ED1072" s="317"/>
      <c r="EE1072" s="317"/>
      <c r="EF1072" s="317"/>
      <c r="EG1072" s="317"/>
      <c r="EH1072" s="317"/>
      <c r="EI1072" s="317"/>
      <c r="EJ1072" s="317"/>
      <c r="EK1072" s="317"/>
      <c r="EL1072" s="317"/>
      <c r="EM1072" s="317"/>
      <c r="EN1072" s="317"/>
      <c r="EO1072" s="317"/>
      <c r="EP1072" s="317"/>
      <c r="EQ1072" s="317"/>
      <c r="ER1072" s="317"/>
      <c r="ES1072" s="160"/>
      <c r="ET1072" s="161"/>
      <c r="EU1072" s="317"/>
      <c r="EV1072" s="317"/>
      <c r="EW1072" s="317"/>
      <c r="EX1072" s="317"/>
      <c r="EY1072" s="317"/>
      <c r="EZ1072" s="317"/>
      <c r="FA1072" s="291"/>
      <c r="FB1072" s="317"/>
      <c r="FC1072" s="317"/>
      <c r="FD1072" s="317"/>
      <c r="FE1072" s="317"/>
      <c r="FF1072" s="317"/>
      <c r="FG1072" s="317"/>
      <c r="FH1072" s="317"/>
      <c r="FI1072" s="317"/>
      <c r="FJ1072" s="317"/>
      <c r="FK1072" s="317"/>
      <c r="FL1072" s="317"/>
      <c r="FM1072" s="317"/>
      <c r="FN1072" s="317"/>
      <c r="FO1072" s="317"/>
      <c r="FP1072" s="317"/>
      <c r="FQ1072" s="317"/>
      <c r="FR1072" s="317"/>
      <c r="FS1072" s="317"/>
      <c r="FT1072" s="317"/>
      <c r="FU1072" s="317"/>
      <c r="FV1072" s="317"/>
      <c r="FW1072" s="317"/>
      <c r="FX1072" s="317"/>
      <c r="FY1072" s="317"/>
      <c r="FZ1072" s="317"/>
      <c r="GA1072" s="317"/>
      <c r="GB1072" s="317"/>
      <c r="GC1072" s="317"/>
      <c r="GD1072" s="317"/>
      <c r="GE1072" s="317"/>
      <c r="GF1072" s="317"/>
      <c r="GG1072" s="317"/>
      <c r="GH1072" s="317"/>
      <c r="GI1072" s="317"/>
      <c r="GJ1072" s="317"/>
      <c r="GK1072" s="317"/>
      <c r="GL1072" s="317"/>
      <c r="GM1072" s="317"/>
      <c r="GN1072" s="317"/>
      <c r="GO1072" s="317"/>
      <c r="GP1072" s="13"/>
      <c r="GQ1072" s="43"/>
      <c r="GR1072" s="43"/>
      <c r="GS1072" s="45"/>
      <c r="GT1072" s="49"/>
      <c r="GU1072" s="49"/>
      <c r="GV1072" s="49"/>
      <c r="GW1072" s="49"/>
      <c r="GX1072" s="49"/>
      <c r="GY1072" s="208"/>
      <c r="GZ1072" s="231"/>
      <c r="HA1072" s="231"/>
      <c r="HB1072" s="231"/>
      <c r="HC1072" s="231"/>
      <c r="HD1072" s="231"/>
      <c r="HE1072" s="231"/>
      <c r="HF1072" s="231"/>
      <c r="HG1072" s="231"/>
      <c r="HH1072" s="231"/>
      <c r="HI1072" s="232"/>
    </row>
    <row r="1073" spans="88:217" ht="10.75" customHeight="1">
      <c r="CJ1073" s="14"/>
      <c r="CK1073" s="15"/>
      <c r="CL1073" s="15"/>
      <c r="CM1073" s="15"/>
      <c r="CN1073" s="15"/>
      <c r="CO1073" s="15"/>
      <c r="CP1073" s="15"/>
      <c r="CQ1073" s="15"/>
      <c r="CR1073" s="15"/>
      <c r="CS1073" s="16"/>
      <c r="CT1073" s="42"/>
      <c r="CU1073" s="43"/>
      <c r="CV1073" s="45"/>
      <c r="CW1073" s="12"/>
      <c r="CX1073" s="317"/>
      <c r="CY1073" s="317"/>
      <c r="CZ1073" s="317"/>
      <c r="DA1073" s="317"/>
      <c r="DB1073" s="317"/>
      <c r="DC1073" s="317"/>
      <c r="DD1073" s="317"/>
      <c r="DE1073" s="317"/>
      <c r="DF1073" s="317"/>
      <c r="DG1073" s="317"/>
      <c r="DH1073" s="317"/>
      <c r="DI1073" s="317"/>
      <c r="DJ1073" s="317"/>
      <c r="DK1073" s="317"/>
      <c r="DL1073" s="317"/>
      <c r="DM1073" s="317"/>
      <c r="DN1073" s="317"/>
      <c r="DO1073" s="317"/>
      <c r="DP1073" s="317"/>
      <c r="DQ1073" s="317"/>
      <c r="DR1073" s="317"/>
      <c r="DS1073" s="317"/>
      <c r="DT1073" s="317"/>
      <c r="DU1073" s="317"/>
      <c r="DV1073" s="317"/>
      <c r="DW1073" s="317"/>
      <c r="DX1073" s="317"/>
      <c r="DY1073" s="317"/>
      <c r="DZ1073" s="317"/>
      <c r="EA1073" s="317"/>
      <c r="EB1073" s="317"/>
      <c r="EC1073" s="317"/>
      <c r="ED1073" s="317"/>
      <c r="EE1073" s="317"/>
      <c r="EF1073" s="317"/>
      <c r="EG1073" s="317"/>
      <c r="EH1073" s="317"/>
      <c r="EI1073" s="317"/>
      <c r="EJ1073" s="317"/>
      <c r="EK1073" s="317"/>
      <c r="EL1073" s="317"/>
      <c r="EM1073" s="317"/>
      <c r="EN1073" s="317"/>
      <c r="EO1073" s="317"/>
      <c r="EP1073" s="317"/>
      <c r="EQ1073" s="317"/>
      <c r="ER1073" s="317"/>
      <c r="ES1073" s="160"/>
      <c r="ET1073" s="161"/>
      <c r="EU1073" s="317"/>
      <c r="EV1073" s="317"/>
      <c r="EW1073" s="317"/>
      <c r="EX1073" s="317"/>
      <c r="EY1073" s="317"/>
      <c r="EZ1073" s="317"/>
      <c r="FA1073" s="291"/>
      <c r="FB1073" s="317"/>
      <c r="FC1073" s="317"/>
      <c r="FD1073" s="317"/>
      <c r="FE1073" s="317"/>
      <c r="FF1073" s="317"/>
      <c r="FG1073" s="317"/>
      <c r="FH1073" s="317"/>
      <c r="FI1073" s="317"/>
      <c r="FJ1073" s="317"/>
      <c r="FK1073" s="317"/>
      <c r="FL1073" s="317"/>
      <c r="FM1073" s="317"/>
      <c r="FN1073" s="317"/>
      <c r="FO1073" s="317"/>
      <c r="FP1073" s="317"/>
      <c r="FQ1073" s="317"/>
      <c r="FR1073" s="317"/>
      <c r="FS1073" s="317"/>
      <c r="FT1073" s="317"/>
      <c r="FU1073" s="317"/>
      <c r="FV1073" s="317"/>
      <c r="FW1073" s="317"/>
      <c r="FX1073" s="317"/>
      <c r="FY1073" s="317"/>
      <c r="FZ1073" s="317"/>
      <c r="GA1073" s="317"/>
      <c r="GB1073" s="317"/>
      <c r="GC1073" s="317"/>
      <c r="GD1073" s="317"/>
      <c r="GE1073" s="317"/>
      <c r="GF1073" s="317"/>
      <c r="GG1073" s="317"/>
      <c r="GH1073" s="317"/>
      <c r="GI1073" s="317"/>
      <c r="GJ1073" s="317"/>
      <c r="GK1073" s="317"/>
      <c r="GL1073" s="317"/>
      <c r="GM1073" s="317"/>
      <c r="GN1073" s="317"/>
      <c r="GO1073" s="317"/>
      <c r="GP1073" s="13"/>
      <c r="GQ1073" s="43"/>
      <c r="GR1073" s="43"/>
      <c r="GS1073" s="45"/>
      <c r="GT1073" s="49"/>
      <c r="GU1073" s="49"/>
      <c r="GV1073" s="49"/>
      <c r="GW1073" s="49"/>
      <c r="GX1073" s="49"/>
      <c r="GY1073" s="208"/>
      <c r="GZ1073" s="231"/>
      <c r="HA1073" s="231"/>
      <c r="HB1073" s="231"/>
      <c r="HC1073" s="231"/>
      <c r="HD1073" s="231"/>
      <c r="HE1073" s="231"/>
      <c r="HF1073" s="231"/>
      <c r="HG1073" s="231"/>
      <c r="HH1073" s="231"/>
      <c r="HI1073" s="232"/>
    </row>
    <row r="1074" spans="88:217" ht="10.75" customHeight="1">
      <c r="CJ1074" s="9"/>
      <c r="CK1074" s="10"/>
      <c r="CL1074" s="10"/>
      <c r="CM1074" s="10"/>
      <c r="CN1074" s="10"/>
      <c r="CO1074" s="10"/>
      <c r="CP1074" s="10"/>
      <c r="CQ1074" s="10"/>
      <c r="CR1074" s="10"/>
      <c r="CS1074" s="11"/>
      <c r="CT1074" s="42"/>
      <c r="CU1074" s="43"/>
      <c r="CV1074" s="45"/>
      <c r="CW1074" s="12"/>
      <c r="CX1074" s="317"/>
      <c r="CY1074" s="317"/>
      <c r="CZ1074" s="317"/>
      <c r="DA1074" s="317"/>
      <c r="DB1074" s="317"/>
      <c r="DC1074" s="317"/>
      <c r="DD1074" s="317"/>
      <c r="DE1074" s="317"/>
      <c r="DF1074" s="317"/>
      <c r="DG1074" s="317"/>
      <c r="DH1074" s="317"/>
      <c r="DI1074" s="317"/>
      <c r="DJ1074" s="317"/>
      <c r="DK1074" s="317"/>
      <c r="DL1074" s="317"/>
      <c r="DM1074" s="317"/>
      <c r="DN1074" s="317"/>
      <c r="DO1074" s="317"/>
      <c r="DP1074" s="317"/>
      <c r="DQ1074" s="317"/>
      <c r="DR1074" s="317"/>
      <c r="DS1074" s="317"/>
      <c r="DT1074" s="317"/>
      <c r="DU1074" s="317"/>
      <c r="DV1074" s="317"/>
      <c r="DW1074" s="317"/>
      <c r="DX1074" s="317"/>
      <c r="DY1074" s="317"/>
      <c r="DZ1074" s="317"/>
      <c r="EA1074" s="317"/>
      <c r="EB1074" s="317"/>
      <c r="EC1074" s="317"/>
      <c r="ED1074" s="317"/>
      <c r="EE1074" s="317"/>
      <c r="EF1074" s="317"/>
      <c r="EG1074" s="317"/>
      <c r="EH1074" s="317"/>
      <c r="EI1074" s="317"/>
      <c r="EJ1074" s="317"/>
      <c r="EK1074" s="317"/>
      <c r="EL1074" s="317"/>
      <c r="EM1074" s="317"/>
      <c r="EN1074" s="317"/>
      <c r="EO1074" s="317"/>
      <c r="EP1074" s="317"/>
      <c r="EQ1074" s="317"/>
      <c r="ER1074" s="317"/>
      <c r="ES1074" s="160"/>
      <c r="ET1074" s="161"/>
      <c r="EU1074" s="317"/>
      <c r="EV1074" s="317"/>
      <c r="EW1074" s="317"/>
      <c r="EX1074" s="317"/>
      <c r="EY1074" s="317"/>
      <c r="EZ1074" s="317"/>
      <c r="FA1074" s="291"/>
      <c r="FB1074" s="317"/>
      <c r="FC1074" s="317"/>
      <c r="FD1074" s="317"/>
      <c r="FE1074" s="317"/>
      <c r="FF1074" s="317"/>
      <c r="FG1074" s="317"/>
      <c r="FH1074" s="317"/>
      <c r="FI1074" s="317"/>
      <c r="FJ1074" s="317"/>
      <c r="FK1074" s="317"/>
      <c r="FL1074" s="317"/>
      <c r="FM1074" s="317"/>
      <c r="FN1074" s="317"/>
      <c r="FO1074" s="317"/>
      <c r="FP1074" s="317"/>
      <c r="FQ1074" s="317"/>
      <c r="FR1074" s="317"/>
      <c r="FS1074" s="317"/>
      <c r="FT1074" s="317"/>
      <c r="FU1074" s="317"/>
      <c r="FV1074" s="317"/>
      <c r="FW1074" s="317"/>
      <c r="FX1074" s="317"/>
      <c r="FY1074" s="317"/>
      <c r="FZ1074" s="317"/>
      <c r="GA1074" s="317"/>
      <c r="GB1074" s="317"/>
      <c r="GC1074" s="317"/>
      <c r="GD1074" s="317"/>
      <c r="GE1074" s="317"/>
      <c r="GF1074" s="317"/>
      <c r="GG1074" s="317"/>
      <c r="GH1074" s="317"/>
      <c r="GI1074" s="317"/>
      <c r="GJ1074" s="317"/>
      <c r="GK1074" s="317"/>
      <c r="GL1074" s="317"/>
      <c r="GM1074" s="317"/>
      <c r="GN1074" s="317"/>
      <c r="GO1074" s="317"/>
      <c r="GP1074" s="13"/>
      <c r="GQ1074" s="43"/>
      <c r="GR1074" s="43"/>
      <c r="GS1074" s="45"/>
      <c r="GT1074" s="49"/>
      <c r="GU1074" s="49"/>
      <c r="GV1074" s="49"/>
      <c r="GW1074" s="49"/>
      <c r="GX1074" s="49"/>
      <c r="GY1074" s="208"/>
      <c r="GZ1074" s="231"/>
      <c r="HA1074" s="231"/>
      <c r="HB1074" s="231"/>
      <c r="HC1074" s="231"/>
      <c r="HD1074" s="231"/>
      <c r="HE1074" s="231"/>
      <c r="HF1074" s="231"/>
      <c r="HG1074" s="231"/>
      <c r="HH1074" s="231"/>
      <c r="HI1074" s="232"/>
    </row>
    <row r="1075" spans="88:217" ht="10.75" customHeight="1">
      <c r="CJ1075" s="12"/>
      <c r="CS1075" s="13"/>
      <c r="CT1075" s="42"/>
      <c r="CU1075" s="43"/>
      <c r="CV1075" s="45"/>
      <c r="CW1075" s="12"/>
      <c r="CX1075" s="317"/>
      <c r="CY1075" s="317"/>
      <c r="CZ1075" s="317"/>
      <c r="DA1075" s="317"/>
      <c r="DB1075" s="317"/>
      <c r="DC1075" s="317"/>
      <c r="DD1075" s="317"/>
      <c r="DE1075" s="317"/>
      <c r="DF1075" s="317"/>
      <c r="DG1075" s="317"/>
      <c r="DH1075" s="317"/>
      <c r="DI1075" s="317"/>
      <c r="DJ1075" s="317"/>
      <c r="DK1075" s="317"/>
      <c r="DL1075" s="317"/>
      <c r="DM1075" s="317"/>
      <c r="DN1075" s="317"/>
      <c r="DO1075" s="317"/>
      <c r="DP1075" s="317"/>
      <c r="DQ1075" s="317"/>
      <c r="DR1075" s="317"/>
      <c r="DS1075" s="317"/>
      <c r="DT1075" s="317"/>
      <c r="DU1075" s="317"/>
      <c r="DV1075" s="317"/>
      <c r="DW1075" s="317"/>
      <c r="DX1075" s="317"/>
      <c r="DY1075" s="317"/>
      <c r="DZ1075" s="317"/>
      <c r="EA1075" s="317"/>
      <c r="EB1075" s="317"/>
      <c r="EC1075" s="317"/>
      <c r="ED1075" s="317"/>
      <c r="EE1075" s="317"/>
      <c r="EF1075" s="317"/>
      <c r="EG1075" s="317"/>
      <c r="EH1075" s="317"/>
      <c r="EI1075" s="317"/>
      <c r="EJ1075" s="317"/>
      <c r="EK1075" s="317"/>
      <c r="EL1075" s="317"/>
      <c r="EM1075" s="317"/>
      <c r="EN1075" s="317"/>
      <c r="EO1075" s="317"/>
      <c r="EP1075" s="317"/>
      <c r="EQ1075" s="317"/>
      <c r="ER1075" s="317"/>
      <c r="ES1075" s="160"/>
      <c r="ET1075" s="161"/>
      <c r="EU1075" s="317"/>
      <c r="EV1075" s="317"/>
      <c r="EW1075" s="317"/>
      <c r="EX1075" s="317"/>
      <c r="EY1075" s="317"/>
      <c r="EZ1075" s="317"/>
      <c r="FA1075" s="291"/>
      <c r="FB1075" s="317"/>
      <c r="FC1075" s="317"/>
      <c r="FD1075" s="317"/>
      <c r="FE1075" s="317"/>
      <c r="FF1075" s="317"/>
      <c r="FG1075" s="317"/>
      <c r="FH1075" s="317"/>
      <c r="FI1075" s="317"/>
      <c r="FJ1075" s="317"/>
      <c r="FK1075" s="317"/>
      <c r="FL1075" s="317"/>
      <c r="FM1075" s="317"/>
      <c r="FN1075" s="317"/>
      <c r="FO1075" s="317"/>
      <c r="FP1075" s="317"/>
      <c r="FQ1075" s="317"/>
      <c r="FR1075" s="317"/>
      <c r="FS1075" s="317"/>
      <c r="FT1075" s="317"/>
      <c r="FU1075" s="317"/>
      <c r="FV1075" s="317"/>
      <c r="FW1075" s="317"/>
      <c r="FX1075" s="317"/>
      <c r="FY1075" s="317"/>
      <c r="FZ1075" s="317"/>
      <c r="GA1075" s="317"/>
      <c r="GB1075" s="317"/>
      <c r="GC1075" s="317"/>
      <c r="GD1075" s="317"/>
      <c r="GE1075" s="317"/>
      <c r="GF1075" s="317"/>
      <c r="GG1075" s="317"/>
      <c r="GH1075" s="317"/>
      <c r="GI1075" s="317"/>
      <c r="GJ1075" s="317"/>
      <c r="GK1075" s="317"/>
      <c r="GL1075" s="317"/>
      <c r="GM1075" s="317"/>
      <c r="GN1075" s="317"/>
      <c r="GO1075" s="317"/>
      <c r="GP1075" s="13"/>
      <c r="GQ1075" s="43"/>
      <c r="GR1075" s="43"/>
      <c r="GS1075" s="45"/>
      <c r="GT1075" s="49"/>
      <c r="GU1075" s="49"/>
      <c r="GV1075" s="49"/>
      <c r="GW1075" s="49"/>
      <c r="GX1075" s="49"/>
      <c r="GY1075" s="208"/>
      <c r="GZ1075" s="231"/>
      <c r="HA1075" s="231"/>
      <c r="HB1075" s="231"/>
      <c r="HC1075" s="231"/>
      <c r="HD1075" s="231"/>
      <c r="HE1075" s="231"/>
      <c r="HF1075" s="231"/>
      <c r="HG1075" s="231"/>
      <c r="HH1075" s="231"/>
      <c r="HI1075" s="232"/>
    </row>
    <row r="1076" spans="88:217" ht="10.75" customHeight="1">
      <c r="CJ1076" s="12"/>
      <c r="CS1076" s="13"/>
      <c r="CT1076" s="42"/>
      <c r="CU1076" s="43"/>
      <c r="CV1076" s="45"/>
      <c r="CW1076" s="12"/>
      <c r="CX1076" s="317"/>
      <c r="CY1076" s="317"/>
      <c r="CZ1076" s="317"/>
      <c r="DA1076" s="317"/>
      <c r="DB1076" s="317"/>
      <c r="DC1076" s="317"/>
      <c r="DD1076" s="317"/>
      <c r="DE1076" s="317"/>
      <c r="DF1076" s="317"/>
      <c r="DG1076" s="317"/>
      <c r="DH1076" s="317"/>
      <c r="DI1076" s="317"/>
      <c r="DJ1076" s="317"/>
      <c r="DK1076" s="317"/>
      <c r="DL1076" s="317"/>
      <c r="DM1076" s="317"/>
      <c r="DN1076" s="317"/>
      <c r="DO1076" s="317"/>
      <c r="DP1076" s="317"/>
      <c r="DQ1076" s="317"/>
      <c r="DR1076" s="317"/>
      <c r="DS1076" s="317"/>
      <c r="DT1076" s="317"/>
      <c r="DU1076" s="317"/>
      <c r="DV1076" s="317"/>
      <c r="DW1076" s="317"/>
      <c r="DX1076" s="317"/>
      <c r="DY1076" s="317"/>
      <c r="DZ1076" s="317"/>
      <c r="EA1076" s="317"/>
      <c r="EB1076" s="317"/>
      <c r="EC1076" s="317"/>
      <c r="ED1076" s="317"/>
      <c r="EE1076" s="317"/>
      <c r="EF1076" s="317"/>
      <c r="EG1076" s="317"/>
      <c r="EH1076" s="317"/>
      <c r="EI1076" s="317"/>
      <c r="EJ1076" s="317"/>
      <c r="EK1076" s="317"/>
      <c r="EL1076" s="317"/>
      <c r="EM1076" s="317"/>
      <c r="EN1076" s="317"/>
      <c r="EO1076" s="317"/>
      <c r="EP1076" s="317"/>
      <c r="EQ1076" s="317"/>
      <c r="ER1076" s="317"/>
      <c r="ES1076" s="160"/>
      <c r="ET1076" s="161"/>
      <c r="EU1076" s="317"/>
      <c r="EV1076" s="317"/>
      <c r="EW1076" s="317"/>
      <c r="EX1076" s="317"/>
      <c r="EY1076" s="317"/>
      <c r="EZ1076" s="317"/>
      <c r="FA1076" s="291"/>
      <c r="FB1076" s="317"/>
      <c r="FC1076" s="317"/>
      <c r="FD1076" s="317"/>
      <c r="FE1076" s="317"/>
      <c r="FF1076" s="317"/>
      <c r="FG1076" s="317"/>
      <c r="FH1076" s="317"/>
      <c r="FI1076" s="317"/>
      <c r="FJ1076" s="317"/>
      <c r="FK1076" s="317"/>
      <c r="FL1076" s="317"/>
      <c r="FM1076" s="317"/>
      <c r="FN1076" s="317"/>
      <c r="FO1076" s="317"/>
      <c r="FP1076" s="317"/>
      <c r="FQ1076" s="317"/>
      <c r="FR1076" s="317"/>
      <c r="FS1076" s="317"/>
      <c r="FT1076" s="317"/>
      <c r="FU1076" s="317"/>
      <c r="FV1076" s="317"/>
      <c r="FW1076" s="317"/>
      <c r="FX1076" s="317"/>
      <c r="FY1076" s="317"/>
      <c r="FZ1076" s="317"/>
      <c r="GA1076" s="317"/>
      <c r="GB1076" s="317"/>
      <c r="GC1076" s="317"/>
      <c r="GD1076" s="317"/>
      <c r="GE1076" s="317"/>
      <c r="GF1076" s="317"/>
      <c r="GG1076" s="317"/>
      <c r="GH1076" s="317"/>
      <c r="GI1076" s="317"/>
      <c r="GJ1076" s="317"/>
      <c r="GK1076" s="317"/>
      <c r="GL1076" s="317"/>
      <c r="GM1076" s="317"/>
      <c r="GN1076" s="317"/>
      <c r="GO1076" s="317"/>
      <c r="GP1076" s="13"/>
      <c r="GQ1076" s="43"/>
      <c r="GR1076" s="43"/>
      <c r="GS1076" s="45"/>
      <c r="GT1076" s="49"/>
      <c r="GU1076" s="49"/>
      <c r="GV1076" s="49"/>
      <c r="GW1076" s="49"/>
      <c r="GX1076" s="49"/>
      <c r="GY1076" s="208"/>
      <c r="GZ1076" s="231"/>
      <c r="HA1076" s="231"/>
      <c r="HB1076" s="231"/>
      <c r="HC1076" s="231"/>
      <c r="HD1076" s="231"/>
      <c r="HE1076" s="231"/>
      <c r="HF1076" s="231"/>
      <c r="HG1076" s="231"/>
      <c r="HH1076" s="231"/>
      <c r="HI1076" s="232"/>
    </row>
    <row r="1077" spans="88:217" ht="10.75" customHeight="1">
      <c r="CJ1077" s="12"/>
      <c r="CS1077" s="13"/>
      <c r="CT1077" s="42"/>
      <c r="CU1077" s="43"/>
      <c r="CV1077" s="45"/>
      <c r="CW1077" s="12"/>
      <c r="CX1077" s="317"/>
      <c r="CY1077" s="317"/>
      <c r="CZ1077" s="317"/>
      <c r="DA1077" s="317"/>
      <c r="DB1077" s="317"/>
      <c r="DC1077" s="317"/>
      <c r="DD1077" s="317"/>
      <c r="DE1077" s="317"/>
      <c r="DF1077" s="317"/>
      <c r="DG1077" s="317"/>
      <c r="DH1077" s="317"/>
      <c r="DI1077" s="317"/>
      <c r="DJ1077" s="317"/>
      <c r="DK1077" s="317"/>
      <c r="DL1077" s="317"/>
      <c r="DM1077" s="317"/>
      <c r="DN1077" s="317"/>
      <c r="DO1077" s="317"/>
      <c r="DP1077" s="317"/>
      <c r="DQ1077" s="317"/>
      <c r="DR1077" s="317"/>
      <c r="DS1077" s="317"/>
      <c r="DT1077" s="317"/>
      <c r="DU1077" s="317"/>
      <c r="DV1077" s="317"/>
      <c r="DW1077" s="317"/>
      <c r="DX1077" s="317"/>
      <c r="DY1077" s="317"/>
      <c r="DZ1077" s="317"/>
      <c r="EA1077" s="317"/>
      <c r="EB1077" s="317"/>
      <c r="EC1077" s="317"/>
      <c r="ED1077" s="317"/>
      <c r="EE1077" s="317"/>
      <c r="EF1077" s="317"/>
      <c r="EG1077" s="317"/>
      <c r="EH1077" s="317"/>
      <c r="EI1077" s="317"/>
      <c r="EJ1077" s="317"/>
      <c r="EK1077" s="317"/>
      <c r="EL1077" s="317"/>
      <c r="EM1077" s="317"/>
      <c r="EN1077" s="317"/>
      <c r="EO1077" s="317"/>
      <c r="EP1077" s="317"/>
      <c r="EQ1077" s="317"/>
      <c r="ER1077" s="317"/>
      <c r="ES1077" s="160"/>
      <c r="ET1077" s="161"/>
      <c r="EU1077" s="317"/>
      <c r="EV1077" s="317"/>
      <c r="EW1077" s="317"/>
      <c r="EX1077" s="317"/>
      <c r="EY1077" s="317"/>
      <c r="EZ1077" s="317"/>
      <c r="FA1077" s="291"/>
      <c r="FB1077" s="317"/>
      <c r="FC1077" s="317"/>
      <c r="FD1077" s="317"/>
      <c r="FE1077" s="317"/>
      <c r="FF1077" s="317"/>
      <c r="FG1077" s="317"/>
      <c r="FH1077" s="317"/>
      <c r="FI1077" s="317"/>
      <c r="FJ1077" s="317"/>
      <c r="FK1077" s="317"/>
      <c r="FL1077" s="317"/>
      <c r="FM1077" s="317"/>
      <c r="FN1077" s="317"/>
      <c r="FO1077" s="317"/>
      <c r="FP1077" s="317"/>
      <c r="FQ1077" s="317"/>
      <c r="FR1077" s="317"/>
      <c r="FS1077" s="317"/>
      <c r="FT1077" s="317"/>
      <c r="FU1077" s="317"/>
      <c r="FV1077" s="317"/>
      <c r="FW1077" s="317"/>
      <c r="FX1077" s="317"/>
      <c r="FY1077" s="317"/>
      <c r="FZ1077" s="317"/>
      <c r="GA1077" s="317"/>
      <c r="GB1077" s="317"/>
      <c r="GC1077" s="317"/>
      <c r="GD1077" s="317"/>
      <c r="GE1077" s="317"/>
      <c r="GF1077" s="317"/>
      <c r="GG1077" s="317"/>
      <c r="GH1077" s="317"/>
      <c r="GI1077" s="317"/>
      <c r="GJ1077" s="317"/>
      <c r="GK1077" s="317"/>
      <c r="GL1077" s="317"/>
      <c r="GM1077" s="317"/>
      <c r="GN1077" s="317"/>
      <c r="GO1077" s="317"/>
      <c r="GP1077" s="13"/>
      <c r="GQ1077" s="43"/>
      <c r="GR1077" s="43"/>
      <c r="GS1077" s="45"/>
      <c r="GT1077" s="49"/>
      <c r="GU1077" s="49"/>
      <c r="GV1077" s="49"/>
      <c r="GW1077" s="49"/>
      <c r="GX1077" s="49"/>
      <c r="GY1077" s="208"/>
      <c r="GZ1077" s="231"/>
      <c r="HA1077" s="231"/>
      <c r="HB1077" s="231"/>
      <c r="HC1077" s="231"/>
      <c r="HD1077" s="231"/>
      <c r="HE1077" s="231"/>
      <c r="HF1077" s="231"/>
      <c r="HG1077" s="231"/>
      <c r="HH1077" s="231"/>
      <c r="HI1077" s="232"/>
    </row>
    <row r="1078" spans="88:217" ht="10.75" customHeight="1">
      <c r="CJ1078" s="9"/>
      <c r="CK1078" s="10"/>
      <c r="CL1078" s="10"/>
      <c r="CM1078" s="10"/>
      <c r="CN1078" s="10"/>
      <c r="CO1078" s="10"/>
      <c r="CP1078" s="10"/>
      <c r="CQ1078" s="10"/>
      <c r="CR1078" s="10"/>
      <c r="CS1078" s="11"/>
      <c r="CT1078" s="42"/>
      <c r="CU1078" s="43"/>
      <c r="CV1078" s="45"/>
      <c r="CW1078" s="12"/>
      <c r="CX1078" s="317"/>
      <c r="CY1078" s="317"/>
      <c r="CZ1078" s="317"/>
      <c r="DA1078" s="317"/>
      <c r="DB1078" s="317"/>
      <c r="DC1078" s="317"/>
      <c r="DD1078" s="317"/>
      <c r="DE1078" s="317"/>
      <c r="DF1078" s="317"/>
      <c r="DG1078" s="317"/>
      <c r="DH1078" s="317"/>
      <c r="DI1078" s="317"/>
      <c r="DJ1078" s="317"/>
      <c r="DK1078" s="317"/>
      <c r="DL1078" s="317"/>
      <c r="DM1078" s="317"/>
      <c r="DN1078" s="317"/>
      <c r="DO1078" s="317"/>
      <c r="DP1078" s="317"/>
      <c r="DQ1078" s="317"/>
      <c r="DR1078" s="317"/>
      <c r="DS1078" s="317"/>
      <c r="DT1078" s="317"/>
      <c r="DU1078" s="317"/>
      <c r="DV1078" s="317"/>
      <c r="DW1078" s="317"/>
      <c r="DX1078" s="317"/>
      <c r="DY1078" s="317"/>
      <c r="DZ1078" s="317"/>
      <c r="EA1078" s="317"/>
      <c r="EB1078" s="317"/>
      <c r="EC1078" s="317"/>
      <c r="ED1078" s="317"/>
      <c r="EE1078" s="317"/>
      <c r="EF1078" s="317"/>
      <c r="EG1078" s="317"/>
      <c r="EH1078" s="317"/>
      <c r="EI1078" s="317"/>
      <c r="EJ1078" s="317"/>
      <c r="EK1078" s="317"/>
      <c r="EL1078" s="317"/>
      <c r="EM1078" s="317"/>
      <c r="EN1078" s="317"/>
      <c r="EO1078" s="317"/>
      <c r="EP1078" s="317"/>
      <c r="EQ1078" s="317"/>
      <c r="ER1078" s="317"/>
      <c r="ES1078" s="160"/>
      <c r="ET1078" s="161"/>
      <c r="EU1078" s="317"/>
      <c r="EV1078" s="317"/>
      <c r="EW1078" s="317"/>
      <c r="EX1078" s="317"/>
      <c r="EY1078" s="317"/>
      <c r="EZ1078" s="317"/>
      <c r="FA1078" s="291"/>
      <c r="FB1078" s="317"/>
      <c r="FC1078" s="317"/>
      <c r="FD1078" s="317"/>
      <c r="FE1078" s="317"/>
      <c r="FF1078" s="317"/>
      <c r="FG1078" s="317"/>
      <c r="FH1078" s="317"/>
      <c r="FI1078" s="317"/>
      <c r="FJ1078" s="317"/>
      <c r="FK1078" s="317"/>
      <c r="FL1078" s="317"/>
      <c r="FM1078" s="317"/>
      <c r="FN1078" s="317"/>
      <c r="FO1078" s="317"/>
      <c r="FP1078" s="317"/>
      <c r="FQ1078" s="317"/>
      <c r="FR1078" s="317"/>
      <c r="FS1078" s="317"/>
      <c r="FT1078" s="317"/>
      <c r="FU1078" s="317"/>
      <c r="FV1078" s="317"/>
      <c r="FW1078" s="317"/>
      <c r="FX1078" s="317"/>
      <c r="FY1078" s="317"/>
      <c r="FZ1078" s="317"/>
      <c r="GA1078" s="317"/>
      <c r="GB1078" s="317"/>
      <c r="GC1078" s="317"/>
      <c r="GD1078" s="317"/>
      <c r="GE1078" s="317"/>
      <c r="GF1078" s="317"/>
      <c r="GG1078" s="317"/>
      <c r="GH1078" s="317"/>
      <c r="GI1078" s="317"/>
      <c r="GJ1078" s="317"/>
      <c r="GK1078" s="317"/>
      <c r="GL1078" s="317"/>
      <c r="GM1078" s="317"/>
      <c r="GN1078" s="317"/>
      <c r="GO1078" s="317"/>
      <c r="GP1078" s="13"/>
      <c r="GQ1078" s="43"/>
      <c r="GR1078" s="43"/>
      <c r="GS1078" s="45"/>
      <c r="GT1078" s="49"/>
      <c r="GU1078" s="49"/>
      <c r="GV1078" s="49"/>
      <c r="GW1078" s="49"/>
      <c r="GX1078" s="49"/>
      <c r="GY1078" s="208"/>
      <c r="GZ1078" s="231"/>
      <c r="HA1078" s="231"/>
      <c r="HB1078" s="231"/>
      <c r="HC1078" s="231"/>
      <c r="HD1078" s="231"/>
      <c r="HE1078" s="231"/>
      <c r="HF1078" s="231"/>
      <c r="HG1078" s="231"/>
      <c r="HH1078" s="231"/>
      <c r="HI1078" s="232"/>
    </row>
    <row r="1079" spans="88:217" ht="10.75" customHeight="1">
      <c r="CJ1079" s="12"/>
      <c r="CS1079" s="13"/>
      <c r="CT1079" s="42"/>
      <c r="CU1079" s="43"/>
      <c r="CV1079" s="45"/>
      <c r="CW1079" s="12"/>
      <c r="CX1079" s="317"/>
      <c r="CY1079" s="317"/>
      <c r="CZ1079" s="317"/>
      <c r="DA1079" s="317"/>
      <c r="DB1079" s="317"/>
      <c r="DC1079" s="317"/>
      <c r="DD1079" s="317"/>
      <c r="DE1079" s="317"/>
      <c r="DF1079" s="317"/>
      <c r="DG1079" s="317"/>
      <c r="DH1079" s="317"/>
      <c r="DI1079" s="317"/>
      <c r="DJ1079" s="317"/>
      <c r="DK1079" s="317"/>
      <c r="DL1079" s="317"/>
      <c r="DM1079" s="317"/>
      <c r="DN1079" s="317"/>
      <c r="DO1079" s="317"/>
      <c r="DP1079" s="317"/>
      <c r="DQ1079" s="317"/>
      <c r="DR1079" s="317"/>
      <c r="DS1079" s="317"/>
      <c r="DT1079" s="317"/>
      <c r="DU1079" s="317"/>
      <c r="DV1079" s="317"/>
      <c r="DW1079" s="317"/>
      <c r="DX1079" s="317"/>
      <c r="DY1079" s="317"/>
      <c r="DZ1079" s="317"/>
      <c r="EA1079" s="317"/>
      <c r="EB1079" s="317"/>
      <c r="EC1079" s="317"/>
      <c r="ED1079" s="317"/>
      <c r="EE1079" s="317"/>
      <c r="EF1079" s="317"/>
      <c r="EG1079" s="317"/>
      <c r="EH1079" s="317"/>
      <c r="EI1079" s="317"/>
      <c r="EJ1079" s="317"/>
      <c r="EK1079" s="317"/>
      <c r="EL1079" s="317"/>
      <c r="EM1079" s="317"/>
      <c r="EN1079" s="317"/>
      <c r="EO1079" s="317"/>
      <c r="EP1079" s="317"/>
      <c r="EQ1079" s="317"/>
      <c r="ER1079" s="317"/>
      <c r="ES1079" s="160"/>
      <c r="ET1079" s="161"/>
      <c r="EU1079" s="317"/>
      <c r="EV1079" s="317"/>
      <c r="EW1079" s="317"/>
      <c r="EX1079" s="317"/>
      <c r="EY1079" s="317"/>
      <c r="EZ1079" s="317"/>
      <c r="FA1079" s="291"/>
      <c r="FB1079" s="317"/>
      <c r="FC1079" s="317"/>
      <c r="FD1079" s="317"/>
      <c r="FE1079" s="317"/>
      <c r="FF1079" s="317"/>
      <c r="FG1079" s="317"/>
      <c r="FH1079" s="317"/>
      <c r="FI1079" s="317"/>
      <c r="FJ1079" s="317"/>
      <c r="FK1079" s="317"/>
      <c r="FL1079" s="317"/>
      <c r="FM1079" s="317"/>
      <c r="FN1079" s="317"/>
      <c r="FO1079" s="317"/>
      <c r="FP1079" s="317"/>
      <c r="FQ1079" s="317"/>
      <c r="FR1079" s="317"/>
      <c r="FS1079" s="317"/>
      <c r="FT1079" s="317"/>
      <c r="FU1079" s="317"/>
      <c r="FV1079" s="317"/>
      <c r="FW1079" s="317"/>
      <c r="FX1079" s="317"/>
      <c r="FY1079" s="317"/>
      <c r="FZ1079" s="317"/>
      <c r="GA1079" s="317"/>
      <c r="GB1079" s="317"/>
      <c r="GC1079" s="317"/>
      <c r="GD1079" s="317"/>
      <c r="GE1079" s="317"/>
      <c r="GF1079" s="317"/>
      <c r="GG1079" s="317"/>
      <c r="GH1079" s="317"/>
      <c r="GI1079" s="317"/>
      <c r="GJ1079" s="317"/>
      <c r="GK1079" s="317"/>
      <c r="GL1079" s="317"/>
      <c r="GM1079" s="317"/>
      <c r="GN1079" s="317"/>
      <c r="GO1079" s="317"/>
      <c r="GP1079" s="13"/>
      <c r="GQ1079" s="43"/>
      <c r="GR1079" s="43"/>
      <c r="GS1079" s="45"/>
      <c r="GT1079" s="49"/>
      <c r="GU1079" s="49"/>
      <c r="GV1079" s="49"/>
      <c r="GW1079" s="49"/>
      <c r="GX1079" s="49"/>
      <c r="GY1079" s="208"/>
      <c r="GZ1079" s="231"/>
      <c r="HA1079" s="231"/>
      <c r="HB1079" s="231"/>
      <c r="HC1079" s="231"/>
      <c r="HD1079" s="231"/>
      <c r="HE1079" s="231"/>
      <c r="HF1079" s="231"/>
      <c r="HG1079" s="231"/>
      <c r="HH1079" s="231"/>
      <c r="HI1079" s="232"/>
    </row>
    <row r="1080" spans="88:217" ht="10.75" customHeight="1">
      <c r="CJ1080" s="12"/>
      <c r="CS1080" s="13"/>
      <c r="CT1080" s="42"/>
      <c r="CU1080" s="43"/>
      <c r="CV1080" s="45"/>
      <c r="CW1080" s="12"/>
      <c r="CX1080" s="317"/>
      <c r="CY1080" s="317"/>
      <c r="CZ1080" s="317"/>
      <c r="DA1080" s="317"/>
      <c r="DB1080" s="317"/>
      <c r="DC1080" s="317"/>
      <c r="DD1080" s="317"/>
      <c r="DE1080" s="317"/>
      <c r="DF1080" s="317"/>
      <c r="DG1080" s="317"/>
      <c r="DH1080" s="317"/>
      <c r="DI1080" s="317"/>
      <c r="DJ1080" s="317"/>
      <c r="DK1080" s="317"/>
      <c r="DL1080" s="317"/>
      <c r="DM1080" s="317"/>
      <c r="DN1080" s="317"/>
      <c r="DO1080" s="317"/>
      <c r="DP1080" s="317"/>
      <c r="DQ1080" s="317"/>
      <c r="DR1080" s="317"/>
      <c r="DS1080" s="317"/>
      <c r="DT1080" s="317"/>
      <c r="DU1080" s="317"/>
      <c r="DV1080" s="317"/>
      <c r="DW1080" s="317"/>
      <c r="DX1080" s="317"/>
      <c r="DY1080" s="317"/>
      <c r="DZ1080" s="317"/>
      <c r="EA1080" s="317"/>
      <c r="EB1080" s="317"/>
      <c r="EC1080" s="317"/>
      <c r="ED1080" s="317"/>
      <c r="EE1080" s="317"/>
      <c r="EF1080" s="317"/>
      <c r="EG1080" s="317"/>
      <c r="EH1080" s="317"/>
      <c r="EI1080" s="317"/>
      <c r="EJ1080" s="317"/>
      <c r="EK1080" s="317"/>
      <c r="EL1080" s="317"/>
      <c r="EM1080" s="317"/>
      <c r="EN1080" s="317"/>
      <c r="EO1080" s="317"/>
      <c r="EP1080" s="317"/>
      <c r="EQ1080" s="317"/>
      <c r="ER1080" s="317"/>
      <c r="ES1080" s="160"/>
      <c r="ET1080" s="161"/>
      <c r="EU1080" s="317"/>
      <c r="EV1080" s="317"/>
      <c r="EW1080" s="317"/>
      <c r="EX1080" s="317"/>
      <c r="EY1080" s="317"/>
      <c r="EZ1080" s="317"/>
      <c r="FA1080" s="291"/>
      <c r="FB1080" s="317"/>
      <c r="FC1080" s="317"/>
      <c r="FD1080" s="317"/>
      <c r="FE1080" s="317"/>
      <c r="FF1080" s="317"/>
      <c r="FG1080" s="317"/>
      <c r="FH1080" s="317"/>
      <c r="FI1080" s="317"/>
      <c r="FJ1080" s="317"/>
      <c r="FK1080" s="317"/>
      <c r="FL1080" s="317"/>
      <c r="FM1080" s="317"/>
      <c r="FN1080" s="317"/>
      <c r="FO1080" s="317"/>
      <c r="FP1080" s="317"/>
      <c r="FQ1080" s="317"/>
      <c r="FR1080" s="317"/>
      <c r="FS1080" s="317"/>
      <c r="FT1080" s="317"/>
      <c r="FU1080" s="317"/>
      <c r="FV1080" s="317"/>
      <c r="FW1080" s="317"/>
      <c r="FX1080" s="317"/>
      <c r="FY1080" s="317"/>
      <c r="FZ1080" s="317"/>
      <c r="GA1080" s="317"/>
      <c r="GB1080" s="317"/>
      <c r="GC1080" s="317"/>
      <c r="GD1080" s="317"/>
      <c r="GE1080" s="317"/>
      <c r="GF1080" s="317"/>
      <c r="GG1080" s="317"/>
      <c r="GH1080" s="317"/>
      <c r="GI1080" s="317"/>
      <c r="GJ1080" s="317"/>
      <c r="GK1080" s="317"/>
      <c r="GL1080" s="317"/>
      <c r="GM1080" s="317"/>
      <c r="GN1080" s="317"/>
      <c r="GO1080" s="317"/>
      <c r="GP1080" s="13"/>
      <c r="GQ1080" s="43"/>
      <c r="GR1080" s="43"/>
      <c r="GS1080" s="45"/>
      <c r="GT1080" s="49"/>
      <c r="GU1080" s="49"/>
      <c r="GV1080" s="49"/>
      <c r="GW1080" s="49"/>
      <c r="GX1080" s="49"/>
      <c r="GY1080" s="208"/>
      <c r="GZ1080" s="231"/>
      <c r="HA1080" s="231"/>
      <c r="HB1080" s="231"/>
      <c r="HC1080" s="231"/>
      <c r="HD1080" s="231"/>
      <c r="HE1080" s="231"/>
      <c r="HF1080" s="231"/>
      <c r="HG1080" s="231"/>
      <c r="HH1080" s="231"/>
      <c r="HI1080" s="232"/>
    </row>
    <row r="1081" spans="88:217" ht="10.75" customHeight="1">
      <c r="CJ1081" s="14"/>
      <c r="CK1081" s="15"/>
      <c r="CL1081" s="15"/>
      <c r="CM1081" s="15"/>
      <c r="CN1081" s="15"/>
      <c r="CO1081" s="15"/>
      <c r="CP1081" s="15"/>
      <c r="CQ1081" s="15"/>
      <c r="CR1081" s="15"/>
      <c r="CS1081" s="16"/>
      <c r="CT1081" s="42"/>
      <c r="CU1081" s="43"/>
      <c r="CV1081" s="45"/>
      <c r="CW1081" s="14"/>
      <c r="CX1081" s="15"/>
      <c r="CY1081" s="15"/>
      <c r="CZ1081" s="15"/>
      <c r="DA1081" s="15"/>
      <c r="DB1081" s="15"/>
      <c r="DC1081" s="15"/>
      <c r="DD1081" s="15"/>
      <c r="DE1081" s="15"/>
      <c r="DF1081" s="15"/>
      <c r="DG1081" s="15"/>
      <c r="DH1081" s="15"/>
      <c r="DI1081" s="15"/>
      <c r="DJ1081" s="15"/>
      <c r="DK1081" s="15"/>
      <c r="DL1081" s="15"/>
      <c r="DM1081" s="15"/>
      <c r="DN1081" s="15"/>
      <c r="DO1081" s="15"/>
      <c r="DP1081" s="15"/>
      <c r="DQ1081" s="15"/>
      <c r="DR1081" s="15"/>
      <c r="DS1081" s="15"/>
      <c r="DT1081" s="15"/>
      <c r="DU1081" s="15"/>
      <c r="DV1081" s="15"/>
      <c r="DW1081" s="15"/>
      <c r="DX1081" s="15"/>
      <c r="DY1081" s="15"/>
      <c r="DZ1081" s="15"/>
      <c r="EA1081" s="15"/>
      <c r="EB1081" s="15"/>
      <c r="EC1081" s="15"/>
      <c r="ED1081" s="15"/>
      <c r="EE1081" s="15"/>
      <c r="EF1081" s="15"/>
      <c r="EG1081" s="15"/>
      <c r="EH1081" s="15"/>
      <c r="EI1081" s="15"/>
      <c r="EJ1081" s="15"/>
      <c r="EK1081" s="15"/>
      <c r="EL1081" s="15"/>
      <c r="EM1081" s="15"/>
      <c r="EN1081" s="15"/>
      <c r="EO1081" s="15"/>
      <c r="EP1081" s="15"/>
      <c r="EQ1081" s="15"/>
      <c r="ER1081" s="15"/>
      <c r="ES1081" s="160"/>
      <c r="ET1081" s="161"/>
      <c r="EU1081" s="317"/>
      <c r="EV1081" s="317"/>
      <c r="EW1081" s="317"/>
      <c r="EX1081" s="317"/>
      <c r="EY1081" s="317"/>
      <c r="EZ1081" s="294"/>
      <c r="FA1081" s="293"/>
      <c r="FB1081" s="317"/>
      <c r="FC1081" s="317"/>
      <c r="FD1081" s="317"/>
      <c r="FE1081" s="317"/>
      <c r="FF1081" s="317"/>
      <c r="FG1081" s="317"/>
      <c r="FH1081" s="317"/>
      <c r="FI1081" s="317"/>
      <c r="FJ1081" s="317"/>
      <c r="FK1081" s="317"/>
      <c r="FL1081" s="317"/>
      <c r="FM1081" s="317"/>
      <c r="FN1081" s="317"/>
      <c r="FO1081" s="317"/>
      <c r="FP1081" s="317"/>
      <c r="FQ1081" s="317"/>
      <c r="FR1081" s="317"/>
      <c r="FS1081" s="317"/>
      <c r="FT1081" s="317"/>
      <c r="FU1081" s="317"/>
      <c r="FV1081" s="317"/>
      <c r="FW1081" s="317"/>
      <c r="FX1081" s="317"/>
      <c r="FY1081" s="317"/>
      <c r="FZ1081" s="317"/>
      <c r="GA1081" s="317"/>
      <c r="GB1081" s="317"/>
      <c r="GC1081" s="317"/>
      <c r="GD1081" s="317"/>
      <c r="GE1081" s="317"/>
      <c r="GF1081" s="317"/>
      <c r="GG1081" s="317"/>
      <c r="GH1081" s="317"/>
      <c r="GI1081" s="317"/>
      <c r="GJ1081" s="317"/>
      <c r="GK1081" s="317"/>
      <c r="GL1081" s="317"/>
      <c r="GM1081" s="317"/>
      <c r="GN1081" s="317"/>
      <c r="GO1081" s="317"/>
      <c r="GP1081" s="13"/>
      <c r="GQ1081" s="43"/>
      <c r="GR1081" s="43"/>
      <c r="GS1081" s="45"/>
      <c r="GT1081" s="49"/>
      <c r="GU1081" s="49"/>
      <c r="GV1081" s="49"/>
      <c r="GW1081" s="49"/>
      <c r="GX1081" s="49"/>
      <c r="GY1081" s="208"/>
      <c r="GZ1081" s="231"/>
      <c r="HA1081" s="231"/>
      <c r="HB1081" s="231"/>
      <c r="HC1081" s="231"/>
      <c r="HD1081" s="231"/>
      <c r="HE1081" s="231"/>
      <c r="HF1081" s="231"/>
      <c r="HG1081" s="231"/>
      <c r="HH1081" s="231"/>
      <c r="HI1081" s="232"/>
    </row>
    <row r="1082" spans="88:217" ht="10.75" customHeight="1">
      <c r="CJ1082" s="9"/>
      <c r="CK1082" s="10"/>
      <c r="CL1082" s="10"/>
      <c r="CM1082" s="10"/>
      <c r="CN1082" s="10"/>
      <c r="CO1082" s="10"/>
      <c r="CP1082" s="10"/>
      <c r="CQ1082" s="10"/>
      <c r="CR1082" s="10"/>
      <c r="CS1082" s="11"/>
      <c r="CT1082" s="42"/>
      <c r="CU1082" s="43"/>
      <c r="CV1082" s="45"/>
      <c r="CW1082" s="160"/>
      <c r="CX1082" s="316"/>
      <c r="CY1082" s="316"/>
      <c r="CZ1082" s="316"/>
      <c r="DA1082" s="316"/>
      <c r="DB1082" s="316"/>
      <c r="DC1082" s="316"/>
      <c r="DD1082" s="316"/>
      <c r="DE1082" s="316"/>
      <c r="DF1082" s="316"/>
      <c r="DG1082" s="316"/>
      <c r="DH1082" s="316"/>
      <c r="DI1082" s="316"/>
      <c r="DJ1082" s="316"/>
      <c r="DK1082" s="316"/>
      <c r="DL1082" s="316"/>
      <c r="DM1082" s="316"/>
      <c r="DN1082" s="316"/>
      <c r="DO1082" s="316"/>
      <c r="DP1082" s="316"/>
      <c r="DQ1082" s="316"/>
      <c r="DR1082" s="316"/>
      <c r="DS1082" s="316"/>
      <c r="DT1082" s="316"/>
      <c r="DU1082" s="316"/>
      <c r="DV1082" s="316"/>
      <c r="DW1082" s="316"/>
      <c r="DX1082" s="316"/>
      <c r="DY1082" s="316"/>
      <c r="DZ1082" s="316"/>
      <c r="EA1082" s="316"/>
      <c r="EB1082" s="316"/>
      <c r="EC1082" s="316"/>
      <c r="ED1082" s="316"/>
      <c r="EE1082" s="316"/>
      <c r="EF1082" s="316"/>
      <c r="EG1082" s="316"/>
      <c r="EH1082" s="316"/>
      <c r="EI1082" s="316"/>
      <c r="EJ1082" s="316"/>
      <c r="EK1082" s="316"/>
      <c r="EL1082" s="316"/>
      <c r="EM1082" s="316"/>
      <c r="EN1082" s="316"/>
      <c r="EO1082" s="316"/>
      <c r="EP1082" s="316"/>
      <c r="EQ1082" s="316"/>
      <c r="ER1082" s="158"/>
      <c r="ES1082" s="316"/>
      <c r="ET1082" s="161"/>
      <c r="EU1082" s="317"/>
      <c r="EV1082" s="317"/>
      <c r="EW1082" s="317"/>
      <c r="EX1082" s="317"/>
      <c r="EY1082" s="317"/>
      <c r="EZ1082" s="317"/>
      <c r="FA1082" s="317"/>
      <c r="FB1082" s="317"/>
      <c r="FC1082" s="317"/>
      <c r="FD1082" s="317"/>
      <c r="FE1082" s="317"/>
      <c r="FF1082" s="317"/>
      <c r="FG1082" s="317"/>
      <c r="FH1082" s="317"/>
      <c r="FI1082" s="317"/>
      <c r="FJ1082" s="317"/>
      <c r="FK1082" s="317"/>
      <c r="FL1082" s="317"/>
      <c r="FM1082" s="317"/>
      <c r="FN1082" s="317"/>
      <c r="FO1082" s="317"/>
      <c r="FP1082" s="317"/>
      <c r="FQ1082" s="317"/>
      <c r="FR1082" s="317"/>
      <c r="FS1082" s="317"/>
      <c r="FT1082" s="317"/>
      <c r="FU1082" s="317"/>
      <c r="FV1082" s="317"/>
      <c r="FW1082" s="317"/>
      <c r="FX1082" s="317"/>
      <c r="FY1082" s="317"/>
      <c r="FZ1082" s="317"/>
      <c r="GA1082" s="317"/>
      <c r="GB1082" s="317"/>
      <c r="GC1082" s="317"/>
      <c r="GD1082" s="317"/>
      <c r="GE1082" s="317"/>
      <c r="GF1082" s="317"/>
      <c r="GG1082" s="317"/>
      <c r="GH1082" s="317"/>
      <c r="GI1082" s="317"/>
      <c r="GJ1082" s="317"/>
      <c r="GK1082" s="317"/>
      <c r="GL1082" s="317"/>
      <c r="GM1082" s="317"/>
      <c r="GN1082" s="317"/>
      <c r="GO1082" s="317"/>
      <c r="GP1082" s="13"/>
      <c r="GQ1082" s="43"/>
      <c r="GR1082" s="43"/>
      <c r="GS1082" s="45"/>
      <c r="GT1082" s="49"/>
      <c r="GU1082" s="49"/>
      <c r="GV1082" s="49"/>
      <c r="GW1082" s="49"/>
      <c r="GX1082" s="49"/>
      <c r="GY1082" s="208"/>
      <c r="GZ1082" s="231"/>
      <c r="HA1082" s="231"/>
      <c r="HB1082" s="231"/>
      <c r="HC1082" s="231"/>
      <c r="HD1082" s="231"/>
      <c r="HE1082" s="231"/>
      <c r="HF1082" s="231"/>
      <c r="HG1082" s="231"/>
      <c r="HH1082" s="231"/>
      <c r="HI1082" s="232"/>
    </row>
    <row r="1083" spans="88:217" ht="10.75" customHeight="1">
      <c r="CJ1083" s="12"/>
      <c r="CS1083" s="13"/>
      <c r="CT1083" s="42"/>
      <c r="CU1083" s="43"/>
      <c r="CV1083" s="45"/>
      <c r="CW1083" s="160"/>
      <c r="CX1083" s="316"/>
      <c r="CY1083" s="316"/>
      <c r="CZ1083" s="316"/>
      <c r="DA1083" s="316"/>
      <c r="DB1083" s="316"/>
      <c r="DC1083" s="316"/>
      <c r="DD1083" s="316"/>
      <c r="DE1083" s="316"/>
      <c r="DF1083" s="316"/>
      <c r="DG1083" s="316"/>
      <c r="DH1083" s="316"/>
      <c r="DI1083" s="316"/>
      <c r="DJ1083" s="316"/>
      <c r="DK1083" s="316"/>
      <c r="DL1083" s="316"/>
      <c r="DM1083" s="316"/>
      <c r="DN1083" s="316"/>
      <c r="DO1083" s="316"/>
      <c r="DP1083" s="316"/>
      <c r="DQ1083" s="316"/>
      <c r="DR1083" s="316"/>
      <c r="DS1083" s="316"/>
      <c r="DT1083" s="316"/>
      <c r="DU1083" s="316"/>
      <c r="DV1083" s="316"/>
      <c r="DW1083" s="316"/>
      <c r="DX1083" s="316"/>
      <c r="DY1083" s="316"/>
      <c r="DZ1083" s="316"/>
      <c r="EA1083" s="316"/>
      <c r="EB1083" s="316"/>
      <c r="EC1083" s="316"/>
      <c r="ED1083" s="316"/>
      <c r="EE1083" s="316"/>
      <c r="EF1083" s="316"/>
      <c r="EG1083" s="320"/>
      <c r="EH1083" s="320"/>
      <c r="EI1083" s="320"/>
      <c r="EJ1083" s="320"/>
      <c r="EK1083" s="320"/>
      <c r="EL1083" s="320"/>
      <c r="EM1083" s="320"/>
      <c r="EN1083" s="320"/>
      <c r="EO1083" s="320"/>
      <c r="EP1083" s="320"/>
      <c r="EQ1083" s="316"/>
      <c r="ER1083" s="316"/>
      <c r="ES1083" s="163"/>
      <c r="ET1083" s="164"/>
      <c r="EU1083" s="317"/>
      <c r="EV1083" s="317"/>
      <c r="EW1083" s="317"/>
      <c r="EX1083" s="317"/>
      <c r="EY1083" s="317"/>
      <c r="EZ1083" s="294"/>
      <c r="FA1083" s="294"/>
      <c r="FB1083" s="317"/>
      <c r="FC1083" s="317"/>
      <c r="FD1083" s="317"/>
      <c r="FE1083" s="317"/>
      <c r="FF1083" s="317"/>
      <c r="FG1083" s="317"/>
      <c r="FH1083" s="317"/>
      <c r="FI1083" s="317"/>
      <c r="FJ1083" s="317"/>
      <c r="FK1083" s="317"/>
      <c r="FL1083" s="317"/>
      <c r="FM1083" s="317"/>
      <c r="FN1083" s="317"/>
      <c r="FO1083" s="317"/>
      <c r="FP1083" s="317"/>
      <c r="FQ1083" s="317"/>
      <c r="FR1083" s="317"/>
      <c r="FS1083" s="317"/>
      <c r="FT1083" s="317"/>
      <c r="FU1083" s="317"/>
      <c r="FV1083" s="317"/>
      <c r="FW1083" s="317"/>
      <c r="FX1083" s="317"/>
      <c r="FY1083" s="317"/>
      <c r="FZ1083" s="317"/>
      <c r="GA1083" s="317"/>
      <c r="GB1083" s="317"/>
      <c r="GC1083" s="317"/>
      <c r="GD1083" s="317"/>
      <c r="GE1083" s="317"/>
      <c r="GF1083" s="317"/>
      <c r="GG1083" s="317"/>
      <c r="GH1083" s="317"/>
      <c r="GI1083" s="317"/>
      <c r="GJ1083" s="317"/>
      <c r="GK1083" s="317"/>
      <c r="GL1083" s="317"/>
      <c r="GM1083" s="317"/>
      <c r="GN1083" s="317"/>
      <c r="GO1083" s="317"/>
      <c r="GP1083" s="13"/>
      <c r="GQ1083" s="43"/>
      <c r="GR1083" s="43"/>
      <c r="GS1083" s="45"/>
      <c r="GT1083" s="49"/>
      <c r="GU1083" s="49"/>
      <c r="GV1083" s="49"/>
      <c r="GW1083" s="49"/>
      <c r="GX1083" s="49"/>
      <c r="GY1083" s="208"/>
      <c r="GZ1083" s="231"/>
      <c r="HA1083" s="231"/>
      <c r="HB1083" s="231"/>
      <c r="HC1083" s="231"/>
      <c r="HD1083" s="231"/>
      <c r="HE1083" s="231"/>
      <c r="HF1083" s="231"/>
      <c r="HG1083" s="231"/>
      <c r="HH1083" s="231"/>
      <c r="HI1083" s="232"/>
    </row>
    <row r="1084" spans="88:217" ht="10.75" customHeight="1">
      <c r="CJ1084" s="12"/>
      <c r="CS1084" s="13"/>
      <c r="CT1084" s="42"/>
      <c r="CU1084" s="43"/>
      <c r="CV1084" s="315"/>
      <c r="CW1084" s="9"/>
      <c r="CX1084" s="10"/>
      <c r="CY1084" s="10"/>
      <c r="CZ1084" s="10"/>
      <c r="DA1084" s="10"/>
      <c r="DB1084" s="10"/>
      <c r="DC1084" s="10"/>
      <c r="DD1084" s="11"/>
      <c r="DE1084" s="9"/>
      <c r="DF1084" s="10"/>
      <c r="DG1084" s="10"/>
      <c r="DH1084" s="10"/>
      <c r="DI1084" s="10"/>
      <c r="DJ1084" s="10"/>
      <c r="DK1084" s="10"/>
      <c r="DL1084" s="11"/>
      <c r="DM1084" s="9"/>
      <c r="DN1084" s="10"/>
      <c r="DO1084" s="10"/>
      <c r="DP1084" s="10"/>
      <c r="DQ1084" s="10"/>
      <c r="DR1084" s="10"/>
      <c r="DS1084" s="10"/>
      <c r="DT1084" s="11"/>
      <c r="DU1084" s="9"/>
      <c r="DV1084" s="10"/>
      <c r="DW1084" s="10"/>
      <c r="DX1084" s="10"/>
      <c r="DY1084" s="10"/>
      <c r="DZ1084" s="10"/>
      <c r="EA1084" s="10"/>
      <c r="EB1084" s="11"/>
      <c r="EC1084" s="10"/>
      <c r="ED1084" s="10"/>
      <c r="EE1084" s="10"/>
      <c r="EF1084" s="10"/>
      <c r="EG1084" s="10"/>
      <c r="EH1084" s="10"/>
      <c r="EI1084" s="10"/>
      <c r="EJ1084" s="10"/>
      <c r="EK1084" s="10"/>
      <c r="EL1084" s="10"/>
      <c r="EM1084" s="10"/>
      <c r="EN1084" s="10"/>
      <c r="EO1084" s="10"/>
      <c r="EP1084" s="10"/>
      <c r="EQ1084" s="10"/>
      <c r="ER1084" s="11"/>
      <c r="ES1084" s="9"/>
      <c r="ET1084" s="11"/>
      <c r="EU1084" s="317"/>
      <c r="EV1084" s="317"/>
      <c r="EW1084" s="317"/>
      <c r="EX1084" s="317"/>
      <c r="EY1084" s="317"/>
      <c r="EZ1084" s="317"/>
      <c r="FA1084" s="291"/>
      <c r="FB1084" s="317"/>
      <c r="FC1084" s="317"/>
      <c r="FD1084" s="317"/>
      <c r="FE1084" s="317"/>
      <c r="FF1084" s="317"/>
      <c r="FG1084" s="317"/>
      <c r="FH1084" s="317"/>
      <c r="FI1084" s="317"/>
      <c r="FJ1084" s="317"/>
      <c r="FK1084" s="317"/>
      <c r="FL1084" s="317"/>
      <c r="FM1084" s="317"/>
      <c r="FN1084" s="317"/>
      <c r="FO1084" s="317"/>
      <c r="FP1084" s="317"/>
      <c r="FQ1084" s="317"/>
      <c r="FR1084" s="317"/>
      <c r="FS1084" s="317"/>
      <c r="FT1084" s="317"/>
      <c r="FU1084" s="317"/>
      <c r="FV1084" s="317"/>
      <c r="FW1084" s="317"/>
      <c r="FX1084" s="317"/>
      <c r="FY1084" s="317"/>
      <c r="FZ1084" s="317"/>
      <c r="GA1084" s="317"/>
      <c r="GB1084" s="317"/>
      <c r="GC1084" s="317"/>
      <c r="GD1084" s="317"/>
      <c r="GE1084" s="317"/>
      <c r="GF1084" s="317"/>
      <c r="GG1084" s="317"/>
      <c r="GH1084" s="317"/>
      <c r="GI1084" s="317"/>
      <c r="GJ1084" s="317"/>
      <c r="GK1084" s="317"/>
      <c r="GL1084" s="317"/>
      <c r="GM1084" s="317"/>
      <c r="GN1084" s="317"/>
      <c r="GO1084" s="317"/>
      <c r="GP1084" s="13"/>
      <c r="GQ1084" s="43"/>
      <c r="GR1084" s="43"/>
      <c r="GS1084" s="45"/>
      <c r="GT1084" s="49"/>
      <c r="GU1084" s="49"/>
      <c r="GV1084" s="49"/>
      <c r="GW1084" s="49"/>
      <c r="GX1084" s="49"/>
      <c r="GY1084" s="208"/>
      <c r="GZ1084" s="231"/>
      <c r="HA1084" s="231"/>
      <c r="HB1084" s="231"/>
      <c r="HC1084" s="231"/>
      <c r="HD1084" s="231"/>
      <c r="HE1084" s="231"/>
      <c r="HF1084" s="231"/>
      <c r="HG1084" s="231"/>
      <c r="HH1084" s="231"/>
      <c r="HI1084" s="232"/>
    </row>
    <row r="1085" spans="88:217" ht="10.75" customHeight="1">
      <c r="CJ1085" s="14"/>
      <c r="CK1085" s="15"/>
      <c r="CL1085" s="15"/>
      <c r="CM1085" s="15"/>
      <c r="CN1085" s="15"/>
      <c r="CO1085" s="15"/>
      <c r="CP1085" s="15"/>
      <c r="CQ1085" s="15"/>
      <c r="CR1085" s="15"/>
      <c r="CS1085" s="16"/>
      <c r="CT1085" s="42"/>
      <c r="CU1085" s="43"/>
      <c r="CV1085" s="315"/>
      <c r="CW1085" s="12"/>
      <c r="CX1085" s="317"/>
      <c r="CY1085" s="317"/>
      <c r="CZ1085" s="317"/>
      <c r="DA1085" s="317"/>
      <c r="DB1085" s="317"/>
      <c r="DC1085" s="317"/>
      <c r="DD1085" s="13"/>
      <c r="DE1085" s="12"/>
      <c r="DF1085" s="317"/>
      <c r="DG1085" s="317"/>
      <c r="DH1085" s="317"/>
      <c r="DI1085" s="317"/>
      <c r="DJ1085" s="317"/>
      <c r="DK1085" s="317"/>
      <c r="DL1085" s="13"/>
      <c r="DM1085" s="12"/>
      <c r="DN1085" s="317"/>
      <c r="DO1085" s="317"/>
      <c r="DP1085" s="317"/>
      <c r="DQ1085" s="317"/>
      <c r="DR1085" s="317"/>
      <c r="DS1085" s="317"/>
      <c r="DT1085" s="13"/>
      <c r="DU1085" s="12"/>
      <c r="DV1085" s="317"/>
      <c r="DW1085" s="317"/>
      <c r="DX1085" s="317"/>
      <c r="DY1085" s="317"/>
      <c r="DZ1085" s="317"/>
      <c r="EA1085" s="317"/>
      <c r="EB1085" s="13"/>
      <c r="EC1085" s="317"/>
      <c r="ED1085" s="317"/>
      <c r="EE1085" s="317"/>
      <c r="EF1085" s="317"/>
      <c r="EG1085" s="317"/>
      <c r="EH1085" s="317"/>
      <c r="EI1085" s="317"/>
      <c r="EJ1085" s="317"/>
      <c r="EK1085" s="317"/>
      <c r="EL1085" s="317"/>
      <c r="EM1085" s="317"/>
      <c r="EN1085" s="317"/>
      <c r="EO1085" s="317"/>
      <c r="EP1085" s="317"/>
      <c r="EQ1085" s="317"/>
      <c r="ER1085" s="13"/>
      <c r="ES1085" s="12"/>
      <c r="ET1085" s="13"/>
      <c r="EU1085" s="317"/>
      <c r="EV1085" s="317"/>
      <c r="EW1085" s="317"/>
      <c r="EX1085" s="317"/>
      <c r="EY1085" s="317"/>
      <c r="EZ1085" s="317"/>
      <c r="FA1085" s="291"/>
      <c r="FB1085" s="317"/>
      <c r="FC1085" s="317"/>
      <c r="FD1085" s="317"/>
      <c r="FE1085" s="317"/>
      <c r="FF1085" s="317"/>
      <c r="FG1085" s="317"/>
      <c r="FH1085" s="317"/>
      <c r="FI1085" s="317"/>
      <c r="FJ1085" s="317"/>
      <c r="FK1085" s="317"/>
      <c r="FL1085" s="317"/>
      <c r="FM1085" s="317"/>
      <c r="FN1085" s="317"/>
      <c r="FO1085" s="317"/>
      <c r="FP1085" s="317"/>
      <c r="FQ1085" s="317"/>
      <c r="FR1085" s="317"/>
      <c r="FS1085" s="317"/>
      <c r="FT1085" s="317"/>
      <c r="FU1085" s="317"/>
      <c r="FV1085" s="317"/>
      <c r="FW1085" s="317"/>
      <c r="FX1085" s="317"/>
      <c r="FY1085" s="317"/>
      <c r="FZ1085" s="317"/>
      <c r="GA1085" s="317"/>
      <c r="GB1085" s="317"/>
      <c r="GC1085" s="317"/>
      <c r="GD1085" s="317"/>
      <c r="GE1085" s="317"/>
      <c r="GF1085" s="317"/>
      <c r="GG1085" s="317"/>
      <c r="GH1085" s="317"/>
      <c r="GI1085" s="317"/>
      <c r="GJ1085" s="317"/>
      <c r="GK1085" s="317"/>
      <c r="GL1085" s="317"/>
      <c r="GM1085" s="317"/>
      <c r="GN1085" s="317"/>
      <c r="GO1085" s="317"/>
      <c r="GP1085" s="13"/>
      <c r="GQ1085" s="43"/>
      <c r="GR1085" s="43"/>
      <c r="GS1085" s="45"/>
      <c r="GT1085" s="49"/>
      <c r="GU1085" s="49"/>
      <c r="GV1085" s="49"/>
      <c r="GW1085" s="49"/>
      <c r="GX1085" s="49"/>
      <c r="GY1085" s="208"/>
      <c r="GZ1085" s="231"/>
      <c r="HA1085" s="231"/>
      <c r="HB1085" s="231"/>
      <c r="HC1085" s="231"/>
      <c r="HD1085" s="231"/>
      <c r="HE1085" s="231"/>
      <c r="HF1085" s="231"/>
      <c r="HG1085" s="231"/>
      <c r="HH1085" s="231"/>
      <c r="HI1085" s="232"/>
    </row>
    <row r="1086" spans="88:217" ht="10.75" customHeight="1">
      <c r="CJ1086" s="9"/>
      <c r="CK1086" s="10"/>
      <c r="CN1086" s="259"/>
      <c r="CO1086" s="141"/>
      <c r="CP1086" s="141"/>
      <c r="CQ1086" s="141"/>
      <c r="CR1086" s="141"/>
      <c r="CS1086" s="235"/>
      <c r="CT1086" s="42"/>
      <c r="CU1086" s="43"/>
      <c r="CV1086" s="315"/>
      <c r="CW1086" s="12"/>
      <c r="CX1086" s="317"/>
      <c r="CY1086" s="317"/>
      <c r="CZ1086" s="317"/>
      <c r="DA1086" s="317"/>
      <c r="DB1086" s="317"/>
      <c r="DC1086" s="317"/>
      <c r="DD1086" s="13"/>
      <c r="DE1086" s="12"/>
      <c r="DF1086" s="317"/>
      <c r="DG1086" s="317"/>
      <c r="DH1086" s="317"/>
      <c r="DI1086" s="317"/>
      <c r="DJ1086" s="317"/>
      <c r="DK1086" s="317"/>
      <c r="DL1086" s="13"/>
      <c r="DM1086" s="12"/>
      <c r="DN1086" s="317"/>
      <c r="DO1086" s="317"/>
      <c r="DP1086" s="317"/>
      <c r="DQ1086" s="317"/>
      <c r="DR1086" s="317"/>
      <c r="DS1086" s="317"/>
      <c r="DT1086" s="13"/>
      <c r="DU1086" s="12"/>
      <c r="DV1086" s="317"/>
      <c r="DW1086" s="317"/>
      <c r="DX1086" s="317"/>
      <c r="DY1086" s="317"/>
      <c r="DZ1086" s="317"/>
      <c r="EA1086" s="317"/>
      <c r="EB1086" s="13"/>
      <c r="EC1086" s="317"/>
      <c r="ED1086" s="317"/>
      <c r="EE1086" s="317"/>
      <c r="EF1086" s="317"/>
      <c r="EG1086" s="317"/>
      <c r="EH1086" s="317"/>
      <c r="EI1086" s="317"/>
      <c r="EJ1086" s="317"/>
      <c r="EK1086" s="317"/>
      <c r="EL1086" s="317"/>
      <c r="EM1086" s="317"/>
      <c r="EN1086" s="317"/>
      <c r="EO1086" s="317"/>
      <c r="EP1086" s="317"/>
      <c r="EQ1086" s="317"/>
      <c r="ER1086" s="13"/>
      <c r="ES1086" s="12"/>
      <c r="ET1086" s="13"/>
      <c r="EU1086" s="317"/>
      <c r="EV1086" s="317"/>
      <c r="EW1086" s="317"/>
      <c r="EX1086" s="317"/>
      <c r="EY1086" s="317"/>
      <c r="EZ1086" s="317"/>
      <c r="FA1086" s="291"/>
      <c r="FB1086" s="317"/>
      <c r="FC1086" s="317"/>
      <c r="FD1086" s="317"/>
      <c r="FE1086" s="317"/>
      <c r="FF1086" s="317"/>
      <c r="FG1086" s="317"/>
      <c r="FH1086" s="317"/>
      <c r="FI1086" s="317"/>
      <c r="FJ1086" s="317"/>
      <c r="FK1086" s="317"/>
      <c r="FL1086" s="317"/>
      <c r="FM1086" s="317"/>
      <c r="FN1086" s="317"/>
      <c r="FO1086" s="317"/>
      <c r="FP1086" s="317"/>
      <c r="FQ1086" s="317"/>
      <c r="FR1086" s="317"/>
      <c r="FS1086" s="317"/>
      <c r="FT1086" s="317"/>
      <c r="FU1086" s="317"/>
      <c r="FV1086" s="317"/>
      <c r="FW1086" s="317"/>
      <c r="FX1086" s="317"/>
      <c r="FY1086" s="317"/>
      <c r="FZ1086" s="317"/>
      <c r="GA1086" s="317"/>
      <c r="GB1086" s="317"/>
      <c r="GC1086" s="317"/>
      <c r="GD1086" s="317"/>
      <c r="GE1086" s="317"/>
      <c r="GF1086" s="317"/>
      <c r="GG1086" s="317"/>
      <c r="GH1086" s="317"/>
      <c r="GI1086" s="317"/>
      <c r="GJ1086" s="317"/>
      <c r="GK1086" s="317"/>
      <c r="GL1086" s="317"/>
      <c r="GM1086" s="317"/>
      <c r="GN1086" s="317"/>
      <c r="GO1086" s="317"/>
      <c r="GP1086" s="13"/>
      <c r="GQ1086" s="43"/>
      <c r="GR1086" s="43"/>
      <c r="GS1086" s="45"/>
      <c r="GT1086" s="49"/>
      <c r="GU1086" s="49"/>
      <c r="GV1086" s="49"/>
      <c r="GW1086" s="49"/>
      <c r="GX1086" s="49"/>
      <c r="GY1086" s="208"/>
      <c r="GZ1086" s="231"/>
      <c r="HA1086" s="231"/>
      <c r="HB1086" s="231"/>
      <c r="HC1086" s="231"/>
      <c r="HD1086" s="231"/>
      <c r="HE1086" s="231"/>
      <c r="HF1086" s="231"/>
      <c r="HG1086" s="231"/>
      <c r="HH1086" s="231"/>
      <c r="HI1086" s="232"/>
    </row>
    <row r="1087" spans="88:217" ht="10.75" customHeight="1">
      <c r="CJ1087" s="12"/>
      <c r="CN1087" s="214"/>
      <c r="CO1087" s="49"/>
      <c r="CP1087" s="49"/>
      <c r="CQ1087" s="49"/>
      <c r="CR1087" s="49"/>
      <c r="CS1087" s="208"/>
      <c r="CT1087" s="42"/>
      <c r="CU1087" s="43"/>
      <c r="CV1087" s="315"/>
      <c r="CW1087" s="12"/>
      <c r="CX1087" s="317"/>
      <c r="CY1087" s="317"/>
      <c r="CZ1087" s="317"/>
      <c r="DA1087" s="317"/>
      <c r="DB1087" s="317"/>
      <c r="DC1087" s="317"/>
      <c r="DD1087" s="13"/>
      <c r="DE1087" s="12"/>
      <c r="DF1087" s="317"/>
      <c r="DG1087" s="317"/>
      <c r="DH1087" s="317"/>
      <c r="DI1087" s="317"/>
      <c r="DJ1087" s="317"/>
      <c r="DK1087" s="317"/>
      <c r="DL1087" s="13"/>
      <c r="DM1087" s="12"/>
      <c r="DN1087" s="317"/>
      <c r="DO1087" s="317"/>
      <c r="DP1087" s="317"/>
      <c r="DQ1087" s="317"/>
      <c r="DR1087" s="317"/>
      <c r="DS1087" s="317"/>
      <c r="DT1087" s="13"/>
      <c r="DU1087" s="12"/>
      <c r="DV1087" s="317"/>
      <c r="DW1087" s="317"/>
      <c r="DX1087" s="317"/>
      <c r="DY1087" s="317"/>
      <c r="DZ1087" s="317"/>
      <c r="EA1087" s="317"/>
      <c r="EB1087" s="13"/>
      <c r="EC1087" s="317"/>
      <c r="ED1087" s="317"/>
      <c r="EE1087" s="317"/>
      <c r="EF1087" s="317"/>
      <c r="EG1087" s="317"/>
      <c r="EH1087" s="317"/>
      <c r="EI1087" s="317"/>
      <c r="EJ1087" s="317"/>
      <c r="EK1087" s="317"/>
      <c r="EL1087" s="317"/>
      <c r="EM1087" s="317"/>
      <c r="EN1087" s="317"/>
      <c r="EO1087" s="317"/>
      <c r="EP1087" s="317"/>
      <c r="EQ1087" s="317"/>
      <c r="ER1087" s="13"/>
      <c r="ES1087" s="12"/>
      <c r="ET1087" s="13"/>
      <c r="EU1087" s="317"/>
      <c r="EV1087" s="317"/>
      <c r="EW1087" s="317"/>
      <c r="EX1087" s="317"/>
      <c r="EY1087" s="317"/>
      <c r="EZ1087" s="317"/>
      <c r="FA1087" s="291"/>
      <c r="FB1087" s="317"/>
      <c r="FC1087" s="317"/>
      <c r="FD1087" s="317"/>
      <c r="FE1087" s="317"/>
      <c r="FF1087" s="317"/>
      <c r="FG1087" s="317"/>
      <c r="FH1087" s="317"/>
      <c r="FI1087" s="317"/>
      <c r="FJ1087" s="317"/>
      <c r="FK1087" s="317"/>
      <c r="FL1087" s="317"/>
      <c r="FM1087" s="317"/>
      <c r="FN1087" s="317"/>
      <c r="FO1087" s="317"/>
      <c r="FP1087" s="317"/>
      <c r="FQ1087" s="317"/>
      <c r="FR1087" s="317"/>
      <c r="FS1087" s="317"/>
      <c r="FT1087" s="317"/>
      <c r="FU1087" s="317"/>
      <c r="FV1087" s="317"/>
      <c r="FW1087" s="317"/>
      <c r="FX1087" s="317"/>
      <c r="FY1087" s="317"/>
      <c r="FZ1087" s="317"/>
      <c r="GA1087" s="317"/>
      <c r="GB1087" s="317"/>
      <c r="GC1087" s="317"/>
      <c r="GD1087" s="317"/>
      <c r="GE1087" s="317"/>
      <c r="GF1087" s="317"/>
      <c r="GG1087" s="317"/>
      <c r="GH1087" s="317"/>
      <c r="GI1087" s="317"/>
      <c r="GJ1087" s="317"/>
      <c r="GK1087" s="317"/>
      <c r="GL1087" s="317"/>
      <c r="GM1087" s="317"/>
      <c r="GN1087" s="317"/>
      <c r="GO1087" s="317"/>
      <c r="GP1087" s="13"/>
      <c r="GQ1087" s="43"/>
      <c r="GR1087" s="43"/>
      <c r="GS1087" s="45"/>
      <c r="GT1087" s="49"/>
      <c r="GU1087" s="49"/>
      <c r="GV1087" s="49"/>
      <c r="GW1087" s="49"/>
      <c r="GX1087" s="49"/>
      <c r="GY1087" s="208"/>
      <c r="GZ1087" s="231"/>
      <c r="HA1087" s="231"/>
      <c r="HB1087" s="231"/>
      <c r="HC1087" s="231"/>
      <c r="HD1087" s="231"/>
      <c r="HE1087" s="231"/>
      <c r="HF1087" s="231"/>
      <c r="HG1087" s="231"/>
      <c r="HH1087" s="231"/>
      <c r="HI1087" s="232"/>
    </row>
    <row r="1088" spans="88:217" ht="10.75" customHeight="1">
      <c r="CJ1088" s="12"/>
      <c r="CN1088" s="214"/>
      <c r="CO1088" s="49"/>
      <c r="CP1088" s="49"/>
      <c r="CQ1088" s="49"/>
      <c r="CR1088" s="49"/>
      <c r="CS1088" s="208"/>
      <c r="CT1088" s="43"/>
      <c r="CU1088" s="43"/>
      <c r="CV1088" s="315"/>
      <c r="CW1088" s="12"/>
      <c r="CX1088" s="317"/>
      <c r="CY1088" s="317"/>
      <c r="CZ1088" s="317"/>
      <c r="DA1088" s="317"/>
      <c r="DB1088" s="317"/>
      <c r="DC1088" s="317"/>
      <c r="DD1088" s="13"/>
      <c r="DE1088" s="12"/>
      <c r="DF1088" s="317"/>
      <c r="DG1088" s="317"/>
      <c r="DH1088" s="317"/>
      <c r="DI1088" s="317"/>
      <c r="DJ1088" s="317"/>
      <c r="DK1088" s="317"/>
      <c r="DL1088" s="13"/>
      <c r="DM1088" s="12"/>
      <c r="DN1088" s="317"/>
      <c r="DO1088" s="317"/>
      <c r="DP1088" s="317"/>
      <c r="DQ1088" s="317"/>
      <c r="DR1088" s="317"/>
      <c r="DS1088" s="317"/>
      <c r="DT1088" s="13"/>
      <c r="DU1088" s="12"/>
      <c r="DV1088" s="317"/>
      <c r="DW1088" s="317"/>
      <c r="DX1088" s="317"/>
      <c r="DY1088" s="317"/>
      <c r="DZ1088" s="317"/>
      <c r="EA1088" s="317"/>
      <c r="EB1088" s="13"/>
      <c r="EC1088" s="317"/>
      <c r="ED1088" s="317"/>
      <c r="EE1088" s="317"/>
      <c r="EF1088" s="317"/>
      <c r="EG1088" s="317"/>
      <c r="EH1088" s="317"/>
      <c r="EI1088" s="317"/>
      <c r="EJ1088" s="317"/>
      <c r="EK1088" s="317"/>
      <c r="EL1088" s="317"/>
      <c r="EM1088" s="317"/>
      <c r="EN1088" s="317"/>
      <c r="EO1088" s="317"/>
      <c r="EP1088" s="317"/>
      <c r="EQ1088" s="317"/>
      <c r="ER1088" s="13"/>
      <c r="ES1088" s="12"/>
      <c r="ET1088" s="13"/>
      <c r="EU1088" s="317"/>
      <c r="EV1088" s="317"/>
      <c r="EW1088" s="317"/>
      <c r="EX1088" s="317"/>
      <c r="EY1088" s="317"/>
      <c r="EZ1088" s="317"/>
      <c r="FA1088" s="291"/>
      <c r="FB1088" s="317"/>
      <c r="FC1088" s="317"/>
      <c r="FD1088" s="317"/>
      <c r="FE1088" s="317"/>
      <c r="FF1088" s="317"/>
      <c r="FG1088" s="317"/>
      <c r="FH1088" s="317"/>
      <c r="FI1088" s="317"/>
      <c r="FJ1088" s="317"/>
      <c r="FK1088" s="317"/>
      <c r="FL1088" s="317"/>
      <c r="FM1088" s="317"/>
      <c r="FN1088" s="317"/>
      <c r="FO1088" s="317"/>
      <c r="FP1088" s="317"/>
      <c r="FQ1088" s="317"/>
      <c r="FR1088" s="317"/>
      <c r="FS1088" s="317"/>
      <c r="FT1088" s="317"/>
      <c r="FU1088" s="317"/>
      <c r="FV1088" s="317"/>
      <c r="FW1088" s="317"/>
      <c r="FX1088" s="317"/>
      <c r="FY1088" s="317"/>
      <c r="FZ1088" s="317"/>
      <c r="GA1088" s="317"/>
      <c r="GB1088" s="317"/>
      <c r="GC1088" s="317"/>
      <c r="GD1088" s="317"/>
      <c r="GE1088" s="317"/>
      <c r="GF1088" s="317"/>
      <c r="GG1088" s="317"/>
      <c r="GH1088" s="317"/>
      <c r="GI1088" s="317"/>
      <c r="GJ1088" s="317"/>
      <c r="GK1088" s="317"/>
      <c r="GL1088" s="317"/>
      <c r="GM1088" s="317"/>
      <c r="GN1088" s="317"/>
      <c r="GO1088" s="317"/>
      <c r="GP1088" s="13"/>
      <c r="GQ1088" s="43"/>
      <c r="GR1088" s="43"/>
      <c r="GS1088" s="45"/>
      <c r="GT1088" s="49"/>
      <c r="GU1088" s="49"/>
      <c r="GV1088" s="49"/>
      <c r="GW1088" s="49"/>
      <c r="GX1088" s="49"/>
      <c r="GY1088" s="208"/>
      <c r="GZ1088" s="231"/>
      <c r="HA1088" s="231"/>
      <c r="HB1088" s="231"/>
      <c r="HC1088" s="231"/>
      <c r="HD1088" s="231"/>
      <c r="HE1088" s="231"/>
      <c r="HF1088" s="231"/>
      <c r="HG1088" s="231"/>
      <c r="HH1088" s="231"/>
      <c r="HI1088" s="232"/>
    </row>
    <row r="1089" spans="88:217" ht="10.75" customHeight="1">
      <c r="CJ1089" s="14"/>
      <c r="CK1089" s="15"/>
      <c r="CN1089" s="214"/>
      <c r="CO1089" s="49"/>
      <c r="CP1089" s="49"/>
      <c r="CQ1089" s="49"/>
      <c r="CR1089" s="49"/>
      <c r="CS1089" s="208"/>
      <c r="CT1089" s="43"/>
      <c r="CU1089" s="43"/>
      <c r="CV1089" s="315"/>
      <c r="CW1089" s="12"/>
      <c r="CX1089" s="317"/>
      <c r="CY1089" s="317"/>
      <c r="CZ1089" s="317"/>
      <c r="DA1089" s="317"/>
      <c r="DB1089" s="317"/>
      <c r="DC1089" s="317"/>
      <c r="DD1089" s="13"/>
      <c r="DE1089" s="12"/>
      <c r="DF1089" s="317"/>
      <c r="DG1089" s="317"/>
      <c r="DH1089" s="317"/>
      <c r="DI1089" s="317"/>
      <c r="DJ1089" s="317"/>
      <c r="DK1089" s="317"/>
      <c r="DL1089" s="13"/>
      <c r="DM1089" s="12"/>
      <c r="DN1089" s="317"/>
      <c r="DO1089" s="317"/>
      <c r="DP1089" s="317"/>
      <c r="DQ1089" s="317"/>
      <c r="DR1089" s="317"/>
      <c r="DS1089" s="317"/>
      <c r="DT1089" s="13"/>
      <c r="DU1089" s="12"/>
      <c r="DV1089" s="317"/>
      <c r="DW1089" s="317"/>
      <c r="DX1089" s="317"/>
      <c r="DY1089" s="317"/>
      <c r="DZ1089" s="317"/>
      <c r="EA1089" s="317"/>
      <c r="EB1089" s="13"/>
      <c r="EC1089" s="317"/>
      <c r="ED1089" s="317"/>
      <c r="EE1089" s="317"/>
      <c r="EF1089" s="317"/>
      <c r="EG1089" s="317"/>
      <c r="EH1089" s="317"/>
      <c r="EI1089" s="317"/>
      <c r="EJ1089" s="317"/>
      <c r="EK1089" s="317"/>
      <c r="EL1089" s="317"/>
      <c r="EM1089" s="317"/>
      <c r="EN1089" s="317"/>
      <c r="EO1089" s="317"/>
      <c r="EP1089" s="317"/>
      <c r="EQ1089" s="317"/>
      <c r="ER1089" s="13"/>
      <c r="ES1089" s="12"/>
      <c r="ET1089" s="13"/>
      <c r="EU1089" s="317"/>
      <c r="EV1089" s="317"/>
      <c r="EW1089" s="317"/>
      <c r="EX1089" s="317"/>
      <c r="EY1089" s="317"/>
      <c r="EZ1089" s="317"/>
      <c r="FA1089" s="291"/>
      <c r="FB1089" s="317"/>
      <c r="FC1089" s="317"/>
      <c r="FD1089" s="317"/>
      <c r="FE1089" s="317"/>
      <c r="FF1089" s="317"/>
      <c r="FG1089" s="317"/>
      <c r="FH1089" s="317"/>
      <c r="FI1089" s="317"/>
      <c r="FJ1089" s="317"/>
      <c r="FK1089" s="317"/>
      <c r="FL1089" s="317"/>
      <c r="FM1089" s="317"/>
      <c r="FN1089" s="317"/>
      <c r="FO1089" s="317"/>
      <c r="FP1089" s="317"/>
      <c r="FQ1089" s="317"/>
      <c r="FR1089" s="317"/>
      <c r="FS1089" s="317"/>
      <c r="FT1089" s="317"/>
      <c r="FU1089" s="317"/>
      <c r="FV1089" s="317"/>
      <c r="FW1089" s="317"/>
      <c r="FX1089" s="317"/>
      <c r="FY1089" s="317"/>
      <c r="FZ1089" s="317"/>
      <c r="GA1089" s="317"/>
      <c r="GB1089" s="317"/>
      <c r="GC1089" s="317"/>
      <c r="GD1089" s="317"/>
      <c r="GE1089" s="317"/>
      <c r="GF1089" s="317"/>
      <c r="GG1089" s="317"/>
      <c r="GH1089" s="317"/>
      <c r="GI1089" s="317"/>
      <c r="GJ1089" s="317"/>
      <c r="GK1089" s="317"/>
      <c r="GL1089" s="317"/>
      <c r="GM1089" s="317"/>
      <c r="GN1089" s="317"/>
      <c r="GO1089" s="317"/>
      <c r="GP1089" s="13"/>
      <c r="GQ1089" s="43"/>
      <c r="GR1089" s="43"/>
      <c r="GS1089" s="45"/>
      <c r="GT1089" s="49"/>
      <c r="GU1089" s="49"/>
      <c r="GV1089" s="49"/>
      <c r="GW1089" s="49"/>
      <c r="GX1089" s="49"/>
      <c r="GY1089" s="208"/>
      <c r="GZ1089" s="231"/>
      <c r="HA1089" s="231"/>
      <c r="HB1089" s="231"/>
      <c r="HC1089" s="231"/>
      <c r="HD1089" s="231"/>
      <c r="HE1089" s="231"/>
      <c r="HF1089" s="231"/>
      <c r="HG1089" s="231"/>
      <c r="HH1089" s="231"/>
      <c r="HI1089" s="232"/>
    </row>
    <row r="1090" spans="88:217" ht="10.75" customHeight="1">
      <c r="CJ1090" s="12"/>
      <c r="CL1090" s="10"/>
      <c r="CM1090" s="10"/>
      <c r="CN1090" s="259"/>
      <c r="CO1090" s="141"/>
      <c r="CP1090" s="141"/>
      <c r="CQ1090" s="141"/>
      <c r="CR1090" s="141"/>
      <c r="CS1090" s="235"/>
      <c r="CT1090" s="43"/>
      <c r="CU1090" s="43"/>
      <c r="CV1090" s="315"/>
      <c r="CW1090" s="12"/>
      <c r="CX1090" s="317"/>
      <c r="CY1090" s="317"/>
      <c r="CZ1090" s="317"/>
      <c r="DA1090" s="317"/>
      <c r="DB1090" s="317"/>
      <c r="DC1090" s="317"/>
      <c r="DD1090" s="13"/>
      <c r="DE1090" s="12"/>
      <c r="DF1090" s="317"/>
      <c r="DG1090" s="317"/>
      <c r="DH1090" s="317"/>
      <c r="DI1090" s="317"/>
      <c r="DJ1090" s="317"/>
      <c r="DK1090" s="317"/>
      <c r="DL1090" s="13"/>
      <c r="DM1090" s="12"/>
      <c r="DN1090" s="317"/>
      <c r="DO1090" s="317"/>
      <c r="DP1090" s="317"/>
      <c r="DQ1090" s="317"/>
      <c r="DR1090" s="317"/>
      <c r="DS1090" s="317"/>
      <c r="DT1090" s="13"/>
      <c r="DU1090" s="12"/>
      <c r="DV1090" s="317"/>
      <c r="DW1090" s="317"/>
      <c r="DX1090" s="317"/>
      <c r="DY1090" s="317"/>
      <c r="DZ1090" s="317"/>
      <c r="EA1090" s="317"/>
      <c r="EB1090" s="13"/>
      <c r="EC1090" s="317"/>
      <c r="ED1090" s="317"/>
      <c r="EE1090" s="317"/>
      <c r="EF1090" s="317"/>
      <c r="EG1090" s="317"/>
      <c r="EH1090" s="317"/>
      <c r="EI1090" s="317"/>
      <c r="EJ1090" s="317"/>
      <c r="EK1090" s="317"/>
      <c r="EL1090" s="317"/>
      <c r="EM1090" s="317"/>
      <c r="EN1090" s="317"/>
      <c r="EO1090" s="317"/>
      <c r="EP1090" s="317"/>
      <c r="EQ1090" s="317"/>
      <c r="ER1090" s="13"/>
      <c r="ES1090" s="12"/>
      <c r="ET1090" s="13"/>
      <c r="EU1090" s="317"/>
      <c r="EV1090" s="317"/>
      <c r="EW1090" s="317"/>
      <c r="EX1090" s="317"/>
      <c r="EY1090" s="317"/>
      <c r="EZ1090" s="317"/>
      <c r="FA1090" s="291"/>
      <c r="FB1090" s="317"/>
      <c r="FC1090" s="317"/>
      <c r="FD1090" s="317"/>
      <c r="FE1090" s="317"/>
      <c r="FF1090" s="317"/>
      <c r="FG1090" s="317"/>
      <c r="FH1090" s="317"/>
      <c r="FI1090" s="317"/>
      <c r="FJ1090" s="317"/>
      <c r="FK1090" s="317"/>
      <c r="FL1090" s="317"/>
      <c r="FM1090" s="317"/>
      <c r="FN1090" s="317"/>
      <c r="FO1090" s="317"/>
      <c r="FP1090" s="317"/>
      <c r="FQ1090" s="317"/>
      <c r="FR1090" s="317"/>
      <c r="FS1090" s="317"/>
      <c r="FT1090" s="317"/>
      <c r="FU1090" s="317"/>
      <c r="FV1090" s="317"/>
      <c r="FW1090" s="317"/>
      <c r="FX1090" s="317"/>
      <c r="FY1090" s="317"/>
      <c r="FZ1090" s="317"/>
      <c r="GA1090" s="317"/>
      <c r="GB1090" s="317"/>
      <c r="GC1090" s="317"/>
      <c r="GD1090" s="317"/>
      <c r="GE1090" s="317"/>
      <c r="GF1090" s="317"/>
      <c r="GG1090" s="317"/>
      <c r="GH1090" s="317"/>
      <c r="GI1090" s="317"/>
      <c r="GJ1090" s="317"/>
      <c r="GK1090" s="317"/>
      <c r="GL1090" s="317"/>
      <c r="GM1090" s="317"/>
      <c r="GN1090" s="317"/>
      <c r="GO1090" s="317"/>
      <c r="GP1090" s="13"/>
      <c r="GQ1090" s="43"/>
      <c r="GR1090" s="43"/>
      <c r="GS1090" s="45"/>
      <c r="GT1090" s="49"/>
      <c r="GU1090" s="49"/>
      <c r="GV1090" s="49"/>
      <c r="GW1090" s="49"/>
      <c r="GX1090" s="49"/>
      <c r="GY1090" s="208"/>
      <c r="GZ1090" s="231"/>
      <c r="HA1090" s="231"/>
      <c r="HB1090" s="231"/>
      <c r="HC1090" s="231"/>
      <c r="HD1090" s="231"/>
      <c r="HE1090" s="231"/>
      <c r="HF1090" s="231"/>
      <c r="HG1090" s="231"/>
      <c r="HH1090" s="231"/>
      <c r="HI1090" s="232"/>
    </row>
    <row r="1091" spans="88:217" ht="10.75" customHeight="1">
      <c r="CJ1091" s="12"/>
      <c r="CN1091" s="214"/>
      <c r="CO1091" s="49"/>
      <c r="CP1091" s="49"/>
      <c r="CQ1091" s="49"/>
      <c r="CR1091" s="49"/>
      <c r="CS1091" s="208"/>
      <c r="CT1091" s="43"/>
      <c r="CU1091" s="43"/>
      <c r="CV1091" s="315"/>
      <c r="CW1091" s="14"/>
      <c r="CX1091" s="15"/>
      <c r="CY1091" s="15"/>
      <c r="CZ1091" s="15"/>
      <c r="DA1091" s="15"/>
      <c r="DB1091" s="15"/>
      <c r="DC1091" s="15"/>
      <c r="DD1091" s="16"/>
      <c r="DE1091" s="14"/>
      <c r="DF1091" s="15"/>
      <c r="DG1091" s="15"/>
      <c r="DH1091" s="15"/>
      <c r="DI1091" s="15"/>
      <c r="DJ1091" s="15"/>
      <c r="DK1091" s="15"/>
      <c r="DL1091" s="16"/>
      <c r="DM1091" s="14"/>
      <c r="DN1091" s="15"/>
      <c r="DO1091" s="15"/>
      <c r="DP1091" s="15"/>
      <c r="DQ1091" s="15"/>
      <c r="DR1091" s="15"/>
      <c r="DS1091" s="15"/>
      <c r="DT1091" s="16"/>
      <c r="DU1091" s="14"/>
      <c r="DV1091" s="15"/>
      <c r="DW1091" s="15"/>
      <c r="DX1091" s="15"/>
      <c r="DY1091" s="15"/>
      <c r="DZ1091" s="15"/>
      <c r="EA1091" s="15"/>
      <c r="EB1091" s="16"/>
      <c r="EC1091" s="317"/>
      <c r="ED1091" s="317"/>
      <c r="EE1091" s="317"/>
      <c r="EF1091" s="317"/>
      <c r="EG1091" s="317"/>
      <c r="EH1091" s="317"/>
      <c r="EI1091" s="317"/>
      <c r="EJ1091" s="317"/>
      <c r="EK1091" s="317"/>
      <c r="EL1091" s="317"/>
      <c r="EM1091" s="317"/>
      <c r="EN1091" s="317"/>
      <c r="EO1091" s="317"/>
      <c r="EP1091" s="317"/>
      <c r="EQ1091" s="317"/>
      <c r="ER1091" s="13"/>
      <c r="ES1091" s="12"/>
      <c r="ET1091" s="13"/>
      <c r="EU1091" s="317"/>
      <c r="EV1091" s="317"/>
      <c r="EW1091" s="317"/>
      <c r="EX1091" s="317"/>
      <c r="EY1091" s="317"/>
      <c r="EZ1091" s="317"/>
      <c r="FA1091" s="291"/>
      <c r="FB1091" s="317"/>
      <c r="FC1091" s="317"/>
      <c r="FD1091" s="317"/>
      <c r="FE1091" s="317"/>
      <c r="FF1091" s="317"/>
      <c r="FG1091" s="317"/>
      <c r="FH1091" s="317"/>
      <c r="FI1091" s="317"/>
      <c r="FJ1091" s="317"/>
      <c r="FK1091" s="317"/>
      <c r="FL1091" s="317"/>
      <c r="FM1091" s="317"/>
      <c r="FN1091" s="317"/>
      <c r="FO1091" s="317"/>
      <c r="FP1091" s="317"/>
      <c r="FQ1091" s="317"/>
      <c r="FR1091" s="317"/>
      <c r="FS1091" s="317"/>
      <c r="FT1091" s="317"/>
      <c r="FU1091" s="317"/>
      <c r="FV1091" s="317"/>
      <c r="FW1091" s="317"/>
      <c r="FX1091" s="317"/>
      <c r="FY1091" s="317"/>
      <c r="FZ1091" s="317"/>
      <c r="GA1091" s="317"/>
      <c r="GB1091" s="317"/>
      <c r="GC1091" s="317"/>
      <c r="GD1091" s="317"/>
      <c r="GE1091" s="317"/>
      <c r="GF1091" s="317"/>
      <c r="GG1091" s="317"/>
      <c r="GH1091" s="317"/>
      <c r="GI1091" s="317"/>
      <c r="GJ1091" s="317"/>
      <c r="GK1091" s="317"/>
      <c r="GL1091" s="317"/>
      <c r="GM1091" s="317"/>
      <c r="GN1091" s="317"/>
      <c r="GO1091" s="317"/>
      <c r="GP1091" s="13"/>
      <c r="GQ1091" s="43"/>
      <c r="GR1091" s="43"/>
      <c r="GS1091" s="45"/>
      <c r="GT1091" s="49"/>
      <c r="GU1091" s="49"/>
      <c r="GV1091" s="49"/>
      <c r="GW1091" s="49"/>
      <c r="GX1091" s="49"/>
      <c r="GY1091" s="208"/>
      <c r="GZ1091" s="231"/>
      <c r="HA1091" s="231"/>
      <c r="HB1091" s="231"/>
      <c r="HC1091" s="231"/>
      <c r="HD1091" s="231"/>
      <c r="HE1091" s="231"/>
      <c r="HF1091" s="231"/>
      <c r="HG1091" s="231"/>
      <c r="HH1091" s="231"/>
      <c r="HI1091" s="232"/>
    </row>
    <row r="1092" spans="88:217" ht="10.75" customHeight="1">
      <c r="CJ1092" s="12"/>
      <c r="CN1092" s="214"/>
      <c r="CO1092" s="49"/>
      <c r="CP1092" s="49"/>
      <c r="CQ1092" s="49"/>
      <c r="CR1092" s="49"/>
      <c r="CS1092" s="208"/>
      <c r="CT1092" s="43"/>
      <c r="CU1092" s="43"/>
      <c r="CV1092" s="315"/>
      <c r="CW1092" s="237"/>
      <c r="CX1092" s="238"/>
      <c r="CY1092" s="238"/>
      <c r="CZ1092" s="238"/>
      <c r="DA1092" s="238"/>
      <c r="DB1092" s="238"/>
      <c r="DC1092" s="238"/>
      <c r="DD1092" s="239"/>
      <c r="DE1092" s="317"/>
      <c r="DF1092" s="317"/>
      <c r="DG1092" s="317"/>
      <c r="DH1092" s="317"/>
      <c r="DI1092" s="317"/>
      <c r="DJ1092" s="317"/>
      <c r="DK1092" s="317"/>
      <c r="DL1092" s="317"/>
      <c r="DM1092" s="317"/>
      <c r="DN1092" s="317"/>
      <c r="DO1092" s="317"/>
      <c r="DP1092" s="317"/>
      <c r="DQ1092" s="317"/>
      <c r="DR1092" s="317"/>
      <c r="DS1092" s="317"/>
      <c r="DT1092" s="317"/>
      <c r="DU1092" s="317"/>
      <c r="DV1092" s="317"/>
      <c r="DW1092" s="317"/>
      <c r="DX1092" s="317"/>
      <c r="DY1092" s="317"/>
      <c r="DZ1092" s="317"/>
      <c r="EA1092" s="317"/>
      <c r="EB1092" s="317"/>
      <c r="EC1092" s="317"/>
      <c r="ED1092" s="317"/>
      <c r="EE1092" s="317"/>
      <c r="EF1092" s="317"/>
      <c r="EG1092" s="317"/>
      <c r="EH1092" s="317"/>
      <c r="EI1092" s="317"/>
      <c r="EJ1092" s="317"/>
      <c r="EK1092" s="317"/>
      <c r="EL1092" s="317"/>
      <c r="EM1092" s="317"/>
      <c r="EN1092" s="317"/>
      <c r="EO1092" s="317"/>
      <c r="EP1092" s="317"/>
      <c r="EQ1092" s="317"/>
      <c r="ER1092" s="13"/>
      <c r="ES1092" s="12"/>
      <c r="ET1092" s="13"/>
      <c r="EU1092" s="317"/>
      <c r="EV1092" s="317"/>
      <c r="EW1092" s="317"/>
      <c r="EX1092" s="317"/>
      <c r="EY1092" s="317"/>
      <c r="EZ1092" s="317"/>
      <c r="FA1092" s="291"/>
      <c r="FB1092" s="317"/>
      <c r="FC1092" s="317"/>
      <c r="FD1092" s="317"/>
      <c r="FE1092" s="317"/>
      <c r="FF1092" s="317"/>
      <c r="FG1092" s="317"/>
      <c r="FH1092" s="317"/>
      <c r="FI1092" s="317"/>
      <c r="FJ1092" s="317"/>
      <c r="FK1092" s="317"/>
      <c r="FL1092" s="317"/>
      <c r="FM1092" s="317"/>
      <c r="FN1092" s="317"/>
      <c r="FO1092" s="317"/>
      <c r="FP1092" s="317"/>
      <c r="FQ1092" s="317"/>
      <c r="FR1092" s="317"/>
      <c r="FS1092" s="317"/>
      <c r="FT1092" s="317"/>
      <c r="FU1092" s="317"/>
      <c r="FV1092" s="317"/>
      <c r="FW1092" s="317"/>
      <c r="FX1092" s="317"/>
      <c r="FY1092" s="317"/>
      <c r="FZ1092" s="317"/>
      <c r="GA1092" s="317"/>
      <c r="GB1092" s="317"/>
      <c r="GC1092" s="317"/>
      <c r="GD1092" s="317"/>
      <c r="GE1092" s="317"/>
      <c r="GF1092" s="317"/>
      <c r="GG1092" s="317"/>
      <c r="GH1092" s="317"/>
      <c r="GI1092" s="317"/>
      <c r="GJ1092" s="317"/>
      <c r="GK1092" s="317"/>
      <c r="GL1092" s="317"/>
      <c r="GM1092" s="317"/>
      <c r="GN1092" s="317"/>
      <c r="GO1092" s="317"/>
      <c r="GP1092" s="13"/>
      <c r="GQ1092" s="43"/>
      <c r="GR1092" s="43"/>
      <c r="GS1092" s="45"/>
      <c r="GT1092" s="49"/>
      <c r="GU1092" s="49"/>
      <c r="GV1092" s="49"/>
      <c r="GW1092" s="49"/>
      <c r="GX1092" s="49"/>
      <c r="GY1092" s="208"/>
      <c r="GZ1092" s="231"/>
      <c r="HA1092" s="231"/>
      <c r="HB1092" s="231"/>
      <c r="HC1092" s="231"/>
      <c r="HD1092" s="231"/>
      <c r="HE1092" s="231"/>
      <c r="HF1092" s="231"/>
      <c r="HG1092" s="231"/>
      <c r="HH1092" s="231"/>
      <c r="HI1092" s="232"/>
    </row>
    <row r="1093" spans="88:217" ht="10.75" customHeight="1">
      <c r="CJ1093" s="12"/>
      <c r="CL1093" s="15"/>
      <c r="CM1093" s="15"/>
      <c r="CN1093" s="236"/>
      <c r="CO1093" s="258"/>
      <c r="CP1093" s="258"/>
      <c r="CQ1093" s="258"/>
      <c r="CR1093" s="258"/>
      <c r="CS1093" s="209"/>
      <c r="CT1093" s="43"/>
      <c r="CU1093" s="43"/>
      <c r="CV1093" s="315"/>
      <c r="CW1093" s="240"/>
      <c r="CX1093" s="326"/>
      <c r="CY1093" s="326"/>
      <c r="CZ1093" s="326"/>
      <c r="DA1093" s="326"/>
      <c r="DB1093" s="326"/>
      <c r="DC1093" s="326"/>
      <c r="DD1093" s="241"/>
      <c r="DE1093" s="317"/>
      <c r="DF1093" s="317"/>
      <c r="DG1093" s="317"/>
      <c r="DH1093" s="317"/>
      <c r="DI1093" s="317"/>
      <c r="DJ1093" s="317"/>
      <c r="DK1093" s="317"/>
      <c r="DL1093" s="317"/>
      <c r="DM1093" s="317"/>
      <c r="DN1093" s="317"/>
      <c r="DO1093" s="317"/>
      <c r="DP1093" s="317"/>
      <c r="DQ1093" s="317"/>
      <c r="DR1093" s="317"/>
      <c r="DS1093" s="317"/>
      <c r="DT1093" s="317"/>
      <c r="DU1093" s="317"/>
      <c r="DV1093" s="317"/>
      <c r="DW1093" s="317"/>
      <c r="DX1093" s="317"/>
      <c r="DY1093" s="317"/>
      <c r="DZ1093" s="317"/>
      <c r="EA1093" s="317"/>
      <c r="EB1093" s="317"/>
      <c r="EC1093" s="317"/>
      <c r="ED1093" s="317"/>
      <c r="EE1093" s="317"/>
      <c r="EF1093" s="317"/>
      <c r="EG1093" s="317"/>
      <c r="EH1093" s="317"/>
      <c r="EI1093" s="317"/>
      <c r="EJ1093" s="317"/>
      <c r="EK1093" s="317"/>
      <c r="EL1093" s="317"/>
      <c r="EM1093" s="317"/>
      <c r="EN1093" s="317"/>
      <c r="EO1093" s="317"/>
      <c r="EP1093" s="317"/>
      <c r="EQ1093" s="317"/>
      <c r="ER1093" s="13"/>
      <c r="ES1093" s="14"/>
      <c r="ET1093" s="16"/>
      <c r="EU1093" s="317"/>
      <c r="EV1093" s="317"/>
      <c r="EW1093" s="317"/>
      <c r="EX1093" s="317"/>
      <c r="EY1093" s="317"/>
      <c r="EZ1093" s="317"/>
      <c r="FA1093" s="291"/>
      <c r="FB1093" s="317"/>
      <c r="FC1093" s="317"/>
      <c r="FD1093" s="317"/>
      <c r="FE1093" s="317"/>
      <c r="FF1093" s="317"/>
      <c r="FG1093" s="317"/>
      <c r="FH1093" s="317"/>
      <c r="FI1093" s="317"/>
      <c r="FJ1093" s="317"/>
      <c r="FK1093" s="317"/>
      <c r="FL1093" s="317"/>
      <c r="FM1093" s="317"/>
      <c r="FN1093" s="317"/>
      <c r="FO1093" s="317"/>
      <c r="FP1093" s="317"/>
      <c r="FQ1093" s="317"/>
      <c r="FR1093" s="317"/>
      <c r="FS1093" s="317"/>
      <c r="FT1093" s="317"/>
      <c r="FU1093" s="317"/>
      <c r="FV1093" s="317"/>
      <c r="FW1093" s="317"/>
      <c r="FX1093" s="317"/>
      <c r="FY1093" s="317"/>
      <c r="FZ1093" s="317"/>
      <c r="GA1093" s="317"/>
      <c r="GB1093" s="317"/>
      <c r="GC1093" s="317"/>
      <c r="GD1093" s="317"/>
      <c r="GE1093" s="317"/>
      <c r="GF1093" s="317"/>
      <c r="GG1093" s="317"/>
      <c r="GH1093" s="317"/>
      <c r="GI1093" s="317"/>
      <c r="GJ1093" s="317"/>
      <c r="GK1093" s="317"/>
      <c r="GL1093" s="317"/>
      <c r="GM1093" s="317"/>
      <c r="GN1093" s="317"/>
      <c r="GO1093" s="317"/>
      <c r="GP1093" s="13"/>
      <c r="GQ1093" s="43"/>
      <c r="GR1093" s="43"/>
      <c r="GS1093" s="45"/>
      <c r="GT1093" s="49"/>
      <c r="GU1093" s="49"/>
      <c r="GV1093" s="49"/>
      <c r="GW1093" s="49"/>
      <c r="GX1093" s="49"/>
      <c r="GY1093" s="208"/>
      <c r="GZ1093" s="231"/>
      <c r="HA1093" s="231"/>
      <c r="HB1093" s="231"/>
      <c r="HC1093" s="231"/>
      <c r="HD1093" s="231"/>
      <c r="HE1093" s="231"/>
      <c r="HF1093" s="231"/>
      <c r="HG1093" s="231"/>
      <c r="HH1093" s="231"/>
      <c r="HI1093" s="232"/>
    </row>
    <row r="1094" spans="88:217" ht="10.75" customHeight="1">
      <c r="CJ1094" s="9"/>
      <c r="CK1094" s="10"/>
      <c r="CN1094" s="214"/>
      <c r="CO1094" s="49"/>
      <c r="CP1094" s="49"/>
      <c r="CQ1094" s="49"/>
      <c r="CR1094" s="49"/>
      <c r="CS1094" s="208"/>
      <c r="CT1094" s="43"/>
      <c r="CU1094" s="43"/>
      <c r="CV1094" s="315"/>
      <c r="CW1094" s="240"/>
      <c r="CX1094" s="326"/>
      <c r="CY1094" s="326"/>
      <c r="CZ1094" s="326"/>
      <c r="DA1094" s="326"/>
      <c r="DB1094" s="326"/>
      <c r="DC1094" s="326"/>
      <c r="DD1094" s="241"/>
      <c r="DE1094" s="317"/>
      <c r="DF1094" s="317"/>
      <c r="DG1094" s="317"/>
      <c r="DH1094" s="317"/>
      <c r="DI1094" s="317"/>
      <c r="DJ1094" s="317"/>
      <c r="DK1094" s="317"/>
      <c r="DL1094" s="317"/>
      <c r="DM1094" s="317"/>
      <c r="DN1094" s="317"/>
      <c r="DO1094" s="317"/>
      <c r="DP1094" s="317"/>
      <c r="DQ1094" s="317"/>
      <c r="DR1094" s="317"/>
      <c r="DS1094" s="317"/>
      <c r="DT1094" s="317"/>
      <c r="DU1094" s="317"/>
      <c r="DV1094" s="317"/>
      <c r="DW1094" s="317"/>
      <c r="DX1094" s="317"/>
      <c r="DY1094" s="317"/>
      <c r="DZ1094" s="317"/>
      <c r="EA1094" s="317"/>
      <c r="EB1094" s="317"/>
      <c r="EC1094" s="317"/>
      <c r="ED1094" s="317"/>
      <c r="EE1094" s="317"/>
      <c r="EF1094" s="317"/>
      <c r="EG1094" s="317"/>
      <c r="EH1094" s="317"/>
      <c r="EI1094" s="317"/>
      <c r="EJ1094" s="317"/>
      <c r="EK1094" s="317"/>
      <c r="EL1094" s="317"/>
      <c r="EM1094" s="317"/>
      <c r="EN1094" s="317"/>
      <c r="EO1094" s="317"/>
      <c r="EP1094" s="317"/>
      <c r="EQ1094" s="317"/>
      <c r="ER1094" s="317"/>
      <c r="ES1094" s="317"/>
      <c r="ET1094" s="317"/>
      <c r="EU1094" s="317"/>
      <c r="EV1094" s="317"/>
      <c r="EW1094" s="317"/>
      <c r="EX1094" s="317"/>
      <c r="EY1094" s="317"/>
      <c r="EZ1094" s="317"/>
      <c r="FA1094" s="291"/>
      <c r="FB1094" s="317"/>
      <c r="FC1094" s="317"/>
      <c r="FD1094" s="317"/>
      <c r="FE1094" s="317"/>
      <c r="FF1094" s="317"/>
      <c r="FG1094" s="317"/>
      <c r="FH1094" s="317"/>
      <c r="FI1094" s="317"/>
      <c r="FJ1094" s="317"/>
      <c r="FK1094" s="317"/>
      <c r="FL1094" s="317"/>
      <c r="FM1094" s="317"/>
      <c r="FN1094" s="317"/>
      <c r="FO1094" s="317"/>
      <c r="FP1094" s="317"/>
      <c r="FQ1094" s="317"/>
      <c r="FR1094" s="317"/>
      <c r="FS1094" s="317"/>
      <c r="FT1094" s="317"/>
      <c r="FU1094" s="317"/>
      <c r="FV1094" s="317"/>
      <c r="FW1094" s="317"/>
      <c r="FX1094" s="317"/>
      <c r="FY1094" s="317"/>
      <c r="FZ1094" s="317"/>
      <c r="GA1094" s="317"/>
      <c r="GB1094" s="317"/>
      <c r="GC1094" s="317"/>
      <c r="GD1094" s="317"/>
      <c r="GE1094" s="317"/>
      <c r="GF1094" s="317"/>
      <c r="GG1094" s="317"/>
      <c r="GH1094" s="317"/>
      <c r="GI1094" s="317"/>
      <c r="GJ1094" s="317"/>
      <c r="GK1094" s="317"/>
      <c r="GL1094" s="317"/>
      <c r="GM1094" s="317"/>
      <c r="GN1094" s="317"/>
      <c r="GO1094" s="317"/>
      <c r="GP1094" s="13"/>
      <c r="GQ1094" s="43"/>
      <c r="GR1094" s="43"/>
      <c r="GS1094" s="45"/>
      <c r="GT1094" s="49"/>
      <c r="GU1094" s="49"/>
      <c r="GV1094" s="49"/>
      <c r="GW1094" s="49"/>
      <c r="GX1094" s="49"/>
      <c r="GY1094" s="208"/>
      <c r="GZ1094" s="231"/>
      <c r="HA1094" s="231"/>
      <c r="HB1094" s="231"/>
      <c r="HC1094" s="231"/>
      <c r="HD1094" s="231"/>
      <c r="HE1094" s="231"/>
      <c r="HF1094" s="231"/>
      <c r="HG1094" s="231"/>
      <c r="HH1094" s="231"/>
      <c r="HI1094" s="232"/>
    </row>
    <row r="1095" spans="88:217" ht="10.75" customHeight="1">
      <c r="CJ1095" s="12"/>
      <c r="CN1095" s="214"/>
      <c r="CO1095" s="49"/>
      <c r="CP1095" s="49"/>
      <c r="CQ1095" s="49"/>
      <c r="CR1095" s="49"/>
      <c r="CS1095" s="208"/>
      <c r="CT1095" s="43"/>
      <c r="CU1095" s="43"/>
      <c r="CV1095" s="315"/>
      <c r="CW1095" s="240"/>
      <c r="CX1095" s="326"/>
      <c r="CY1095" s="326"/>
      <c r="CZ1095" s="326"/>
      <c r="DA1095" s="326"/>
      <c r="DB1095" s="326"/>
      <c r="DC1095" s="326"/>
      <c r="DD1095" s="241"/>
      <c r="DE1095" s="317"/>
      <c r="DF1095" s="317"/>
      <c r="DG1095" s="317"/>
      <c r="DH1095" s="317"/>
      <c r="DI1095" s="317"/>
      <c r="DJ1095" s="317"/>
      <c r="DK1095" s="317"/>
      <c r="DL1095" s="317"/>
      <c r="DM1095" s="317"/>
      <c r="DN1095" s="317"/>
      <c r="DO1095" s="317"/>
      <c r="DP1095" s="317"/>
      <c r="DQ1095" s="317"/>
      <c r="DR1095" s="317"/>
      <c r="DS1095" s="317"/>
      <c r="DT1095" s="317"/>
      <c r="DU1095" s="317"/>
      <c r="DV1095" s="317"/>
      <c r="DW1095" s="317"/>
      <c r="DX1095" s="317"/>
      <c r="DY1095" s="317"/>
      <c r="DZ1095" s="317"/>
      <c r="EA1095" s="317"/>
      <c r="EB1095" s="317"/>
      <c r="EC1095" s="317"/>
      <c r="ED1095" s="317"/>
      <c r="EE1095" s="317"/>
      <c r="EF1095" s="317"/>
      <c r="EG1095" s="317"/>
      <c r="EH1095" s="317"/>
      <c r="EI1095" s="317"/>
      <c r="EJ1095" s="317"/>
      <c r="EK1095" s="317"/>
      <c r="EL1095" s="317"/>
      <c r="EM1095" s="317"/>
      <c r="EN1095" s="317"/>
      <c r="EO1095" s="317"/>
      <c r="EP1095" s="317"/>
      <c r="EQ1095" s="317"/>
      <c r="ER1095" s="317"/>
      <c r="ES1095" s="317"/>
      <c r="ET1095" s="317"/>
      <c r="EU1095" s="317"/>
      <c r="EV1095" s="317"/>
      <c r="EW1095" s="317"/>
      <c r="EX1095" s="317"/>
      <c r="EY1095" s="317"/>
      <c r="EZ1095" s="317"/>
      <c r="FA1095" s="291"/>
      <c r="FB1095" s="317"/>
      <c r="FC1095" s="317"/>
      <c r="FD1095" s="317"/>
      <c r="FE1095" s="317"/>
      <c r="FF1095" s="317"/>
      <c r="FG1095" s="317"/>
      <c r="FH1095" s="317"/>
      <c r="FI1095" s="317"/>
      <c r="FJ1095" s="317"/>
      <c r="FK1095" s="317"/>
      <c r="FL1095" s="317"/>
      <c r="FM1095" s="317"/>
      <c r="FN1095" s="317"/>
      <c r="FO1095" s="317"/>
      <c r="FP1095" s="317"/>
      <c r="FQ1095" s="317"/>
      <c r="FR1095" s="317"/>
      <c r="FS1095" s="317"/>
      <c r="FT1095" s="317"/>
      <c r="FU1095" s="317"/>
      <c r="FV1095" s="317"/>
      <c r="FW1095" s="317"/>
      <c r="FX1095" s="317"/>
      <c r="FY1095" s="317"/>
      <c r="FZ1095" s="317"/>
      <c r="GA1095" s="317"/>
      <c r="GB1095" s="317"/>
      <c r="GC1095" s="317"/>
      <c r="GD1095" s="317"/>
      <c r="GE1095" s="317"/>
      <c r="GF1095" s="317"/>
      <c r="GG1095" s="317"/>
      <c r="GH1095" s="317"/>
      <c r="GI1095" s="317"/>
      <c r="GJ1095" s="317"/>
      <c r="GK1095" s="317"/>
      <c r="GL1095" s="317"/>
      <c r="GM1095" s="317"/>
      <c r="GN1095" s="317"/>
      <c r="GO1095" s="317"/>
      <c r="GP1095" s="13"/>
      <c r="GQ1095" s="43"/>
      <c r="GR1095" s="43"/>
      <c r="GS1095" s="45"/>
      <c r="GT1095" s="49"/>
      <c r="GU1095" s="49"/>
      <c r="GV1095" s="49"/>
      <c r="GW1095" s="49"/>
      <c r="GX1095" s="49"/>
      <c r="GY1095" s="208"/>
      <c r="GZ1095" s="231"/>
      <c r="HA1095" s="231"/>
      <c r="HB1095" s="231"/>
      <c r="HC1095" s="231"/>
      <c r="HD1095" s="231"/>
      <c r="HE1095" s="231"/>
      <c r="HF1095" s="231"/>
      <c r="HG1095" s="231"/>
      <c r="HH1095" s="231"/>
      <c r="HI1095" s="232"/>
    </row>
    <row r="1096" spans="88:217" ht="10.75" customHeight="1">
      <c r="CJ1096" s="12"/>
      <c r="CN1096" s="214"/>
      <c r="CO1096" s="49"/>
      <c r="CP1096" s="49"/>
      <c r="CQ1096" s="49"/>
      <c r="CR1096" s="49"/>
      <c r="CS1096" s="208"/>
      <c r="CT1096" s="43"/>
      <c r="CU1096" s="43"/>
      <c r="CV1096" s="315"/>
      <c r="CW1096" s="240"/>
      <c r="CX1096" s="326"/>
      <c r="CY1096" s="326"/>
      <c r="CZ1096" s="326"/>
      <c r="DA1096" s="326"/>
      <c r="DB1096" s="326"/>
      <c r="DC1096" s="326"/>
      <c r="DD1096" s="241"/>
      <c r="DE1096" s="317"/>
      <c r="DF1096" s="317"/>
      <c r="DG1096" s="317"/>
      <c r="DH1096" s="317"/>
      <c r="DI1096" s="317"/>
      <c r="DJ1096" s="317"/>
      <c r="DK1096" s="317"/>
      <c r="DL1096" s="317"/>
      <c r="DM1096" s="317"/>
      <c r="DN1096" s="317"/>
      <c r="DO1096" s="317"/>
      <c r="DP1096" s="317"/>
      <c r="DQ1096" s="317"/>
      <c r="DR1096" s="317"/>
      <c r="DS1096" s="317"/>
      <c r="DT1096" s="317"/>
      <c r="DU1096" s="317"/>
      <c r="DV1096" s="317"/>
      <c r="DW1096" s="317"/>
      <c r="DX1096" s="317"/>
      <c r="DY1096" s="317"/>
      <c r="DZ1096" s="317"/>
      <c r="EA1096" s="317"/>
      <c r="EB1096" s="317"/>
      <c r="EC1096" s="317"/>
      <c r="ED1096" s="317"/>
      <c r="EE1096" s="317"/>
      <c r="EF1096" s="317"/>
      <c r="EG1096" s="317"/>
      <c r="EH1096" s="317"/>
      <c r="EI1096" s="317"/>
      <c r="EJ1096" s="317"/>
      <c r="EK1096" s="317"/>
      <c r="EL1096" s="317"/>
      <c r="EM1096" s="317"/>
      <c r="EN1096" s="317"/>
      <c r="EO1096" s="317"/>
      <c r="EP1096" s="317"/>
      <c r="EQ1096" s="317"/>
      <c r="ER1096" s="317"/>
      <c r="ES1096" s="317"/>
      <c r="ET1096" s="317"/>
      <c r="EU1096" s="317"/>
      <c r="EV1096" s="317"/>
      <c r="EW1096" s="317"/>
      <c r="EX1096" s="317"/>
      <c r="EY1096" s="317"/>
      <c r="EZ1096" s="317"/>
      <c r="FA1096" s="291"/>
      <c r="FB1096" s="317"/>
      <c r="FC1096" s="317"/>
      <c r="FD1096" s="317"/>
      <c r="FE1096" s="317"/>
      <c r="FF1096" s="317"/>
      <c r="FG1096" s="317"/>
      <c r="FH1096" s="317"/>
      <c r="FI1096" s="317"/>
      <c r="FJ1096" s="317"/>
      <c r="FK1096" s="317"/>
      <c r="FL1096" s="317"/>
      <c r="FM1096" s="317"/>
      <c r="FN1096" s="317"/>
      <c r="FO1096" s="317"/>
      <c r="FP1096" s="317"/>
      <c r="FQ1096" s="317"/>
      <c r="FR1096" s="317"/>
      <c r="FS1096" s="317"/>
      <c r="FT1096" s="317"/>
      <c r="FU1096" s="317"/>
      <c r="FV1096" s="317"/>
      <c r="FW1096" s="317"/>
      <c r="FX1096" s="317"/>
      <c r="FY1096" s="317"/>
      <c r="FZ1096" s="317"/>
      <c r="GA1096" s="317"/>
      <c r="GB1096" s="317"/>
      <c r="GC1096" s="317"/>
      <c r="GD1096" s="317"/>
      <c r="GE1096" s="317"/>
      <c r="GF1096" s="317"/>
      <c r="GG1096" s="317"/>
      <c r="GH1096" s="317"/>
      <c r="GI1096" s="317"/>
      <c r="GJ1096" s="317"/>
      <c r="GK1096" s="317"/>
      <c r="GL1096" s="317"/>
      <c r="GM1096" s="317"/>
      <c r="GN1096" s="317"/>
      <c r="GO1096" s="317"/>
      <c r="GP1096" s="13"/>
      <c r="GQ1096" s="43"/>
      <c r="GR1096" s="43"/>
      <c r="GS1096" s="45"/>
      <c r="GT1096" s="49"/>
      <c r="GU1096" s="49"/>
      <c r="GV1096" s="49"/>
      <c r="GW1096" s="49"/>
      <c r="GX1096" s="49"/>
      <c r="GY1096" s="208"/>
      <c r="GZ1096" s="231"/>
      <c r="HA1096" s="231"/>
      <c r="HB1096" s="231"/>
      <c r="HC1096" s="231"/>
      <c r="HD1096" s="231"/>
      <c r="HE1096" s="231"/>
      <c r="HF1096" s="231"/>
      <c r="HG1096" s="231"/>
      <c r="HH1096" s="231"/>
      <c r="HI1096" s="232"/>
    </row>
    <row r="1097" spans="88:217" ht="10.75" customHeight="1">
      <c r="CJ1097" s="14"/>
      <c r="CK1097" s="15"/>
      <c r="CN1097" s="214"/>
      <c r="CO1097" s="49"/>
      <c r="CP1097" s="49"/>
      <c r="CQ1097" s="49"/>
      <c r="CR1097" s="49"/>
      <c r="CS1097" s="208"/>
      <c r="CT1097" s="43"/>
      <c r="CU1097" s="43"/>
      <c r="CV1097" s="315"/>
      <c r="CW1097" s="240"/>
      <c r="CX1097" s="326"/>
      <c r="CY1097" s="326"/>
      <c r="CZ1097" s="326"/>
      <c r="DA1097" s="326"/>
      <c r="DB1097" s="326"/>
      <c r="DC1097" s="326"/>
      <c r="DD1097" s="241"/>
      <c r="DE1097" s="317"/>
      <c r="DF1097" s="317"/>
      <c r="DG1097" s="317"/>
      <c r="DH1097" s="317"/>
      <c r="DI1097" s="317"/>
      <c r="DJ1097" s="317"/>
      <c r="DK1097" s="317"/>
      <c r="DL1097" s="317"/>
      <c r="DM1097" s="317"/>
      <c r="DN1097" s="317"/>
      <c r="DO1097" s="317"/>
      <c r="DP1097" s="317"/>
      <c r="DQ1097" s="317"/>
      <c r="DR1097" s="317"/>
      <c r="DS1097" s="317"/>
      <c r="DT1097" s="317"/>
      <c r="DU1097" s="317"/>
      <c r="DV1097" s="317"/>
      <c r="DW1097" s="317"/>
      <c r="DX1097" s="317"/>
      <c r="DY1097" s="317"/>
      <c r="DZ1097" s="317"/>
      <c r="EA1097" s="317"/>
      <c r="EB1097" s="317"/>
      <c r="EC1097" s="317"/>
      <c r="ED1097" s="317"/>
      <c r="EE1097" s="317"/>
      <c r="EF1097" s="317"/>
      <c r="EG1097" s="317"/>
      <c r="EH1097" s="317"/>
      <c r="EI1097" s="317"/>
      <c r="EJ1097" s="317"/>
      <c r="EK1097" s="317"/>
      <c r="EL1097" s="317"/>
      <c r="EM1097" s="317"/>
      <c r="EN1097" s="317"/>
      <c r="EO1097" s="317"/>
      <c r="EP1097" s="317"/>
      <c r="EQ1097" s="317"/>
      <c r="ER1097" s="317"/>
      <c r="ES1097" s="317"/>
      <c r="ET1097" s="317"/>
      <c r="EU1097" s="317"/>
      <c r="EV1097" s="317"/>
      <c r="EW1097" s="317"/>
      <c r="EX1097" s="317"/>
      <c r="EY1097" s="317"/>
      <c r="EZ1097" s="317"/>
      <c r="FA1097" s="291"/>
      <c r="FB1097" s="317"/>
      <c r="FC1097" s="317"/>
      <c r="FD1097" s="317"/>
      <c r="FE1097" s="317"/>
      <c r="FF1097" s="317"/>
      <c r="FG1097" s="317"/>
      <c r="FH1097" s="317"/>
      <c r="FI1097" s="317"/>
      <c r="FJ1097" s="317"/>
      <c r="FK1097" s="317"/>
      <c r="FL1097" s="317"/>
      <c r="FM1097" s="317"/>
      <c r="FN1097" s="317"/>
      <c r="FO1097" s="317"/>
      <c r="FP1097" s="317"/>
      <c r="FQ1097" s="317"/>
      <c r="FR1097" s="317"/>
      <c r="FS1097" s="317"/>
      <c r="FT1097" s="317"/>
      <c r="FU1097" s="317"/>
      <c r="FV1097" s="317"/>
      <c r="FW1097" s="317"/>
      <c r="FX1097" s="317"/>
      <c r="FY1097" s="317"/>
      <c r="FZ1097" s="317"/>
      <c r="GA1097" s="317"/>
      <c r="GB1097" s="317"/>
      <c r="GC1097" s="317"/>
      <c r="GD1097" s="317"/>
      <c r="GE1097" s="317"/>
      <c r="GF1097" s="317"/>
      <c r="GG1097" s="317"/>
      <c r="GH1097" s="317"/>
      <c r="GI1097" s="317"/>
      <c r="GJ1097" s="317"/>
      <c r="GK1097" s="317"/>
      <c r="GL1097" s="317"/>
      <c r="GM1097" s="317"/>
      <c r="GN1097" s="317"/>
      <c r="GO1097" s="317"/>
      <c r="GP1097" s="13"/>
      <c r="GQ1097" s="43"/>
      <c r="GR1097" s="43"/>
      <c r="GS1097" s="45"/>
      <c r="GT1097" s="49"/>
      <c r="GU1097" s="49"/>
      <c r="GV1097" s="49"/>
      <c r="GW1097" s="49"/>
      <c r="GX1097" s="49"/>
      <c r="GY1097" s="208"/>
      <c r="GZ1097" s="231"/>
      <c r="HA1097" s="231"/>
      <c r="HB1097" s="231"/>
      <c r="HC1097" s="231"/>
      <c r="HD1097" s="231"/>
      <c r="HE1097" s="231"/>
      <c r="HF1097" s="231"/>
      <c r="HG1097" s="231"/>
      <c r="HH1097" s="231"/>
      <c r="HI1097" s="232"/>
    </row>
    <row r="1098" spans="88:217" ht="10.75" customHeight="1">
      <c r="CJ1098" s="12"/>
      <c r="CL1098" s="10"/>
      <c r="CM1098" s="10"/>
      <c r="CN1098" s="259"/>
      <c r="CO1098" s="141"/>
      <c r="CP1098" s="141"/>
      <c r="CQ1098" s="141"/>
      <c r="CR1098" s="141"/>
      <c r="CS1098" s="235"/>
      <c r="CT1098" s="43"/>
      <c r="CU1098" s="43"/>
      <c r="CV1098" s="315"/>
      <c r="CW1098" s="240"/>
      <c r="CX1098" s="326"/>
      <c r="CY1098" s="326"/>
      <c r="CZ1098" s="326"/>
      <c r="DA1098" s="326"/>
      <c r="DB1098" s="326"/>
      <c r="DC1098" s="326"/>
      <c r="DD1098" s="241"/>
      <c r="DE1098" s="317"/>
      <c r="DF1098" s="317"/>
      <c r="DG1098" s="317"/>
      <c r="DH1098" s="317"/>
      <c r="DI1098" s="317"/>
      <c r="DJ1098" s="317"/>
      <c r="DK1098" s="317"/>
      <c r="DL1098" s="317"/>
      <c r="DM1098" s="317"/>
      <c r="DN1098" s="317"/>
      <c r="DO1098" s="317"/>
      <c r="DP1098" s="317"/>
      <c r="DQ1098" s="317"/>
      <c r="DR1098" s="317"/>
      <c r="DS1098" s="317"/>
      <c r="DT1098" s="317"/>
      <c r="DU1098" s="317"/>
      <c r="DV1098" s="317"/>
      <c r="DW1098" s="317"/>
      <c r="DX1098" s="317"/>
      <c r="DY1098" s="317"/>
      <c r="DZ1098" s="317"/>
      <c r="EA1098" s="317"/>
      <c r="EB1098" s="317"/>
      <c r="EC1098" s="317"/>
      <c r="ED1098" s="317"/>
      <c r="EE1098" s="317"/>
      <c r="EF1098" s="317"/>
      <c r="EG1098" s="317"/>
      <c r="EH1098" s="317"/>
      <c r="EI1098" s="317"/>
      <c r="EJ1098" s="317"/>
      <c r="EK1098" s="317"/>
      <c r="EL1098" s="317"/>
      <c r="EM1098" s="317"/>
      <c r="EN1098" s="317"/>
      <c r="EO1098" s="317"/>
      <c r="EP1098" s="317"/>
      <c r="EQ1098" s="317"/>
      <c r="ER1098" s="317"/>
      <c r="ES1098" s="317"/>
      <c r="ET1098" s="317"/>
      <c r="EU1098" s="317"/>
      <c r="EV1098" s="317"/>
      <c r="EW1098" s="317"/>
      <c r="EX1098" s="317"/>
      <c r="EY1098" s="317"/>
      <c r="EZ1098" s="317"/>
      <c r="FA1098" s="291"/>
      <c r="FB1098" s="317"/>
      <c r="FC1098" s="317"/>
      <c r="FD1098" s="317"/>
      <c r="FE1098" s="317"/>
      <c r="FF1098" s="317"/>
      <c r="FG1098" s="317"/>
      <c r="FH1098" s="317"/>
      <c r="FI1098" s="317"/>
      <c r="FJ1098" s="317"/>
      <c r="FK1098" s="317"/>
      <c r="FL1098" s="317"/>
      <c r="FM1098" s="317"/>
      <c r="FN1098" s="317"/>
      <c r="FO1098" s="317"/>
      <c r="FP1098" s="317"/>
      <c r="FQ1098" s="317"/>
      <c r="FR1098" s="317"/>
      <c r="FS1098" s="317"/>
      <c r="FT1098" s="317"/>
      <c r="FU1098" s="317"/>
      <c r="FV1098" s="317"/>
      <c r="FW1098" s="317"/>
      <c r="FX1098" s="317"/>
      <c r="FY1098" s="317"/>
      <c r="FZ1098" s="317"/>
      <c r="GA1098" s="317"/>
      <c r="GB1098" s="317"/>
      <c r="GC1098" s="317"/>
      <c r="GD1098" s="317"/>
      <c r="GE1098" s="317"/>
      <c r="GF1098" s="317"/>
      <c r="GG1098" s="317"/>
      <c r="GH1098" s="317"/>
      <c r="GI1098" s="317"/>
      <c r="GJ1098" s="317"/>
      <c r="GK1098" s="317"/>
      <c r="GL1098" s="317"/>
      <c r="GM1098" s="317"/>
      <c r="GN1098" s="317"/>
      <c r="GO1098" s="317"/>
      <c r="GP1098" s="13"/>
      <c r="GQ1098" s="43"/>
      <c r="GR1098" s="43"/>
      <c r="GS1098" s="45"/>
      <c r="GT1098" s="49"/>
      <c r="GU1098" s="49"/>
      <c r="GV1098" s="49"/>
      <c r="GW1098" s="49"/>
      <c r="GX1098" s="49"/>
      <c r="GY1098" s="208"/>
      <c r="GZ1098" s="231"/>
      <c r="HA1098" s="231"/>
      <c r="HB1098" s="231"/>
      <c r="HC1098" s="231"/>
      <c r="HD1098" s="231"/>
      <c r="HE1098" s="231"/>
      <c r="HF1098" s="231"/>
      <c r="HG1098" s="231"/>
      <c r="HH1098" s="231"/>
      <c r="HI1098" s="232"/>
    </row>
    <row r="1099" spans="88:217" ht="10.75" customHeight="1">
      <c r="CJ1099" s="12"/>
      <c r="CN1099" s="214"/>
      <c r="CO1099" s="49"/>
      <c r="CP1099" s="49"/>
      <c r="CQ1099" s="49"/>
      <c r="CR1099" s="49"/>
      <c r="CS1099" s="208"/>
      <c r="CT1099" s="43"/>
      <c r="CU1099" s="43"/>
      <c r="CV1099" s="315"/>
      <c r="CW1099" s="242"/>
      <c r="CX1099" s="243"/>
      <c r="CY1099" s="243"/>
      <c r="CZ1099" s="243"/>
      <c r="DA1099" s="243"/>
      <c r="DB1099" s="243"/>
      <c r="DC1099" s="243"/>
      <c r="DD1099" s="244"/>
      <c r="DE1099" s="317"/>
      <c r="DF1099" s="317"/>
      <c r="DG1099" s="317"/>
      <c r="DH1099" s="317"/>
      <c r="DI1099" s="317"/>
      <c r="DJ1099" s="317"/>
      <c r="DK1099" s="317"/>
      <c r="DL1099" s="317"/>
      <c r="DM1099" s="317"/>
      <c r="DN1099" s="317"/>
      <c r="DO1099" s="317"/>
      <c r="DP1099" s="317"/>
      <c r="DQ1099" s="317"/>
      <c r="DR1099" s="317"/>
      <c r="DS1099" s="317"/>
      <c r="DT1099" s="317"/>
      <c r="DU1099" s="317"/>
      <c r="DV1099" s="317"/>
      <c r="DW1099" s="317"/>
      <c r="DX1099" s="317"/>
      <c r="DY1099" s="317"/>
      <c r="DZ1099" s="317"/>
      <c r="EA1099" s="317"/>
      <c r="EB1099" s="317"/>
      <c r="EC1099" s="317"/>
      <c r="ED1099" s="317"/>
      <c r="EE1099" s="317"/>
      <c r="EF1099" s="317"/>
      <c r="EG1099" s="317"/>
      <c r="EH1099" s="317"/>
      <c r="EI1099" s="317"/>
      <c r="EJ1099" s="317"/>
      <c r="EK1099" s="317"/>
      <c r="EL1099" s="317"/>
      <c r="EM1099" s="317"/>
      <c r="EN1099" s="317"/>
      <c r="EO1099" s="317"/>
      <c r="EP1099" s="317"/>
      <c r="EQ1099" s="317"/>
      <c r="ER1099" s="317"/>
      <c r="ES1099" s="317"/>
      <c r="ET1099" s="317"/>
      <c r="EU1099" s="317"/>
      <c r="EV1099" s="317"/>
      <c r="EW1099" s="317"/>
      <c r="EX1099" s="317"/>
      <c r="EY1099" s="317"/>
      <c r="EZ1099" s="317"/>
      <c r="FA1099" s="291"/>
      <c r="FB1099" s="317"/>
      <c r="FC1099" s="317"/>
      <c r="FD1099" s="317"/>
      <c r="FE1099" s="317"/>
      <c r="FF1099" s="317"/>
      <c r="FG1099" s="317"/>
      <c r="FH1099" s="317"/>
      <c r="FI1099" s="317"/>
      <c r="FJ1099" s="317"/>
      <c r="FK1099" s="317"/>
      <c r="FL1099" s="317"/>
      <c r="FM1099" s="317"/>
      <c r="FN1099" s="317"/>
      <c r="FO1099" s="317"/>
      <c r="FP1099" s="317"/>
      <c r="FQ1099" s="317"/>
      <c r="FR1099" s="317"/>
      <c r="FS1099" s="317"/>
      <c r="FT1099" s="317"/>
      <c r="FU1099" s="317"/>
      <c r="FV1099" s="317"/>
      <c r="FW1099" s="317"/>
      <c r="FX1099" s="317"/>
      <c r="FY1099" s="317"/>
      <c r="FZ1099" s="317"/>
      <c r="GA1099" s="317"/>
      <c r="GB1099" s="317"/>
      <c r="GC1099" s="317"/>
      <c r="GD1099" s="317"/>
      <c r="GE1099" s="317"/>
      <c r="GF1099" s="317"/>
      <c r="GG1099" s="317"/>
      <c r="GH1099" s="317"/>
      <c r="GI1099" s="317"/>
      <c r="GJ1099" s="317"/>
      <c r="GK1099" s="317"/>
      <c r="GL1099" s="317"/>
      <c r="GM1099" s="317"/>
      <c r="GN1099" s="317"/>
      <c r="GO1099" s="317"/>
      <c r="GP1099" s="13"/>
      <c r="GQ1099" s="43"/>
      <c r="GR1099" s="43"/>
      <c r="GS1099" s="45"/>
      <c r="GT1099" s="49"/>
      <c r="GU1099" s="49"/>
      <c r="GV1099" s="49"/>
      <c r="GW1099" s="49"/>
      <c r="GX1099" s="49"/>
      <c r="GY1099" s="208"/>
      <c r="GZ1099" s="231"/>
      <c r="HA1099" s="231"/>
      <c r="HB1099" s="231"/>
      <c r="HC1099" s="231"/>
      <c r="HD1099" s="231"/>
      <c r="HE1099" s="231"/>
      <c r="HF1099" s="231"/>
      <c r="HG1099" s="231"/>
      <c r="HH1099" s="231"/>
      <c r="HI1099" s="232"/>
    </row>
    <row r="1100" spans="88:217" ht="10.75" customHeight="1">
      <c r="CJ1100" s="12"/>
      <c r="CN1100" s="214"/>
      <c r="CO1100" s="49"/>
      <c r="CP1100" s="49"/>
      <c r="CQ1100" s="49"/>
      <c r="CR1100" s="49"/>
      <c r="CS1100" s="208"/>
      <c r="CT1100" s="43"/>
      <c r="CU1100" s="43"/>
      <c r="CV1100" s="315"/>
      <c r="CW1100" s="12"/>
      <c r="CX1100" s="317"/>
      <c r="CY1100" s="317"/>
      <c r="CZ1100" s="317"/>
      <c r="DA1100" s="317"/>
      <c r="DB1100" s="317"/>
      <c r="DC1100" s="317"/>
      <c r="DD1100" s="317"/>
      <c r="DE1100" s="317"/>
      <c r="DF1100" s="317"/>
      <c r="DG1100" s="317"/>
      <c r="DH1100" s="317"/>
      <c r="DI1100" s="317"/>
      <c r="DJ1100" s="317"/>
      <c r="DK1100" s="317"/>
      <c r="DL1100" s="317"/>
      <c r="DM1100" s="317"/>
      <c r="DN1100" s="317"/>
      <c r="DO1100" s="317"/>
      <c r="DP1100" s="317"/>
      <c r="DQ1100" s="317"/>
      <c r="DR1100" s="317"/>
      <c r="DS1100" s="317"/>
      <c r="DT1100" s="317"/>
      <c r="DU1100" s="317"/>
      <c r="DV1100" s="317"/>
      <c r="DW1100" s="317"/>
      <c r="DX1100" s="317"/>
      <c r="DY1100" s="317"/>
      <c r="DZ1100" s="317"/>
      <c r="EA1100" s="317"/>
      <c r="EB1100" s="317"/>
      <c r="EC1100" s="317"/>
      <c r="ED1100" s="317"/>
      <c r="EE1100" s="317"/>
      <c r="EF1100" s="317"/>
      <c r="EG1100" s="317"/>
      <c r="EH1100" s="317"/>
      <c r="EI1100" s="317"/>
      <c r="EJ1100" s="317"/>
      <c r="EK1100" s="317"/>
      <c r="EL1100" s="317"/>
      <c r="EM1100" s="317"/>
      <c r="EN1100" s="317"/>
      <c r="EO1100" s="317"/>
      <c r="EP1100" s="317"/>
      <c r="EQ1100" s="317"/>
      <c r="ER1100" s="317"/>
      <c r="ES1100" s="317"/>
      <c r="ET1100" s="317"/>
      <c r="EU1100" s="317"/>
      <c r="EV1100" s="317"/>
      <c r="EW1100" s="317"/>
      <c r="EX1100" s="317"/>
      <c r="EY1100" s="317"/>
      <c r="EZ1100" s="317"/>
      <c r="FA1100" s="291"/>
      <c r="FB1100" s="317"/>
      <c r="FC1100" s="317"/>
      <c r="FD1100" s="317"/>
      <c r="FE1100" s="317"/>
      <c r="FF1100" s="317"/>
      <c r="FG1100" s="317"/>
      <c r="FH1100" s="317"/>
      <c r="FI1100" s="317"/>
      <c r="FJ1100" s="317"/>
      <c r="FK1100" s="317"/>
      <c r="FL1100" s="317"/>
      <c r="FM1100" s="317"/>
      <c r="FN1100" s="317"/>
      <c r="FO1100" s="317"/>
      <c r="FP1100" s="317"/>
      <c r="FQ1100" s="317"/>
      <c r="FR1100" s="317"/>
      <c r="FS1100" s="317"/>
      <c r="FT1100" s="317"/>
      <c r="FU1100" s="317"/>
      <c r="FV1100" s="317"/>
      <c r="FW1100" s="317"/>
      <c r="FX1100" s="317"/>
      <c r="FY1100" s="317"/>
      <c r="FZ1100" s="317"/>
      <c r="GA1100" s="317"/>
      <c r="GB1100" s="317"/>
      <c r="GC1100" s="317"/>
      <c r="GD1100" s="317"/>
      <c r="GE1100" s="317"/>
      <c r="GF1100" s="317"/>
      <c r="GG1100" s="317"/>
      <c r="GH1100" s="317"/>
      <c r="GI1100" s="317"/>
      <c r="GJ1100" s="317"/>
      <c r="GK1100" s="317"/>
      <c r="GL1100" s="317"/>
      <c r="GM1100" s="317"/>
      <c r="GN1100" s="317"/>
      <c r="GO1100" s="317"/>
      <c r="GP1100" s="13"/>
      <c r="GQ1100" s="43"/>
      <c r="GR1100" s="43"/>
      <c r="GS1100" s="45"/>
      <c r="GT1100" s="49"/>
      <c r="GU1100" s="49"/>
      <c r="GV1100" s="49"/>
      <c r="GW1100" s="49"/>
      <c r="GX1100" s="49"/>
      <c r="GY1100" s="208"/>
      <c r="GZ1100" s="231"/>
      <c r="HA1100" s="231"/>
      <c r="HB1100" s="231"/>
      <c r="HC1100" s="231"/>
      <c r="HD1100" s="231"/>
      <c r="HE1100" s="231"/>
      <c r="HF1100" s="231"/>
      <c r="HG1100" s="231"/>
      <c r="HH1100" s="231"/>
      <c r="HI1100" s="232"/>
    </row>
    <row r="1101" spans="88:217" ht="10.75" customHeight="1">
      <c r="CJ1101" s="12"/>
      <c r="CN1101" s="214"/>
      <c r="CO1101" s="49"/>
      <c r="CP1101" s="49"/>
      <c r="CQ1101" s="49"/>
      <c r="CR1101" s="49"/>
      <c r="CS1101" s="208"/>
      <c r="CT1101" s="43"/>
      <c r="CU1101" s="43"/>
      <c r="CV1101" s="315"/>
      <c r="CW1101" s="12"/>
      <c r="CX1101" s="317"/>
      <c r="CY1101" s="317"/>
      <c r="CZ1101" s="317"/>
      <c r="DA1101" s="317"/>
      <c r="DB1101" s="317"/>
      <c r="DC1101" s="317"/>
      <c r="DD1101" s="317"/>
      <c r="DE1101" s="317"/>
      <c r="DF1101" s="317"/>
      <c r="DG1101" s="317"/>
      <c r="DH1101" s="317"/>
      <c r="DI1101" s="317"/>
      <c r="DJ1101" s="317"/>
      <c r="DK1101" s="317"/>
      <c r="DL1101" s="317"/>
      <c r="DM1101" s="317"/>
      <c r="DN1101" s="317"/>
      <c r="DO1101" s="317"/>
      <c r="DP1101" s="317"/>
      <c r="DQ1101" s="317"/>
      <c r="DR1101" s="317"/>
      <c r="DS1101" s="317"/>
      <c r="DT1101" s="317"/>
      <c r="DU1101" s="317"/>
      <c r="DV1101" s="317"/>
      <c r="DW1101" s="317"/>
      <c r="DX1101" s="317"/>
      <c r="DY1101" s="317"/>
      <c r="DZ1101" s="317"/>
      <c r="EA1101" s="317"/>
      <c r="EB1101" s="317"/>
      <c r="EC1101" s="317"/>
      <c r="ED1101" s="317"/>
      <c r="EE1101" s="317"/>
      <c r="EF1101" s="317"/>
      <c r="EG1101" s="317"/>
      <c r="EH1101" s="317"/>
      <c r="EI1101" s="317"/>
      <c r="EJ1101" s="317"/>
      <c r="EK1101" s="317"/>
      <c r="EL1101" s="317"/>
      <c r="EM1101" s="317"/>
      <c r="EN1101" s="317"/>
      <c r="EO1101" s="317"/>
      <c r="EP1101" s="317"/>
      <c r="EQ1101" s="317"/>
      <c r="ER1101" s="317"/>
      <c r="ES1101" s="317"/>
      <c r="ET1101" s="317"/>
      <c r="EU1101" s="317"/>
      <c r="EV1101" s="317"/>
      <c r="EW1101" s="317"/>
      <c r="EX1101" s="317"/>
      <c r="EY1101" s="317"/>
      <c r="EZ1101" s="317"/>
      <c r="FA1101" s="291"/>
      <c r="FB1101" s="317"/>
      <c r="FC1101" s="317"/>
      <c r="FD1101" s="317"/>
      <c r="FE1101" s="317"/>
      <c r="FF1101" s="317"/>
      <c r="FG1101" s="317"/>
      <c r="FH1101" s="317"/>
      <c r="FI1101" s="317"/>
      <c r="FJ1101" s="317"/>
      <c r="FK1101" s="317"/>
      <c r="FL1101" s="317"/>
      <c r="FM1101" s="317"/>
      <c r="FN1101" s="317"/>
      <c r="FO1101" s="317"/>
      <c r="FP1101" s="317"/>
      <c r="FQ1101" s="317"/>
      <c r="FR1101" s="317"/>
      <c r="FS1101" s="317"/>
      <c r="FT1101" s="317"/>
      <c r="FU1101" s="317"/>
      <c r="FV1101" s="317"/>
      <c r="FW1101" s="317"/>
      <c r="FX1101" s="317"/>
      <c r="FY1101" s="317"/>
      <c r="FZ1101" s="317"/>
      <c r="GA1101" s="317"/>
      <c r="GB1101" s="317"/>
      <c r="GC1101" s="317"/>
      <c r="GD1101" s="317"/>
      <c r="GE1101" s="317"/>
      <c r="GF1101" s="317"/>
      <c r="GG1101" s="317"/>
      <c r="GH1101" s="317"/>
      <c r="GI1101" s="317"/>
      <c r="GJ1101" s="317"/>
      <c r="GK1101" s="317"/>
      <c r="GL1101" s="317"/>
      <c r="GM1101" s="317"/>
      <c r="GN1101" s="317"/>
      <c r="GO1101" s="317"/>
      <c r="GP1101" s="13"/>
      <c r="GQ1101" s="43"/>
      <c r="GR1101" s="43"/>
      <c r="GS1101" s="45"/>
      <c r="GT1101" s="49"/>
      <c r="GU1101" s="49"/>
      <c r="GV1101" s="49"/>
      <c r="GW1101" s="49"/>
      <c r="GX1101" s="49"/>
      <c r="GY1101" s="208"/>
      <c r="GZ1101" s="231"/>
      <c r="HA1101" s="231"/>
      <c r="HB1101" s="231"/>
      <c r="HC1101" s="231"/>
      <c r="HD1101" s="231"/>
      <c r="HE1101" s="231"/>
      <c r="HF1101" s="231"/>
      <c r="HG1101" s="231"/>
      <c r="HH1101" s="231"/>
      <c r="HI1101" s="232"/>
    </row>
    <row r="1102" spans="88:217" ht="10.75" customHeight="1">
      <c r="CJ1102" s="9"/>
      <c r="CK1102" s="10"/>
      <c r="CL1102" s="10"/>
      <c r="CM1102" s="10"/>
      <c r="CN1102" s="259"/>
      <c r="CO1102" s="141"/>
      <c r="CP1102" s="141"/>
      <c r="CQ1102" s="141"/>
      <c r="CR1102" s="141"/>
      <c r="CS1102" s="235"/>
      <c r="CT1102" s="43"/>
      <c r="CU1102" s="43"/>
      <c r="CV1102" s="315"/>
      <c r="CW1102" s="12"/>
      <c r="CX1102" s="317"/>
      <c r="CY1102" s="317"/>
      <c r="CZ1102" s="317"/>
      <c r="DA1102" s="317"/>
      <c r="DB1102" s="317"/>
      <c r="DC1102" s="317"/>
      <c r="DD1102" s="317"/>
      <c r="DE1102" s="317"/>
      <c r="DF1102" s="317"/>
      <c r="DG1102" s="317"/>
      <c r="DH1102" s="317"/>
      <c r="DI1102" s="317"/>
      <c r="DJ1102" s="317"/>
      <c r="DK1102" s="317"/>
      <c r="DL1102" s="317"/>
      <c r="DM1102" s="317"/>
      <c r="DN1102" s="317"/>
      <c r="DO1102" s="317"/>
      <c r="DP1102" s="317"/>
      <c r="DQ1102" s="317"/>
      <c r="DR1102" s="317"/>
      <c r="DS1102" s="317"/>
      <c r="DT1102" s="317"/>
      <c r="DU1102" s="317"/>
      <c r="DV1102" s="317"/>
      <c r="DW1102" s="317"/>
      <c r="DX1102" s="317"/>
      <c r="DY1102" s="317"/>
      <c r="DZ1102" s="317"/>
      <c r="EA1102" s="317"/>
      <c r="EB1102" s="317"/>
      <c r="EC1102" s="317"/>
      <c r="ED1102" s="317"/>
      <c r="EE1102" s="317"/>
      <c r="EF1102" s="317"/>
      <c r="EG1102" s="317"/>
      <c r="EH1102" s="317"/>
      <c r="EI1102" s="317"/>
      <c r="EJ1102" s="317"/>
      <c r="EK1102" s="317"/>
      <c r="EL1102" s="317"/>
      <c r="EM1102" s="317"/>
      <c r="EN1102" s="317"/>
      <c r="EO1102" s="317"/>
      <c r="EP1102" s="317"/>
      <c r="EQ1102" s="317"/>
      <c r="ER1102" s="317"/>
      <c r="ES1102" s="317"/>
      <c r="ET1102" s="317"/>
      <c r="EU1102" s="317"/>
      <c r="EV1102" s="317"/>
      <c r="EW1102" s="317"/>
      <c r="EX1102" s="317"/>
      <c r="EY1102" s="317"/>
      <c r="EZ1102" s="317"/>
      <c r="FA1102" s="291"/>
      <c r="FB1102" s="317"/>
      <c r="FC1102" s="317"/>
      <c r="FD1102" s="317"/>
      <c r="FE1102" s="317"/>
      <c r="FF1102" s="317"/>
      <c r="FG1102" s="317"/>
      <c r="FH1102" s="317"/>
      <c r="FI1102" s="317"/>
      <c r="FJ1102" s="317"/>
      <c r="FK1102" s="317"/>
      <c r="FL1102" s="317"/>
      <c r="FM1102" s="317"/>
      <c r="FN1102" s="317"/>
      <c r="FO1102" s="317"/>
      <c r="FP1102" s="317"/>
      <c r="FQ1102" s="317"/>
      <c r="FR1102" s="317"/>
      <c r="FS1102" s="317"/>
      <c r="FT1102" s="317"/>
      <c r="FU1102" s="317"/>
      <c r="FV1102" s="317"/>
      <c r="FW1102" s="317"/>
      <c r="FX1102" s="317"/>
      <c r="FY1102" s="317"/>
      <c r="FZ1102" s="317"/>
      <c r="GA1102" s="317"/>
      <c r="GB1102" s="317"/>
      <c r="GC1102" s="317"/>
      <c r="GD1102" s="317"/>
      <c r="GE1102" s="317"/>
      <c r="GF1102" s="317"/>
      <c r="GG1102" s="317"/>
      <c r="GH1102" s="317"/>
      <c r="GI1102" s="317"/>
      <c r="GJ1102" s="317"/>
      <c r="GK1102" s="317"/>
      <c r="GL1102" s="317"/>
      <c r="GM1102" s="317"/>
      <c r="GN1102" s="317"/>
      <c r="GO1102" s="317"/>
      <c r="GP1102" s="13"/>
      <c r="GQ1102" s="43"/>
      <c r="GR1102" s="43"/>
      <c r="GS1102" s="45"/>
      <c r="GT1102" s="49"/>
      <c r="GU1102" s="49"/>
      <c r="GV1102" s="49"/>
      <c r="GW1102" s="49"/>
      <c r="GX1102" s="49"/>
      <c r="GY1102" s="208"/>
      <c r="GZ1102" s="231"/>
      <c r="HA1102" s="231"/>
      <c r="HB1102" s="231"/>
      <c r="HC1102" s="231"/>
      <c r="HD1102" s="231"/>
      <c r="HE1102" s="231"/>
      <c r="HF1102" s="231"/>
      <c r="HG1102" s="231"/>
      <c r="HH1102" s="231"/>
      <c r="HI1102" s="232"/>
    </row>
    <row r="1103" spans="88:217" ht="10.75" customHeight="1">
      <c r="CJ1103" s="12"/>
      <c r="CN1103" s="214"/>
      <c r="CO1103" s="49"/>
      <c r="CP1103" s="49"/>
      <c r="CQ1103" s="49"/>
      <c r="CR1103" s="49"/>
      <c r="CS1103" s="208"/>
      <c r="CT1103" s="43"/>
      <c r="CU1103" s="43"/>
      <c r="CV1103" s="315"/>
      <c r="CW1103" s="12"/>
      <c r="CX1103" s="317"/>
      <c r="CY1103" s="317"/>
      <c r="CZ1103" s="317"/>
      <c r="DA1103" s="317"/>
      <c r="DB1103" s="317"/>
      <c r="DC1103" s="317"/>
      <c r="DD1103" s="317"/>
      <c r="DE1103" s="317"/>
      <c r="DF1103" s="317"/>
      <c r="DG1103" s="317"/>
      <c r="DH1103" s="317"/>
      <c r="DI1103" s="317"/>
      <c r="DJ1103" s="317"/>
      <c r="DK1103" s="317"/>
      <c r="DL1103" s="317"/>
      <c r="DM1103" s="317"/>
      <c r="DN1103" s="317"/>
      <c r="DO1103" s="317"/>
      <c r="DP1103" s="317"/>
      <c r="DQ1103" s="317"/>
      <c r="DR1103" s="317"/>
      <c r="DS1103" s="317"/>
      <c r="DT1103" s="317"/>
      <c r="DU1103" s="317"/>
      <c r="DV1103" s="317"/>
      <c r="DW1103" s="317"/>
      <c r="DX1103" s="317"/>
      <c r="DY1103" s="317"/>
      <c r="DZ1103" s="317"/>
      <c r="EA1103" s="317"/>
      <c r="EB1103" s="317"/>
      <c r="EC1103" s="317"/>
      <c r="ED1103" s="317"/>
      <c r="EE1103" s="317"/>
      <c r="EF1103" s="317"/>
      <c r="EG1103" s="317"/>
      <c r="EH1103" s="317"/>
      <c r="EI1103" s="317"/>
      <c r="EJ1103" s="317"/>
      <c r="EK1103" s="317"/>
      <c r="EL1103" s="317"/>
      <c r="EM1103" s="317"/>
      <c r="EN1103" s="317"/>
      <c r="EO1103" s="317"/>
      <c r="EP1103" s="317"/>
      <c r="EQ1103" s="317"/>
      <c r="ER1103" s="317"/>
      <c r="ES1103" s="317"/>
      <c r="ET1103" s="317"/>
      <c r="EU1103" s="317"/>
      <c r="EV1103" s="317"/>
      <c r="EW1103" s="317"/>
      <c r="EX1103" s="317"/>
      <c r="EY1103" s="317"/>
      <c r="EZ1103" s="317"/>
      <c r="FA1103" s="291"/>
      <c r="FB1103" s="317"/>
      <c r="FC1103" s="317"/>
      <c r="FD1103" s="317"/>
      <c r="FE1103" s="317"/>
      <c r="FF1103" s="317"/>
      <c r="FG1103" s="317"/>
      <c r="FH1103" s="317"/>
      <c r="FI1103" s="317"/>
      <c r="FJ1103" s="317"/>
      <c r="FK1103" s="317"/>
      <c r="FL1103" s="317"/>
      <c r="FM1103" s="317"/>
      <c r="FN1103" s="317"/>
      <c r="FO1103" s="317"/>
      <c r="FP1103" s="317"/>
      <c r="FQ1103" s="317"/>
      <c r="FR1103" s="317"/>
      <c r="FS1103" s="317"/>
      <c r="FT1103" s="317"/>
      <c r="FU1103" s="317"/>
      <c r="FV1103" s="317"/>
      <c r="FW1103" s="317"/>
      <c r="FX1103" s="317"/>
      <c r="FY1103" s="317"/>
      <c r="FZ1103" s="317"/>
      <c r="GA1103" s="317"/>
      <c r="GB1103" s="317"/>
      <c r="GC1103" s="317"/>
      <c r="GD1103" s="317"/>
      <c r="GE1103" s="317"/>
      <c r="GF1103" s="317"/>
      <c r="GG1103" s="317"/>
      <c r="GH1103" s="317"/>
      <c r="GI1103" s="317"/>
      <c r="GJ1103" s="317"/>
      <c r="GK1103" s="317"/>
      <c r="GL1103" s="317"/>
      <c r="GM1103" s="317"/>
      <c r="GN1103" s="317"/>
      <c r="GO1103" s="317"/>
      <c r="GP1103" s="13"/>
      <c r="GQ1103" s="43"/>
      <c r="GR1103" s="43"/>
      <c r="GS1103" s="45"/>
      <c r="GT1103" s="49"/>
      <c r="GU1103" s="49"/>
      <c r="GV1103" s="49"/>
      <c r="GW1103" s="49"/>
      <c r="GX1103" s="49"/>
      <c r="GY1103" s="208"/>
      <c r="GZ1103" s="231"/>
      <c r="HA1103" s="231"/>
      <c r="HB1103" s="231"/>
      <c r="HC1103" s="231"/>
      <c r="HD1103" s="231"/>
      <c r="HE1103" s="231"/>
      <c r="HF1103" s="231"/>
      <c r="HG1103" s="231"/>
      <c r="HH1103" s="231"/>
      <c r="HI1103" s="232"/>
    </row>
    <row r="1104" spans="88:217" ht="10.75" customHeight="1">
      <c r="CJ1104" s="12"/>
      <c r="CN1104" s="214"/>
      <c r="CO1104" s="49"/>
      <c r="CP1104" s="49"/>
      <c r="CQ1104" s="49"/>
      <c r="CR1104" s="49"/>
      <c r="CS1104" s="208"/>
      <c r="CT1104" s="43"/>
      <c r="CU1104" s="43"/>
      <c r="CV1104" s="315"/>
      <c r="CW1104" s="12"/>
      <c r="CX1104" s="317"/>
      <c r="CY1104" s="317"/>
      <c r="CZ1104" s="317"/>
      <c r="DA1104" s="317"/>
      <c r="DB1104" s="317"/>
      <c r="DC1104" s="317"/>
      <c r="DD1104" s="317"/>
      <c r="DE1104" s="317"/>
      <c r="DF1104" s="317"/>
      <c r="DG1104" s="317"/>
      <c r="DH1104" s="317"/>
      <c r="DI1104" s="317"/>
      <c r="DJ1104" s="317"/>
      <c r="DK1104" s="317"/>
      <c r="DL1104" s="317"/>
      <c r="DM1104" s="317"/>
      <c r="DN1104" s="317"/>
      <c r="DO1104" s="317"/>
      <c r="DP1104" s="317"/>
      <c r="DQ1104" s="317"/>
      <c r="DR1104" s="317"/>
      <c r="DS1104" s="317"/>
      <c r="DT1104" s="317"/>
      <c r="DU1104" s="317"/>
      <c r="DV1104" s="317"/>
      <c r="DW1104" s="317"/>
      <c r="DX1104" s="317"/>
      <c r="DY1104" s="317"/>
      <c r="DZ1104" s="317"/>
      <c r="EA1104" s="317"/>
      <c r="EB1104" s="317"/>
      <c r="EC1104" s="317"/>
      <c r="ED1104" s="317"/>
      <c r="EE1104" s="317"/>
      <c r="EF1104" s="317"/>
      <c r="EG1104" s="317"/>
      <c r="EH1104" s="317"/>
      <c r="EI1104" s="317"/>
      <c r="EJ1104" s="317"/>
      <c r="EK1104" s="317"/>
      <c r="EL1104" s="317"/>
      <c r="EM1104" s="317"/>
      <c r="EN1104" s="317"/>
      <c r="EO1104" s="317"/>
      <c r="EP1104" s="317"/>
      <c r="EQ1104" s="317"/>
      <c r="ER1104" s="317"/>
      <c r="ES1104" s="317"/>
      <c r="ET1104" s="317"/>
      <c r="EU1104" s="317"/>
      <c r="EV1104" s="317"/>
      <c r="EW1104" s="317"/>
      <c r="EX1104" s="317"/>
      <c r="EY1104" s="317"/>
      <c r="EZ1104" s="317"/>
      <c r="FA1104" s="291"/>
      <c r="FB1104" s="317"/>
      <c r="FC1104" s="317"/>
      <c r="FD1104" s="317"/>
      <c r="FE1104" s="317"/>
      <c r="FF1104" s="317"/>
      <c r="FG1104" s="317"/>
      <c r="FH1104" s="317"/>
      <c r="FI1104" s="317"/>
      <c r="FJ1104" s="317"/>
      <c r="FK1104" s="317"/>
      <c r="FL1104" s="317"/>
      <c r="FM1104" s="317"/>
      <c r="FN1104" s="317"/>
      <c r="FO1104" s="317"/>
      <c r="FP1104" s="317"/>
      <c r="FQ1104" s="317"/>
      <c r="FR1104" s="317"/>
      <c r="FS1104" s="317"/>
      <c r="FT1104" s="317"/>
      <c r="FU1104" s="317"/>
      <c r="FV1104" s="317"/>
      <c r="FW1104" s="317"/>
      <c r="FX1104" s="317"/>
      <c r="FY1104" s="317"/>
      <c r="FZ1104" s="317"/>
      <c r="GA1104" s="317"/>
      <c r="GB1104" s="317"/>
      <c r="GC1104" s="317"/>
      <c r="GD1104" s="317"/>
      <c r="GE1104" s="317"/>
      <c r="GF1104" s="317"/>
      <c r="GG1104" s="317"/>
      <c r="GH1104" s="317"/>
      <c r="GI1104" s="317"/>
      <c r="GJ1104" s="317"/>
      <c r="GK1104" s="317"/>
      <c r="GL1104" s="317"/>
      <c r="GM1104" s="317"/>
      <c r="GN1104" s="317"/>
      <c r="GO1104" s="317"/>
      <c r="GP1104" s="13"/>
      <c r="GQ1104" s="43"/>
      <c r="GR1104" s="43"/>
      <c r="GS1104" s="45"/>
      <c r="GT1104" s="49"/>
      <c r="GU1104" s="49"/>
      <c r="GV1104" s="49"/>
      <c r="GW1104" s="49"/>
      <c r="GX1104" s="49"/>
      <c r="GY1104" s="208"/>
      <c r="GZ1104" s="231"/>
      <c r="HA1104" s="231"/>
      <c r="HB1104" s="231"/>
      <c r="HC1104" s="231"/>
      <c r="HD1104" s="231"/>
      <c r="HE1104" s="231"/>
      <c r="HF1104" s="231"/>
      <c r="HG1104" s="231"/>
      <c r="HH1104" s="231"/>
      <c r="HI1104" s="232"/>
    </row>
    <row r="1105" spans="82:217" ht="10.75" customHeight="1">
      <c r="CJ1105" s="14"/>
      <c r="CK1105" s="15"/>
      <c r="CL1105" s="15"/>
      <c r="CM1105" s="15"/>
      <c r="CN1105" s="236"/>
      <c r="CO1105" s="258"/>
      <c r="CP1105" s="258"/>
      <c r="CQ1105" s="258"/>
      <c r="CR1105" s="258"/>
      <c r="CS1105" s="209"/>
      <c r="CT1105" s="43"/>
      <c r="CU1105" s="43"/>
      <c r="CV1105" s="315"/>
      <c r="CW1105" s="12"/>
      <c r="CX1105" s="317"/>
      <c r="CY1105" s="317"/>
      <c r="CZ1105" s="317"/>
      <c r="DA1105" s="317"/>
      <c r="DB1105" s="317"/>
      <c r="DC1105" s="317"/>
      <c r="DD1105" s="317"/>
      <c r="DE1105" s="317"/>
      <c r="DF1105" s="317"/>
      <c r="DG1105" s="317"/>
      <c r="DH1105" s="317"/>
      <c r="DI1105" s="317"/>
      <c r="DJ1105" s="317"/>
      <c r="DK1105" s="317"/>
      <c r="DL1105" s="317"/>
      <c r="DM1105" s="317"/>
      <c r="DN1105" s="317"/>
      <c r="DO1105" s="317"/>
      <c r="DP1105" s="317"/>
      <c r="DQ1105" s="317"/>
      <c r="DR1105" s="317"/>
      <c r="DS1105" s="317"/>
      <c r="DT1105" s="317"/>
      <c r="DU1105" s="317"/>
      <c r="DV1105" s="317"/>
      <c r="DW1105" s="317"/>
      <c r="DX1105" s="317"/>
      <c r="DY1105" s="317"/>
      <c r="DZ1105" s="317"/>
      <c r="EA1105" s="317"/>
      <c r="EB1105" s="317"/>
      <c r="EC1105" s="317"/>
      <c r="ED1105" s="317"/>
      <c r="EE1105" s="317"/>
      <c r="EF1105" s="317"/>
      <c r="EG1105" s="317"/>
      <c r="EH1105" s="317"/>
      <c r="EI1105" s="317"/>
      <c r="EJ1105" s="317"/>
      <c r="EK1105" s="317"/>
      <c r="EL1105" s="317"/>
      <c r="EM1105" s="317"/>
      <c r="EN1105" s="317"/>
      <c r="EO1105" s="317"/>
      <c r="EP1105" s="317"/>
      <c r="EQ1105" s="317"/>
      <c r="ER1105" s="317"/>
      <c r="ES1105" s="317"/>
      <c r="ET1105" s="317"/>
      <c r="EU1105" s="317"/>
      <c r="EV1105" s="317"/>
      <c r="EW1105" s="317"/>
      <c r="EX1105" s="317"/>
      <c r="EY1105" s="317"/>
      <c r="EZ1105" s="317"/>
      <c r="FA1105" s="291"/>
      <c r="FB1105" s="317"/>
      <c r="FC1105" s="317"/>
      <c r="FD1105" s="317"/>
      <c r="FE1105" s="317"/>
      <c r="FF1105" s="317"/>
      <c r="FG1105" s="317"/>
      <c r="FH1105" s="317"/>
      <c r="FI1105" s="317"/>
      <c r="FJ1105" s="317"/>
      <c r="FK1105" s="317"/>
      <c r="FL1105" s="317"/>
      <c r="FM1105" s="317"/>
      <c r="FN1105" s="317"/>
      <c r="FO1105" s="317"/>
      <c r="FP1105" s="317"/>
      <c r="FQ1105" s="317"/>
      <c r="FR1105" s="317"/>
      <c r="FS1105" s="317"/>
      <c r="FT1105" s="317"/>
      <c r="FU1105" s="317"/>
      <c r="FV1105" s="317"/>
      <c r="FW1105" s="317"/>
      <c r="FX1105" s="317"/>
      <c r="FY1105" s="317"/>
      <c r="FZ1105" s="317"/>
      <c r="GA1105" s="317"/>
      <c r="GB1105" s="317"/>
      <c r="GC1105" s="317"/>
      <c r="GD1105" s="317"/>
      <c r="GE1105" s="317"/>
      <c r="GF1105" s="317"/>
      <c r="GG1105" s="317"/>
      <c r="GH1105" s="317"/>
      <c r="GI1105" s="317"/>
      <c r="GJ1105" s="317"/>
      <c r="GK1105" s="317"/>
      <c r="GL1105" s="317"/>
      <c r="GM1105" s="317"/>
      <c r="GN1105" s="317"/>
      <c r="GO1105" s="317"/>
      <c r="GP1105" s="13"/>
      <c r="GQ1105" s="43"/>
      <c r="GR1105" s="43"/>
      <c r="GS1105" s="45"/>
      <c r="GT1105" s="49"/>
      <c r="GU1105" s="49"/>
      <c r="GV1105" s="49"/>
      <c r="GW1105" s="49"/>
      <c r="GX1105" s="49"/>
      <c r="GY1105" s="208"/>
      <c r="GZ1105" s="231"/>
      <c r="HA1105" s="231"/>
      <c r="HB1105" s="231"/>
      <c r="HC1105" s="231"/>
      <c r="HD1105" s="231"/>
      <c r="HE1105" s="231"/>
      <c r="HF1105" s="231"/>
      <c r="HG1105" s="231"/>
      <c r="HH1105" s="231"/>
      <c r="HI1105" s="232"/>
    </row>
    <row r="1106" spans="82:217" ht="10.75" customHeight="1">
      <c r="CD1106" s="226"/>
      <c r="CE1106" s="227"/>
      <c r="CF1106" s="227"/>
      <c r="CG1106" s="227"/>
      <c r="CH1106" s="227"/>
      <c r="CI1106" s="227"/>
      <c r="CJ1106" s="226"/>
      <c r="CK1106" s="227"/>
      <c r="CL1106" s="227"/>
      <c r="CM1106" s="227"/>
      <c r="CN1106" s="259"/>
      <c r="CO1106" s="141"/>
      <c r="CP1106" s="141"/>
      <c r="CQ1106" s="141"/>
      <c r="CR1106" s="141"/>
      <c r="CS1106" s="235"/>
      <c r="CT1106" s="43"/>
      <c r="CU1106" s="43"/>
      <c r="CV1106" s="315"/>
      <c r="CW1106" s="12"/>
      <c r="CX1106" s="317"/>
      <c r="CY1106" s="317"/>
      <c r="CZ1106" s="317"/>
      <c r="DA1106" s="317"/>
      <c r="DB1106" s="317"/>
      <c r="DC1106" s="317"/>
      <c r="DD1106" s="317"/>
      <c r="DE1106" s="317"/>
      <c r="DF1106" s="317"/>
      <c r="DG1106" s="317"/>
      <c r="DH1106" s="317"/>
      <c r="DI1106" s="317"/>
      <c r="DJ1106" s="317"/>
      <c r="DK1106" s="317"/>
      <c r="DL1106" s="317"/>
      <c r="DM1106" s="317"/>
      <c r="DN1106" s="317"/>
      <c r="DO1106" s="317"/>
      <c r="DP1106" s="317"/>
      <c r="DQ1106" s="317"/>
      <c r="DR1106" s="317"/>
      <c r="DS1106" s="317"/>
      <c r="DT1106" s="317"/>
      <c r="DU1106" s="317"/>
      <c r="DV1106" s="317"/>
      <c r="DW1106" s="317"/>
      <c r="DX1106" s="317"/>
      <c r="DY1106" s="317"/>
      <c r="DZ1106" s="317"/>
      <c r="EA1106" s="317"/>
      <c r="EB1106" s="317"/>
      <c r="EC1106" s="317"/>
      <c r="ED1106" s="317"/>
      <c r="EE1106" s="317"/>
      <c r="EF1106" s="317"/>
      <c r="EG1106" s="317"/>
      <c r="EH1106" s="317"/>
      <c r="EI1106" s="317"/>
      <c r="EJ1106" s="317"/>
      <c r="EK1106" s="317"/>
      <c r="EL1106" s="317"/>
      <c r="EM1106" s="317"/>
      <c r="EN1106" s="317"/>
      <c r="EO1106" s="317"/>
      <c r="EP1106" s="317"/>
      <c r="EQ1106" s="317"/>
      <c r="ER1106" s="317"/>
      <c r="ES1106" s="317"/>
      <c r="ET1106" s="317"/>
      <c r="EU1106" s="317"/>
      <c r="EV1106" s="317"/>
      <c r="EW1106" s="317"/>
      <c r="EX1106" s="317"/>
      <c r="EY1106" s="317"/>
      <c r="EZ1106" s="317"/>
      <c r="FA1106" s="291"/>
      <c r="FB1106" s="317"/>
      <c r="FC1106" s="317"/>
      <c r="FD1106" s="317"/>
      <c r="FE1106" s="317"/>
      <c r="FF1106" s="317"/>
      <c r="FG1106" s="317"/>
      <c r="FH1106" s="317"/>
      <c r="FI1106" s="317"/>
      <c r="FJ1106" s="317"/>
      <c r="FK1106" s="317"/>
      <c r="FL1106" s="317"/>
      <c r="FM1106" s="317"/>
      <c r="FN1106" s="317"/>
      <c r="FO1106" s="317"/>
      <c r="FP1106" s="317"/>
      <c r="FQ1106" s="317"/>
      <c r="FR1106" s="317"/>
      <c r="FS1106" s="317"/>
      <c r="FT1106" s="317"/>
      <c r="FU1106" s="317"/>
      <c r="FV1106" s="317"/>
      <c r="FW1106" s="317"/>
      <c r="FX1106" s="317"/>
      <c r="FY1106" s="317"/>
      <c r="FZ1106" s="317"/>
      <c r="GA1106" s="317"/>
      <c r="GB1106" s="317"/>
      <c r="GC1106" s="317"/>
      <c r="GD1106" s="317"/>
      <c r="GE1106" s="317"/>
      <c r="GF1106" s="317"/>
      <c r="GG1106" s="317"/>
      <c r="GH1106" s="317"/>
      <c r="GI1106" s="317"/>
      <c r="GJ1106" s="317"/>
      <c r="GK1106" s="317"/>
      <c r="GL1106" s="317"/>
      <c r="GM1106" s="317"/>
      <c r="GN1106" s="317"/>
      <c r="GO1106" s="317"/>
      <c r="GP1106" s="13"/>
      <c r="GQ1106" s="43"/>
      <c r="GR1106" s="43"/>
      <c r="GS1106" s="45"/>
      <c r="GT1106" s="49"/>
      <c r="GU1106" s="49"/>
      <c r="GV1106" s="49"/>
      <c r="GW1106" s="49"/>
      <c r="GX1106" s="49"/>
      <c r="GY1106" s="208"/>
      <c r="GZ1106" s="231"/>
      <c r="HA1106" s="231"/>
      <c r="HB1106" s="231"/>
      <c r="HC1106" s="231"/>
      <c r="HD1106" s="231"/>
      <c r="HE1106" s="231"/>
      <c r="HF1106" s="231"/>
      <c r="HG1106" s="231"/>
      <c r="HH1106" s="231"/>
      <c r="HI1106" s="232"/>
    </row>
    <row r="1107" spans="82:217" ht="10.75" customHeight="1">
      <c r="CD1107" s="229"/>
      <c r="CE1107" s="231"/>
      <c r="CF1107" s="231"/>
      <c r="CG1107" s="231"/>
      <c r="CH1107" s="231"/>
      <c r="CI1107" s="231"/>
      <c r="CJ1107" s="229"/>
      <c r="CK1107" s="318"/>
      <c r="CL1107" s="318"/>
      <c r="CM1107" s="318"/>
      <c r="CN1107" s="214"/>
      <c r="CO1107" s="319"/>
      <c r="CP1107" s="319"/>
      <c r="CQ1107" s="319"/>
      <c r="CR1107" s="319"/>
      <c r="CS1107" s="208"/>
      <c r="CT1107" s="43"/>
      <c r="CU1107" s="119"/>
      <c r="CV1107" s="315"/>
      <c r="CW1107" s="12"/>
      <c r="CX1107" s="317"/>
      <c r="CY1107" s="317"/>
      <c r="CZ1107" s="317"/>
      <c r="DA1107" s="317"/>
      <c r="DB1107" s="317"/>
      <c r="DC1107" s="317"/>
      <c r="DD1107" s="317"/>
      <c r="DE1107" s="317"/>
      <c r="DF1107" s="317"/>
      <c r="DG1107" s="317"/>
      <c r="DH1107" s="317"/>
      <c r="DI1107" s="317"/>
      <c r="DJ1107" s="317"/>
      <c r="DK1107" s="317"/>
      <c r="DL1107" s="317"/>
      <c r="DM1107" s="317"/>
      <c r="DN1107" s="317"/>
      <c r="DO1107" s="317"/>
      <c r="DP1107" s="317"/>
      <c r="DQ1107" s="317"/>
      <c r="DR1107" s="317"/>
      <c r="DS1107" s="317"/>
      <c r="DT1107" s="317"/>
      <c r="DU1107" s="317"/>
      <c r="DV1107" s="317"/>
      <c r="DW1107" s="317"/>
      <c r="DX1107" s="317"/>
      <c r="DY1107" s="317"/>
      <c r="DZ1107" s="317"/>
      <c r="EA1107" s="317"/>
      <c r="EB1107" s="317"/>
      <c r="EC1107" s="317"/>
      <c r="ED1107" s="317"/>
      <c r="EE1107" s="317"/>
      <c r="EF1107" s="317"/>
      <c r="EG1107" s="317"/>
      <c r="EH1107" s="317"/>
      <c r="EI1107" s="317"/>
      <c r="EJ1107" s="317"/>
      <c r="EK1107" s="317"/>
      <c r="EL1107" s="317"/>
      <c r="EM1107" s="317"/>
      <c r="EN1107" s="317"/>
      <c r="EO1107" s="317"/>
      <c r="EP1107" s="317"/>
      <c r="EQ1107" s="317"/>
      <c r="ER1107" s="317"/>
      <c r="ES1107" s="317"/>
      <c r="ET1107" s="317"/>
      <c r="EU1107" s="317"/>
      <c r="EV1107" s="317"/>
      <c r="EW1107" s="317"/>
      <c r="EX1107" s="317"/>
      <c r="EY1107" s="317"/>
      <c r="EZ1107" s="317"/>
      <c r="FA1107" s="291"/>
      <c r="FB1107" s="317"/>
      <c r="FC1107" s="317"/>
      <c r="FD1107" s="317"/>
      <c r="FE1107" s="317"/>
      <c r="FF1107" s="317"/>
      <c r="FG1107" s="317"/>
      <c r="FH1107" s="317"/>
      <c r="FI1107" s="317"/>
      <c r="FJ1107" s="317"/>
      <c r="FK1107" s="317"/>
      <c r="FL1107" s="317"/>
      <c r="FM1107" s="317"/>
      <c r="FN1107" s="317"/>
      <c r="FO1107" s="317"/>
      <c r="FP1107" s="317"/>
      <c r="FQ1107" s="317"/>
      <c r="FR1107" s="317"/>
      <c r="FS1107" s="317"/>
      <c r="FT1107" s="317"/>
      <c r="FU1107" s="317"/>
      <c r="FV1107" s="317"/>
      <c r="FW1107" s="317"/>
      <c r="FX1107" s="317"/>
      <c r="FY1107" s="317"/>
      <c r="FZ1107" s="317"/>
      <c r="GA1107" s="317"/>
      <c r="GB1107" s="317"/>
      <c r="GC1107" s="317"/>
      <c r="GD1107" s="317"/>
      <c r="GE1107" s="317"/>
      <c r="GF1107" s="317"/>
      <c r="GG1107" s="317"/>
      <c r="GH1107" s="317"/>
      <c r="GI1107" s="317"/>
      <c r="GJ1107" s="317"/>
      <c r="GK1107" s="317"/>
      <c r="GL1107" s="317"/>
      <c r="GM1107" s="317"/>
      <c r="GN1107" s="317"/>
      <c r="GO1107" s="317"/>
      <c r="GP1107" s="13"/>
      <c r="GQ1107" s="43"/>
      <c r="GR1107" s="43"/>
      <c r="GS1107" s="45"/>
      <c r="GT1107" s="49"/>
      <c r="GU1107" s="49"/>
      <c r="GV1107" s="49"/>
      <c r="GW1107" s="49"/>
      <c r="GX1107" s="49"/>
      <c r="GY1107" s="208"/>
      <c r="GZ1107" s="231"/>
      <c r="HA1107" s="231"/>
      <c r="HB1107" s="231"/>
      <c r="HC1107" s="231"/>
      <c r="HD1107" s="231"/>
      <c r="HE1107" s="231"/>
      <c r="HF1107" s="231"/>
      <c r="HG1107" s="231"/>
      <c r="HH1107" s="231"/>
      <c r="HI1107" s="232"/>
    </row>
    <row r="1108" spans="82:217" ht="10.75" customHeight="1">
      <c r="CD1108" s="229"/>
      <c r="CE1108" s="231"/>
      <c r="CF1108" s="231"/>
      <c r="CG1108" s="231"/>
      <c r="CH1108" s="231"/>
      <c r="CI1108" s="231"/>
      <c r="CJ1108" s="229"/>
      <c r="CK1108" s="318"/>
      <c r="CL1108" s="318"/>
      <c r="CM1108" s="318"/>
      <c r="CN1108" s="214"/>
      <c r="CO1108" s="319"/>
      <c r="CP1108" s="319"/>
      <c r="CQ1108" s="319"/>
      <c r="CR1108" s="319"/>
      <c r="CS1108" s="208"/>
      <c r="CT1108" s="43"/>
      <c r="CU1108" s="119"/>
      <c r="CV1108" s="315"/>
      <c r="CW1108" s="12"/>
      <c r="CX1108" s="317"/>
      <c r="CY1108" s="317"/>
      <c r="CZ1108" s="317"/>
      <c r="DA1108" s="317"/>
      <c r="DB1108" s="317"/>
      <c r="DC1108" s="317"/>
      <c r="DD1108" s="317"/>
      <c r="DE1108" s="317"/>
      <c r="DF1108" s="317"/>
      <c r="DG1108" s="317"/>
      <c r="DH1108" s="317"/>
      <c r="DI1108" s="317"/>
      <c r="DJ1108" s="317"/>
      <c r="DK1108" s="317"/>
      <c r="DL1108" s="317"/>
      <c r="DM1108" s="317"/>
      <c r="DN1108" s="317"/>
      <c r="DO1108" s="317"/>
      <c r="DP1108" s="317"/>
      <c r="DQ1108" s="317"/>
      <c r="DR1108" s="317"/>
      <c r="DS1108" s="317"/>
      <c r="DT1108" s="317"/>
      <c r="DU1108" s="317"/>
      <c r="DV1108" s="317"/>
      <c r="DW1108" s="317"/>
      <c r="DX1108" s="317"/>
      <c r="DY1108" s="317"/>
      <c r="DZ1108" s="317"/>
      <c r="EA1108" s="317"/>
      <c r="EB1108" s="317"/>
      <c r="EC1108" s="317"/>
      <c r="ED1108" s="317"/>
      <c r="EE1108" s="317"/>
      <c r="EF1108" s="317"/>
      <c r="EG1108" s="317"/>
      <c r="EH1108" s="317"/>
      <c r="EI1108" s="317"/>
      <c r="EJ1108" s="317"/>
      <c r="EK1108" s="317"/>
      <c r="EL1108" s="317"/>
      <c r="EM1108" s="317"/>
      <c r="EN1108" s="317"/>
      <c r="EO1108" s="317"/>
      <c r="EP1108" s="317"/>
      <c r="EQ1108" s="317"/>
      <c r="ER1108" s="317"/>
      <c r="ES1108" s="317"/>
      <c r="ET1108" s="317"/>
      <c r="EU1108" s="317"/>
      <c r="EV1108" s="317"/>
      <c r="EW1108" s="317"/>
      <c r="EX1108" s="317"/>
      <c r="EY1108" s="317"/>
      <c r="EZ1108" s="317"/>
      <c r="FA1108" s="291"/>
      <c r="FB1108" s="317"/>
      <c r="FC1108" s="317"/>
      <c r="FD1108" s="317"/>
      <c r="FE1108" s="317"/>
      <c r="FF1108" s="317"/>
      <c r="FG1108" s="317"/>
      <c r="FH1108" s="317"/>
      <c r="FI1108" s="317"/>
      <c r="FJ1108" s="317"/>
      <c r="FK1108" s="317"/>
      <c r="FL1108" s="317"/>
      <c r="FM1108" s="317"/>
      <c r="FN1108" s="317"/>
      <c r="FO1108" s="317"/>
      <c r="FP1108" s="317"/>
      <c r="FQ1108" s="317"/>
      <c r="FR1108" s="317"/>
      <c r="FS1108" s="317"/>
      <c r="FT1108" s="317"/>
      <c r="FU1108" s="317"/>
      <c r="FV1108" s="317"/>
      <c r="FW1108" s="317"/>
      <c r="FX1108" s="317"/>
      <c r="FY1108" s="317"/>
      <c r="FZ1108" s="317"/>
      <c r="GA1108" s="317"/>
      <c r="GB1108" s="317"/>
      <c r="GC1108" s="317"/>
      <c r="GD1108" s="317"/>
      <c r="GE1108" s="317"/>
      <c r="GF1108" s="317"/>
      <c r="GG1108" s="317"/>
      <c r="GH1108" s="317"/>
      <c r="GI1108" s="317"/>
      <c r="GJ1108" s="317"/>
      <c r="GK1108" s="317"/>
      <c r="GL1108" s="317"/>
      <c r="GM1108" s="317"/>
      <c r="GN1108" s="317"/>
      <c r="GO1108" s="317"/>
      <c r="GP1108" s="13"/>
      <c r="GQ1108" s="43"/>
      <c r="GR1108" s="43"/>
      <c r="GS1108" s="45"/>
      <c r="GT1108" s="49"/>
      <c r="GU1108" s="49"/>
      <c r="GV1108" s="49"/>
      <c r="GW1108" s="49"/>
      <c r="GX1108" s="49"/>
      <c r="GY1108" s="208"/>
      <c r="GZ1108" s="231"/>
      <c r="HA1108" s="231"/>
      <c r="HB1108" s="231"/>
      <c r="HC1108" s="231"/>
      <c r="HD1108" s="231"/>
      <c r="HE1108" s="231"/>
      <c r="HF1108" s="231"/>
      <c r="HG1108" s="231"/>
      <c r="HH1108" s="231"/>
      <c r="HI1108" s="232"/>
    </row>
    <row r="1109" spans="82:217" ht="10.75" customHeight="1">
      <c r="CD1109" s="229"/>
      <c r="CE1109" s="231"/>
      <c r="CF1109" s="231"/>
      <c r="CG1109" s="231"/>
      <c r="CH1109" s="231"/>
      <c r="CI1109" s="231"/>
      <c r="CJ1109" s="229"/>
      <c r="CK1109" s="318"/>
      <c r="CL1109" s="318"/>
      <c r="CM1109" s="318"/>
      <c r="CN1109" s="214"/>
      <c r="CO1109" s="319"/>
      <c r="CP1109" s="319"/>
      <c r="CQ1109" s="319"/>
      <c r="CR1109" s="319"/>
      <c r="CS1109" s="208"/>
      <c r="CT1109" s="43"/>
      <c r="CU1109" s="119"/>
      <c r="CV1109" s="315"/>
      <c r="CW1109" s="12"/>
      <c r="CX1109" s="317"/>
      <c r="CY1109" s="317"/>
      <c r="CZ1109" s="317"/>
      <c r="DA1109" s="317"/>
      <c r="DB1109" s="317"/>
      <c r="DC1109" s="317"/>
      <c r="DD1109" s="317"/>
      <c r="DE1109" s="317"/>
      <c r="DF1109" s="317"/>
      <c r="DG1109" s="317"/>
      <c r="DH1109" s="317"/>
      <c r="DI1109" s="317"/>
      <c r="DJ1109" s="317"/>
      <c r="DK1109" s="317"/>
      <c r="DL1109" s="317"/>
      <c r="DM1109" s="317"/>
      <c r="DN1109" s="317"/>
      <c r="DO1109" s="317"/>
      <c r="DP1109" s="317"/>
      <c r="DQ1109" s="317"/>
      <c r="DR1109" s="317"/>
      <c r="DS1109" s="317"/>
      <c r="DT1109" s="317"/>
      <c r="DU1109" s="317"/>
      <c r="DV1109" s="317"/>
      <c r="DW1109" s="317"/>
      <c r="DX1109" s="317"/>
      <c r="DY1109" s="317"/>
      <c r="DZ1109" s="317"/>
      <c r="EA1109" s="317"/>
      <c r="EB1109" s="317"/>
      <c r="EC1109" s="317"/>
      <c r="ED1109" s="317"/>
      <c r="EE1109" s="317"/>
      <c r="EF1109" s="317"/>
      <c r="EG1109" s="317"/>
      <c r="EH1109" s="317"/>
      <c r="EI1109" s="317"/>
      <c r="EJ1109" s="317"/>
      <c r="EK1109" s="317"/>
      <c r="EL1109" s="317"/>
      <c r="EM1109" s="317"/>
      <c r="EN1109" s="317"/>
      <c r="EO1109" s="317"/>
      <c r="EP1109" s="317"/>
      <c r="EQ1109" s="317"/>
      <c r="ER1109" s="317"/>
      <c r="ES1109" s="317"/>
      <c r="ET1109" s="317"/>
      <c r="EU1109" s="317"/>
      <c r="EV1109" s="317"/>
      <c r="EW1109" s="317"/>
      <c r="EX1109" s="317"/>
      <c r="EY1109" s="317"/>
      <c r="EZ1109" s="317"/>
      <c r="FA1109" s="291"/>
      <c r="FB1109" s="317"/>
      <c r="FC1109" s="317"/>
      <c r="FD1109" s="317"/>
      <c r="FE1109" s="317"/>
      <c r="FF1109" s="317"/>
      <c r="FG1109" s="317"/>
      <c r="FH1109" s="317"/>
      <c r="FI1109" s="317"/>
      <c r="FJ1109" s="317"/>
      <c r="FK1109" s="317"/>
      <c r="FL1109" s="317"/>
      <c r="FM1109" s="317"/>
      <c r="FN1109" s="317"/>
      <c r="FO1109" s="317"/>
      <c r="FP1109" s="317"/>
      <c r="FQ1109" s="317"/>
      <c r="FR1109" s="317"/>
      <c r="FS1109" s="317"/>
      <c r="FT1109" s="317"/>
      <c r="FU1109" s="317"/>
      <c r="FV1109" s="317"/>
      <c r="FW1109" s="317"/>
      <c r="FX1109" s="317"/>
      <c r="FY1109" s="317"/>
      <c r="FZ1109" s="317"/>
      <c r="GA1109" s="317"/>
      <c r="GB1109" s="317"/>
      <c r="GC1109" s="317"/>
      <c r="GD1109" s="317"/>
      <c r="GE1109" s="317"/>
      <c r="GF1109" s="317"/>
      <c r="GG1109" s="317"/>
      <c r="GH1109" s="317"/>
      <c r="GI1109" s="317"/>
      <c r="GJ1109" s="317"/>
      <c r="GK1109" s="317"/>
      <c r="GL1109" s="317"/>
      <c r="GM1109" s="317"/>
      <c r="GN1109" s="317"/>
      <c r="GO1109" s="317"/>
      <c r="GP1109" s="13"/>
      <c r="GQ1109" s="43"/>
      <c r="GR1109" s="43"/>
      <c r="GS1109" s="45"/>
      <c r="GT1109" s="49"/>
      <c r="GU1109" s="49"/>
      <c r="GV1109" s="49"/>
      <c r="GW1109" s="49"/>
      <c r="GX1109" s="49"/>
      <c r="GY1109" s="208"/>
      <c r="GZ1109" s="231"/>
      <c r="HA1109" s="231"/>
      <c r="HB1109" s="231"/>
      <c r="HC1109" s="231"/>
      <c r="HD1109" s="231"/>
      <c r="HE1109" s="231"/>
      <c r="HF1109" s="231"/>
      <c r="HG1109" s="231"/>
      <c r="HH1109" s="231"/>
      <c r="HI1109" s="232"/>
    </row>
    <row r="1110" spans="82:217" ht="10.75" customHeight="1">
      <c r="CD1110" s="229"/>
      <c r="CE1110" s="231"/>
      <c r="CF1110" s="231"/>
      <c r="CG1110" s="231"/>
      <c r="CH1110" s="231"/>
      <c r="CI1110" s="231"/>
      <c r="CJ1110" s="229"/>
      <c r="CK1110" s="318"/>
      <c r="CL1110" s="318"/>
      <c r="CM1110" s="318"/>
      <c r="CN1110" s="214"/>
      <c r="CO1110" s="319"/>
      <c r="CP1110" s="319"/>
      <c r="CQ1110" s="319"/>
      <c r="CR1110" s="319"/>
      <c r="CS1110" s="208"/>
      <c r="CT1110" s="43"/>
      <c r="CU1110" s="119"/>
      <c r="CV1110" s="315"/>
      <c r="CW1110" s="12"/>
      <c r="CX1110" s="317"/>
      <c r="CY1110" s="317"/>
      <c r="CZ1110" s="317"/>
      <c r="DA1110" s="317"/>
      <c r="DB1110" s="317"/>
      <c r="DC1110" s="317"/>
      <c r="DD1110" s="317"/>
      <c r="DE1110" s="317"/>
      <c r="DF1110" s="317"/>
      <c r="DG1110" s="317"/>
      <c r="DH1110" s="317"/>
      <c r="DI1110" s="317"/>
      <c r="DJ1110" s="317"/>
      <c r="DK1110" s="317"/>
      <c r="DL1110" s="317"/>
      <c r="DM1110" s="9"/>
      <c r="DN1110" s="10"/>
      <c r="DO1110" s="10"/>
      <c r="DP1110" s="10"/>
      <c r="DQ1110" s="10"/>
      <c r="DR1110" s="10"/>
      <c r="DS1110" s="10"/>
      <c r="DT1110" s="11"/>
      <c r="DU1110" s="9"/>
      <c r="DV1110" s="10"/>
      <c r="DW1110" s="10"/>
      <c r="DX1110" s="10"/>
      <c r="DY1110" s="10"/>
      <c r="DZ1110" s="10"/>
      <c r="EA1110" s="10"/>
      <c r="EB1110" s="11"/>
      <c r="EC1110" s="9"/>
      <c r="ED1110" s="10"/>
      <c r="EE1110" s="10"/>
      <c r="EF1110" s="10"/>
      <c r="EG1110" s="10"/>
      <c r="EH1110" s="10"/>
      <c r="EI1110" s="10"/>
      <c r="EJ1110" s="11"/>
      <c r="EK1110" s="10"/>
      <c r="EL1110" s="10"/>
      <c r="EM1110" s="10"/>
      <c r="EN1110" s="10"/>
      <c r="EO1110" s="10"/>
      <c r="EP1110" s="10"/>
      <c r="EQ1110" s="10"/>
      <c r="ER1110" s="11"/>
      <c r="ES1110" s="9"/>
      <c r="ET1110" s="11"/>
      <c r="EU1110" s="317"/>
      <c r="EV1110" s="317"/>
      <c r="EW1110" s="317"/>
      <c r="EX1110" s="317"/>
      <c r="EY1110" s="317"/>
      <c r="EZ1110" s="317"/>
      <c r="FA1110" s="291"/>
      <c r="FB1110" s="317"/>
      <c r="FC1110" s="317"/>
      <c r="FD1110" s="317"/>
      <c r="FE1110" s="317"/>
      <c r="FF1110" s="317"/>
      <c r="FG1110" s="317"/>
      <c r="FH1110" s="317"/>
      <c r="FI1110" s="317"/>
      <c r="FJ1110" s="317"/>
      <c r="FK1110" s="317"/>
      <c r="FL1110" s="317"/>
      <c r="FM1110" s="317"/>
      <c r="FN1110" s="317"/>
      <c r="FO1110" s="317"/>
      <c r="FP1110" s="317"/>
      <c r="FQ1110" s="317"/>
      <c r="FR1110" s="317"/>
      <c r="FS1110" s="317"/>
      <c r="FT1110" s="317"/>
      <c r="FU1110" s="317"/>
      <c r="FV1110" s="317"/>
      <c r="FW1110" s="317"/>
      <c r="FX1110" s="317"/>
      <c r="FY1110" s="317"/>
      <c r="FZ1110" s="317"/>
      <c r="GA1110" s="317"/>
      <c r="GB1110" s="317"/>
      <c r="GC1110" s="317"/>
      <c r="GD1110" s="317"/>
      <c r="GE1110" s="317"/>
      <c r="GF1110" s="317"/>
      <c r="GG1110" s="317"/>
      <c r="GH1110" s="317"/>
      <c r="GI1110" s="317"/>
      <c r="GJ1110" s="317"/>
      <c r="GK1110" s="317"/>
      <c r="GL1110" s="317"/>
      <c r="GM1110" s="317"/>
      <c r="GN1110" s="317"/>
      <c r="GO1110" s="317"/>
      <c r="GP1110" s="13"/>
      <c r="GQ1110" s="43"/>
      <c r="GR1110" s="43"/>
      <c r="GS1110" s="45"/>
      <c r="GT1110" s="49"/>
      <c r="GU1110" s="49"/>
      <c r="GV1110" s="49"/>
      <c r="GW1110" s="49"/>
      <c r="GX1110" s="49"/>
      <c r="GY1110" s="208"/>
      <c r="GZ1110" s="231"/>
      <c r="HA1110" s="231"/>
      <c r="HB1110" s="231"/>
      <c r="HC1110" s="231"/>
      <c r="HD1110" s="231"/>
      <c r="HE1110" s="231"/>
      <c r="HF1110" s="231"/>
      <c r="HG1110" s="231"/>
      <c r="HH1110" s="231"/>
      <c r="HI1110" s="232"/>
    </row>
    <row r="1111" spans="82:217" ht="10.75" customHeight="1">
      <c r="CD1111" s="229"/>
      <c r="CE1111" s="231"/>
      <c r="CF1111" s="231"/>
      <c r="CG1111" s="231"/>
      <c r="CH1111" s="231"/>
      <c r="CI1111" s="231"/>
      <c r="CJ1111" s="229"/>
      <c r="CK1111" s="318"/>
      <c r="CL1111" s="318"/>
      <c r="CM1111" s="318"/>
      <c r="CN1111" s="214"/>
      <c r="CO1111" s="319"/>
      <c r="CP1111" s="319"/>
      <c r="CQ1111" s="319"/>
      <c r="CR1111" s="319"/>
      <c r="CS1111" s="208"/>
      <c r="CT1111" s="43"/>
      <c r="CU1111" s="119"/>
      <c r="CV1111" s="315"/>
      <c r="CW1111" s="12"/>
      <c r="CX1111" s="317"/>
      <c r="CY1111" s="317"/>
      <c r="CZ1111" s="317"/>
      <c r="DA1111" s="317"/>
      <c r="DB1111" s="317"/>
      <c r="DC1111" s="317"/>
      <c r="DD1111" s="317"/>
      <c r="DE1111" s="317"/>
      <c r="DF1111" s="317"/>
      <c r="DG1111" s="317"/>
      <c r="DH1111" s="317"/>
      <c r="DI1111" s="317"/>
      <c r="DJ1111" s="317"/>
      <c r="DK1111" s="317"/>
      <c r="DL1111" s="317"/>
      <c r="DM1111" s="12"/>
      <c r="DN1111" s="317"/>
      <c r="DO1111" s="317"/>
      <c r="DP1111" s="317"/>
      <c r="DQ1111" s="317"/>
      <c r="DR1111" s="317"/>
      <c r="DS1111" s="317"/>
      <c r="DT1111" s="13"/>
      <c r="DU1111" s="12"/>
      <c r="DV1111" s="317"/>
      <c r="DW1111" s="317"/>
      <c r="DX1111" s="317"/>
      <c r="DY1111" s="317"/>
      <c r="DZ1111" s="317"/>
      <c r="EA1111" s="317"/>
      <c r="EB1111" s="13"/>
      <c r="EC1111" s="12"/>
      <c r="ED1111" s="317"/>
      <c r="EE1111" s="317"/>
      <c r="EF1111" s="317"/>
      <c r="EG1111" s="317"/>
      <c r="EH1111" s="317"/>
      <c r="EI1111" s="317"/>
      <c r="EJ1111" s="13"/>
      <c r="EK1111" s="317"/>
      <c r="EL1111" s="317"/>
      <c r="EM1111" s="317"/>
      <c r="EN1111" s="317"/>
      <c r="EO1111" s="317"/>
      <c r="EP1111" s="317"/>
      <c r="EQ1111" s="317"/>
      <c r="ER1111" s="13"/>
      <c r="ES1111" s="12"/>
      <c r="ET1111" s="13"/>
      <c r="EU1111" s="317"/>
      <c r="EV1111" s="317"/>
      <c r="EW1111" s="317"/>
      <c r="EX1111" s="317"/>
      <c r="EY1111" s="317"/>
      <c r="EZ1111" s="317"/>
      <c r="FA1111" s="291"/>
      <c r="FB1111" s="317"/>
      <c r="FC1111" s="317"/>
      <c r="FD1111" s="317"/>
      <c r="FE1111" s="317"/>
      <c r="FF1111" s="317"/>
      <c r="FG1111" s="317"/>
      <c r="FH1111" s="317"/>
      <c r="FI1111" s="317"/>
      <c r="FJ1111" s="317"/>
      <c r="FK1111" s="317"/>
      <c r="FL1111" s="317"/>
      <c r="FM1111" s="317"/>
      <c r="FN1111" s="317"/>
      <c r="FO1111" s="317"/>
      <c r="FP1111" s="317"/>
      <c r="FQ1111" s="317"/>
      <c r="FR1111" s="317"/>
      <c r="FS1111" s="317"/>
      <c r="FT1111" s="317"/>
      <c r="FU1111" s="317"/>
      <c r="FV1111" s="317"/>
      <c r="FW1111" s="317"/>
      <c r="FX1111" s="317"/>
      <c r="FY1111" s="317"/>
      <c r="FZ1111" s="317"/>
      <c r="GA1111" s="317"/>
      <c r="GB1111" s="317"/>
      <c r="GC1111" s="317"/>
      <c r="GD1111" s="317"/>
      <c r="GE1111" s="317"/>
      <c r="GF1111" s="317"/>
      <c r="GG1111" s="317"/>
      <c r="GH1111" s="317"/>
      <c r="GI1111" s="317"/>
      <c r="GJ1111" s="317"/>
      <c r="GK1111" s="317"/>
      <c r="GL1111" s="317"/>
      <c r="GM1111" s="317"/>
      <c r="GN1111" s="317"/>
      <c r="GO1111" s="317"/>
      <c r="GP1111" s="13"/>
      <c r="GQ1111" s="43"/>
      <c r="GR1111" s="43"/>
      <c r="GS1111" s="45"/>
      <c r="GT1111" s="49"/>
      <c r="GU1111" s="49"/>
      <c r="GV1111" s="49"/>
      <c r="GW1111" s="49"/>
      <c r="GX1111" s="49"/>
      <c r="GY1111" s="208"/>
      <c r="GZ1111" s="231"/>
      <c r="HA1111" s="231"/>
      <c r="HB1111" s="231"/>
      <c r="HC1111" s="231"/>
      <c r="HD1111" s="231"/>
      <c r="HE1111" s="231"/>
      <c r="HF1111" s="231"/>
      <c r="HG1111" s="231"/>
      <c r="HH1111" s="231"/>
      <c r="HI1111" s="232"/>
    </row>
    <row r="1112" spans="82:217" ht="10.75" customHeight="1">
      <c r="CD1112" s="229"/>
      <c r="CE1112" s="231"/>
      <c r="CF1112" s="231"/>
      <c r="CG1112" s="231"/>
      <c r="CH1112" s="231"/>
      <c r="CI1112" s="231"/>
      <c r="CJ1112" s="229"/>
      <c r="CK1112" s="318"/>
      <c r="CL1112" s="318"/>
      <c r="CM1112" s="318"/>
      <c r="CN1112" s="214"/>
      <c r="CO1112" s="319"/>
      <c r="CP1112" s="319"/>
      <c r="CQ1112" s="319"/>
      <c r="CR1112" s="319"/>
      <c r="CS1112" s="208"/>
      <c r="CT1112" s="43"/>
      <c r="CU1112" s="119"/>
      <c r="CV1112" s="315"/>
      <c r="CW1112" s="12"/>
      <c r="CX1112" s="317"/>
      <c r="CY1112" s="317"/>
      <c r="CZ1112" s="317"/>
      <c r="DA1112" s="317"/>
      <c r="DB1112" s="317"/>
      <c r="DC1112" s="317"/>
      <c r="DD1112" s="317"/>
      <c r="DE1112" s="317"/>
      <c r="DF1112" s="317"/>
      <c r="DG1112" s="317"/>
      <c r="DH1112" s="317"/>
      <c r="DI1112" s="317"/>
      <c r="DJ1112" s="317"/>
      <c r="DK1112" s="317"/>
      <c r="DL1112" s="317"/>
      <c r="DM1112" s="12"/>
      <c r="DN1112" s="317"/>
      <c r="DO1112" s="317"/>
      <c r="DP1112" s="317"/>
      <c r="DQ1112" s="317"/>
      <c r="DR1112" s="317"/>
      <c r="DS1112" s="317"/>
      <c r="DT1112" s="13"/>
      <c r="DU1112" s="12"/>
      <c r="DV1112" s="317"/>
      <c r="DW1112" s="317"/>
      <c r="DX1112" s="317"/>
      <c r="DY1112" s="317"/>
      <c r="DZ1112" s="317"/>
      <c r="EA1112" s="317"/>
      <c r="EB1112" s="13"/>
      <c r="EC1112" s="12"/>
      <c r="ED1112" s="317"/>
      <c r="EE1112" s="317"/>
      <c r="EF1112" s="317"/>
      <c r="EG1112" s="317"/>
      <c r="EH1112" s="317"/>
      <c r="EI1112" s="317"/>
      <c r="EJ1112" s="13"/>
      <c r="EK1112" s="317"/>
      <c r="EL1112" s="317"/>
      <c r="EM1112" s="317"/>
      <c r="EN1112" s="317"/>
      <c r="EO1112" s="317"/>
      <c r="EP1112" s="317"/>
      <c r="EQ1112" s="317"/>
      <c r="ER1112" s="13"/>
      <c r="ES1112" s="12"/>
      <c r="ET1112" s="13"/>
      <c r="EU1112" s="317"/>
      <c r="EV1112" s="317"/>
      <c r="EW1112" s="317"/>
      <c r="EX1112" s="317"/>
      <c r="EY1112" s="317"/>
      <c r="EZ1112" s="317"/>
      <c r="FA1112" s="291"/>
      <c r="FB1112" s="317"/>
      <c r="FC1112" s="317"/>
      <c r="FD1112" s="317"/>
      <c r="FE1112" s="317"/>
      <c r="FF1112" s="317"/>
      <c r="FG1112" s="317"/>
      <c r="FH1112" s="317"/>
      <c r="FI1112" s="317"/>
      <c r="FJ1112" s="317"/>
      <c r="FK1112" s="317"/>
      <c r="FL1112" s="317"/>
      <c r="FM1112" s="317"/>
      <c r="FN1112" s="317"/>
      <c r="FO1112" s="317"/>
      <c r="FP1112" s="317"/>
      <c r="FQ1112" s="317"/>
      <c r="FR1112" s="317"/>
      <c r="FS1112" s="317"/>
      <c r="FT1112" s="317"/>
      <c r="FU1112" s="317"/>
      <c r="FV1112" s="317"/>
      <c r="FW1112" s="317"/>
      <c r="FX1112" s="317"/>
      <c r="FY1112" s="317"/>
      <c r="FZ1112" s="317"/>
      <c r="GA1112" s="317"/>
      <c r="GB1112" s="317"/>
      <c r="GC1112" s="317"/>
      <c r="GD1112" s="317"/>
      <c r="GE1112" s="317"/>
      <c r="GF1112" s="317"/>
      <c r="GG1112" s="317"/>
      <c r="GH1112" s="317"/>
      <c r="GI1112" s="317"/>
      <c r="GJ1112" s="317"/>
      <c r="GK1112" s="317"/>
      <c r="GL1112" s="317"/>
      <c r="GM1112" s="317"/>
      <c r="GN1112" s="317"/>
      <c r="GO1112" s="317"/>
      <c r="GP1112" s="13"/>
      <c r="GQ1112" s="43"/>
      <c r="GR1112" s="43"/>
      <c r="GS1112" s="45"/>
      <c r="GT1112" s="49"/>
      <c r="GU1112" s="49"/>
      <c r="GV1112" s="49"/>
      <c r="GW1112" s="49"/>
      <c r="GX1112" s="49"/>
      <c r="GY1112" s="208"/>
      <c r="GZ1112" s="231"/>
      <c r="HA1112" s="231"/>
      <c r="HB1112" s="231"/>
      <c r="HC1112" s="231"/>
      <c r="HD1112" s="231"/>
      <c r="HE1112" s="231"/>
      <c r="HF1112" s="231"/>
      <c r="HG1112" s="231"/>
      <c r="HH1112" s="231"/>
      <c r="HI1112" s="232"/>
    </row>
    <row r="1113" spans="82:217" ht="10.75" customHeight="1">
      <c r="CD1113" s="229"/>
      <c r="CE1113" s="231"/>
      <c r="CF1113" s="231"/>
      <c r="CG1113" s="231"/>
      <c r="CH1113" s="231"/>
      <c r="CI1113" s="231"/>
      <c r="CJ1113" s="229"/>
      <c r="CK1113" s="318"/>
      <c r="CL1113" s="318"/>
      <c r="CM1113" s="318"/>
      <c r="CN1113" s="214"/>
      <c r="CO1113" s="319"/>
      <c r="CP1113" s="319"/>
      <c r="CQ1113" s="319"/>
      <c r="CR1113" s="319"/>
      <c r="CS1113" s="208"/>
      <c r="CT1113" s="43"/>
      <c r="CU1113" s="119"/>
      <c r="CV1113" s="315"/>
      <c r="CW1113" s="12"/>
      <c r="CX1113" s="317"/>
      <c r="CY1113" s="317"/>
      <c r="CZ1113" s="317"/>
      <c r="DA1113" s="317"/>
      <c r="DB1113" s="317"/>
      <c r="DC1113" s="317"/>
      <c r="DD1113" s="317"/>
      <c r="DE1113" s="317"/>
      <c r="DF1113" s="317"/>
      <c r="DG1113" s="317"/>
      <c r="DH1113" s="317"/>
      <c r="DI1113" s="317"/>
      <c r="DJ1113" s="317"/>
      <c r="DK1113" s="317"/>
      <c r="DL1113" s="317"/>
      <c r="DM1113" s="12"/>
      <c r="DN1113" s="317"/>
      <c r="DO1113" s="317"/>
      <c r="DP1113" s="317"/>
      <c r="DQ1113" s="317"/>
      <c r="DR1113" s="317"/>
      <c r="DS1113" s="317"/>
      <c r="DT1113" s="13"/>
      <c r="DU1113" s="12"/>
      <c r="DV1113" s="317"/>
      <c r="DW1113" s="317"/>
      <c r="DX1113" s="317"/>
      <c r="DY1113" s="317"/>
      <c r="DZ1113" s="317"/>
      <c r="EA1113" s="317"/>
      <c r="EB1113" s="13"/>
      <c r="EC1113" s="12"/>
      <c r="ED1113" s="317"/>
      <c r="EE1113" s="317"/>
      <c r="EF1113" s="317"/>
      <c r="EG1113" s="317"/>
      <c r="EH1113" s="317"/>
      <c r="EI1113" s="317"/>
      <c r="EJ1113" s="13"/>
      <c r="EK1113" s="317"/>
      <c r="EL1113" s="317"/>
      <c r="EM1113" s="317"/>
      <c r="EN1113" s="317"/>
      <c r="EO1113" s="317"/>
      <c r="EP1113" s="317"/>
      <c r="EQ1113" s="317"/>
      <c r="ER1113" s="13"/>
      <c r="ES1113" s="12"/>
      <c r="ET1113" s="13"/>
      <c r="EU1113" s="317"/>
      <c r="EV1113" s="317"/>
      <c r="EW1113" s="317"/>
      <c r="EX1113" s="317"/>
      <c r="EY1113" s="317"/>
      <c r="EZ1113" s="317"/>
      <c r="FA1113" s="291"/>
      <c r="FB1113" s="317"/>
      <c r="FC1113" s="317"/>
      <c r="FD1113" s="317"/>
      <c r="FE1113" s="317"/>
      <c r="FF1113" s="317"/>
      <c r="FG1113" s="317"/>
      <c r="FH1113" s="317"/>
      <c r="FI1113" s="317"/>
      <c r="FJ1113" s="317"/>
      <c r="FK1113" s="317"/>
      <c r="FL1113" s="317"/>
      <c r="FM1113" s="317"/>
      <c r="FN1113" s="317"/>
      <c r="FO1113" s="317"/>
      <c r="FP1113" s="317"/>
      <c r="FQ1113" s="317"/>
      <c r="FR1113" s="317"/>
      <c r="FS1113" s="317"/>
      <c r="FT1113" s="317"/>
      <c r="FU1113" s="317"/>
      <c r="FV1113" s="317"/>
      <c r="FW1113" s="317"/>
      <c r="FX1113" s="317"/>
      <c r="FY1113" s="317"/>
      <c r="FZ1113" s="317"/>
      <c r="GA1113" s="317"/>
      <c r="GB1113" s="317"/>
      <c r="GC1113" s="317"/>
      <c r="GD1113" s="317"/>
      <c r="GE1113" s="317"/>
      <c r="GF1113" s="317"/>
      <c r="GG1113" s="317"/>
      <c r="GH1113" s="317"/>
      <c r="GI1113" s="317"/>
      <c r="GJ1113" s="317"/>
      <c r="GK1113" s="317"/>
      <c r="GL1113" s="317"/>
      <c r="GM1113" s="317"/>
      <c r="GN1113" s="317"/>
      <c r="GO1113" s="317"/>
      <c r="GP1113" s="13"/>
      <c r="GQ1113" s="43"/>
      <c r="GR1113" s="43"/>
      <c r="GS1113" s="45"/>
      <c r="GT1113" s="49"/>
      <c r="GU1113" s="49"/>
      <c r="GV1113" s="49"/>
      <c r="GW1113" s="49"/>
      <c r="GX1113" s="49"/>
      <c r="GY1113" s="208"/>
      <c r="GZ1113" s="231"/>
      <c r="HA1113" s="231"/>
      <c r="HB1113" s="231"/>
      <c r="HC1113" s="231"/>
      <c r="HD1113" s="231"/>
      <c r="HE1113" s="231"/>
      <c r="HF1113" s="231"/>
      <c r="HG1113" s="231"/>
      <c r="HH1113" s="231"/>
      <c r="HI1113" s="232"/>
    </row>
    <row r="1114" spans="82:217" ht="10.75" customHeight="1">
      <c r="CD1114" s="229"/>
      <c r="CE1114" s="231"/>
      <c r="CF1114" s="231"/>
      <c r="CG1114" s="231"/>
      <c r="CH1114" s="231"/>
      <c r="CI1114" s="231"/>
      <c r="CJ1114" s="229"/>
      <c r="CK1114" s="318"/>
      <c r="CL1114" s="318"/>
      <c r="CM1114" s="318"/>
      <c r="CN1114" s="214"/>
      <c r="CO1114" s="319"/>
      <c r="CP1114" s="319"/>
      <c r="CQ1114" s="319"/>
      <c r="CR1114" s="319"/>
      <c r="CS1114" s="208"/>
      <c r="CT1114" s="43"/>
      <c r="CU1114" s="119"/>
      <c r="CV1114" s="315"/>
      <c r="CW1114" s="12"/>
      <c r="CX1114" s="317"/>
      <c r="CY1114" s="317"/>
      <c r="CZ1114" s="317"/>
      <c r="DA1114" s="317"/>
      <c r="DB1114" s="317"/>
      <c r="DC1114" s="317"/>
      <c r="DD1114" s="317"/>
      <c r="DE1114" s="317"/>
      <c r="DF1114" s="317"/>
      <c r="DG1114" s="317"/>
      <c r="DH1114" s="317"/>
      <c r="DI1114" s="317"/>
      <c r="DJ1114" s="317"/>
      <c r="DK1114" s="317"/>
      <c r="DL1114" s="317"/>
      <c r="DM1114" s="12"/>
      <c r="DN1114" s="317"/>
      <c r="DO1114" s="317"/>
      <c r="DP1114" s="317"/>
      <c r="DQ1114" s="317"/>
      <c r="DR1114" s="317"/>
      <c r="DS1114" s="317"/>
      <c r="DT1114" s="13"/>
      <c r="DU1114" s="12"/>
      <c r="DV1114" s="317"/>
      <c r="DW1114" s="317"/>
      <c r="DX1114" s="317"/>
      <c r="DY1114" s="317"/>
      <c r="DZ1114" s="317"/>
      <c r="EA1114" s="317"/>
      <c r="EB1114" s="13"/>
      <c r="EC1114" s="12"/>
      <c r="ED1114" s="317"/>
      <c r="EE1114" s="317"/>
      <c r="EF1114" s="317"/>
      <c r="EG1114" s="317"/>
      <c r="EH1114" s="317"/>
      <c r="EI1114" s="317"/>
      <c r="EJ1114" s="13"/>
      <c r="EK1114" s="317"/>
      <c r="EL1114" s="317"/>
      <c r="EM1114" s="317"/>
      <c r="EN1114" s="317"/>
      <c r="EO1114" s="317"/>
      <c r="EP1114" s="317"/>
      <c r="EQ1114" s="317"/>
      <c r="ER1114" s="13"/>
      <c r="ES1114" s="12"/>
      <c r="ET1114" s="13"/>
      <c r="EU1114" s="317"/>
      <c r="EV1114" s="317"/>
      <c r="EW1114" s="317"/>
      <c r="EX1114" s="317"/>
      <c r="EY1114" s="317"/>
      <c r="EZ1114" s="317"/>
      <c r="FA1114" s="291"/>
      <c r="FB1114" s="317"/>
      <c r="FC1114" s="317"/>
      <c r="FD1114" s="317"/>
      <c r="FE1114" s="317"/>
      <c r="FF1114" s="317"/>
      <c r="FG1114" s="317"/>
      <c r="FH1114" s="317"/>
      <c r="FI1114" s="317"/>
      <c r="FJ1114" s="317"/>
      <c r="FK1114" s="317"/>
      <c r="FL1114" s="317"/>
      <c r="FM1114" s="317"/>
      <c r="FN1114" s="317"/>
      <c r="FO1114" s="317"/>
      <c r="FP1114" s="317"/>
      <c r="FQ1114" s="317"/>
      <c r="FR1114" s="317"/>
      <c r="FS1114" s="317"/>
      <c r="FT1114" s="317"/>
      <c r="FU1114" s="317"/>
      <c r="FV1114" s="317"/>
      <c r="FW1114" s="317"/>
      <c r="FX1114" s="317"/>
      <c r="FY1114" s="317"/>
      <c r="FZ1114" s="317"/>
      <c r="GA1114" s="317"/>
      <c r="GB1114" s="317"/>
      <c r="GC1114" s="317"/>
      <c r="GD1114" s="317"/>
      <c r="GE1114" s="317"/>
      <c r="GF1114" s="317"/>
      <c r="GG1114" s="317"/>
      <c r="GH1114" s="317"/>
      <c r="GI1114" s="317"/>
      <c r="GJ1114" s="317"/>
      <c r="GK1114" s="317"/>
      <c r="GL1114" s="317"/>
      <c r="GM1114" s="317"/>
      <c r="GN1114" s="317"/>
      <c r="GO1114" s="317"/>
      <c r="GP1114" s="13"/>
      <c r="GQ1114" s="43"/>
      <c r="GR1114" s="43"/>
      <c r="GS1114" s="45"/>
      <c r="GT1114" s="49"/>
      <c r="GU1114" s="49"/>
      <c r="GV1114" s="49"/>
      <c r="GW1114" s="49"/>
      <c r="GX1114" s="49"/>
      <c r="GY1114" s="208"/>
      <c r="GZ1114" s="231"/>
      <c r="HA1114" s="231"/>
      <c r="HB1114" s="231"/>
      <c r="HC1114" s="231"/>
      <c r="HD1114" s="231"/>
      <c r="HE1114" s="231"/>
      <c r="HF1114" s="231"/>
      <c r="HG1114" s="231"/>
      <c r="HH1114" s="231"/>
      <c r="HI1114" s="232"/>
    </row>
    <row r="1115" spans="82:217" ht="10.75" customHeight="1">
      <c r="CD1115" s="229"/>
      <c r="CE1115" s="231"/>
      <c r="CF1115" s="231"/>
      <c r="CG1115" s="231"/>
      <c r="CH1115" s="231"/>
      <c r="CI1115" s="231"/>
      <c r="CJ1115" s="229"/>
      <c r="CK1115" s="318"/>
      <c r="CL1115" s="318"/>
      <c r="CM1115" s="318"/>
      <c r="CN1115" s="214"/>
      <c r="CO1115" s="319"/>
      <c r="CP1115" s="319"/>
      <c r="CQ1115" s="319"/>
      <c r="CR1115" s="319"/>
      <c r="CS1115" s="208"/>
      <c r="CT1115" s="43"/>
      <c r="CU1115" s="119"/>
      <c r="CV1115" s="315"/>
      <c r="CW1115" s="12"/>
      <c r="CX1115" s="317"/>
      <c r="CY1115" s="317"/>
      <c r="CZ1115" s="317"/>
      <c r="DA1115" s="317"/>
      <c r="DB1115" s="317"/>
      <c r="DC1115" s="317"/>
      <c r="DD1115" s="317"/>
      <c r="DE1115" s="317"/>
      <c r="DF1115" s="317"/>
      <c r="DG1115" s="317"/>
      <c r="DH1115" s="317"/>
      <c r="DI1115" s="317"/>
      <c r="DJ1115" s="317"/>
      <c r="DK1115" s="317"/>
      <c r="DL1115" s="317"/>
      <c r="DM1115" s="12"/>
      <c r="DN1115" s="317"/>
      <c r="DO1115" s="317"/>
      <c r="DP1115" s="317"/>
      <c r="DQ1115" s="317"/>
      <c r="DR1115" s="317"/>
      <c r="DS1115" s="317"/>
      <c r="DT1115" s="13"/>
      <c r="DU1115" s="12"/>
      <c r="DV1115" s="317"/>
      <c r="DW1115" s="317"/>
      <c r="DX1115" s="317"/>
      <c r="DY1115" s="317"/>
      <c r="DZ1115" s="317"/>
      <c r="EA1115" s="317"/>
      <c r="EB1115" s="13"/>
      <c r="EC1115" s="12"/>
      <c r="ED1115" s="317"/>
      <c r="EE1115" s="317"/>
      <c r="EF1115" s="317"/>
      <c r="EG1115" s="317"/>
      <c r="EH1115" s="317"/>
      <c r="EI1115" s="317"/>
      <c r="EJ1115" s="13"/>
      <c r="EK1115" s="317"/>
      <c r="EL1115" s="317"/>
      <c r="EM1115" s="317"/>
      <c r="EN1115" s="317"/>
      <c r="EO1115" s="317"/>
      <c r="EP1115" s="317"/>
      <c r="EQ1115" s="317"/>
      <c r="ER1115" s="13"/>
      <c r="ES1115" s="12"/>
      <c r="ET1115" s="13"/>
      <c r="EU1115" s="317"/>
      <c r="EV1115" s="317"/>
      <c r="EW1115" s="317"/>
      <c r="EX1115" s="317"/>
      <c r="EY1115" s="317"/>
      <c r="EZ1115" s="317"/>
      <c r="FA1115" s="291"/>
      <c r="FB1115" s="317"/>
      <c r="FC1115" s="317"/>
      <c r="FD1115" s="317"/>
      <c r="FE1115" s="317"/>
      <c r="FF1115" s="317"/>
      <c r="FG1115" s="317"/>
      <c r="FH1115" s="317"/>
      <c r="FI1115" s="317"/>
      <c r="FJ1115" s="317"/>
      <c r="FK1115" s="317"/>
      <c r="FL1115" s="317"/>
      <c r="FM1115" s="317"/>
      <c r="FN1115" s="317"/>
      <c r="FO1115" s="317"/>
      <c r="FP1115" s="317"/>
      <c r="FQ1115" s="317"/>
      <c r="FR1115" s="317"/>
      <c r="FS1115" s="317"/>
      <c r="FT1115" s="317"/>
      <c r="FU1115" s="317"/>
      <c r="FV1115" s="317"/>
      <c r="FW1115" s="317"/>
      <c r="FX1115" s="317"/>
      <c r="FY1115" s="317"/>
      <c r="FZ1115" s="317"/>
      <c r="GA1115" s="317"/>
      <c r="GB1115" s="317"/>
      <c r="GC1115" s="317"/>
      <c r="GD1115" s="317"/>
      <c r="GE1115" s="317"/>
      <c r="GF1115" s="317"/>
      <c r="GG1115" s="317"/>
      <c r="GH1115" s="317"/>
      <c r="GI1115" s="317"/>
      <c r="GJ1115" s="317"/>
      <c r="GK1115" s="317"/>
      <c r="GL1115" s="317"/>
      <c r="GM1115" s="317"/>
      <c r="GN1115" s="317"/>
      <c r="GO1115" s="317"/>
      <c r="GP1115" s="13"/>
      <c r="GQ1115" s="43"/>
      <c r="GR1115" s="43"/>
      <c r="GS1115" s="45"/>
      <c r="GT1115" s="49"/>
      <c r="GU1115" s="49"/>
      <c r="GV1115" s="49"/>
      <c r="GW1115" s="49"/>
      <c r="GX1115" s="49"/>
      <c r="GY1115" s="208"/>
      <c r="GZ1115" s="231"/>
      <c r="HA1115" s="231"/>
      <c r="HB1115" s="231"/>
      <c r="HC1115" s="231"/>
      <c r="HD1115" s="231"/>
      <c r="HE1115" s="231"/>
      <c r="HF1115" s="231"/>
      <c r="HG1115" s="231"/>
      <c r="HH1115" s="231"/>
      <c r="HI1115" s="232"/>
    </row>
    <row r="1116" spans="82:217" ht="10.75" customHeight="1">
      <c r="CD1116" s="229"/>
      <c r="CE1116" s="231"/>
      <c r="CF1116" s="231"/>
      <c r="CG1116" s="231"/>
      <c r="CH1116" s="231"/>
      <c r="CI1116" s="231"/>
      <c r="CJ1116" s="229"/>
      <c r="CK1116" s="318"/>
      <c r="CL1116" s="318"/>
      <c r="CM1116" s="318"/>
      <c r="CN1116" s="214"/>
      <c r="CO1116" s="319"/>
      <c r="CP1116" s="319"/>
      <c r="CQ1116" s="319"/>
      <c r="CR1116" s="319"/>
      <c r="CS1116" s="208"/>
      <c r="CT1116" s="43"/>
      <c r="CU1116" s="119"/>
      <c r="CV1116" s="315"/>
      <c r="CW1116" s="12"/>
      <c r="CX1116" s="317"/>
      <c r="CY1116" s="317"/>
      <c r="CZ1116" s="317"/>
      <c r="DA1116" s="317"/>
      <c r="DB1116" s="317"/>
      <c r="DC1116" s="317"/>
      <c r="DD1116" s="317"/>
      <c r="DE1116" s="317"/>
      <c r="DF1116" s="317"/>
      <c r="DG1116" s="317"/>
      <c r="DH1116" s="317"/>
      <c r="DI1116" s="317"/>
      <c r="DJ1116" s="317"/>
      <c r="DK1116" s="317"/>
      <c r="DL1116" s="317"/>
      <c r="DM1116" s="12"/>
      <c r="DN1116" s="317"/>
      <c r="DO1116" s="317"/>
      <c r="DP1116" s="317"/>
      <c r="DQ1116" s="317"/>
      <c r="DR1116" s="317"/>
      <c r="DS1116" s="317"/>
      <c r="DT1116" s="13"/>
      <c r="DU1116" s="12"/>
      <c r="DV1116" s="317"/>
      <c r="DW1116" s="317"/>
      <c r="DX1116" s="317"/>
      <c r="DY1116" s="317"/>
      <c r="DZ1116" s="317"/>
      <c r="EA1116" s="317"/>
      <c r="EB1116" s="13"/>
      <c r="EC1116" s="12"/>
      <c r="ED1116" s="317"/>
      <c r="EE1116" s="317"/>
      <c r="EF1116" s="317"/>
      <c r="EG1116" s="317"/>
      <c r="EH1116" s="317"/>
      <c r="EI1116" s="317"/>
      <c r="EJ1116" s="13"/>
      <c r="EK1116" s="317"/>
      <c r="EL1116" s="317"/>
      <c r="EM1116" s="317"/>
      <c r="EN1116" s="317"/>
      <c r="EO1116" s="317"/>
      <c r="EP1116" s="317"/>
      <c r="EQ1116" s="317"/>
      <c r="ER1116" s="13"/>
      <c r="ES1116" s="12"/>
      <c r="ET1116" s="13"/>
      <c r="EU1116" s="317"/>
      <c r="EV1116" s="317"/>
      <c r="EW1116" s="317"/>
      <c r="EX1116" s="317"/>
      <c r="EY1116" s="317"/>
      <c r="EZ1116" s="317"/>
      <c r="FA1116" s="291"/>
      <c r="FB1116" s="317"/>
      <c r="FC1116" s="317"/>
      <c r="FD1116" s="317"/>
      <c r="FE1116" s="317"/>
      <c r="FF1116" s="317"/>
      <c r="FG1116" s="317"/>
      <c r="FH1116" s="317"/>
      <c r="FI1116" s="317"/>
      <c r="FJ1116" s="317"/>
      <c r="FK1116" s="317"/>
      <c r="FL1116" s="317"/>
      <c r="FM1116" s="317"/>
      <c r="FN1116" s="317"/>
      <c r="FO1116" s="317"/>
      <c r="FP1116" s="317"/>
      <c r="FQ1116" s="317"/>
      <c r="FR1116" s="317"/>
      <c r="FS1116" s="317"/>
      <c r="FT1116" s="317"/>
      <c r="FU1116" s="317"/>
      <c r="FV1116" s="317"/>
      <c r="FW1116" s="317"/>
      <c r="FX1116" s="317"/>
      <c r="FY1116" s="317"/>
      <c r="FZ1116" s="317"/>
      <c r="GA1116" s="317"/>
      <c r="GB1116" s="317"/>
      <c r="GC1116" s="317"/>
      <c r="GD1116" s="317"/>
      <c r="GE1116" s="317"/>
      <c r="GF1116" s="317"/>
      <c r="GG1116" s="317"/>
      <c r="GH1116" s="317"/>
      <c r="GI1116" s="317"/>
      <c r="GJ1116" s="317"/>
      <c r="GK1116" s="317"/>
      <c r="GL1116" s="317"/>
      <c r="GM1116" s="317"/>
      <c r="GN1116" s="317"/>
      <c r="GO1116" s="317"/>
      <c r="GP1116" s="13"/>
      <c r="GQ1116" s="43"/>
      <c r="GR1116" s="43"/>
      <c r="GS1116" s="45"/>
      <c r="GT1116" s="49"/>
      <c r="GU1116" s="49"/>
      <c r="GV1116" s="49"/>
      <c r="GW1116" s="49"/>
      <c r="GX1116" s="49"/>
      <c r="GY1116" s="208"/>
      <c r="GZ1116" s="231"/>
      <c r="HA1116" s="231"/>
      <c r="HB1116" s="231"/>
      <c r="HC1116" s="231"/>
      <c r="HD1116" s="231"/>
      <c r="HE1116" s="231"/>
      <c r="HF1116" s="231"/>
      <c r="HG1116" s="231"/>
      <c r="HH1116" s="231"/>
      <c r="HI1116" s="232"/>
    </row>
    <row r="1117" spans="82:217" ht="10.75" customHeight="1">
      <c r="CD1117" s="229"/>
      <c r="CE1117" s="231"/>
      <c r="CF1117" s="231"/>
      <c r="CG1117" s="231"/>
      <c r="CH1117" s="231"/>
      <c r="CI1117" s="231"/>
      <c r="CJ1117" s="229"/>
      <c r="CK1117" s="318"/>
      <c r="CL1117" s="318"/>
      <c r="CM1117" s="318"/>
      <c r="CN1117" s="214"/>
      <c r="CO1117" s="319"/>
      <c r="CP1117" s="319"/>
      <c r="CQ1117" s="319"/>
      <c r="CR1117" s="319"/>
      <c r="CS1117" s="208"/>
      <c r="CT1117" s="47"/>
      <c r="CU1117" s="47"/>
      <c r="CV1117" s="47"/>
      <c r="CW1117" s="14"/>
      <c r="CX1117" s="15"/>
      <c r="CY1117" s="15"/>
      <c r="CZ1117" s="15"/>
      <c r="DA1117" s="15"/>
      <c r="DB1117" s="15"/>
      <c r="DC1117" s="15"/>
      <c r="DD1117" s="15"/>
      <c r="DE1117" s="15"/>
      <c r="DF1117" s="15"/>
      <c r="DG1117" s="15"/>
      <c r="DH1117" s="15"/>
      <c r="DI1117" s="15"/>
      <c r="DJ1117" s="15"/>
      <c r="DK1117" s="15"/>
      <c r="DL1117" s="15"/>
      <c r="DM1117" s="14"/>
      <c r="DN1117" s="15"/>
      <c r="DO1117" s="15"/>
      <c r="DP1117" s="15"/>
      <c r="DQ1117" s="15"/>
      <c r="DR1117" s="15"/>
      <c r="DS1117" s="15"/>
      <c r="DT1117" s="16"/>
      <c r="DU1117" s="14"/>
      <c r="DV1117" s="15"/>
      <c r="DW1117" s="15"/>
      <c r="DX1117" s="15"/>
      <c r="DY1117" s="15"/>
      <c r="DZ1117" s="15"/>
      <c r="EA1117" s="15"/>
      <c r="EB1117" s="16"/>
      <c r="EC1117" s="14"/>
      <c r="ED1117" s="15"/>
      <c r="EE1117" s="15"/>
      <c r="EF1117" s="15"/>
      <c r="EG1117" s="15"/>
      <c r="EH1117" s="15"/>
      <c r="EI1117" s="15"/>
      <c r="EJ1117" s="16"/>
      <c r="EK1117" s="15"/>
      <c r="EL1117" s="15"/>
      <c r="EM1117" s="15"/>
      <c r="EN1117" s="15"/>
      <c r="EO1117" s="15"/>
      <c r="EP1117" s="15"/>
      <c r="EQ1117" s="15"/>
      <c r="ER1117" s="16"/>
      <c r="ES1117" s="14"/>
      <c r="ET1117" s="16"/>
      <c r="EU1117" s="15"/>
      <c r="EV1117" s="15"/>
      <c r="EW1117" s="15"/>
      <c r="EX1117" s="15"/>
      <c r="EY1117" s="15"/>
      <c r="EZ1117" s="15"/>
      <c r="FA1117" s="292"/>
      <c r="FB1117" s="15"/>
      <c r="FC1117" s="15"/>
      <c r="FD1117" s="15"/>
      <c r="FE1117" s="15"/>
      <c r="FF1117" s="15"/>
      <c r="FG1117" s="15"/>
      <c r="FH1117" s="15"/>
      <c r="FI1117" s="15"/>
      <c r="FJ1117" s="15"/>
      <c r="FK1117" s="15"/>
      <c r="FL1117" s="15"/>
      <c r="FM1117" s="15"/>
      <c r="FN1117" s="15"/>
      <c r="FO1117" s="15"/>
      <c r="FP1117" s="15"/>
      <c r="FQ1117" s="15"/>
      <c r="FR1117" s="15"/>
      <c r="FS1117" s="15"/>
      <c r="FT1117" s="15"/>
      <c r="FU1117" s="15"/>
      <c r="FV1117" s="15"/>
      <c r="FW1117" s="15"/>
      <c r="FX1117" s="15"/>
      <c r="FY1117" s="15"/>
      <c r="FZ1117" s="15"/>
      <c r="GA1117" s="15"/>
      <c r="GB1117" s="15"/>
      <c r="GC1117" s="15"/>
      <c r="GD1117" s="15"/>
      <c r="GE1117" s="15"/>
      <c r="GF1117" s="15"/>
      <c r="GG1117" s="15"/>
      <c r="GH1117" s="15"/>
      <c r="GI1117" s="15"/>
      <c r="GJ1117" s="15"/>
      <c r="GK1117" s="15"/>
      <c r="GL1117" s="15"/>
      <c r="GM1117" s="15"/>
      <c r="GN1117" s="15"/>
      <c r="GO1117" s="15"/>
      <c r="GP1117" s="16"/>
      <c r="GQ1117" s="56"/>
      <c r="GR1117" s="57"/>
      <c r="GS1117" s="58"/>
      <c r="GT1117" s="49"/>
      <c r="GU1117" s="49"/>
      <c r="GV1117" s="49"/>
      <c r="GW1117" s="49"/>
      <c r="GX1117" s="49"/>
      <c r="GY1117" s="208"/>
      <c r="GZ1117" s="231"/>
      <c r="HA1117" s="231"/>
      <c r="HB1117" s="231"/>
      <c r="HC1117" s="231"/>
      <c r="HD1117" s="231"/>
      <c r="HE1117" s="231"/>
      <c r="HF1117" s="231"/>
      <c r="HG1117" s="231"/>
      <c r="HH1117" s="231"/>
      <c r="HI1117" s="232"/>
    </row>
    <row r="1118" spans="82:217" ht="10.75" customHeight="1">
      <c r="CD1118" s="229"/>
      <c r="CE1118" s="231"/>
      <c r="CF1118" s="231"/>
      <c r="CG1118" s="231"/>
      <c r="CH1118" s="231"/>
      <c r="CI1118" s="231"/>
      <c r="CJ1118" s="229"/>
      <c r="CK1118" s="318"/>
      <c r="CL1118" s="318"/>
      <c r="CM1118" s="318"/>
      <c r="CN1118" s="214"/>
      <c r="CO1118" s="319"/>
      <c r="CP1118" s="319"/>
      <c r="CQ1118" s="319"/>
      <c r="CR1118" s="319"/>
      <c r="CS1118" s="208"/>
      <c r="CT1118" s="57"/>
      <c r="CU1118" s="57"/>
      <c r="CV1118" s="57"/>
      <c r="CW1118" s="98"/>
      <c r="CX1118" s="43"/>
      <c r="CY1118" s="43"/>
      <c r="CZ1118" s="43"/>
      <c r="DA1118" s="43"/>
      <c r="DB1118" s="43"/>
      <c r="DC1118" s="43"/>
      <c r="DD1118" s="43"/>
      <c r="DE1118" s="43"/>
      <c r="DF1118" s="43"/>
      <c r="DG1118" s="43"/>
      <c r="DH1118" s="43"/>
      <c r="DI1118" s="43"/>
      <c r="DJ1118" s="43"/>
      <c r="DK1118" s="43"/>
      <c r="DL1118" s="43"/>
      <c r="DM1118" s="43"/>
      <c r="DN1118" s="43"/>
      <c r="DO1118" s="43"/>
      <c r="DP1118" s="43"/>
      <c r="DQ1118" s="43"/>
      <c r="DR1118" s="43"/>
      <c r="DS1118" s="43"/>
      <c r="DT1118" s="43"/>
      <c r="DU1118" s="43"/>
      <c r="DV1118" s="43"/>
      <c r="DW1118" s="43"/>
      <c r="DX1118" s="43"/>
      <c r="DY1118" s="43"/>
      <c r="DZ1118" s="43"/>
      <c r="EA1118" s="43"/>
      <c r="EB1118" s="43"/>
      <c r="EC1118" s="43"/>
      <c r="ED1118" s="43"/>
      <c r="EE1118" s="43"/>
      <c r="EF1118" s="43"/>
      <c r="EG1118" s="43"/>
      <c r="EH1118" s="43"/>
      <c r="EI1118" s="43"/>
      <c r="EJ1118" s="43"/>
      <c r="EK1118" s="43"/>
      <c r="EL1118" s="43"/>
      <c r="EM1118" s="43"/>
      <c r="EN1118" s="43"/>
      <c r="EO1118" s="43"/>
      <c r="EP1118" s="43"/>
      <c r="EQ1118" s="43"/>
      <c r="ER1118" s="96"/>
      <c r="ES1118" s="97"/>
      <c r="ET1118" s="97"/>
      <c r="EU1118" s="98"/>
      <c r="EV1118" s="43"/>
      <c r="EW1118" s="43"/>
      <c r="EX1118" s="43"/>
      <c r="EY1118" s="43"/>
      <c r="EZ1118" s="43"/>
      <c r="FA1118" s="43"/>
      <c r="FB1118" s="43"/>
      <c r="FC1118" s="43"/>
      <c r="FD1118" s="43"/>
      <c r="FE1118" s="43"/>
      <c r="FF1118" s="43"/>
      <c r="FG1118" s="43"/>
      <c r="FH1118" s="43"/>
      <c r="FI1118" s="43"/>
      <c r="FJ1118" s="43"/>
      <c r="FK1118" s="43"/>
      <c r="FL1118" s="43"/>
      <c r="FM1118" s="43"/>
      <c r="FN1118" s="43"/>
      <c r="FO1118" s="43"/>
      <c r="FP1118" s="43"/>
      <c r="FQ1118" s="43"/>
      <c r="FR1118" s="43"/>
      <c r="FS1118" s="43"/>
      <c r="FT1118" s="43"/>
      <c r="FU1118" s="43"/>
      <c r="FV1118" s="43"/>
      <c r="FW1118" s="43"/>
      <c r="FX1118" s="43"/>
      <c r="FY1118" s="43"/>
      <c r="FZ1118" s="43"/>
      <c r="GA1118" s="43"/>
      <c r="GB1118" s="43"/>
      <c r="GC1118" s="43"/>
      <c r="GD1118" s="43"/>
      <c r="GE1118" s="43"/>
      <c r="GF1118" s="43"/>
      <c r="GG1118" s="43"/>
      <c r="GH1118" s="43"/>
      <c r="GI1118" s="43"/>
      <c r="GJ1118" s="43"/>
      <c r="GK1118" s="43"/>
      <c r="GL1118" s="43"/>
      <c r="GM1118" s="43"/>
      <c r="GN1118" s="43"/>
      <c r="GO1118" s="43"/>
      <c r="GP1118" s="43"/>
      <c r="GQ1118" s="96"/>
      <c r="GR1118" s="97"/>
      <c r="GS1118" s="98"/>
      <c r="GT1118" s="49"/>
      <c r="GU1118" s="49"/>
      <c r="GV1118" s="49"/>
      <c r="GW1118" s="49"/>
      <c r="GX1118" s="49"/>
      <c r="GY1118" s="208"/>
      <c r="GZ1118" s="231"/>
      <c r="HA1118" s="231"/>
      <c r="HB1118" s="231"/>
      <c r="HC1118" s="231"/>
      <c r="HD1118" s="231"/>
      <c r="HE1118" s="231"/>
      <c r="HF1118" s="231"/>
      <c r="HG1118" s="231"/>
      <c r="HH1118" s="231"/>
      <c r="HI1118" s="232"/>
    </row>
    <row r="1119" spans="82:217" ht="10.75" customHeight="1">
      <c r="CD1119" s="229"/>
      <c r="CE1119" s="231"/>
      <c r="CF1119" s="231"/>
      <c r="CG1119" s="231"/>
      <c r="CH1119" s="231"/>
      <c r="CI1119" s="231"/>
      <c r="CJ1119" s="229"/>
      <c r="CK1119" s="318"/>
      <c r="CL1119" s="318"/>
      <c r="CM1119" s="318"/>
      <c r="CN1119" s="214"/>
      <c r="CO1119" s="319"/>
      <c r="CP1119" s="319"/>
      <c r="CQ1119" s="319"/>
      <c r="CR1119" s="319"/>
      <c r="CS1119" s="208"/>
      <c r="CT1119" s="97"/>
      <c r="CU1119" s="97"/>
      <c r="CV1119" s="97"/>
      <c r="CW1119" s="98"/>
      <c r="CX1119" s="43"/>
      <c r="CY1119" s="43"/>
      <c r="CZ1119" s="43"/>
      <c r="DA1119" s="43"/>
      <c r="DB1119" s="43"/>
      <c r="DC1119" s="43"/>
      <c r="DD1119" s="43"/>
      <c r="DE1119" s="43"/>
      <c r="DF1119" s="43"/>
      <c r="DG1119" s="43"/>
      <c r="DH1119" s="43"/>
      <c r="DI1119" s="43"/>
      <c r="DJ1119" s="43"/>
      <c r="DK1119" s="43"/>
      <c r="DL1119" s="43"/>
      <c r="DM1119" s="43"/>
      <c r="DN1119" s="43"/>
      <c r="DO1119" s="43"/>
      <c r="DP1119" s="43"/>
      <c r="DQ1119" s="43"/>
      <c r="DR1119" s="43"/>
      <c r="DS1119" s="43"/>
      <c r="DT1119" s="43"/>
      <c r="DU1119" s="43"/>
      <c r="DV1119" s="43"/>
      <c r="DW1119" s="43"/>
      <c r="DX1119" s="43"/>
      <c r="DY1119" s="43"/>
      <c r="DZ1119" s="43"/>
      <c r="EA1119" s="43"/>
      <c r="EB1119" s="43"/>
      <c r="EC1119" s="43"/>
      <c r="ED1119" s="43"/>
      <c r="EE1119" s="43"/>
      <c r="EF1119" s="43"/>
      <c r="EG1119" s="43"/>
      <c r="EH1119" s="43"/>
      <c r="EI1119" s="43"/>
      <c r="EJ1119" s="43"/>
      <c r="EK1119" s="43"/>
      <c r="EL1119" s="43"/>
      <c r="EM1119" s="43"/>
      <c r="EN1119" s="43"/>
      <c r="EO1119" s="43"/>
      <c r="EP1119" s="43"/>
      <c r="EQ1119" s="43"/>
      <c r="ER1119" s="96"/>
      <c r="ES1119" s="97"/>
      <c r="ET1119" s="97"/>
      <c r="EU1119" s="98"/>
      <c r="EV1119" s="43"/>
      <c r="EW1119" s="43"/>
      <c r="EX1119" s="43"/>
      <c r="EY1119" s="43"/>
      <c r="EZ1119" s="43"/>
      <c r="FA1119" s="43"/>
      <c r="FB1119" s="43"/>
      <c r="FC1119" s="43"/>
      <c r="FD1119" s="43"/>
      <c r="FE1119" s="43"/>
      <c r="FF1119" s="43"/>
      <c r="FG1119" s="43"/>
      <c r="FH1119" s="43"/>
      <c r="FI1119" s="43"/>
      <c r="FJ1119" s="43"/>
      <c r="FK1119" s="43"/>
      <c r="FL1119" s="43"/>
      <c r="FM1119" s="43"/>
      <c r="FN1119" s="43"/>
      <c r="FO1119" s="43"/>
      <c r="FP1119" s="43"/>
      <c r="FQ1119" s="43"/>
      <c r="FR1119" s="43"/>
      <c r="FS1119" s="43"/>
      <c r="FT1119" s="43"/>
      <c r="FU1119" s="43"/>
      <c r="FV1119" s="43"/>
      <c r="FW1119" s="43"/>
      <c r="FX1119" s="43"/>
      <c r="FY1119" s="43"/>
      <c r="FZ1119" s="43"/>
      <c r="GA1119" s="43"/>
      <c r="GB1119" s="43"/>
      <c r="GC1119" s="119"/>
      <c r="GD1119" s="119"/>
      <c r="GE1119" s="119"/>
      <c r="GF1119" s="119"/>
      <c r="GG1119" s="119"/>
      <c r="GH1119" s="119"/>
      <c r="GI1119" s="119"/>
      <c r="GJ1119" s="119"/>
      <c r="GK1119" s="119"/>
      <c r="GL1119" s="119"/>
      <c r="GM1119" s="119"/>
      <c r="GN1119" s="119"/>
      <c r="GO1119" s="43"/>
      <c r="GP1119" s="43"/>
      <c r="GQ1119" s="96"/>
      <c r="GR1119" s="97"/>
      <c r="GS1119" s="98"/>
      <c r="GT1119" s="49"/>
      <c r="GU1119" s="49"/>
      <c r="GV1119" s="49"/>
      <c r="GW1119" s="49"/>
      <c r="GX1119" s="49"/>
      <c r="GY1119" s="208"/>
      <c r="GZ1119" s="231"/>
      <c r="HA1119" s="231"/>
      <c r="HB1119" s="231"/>
      <c r="HC1119" s="231"/>
      <c r="HD1119" s="231"/>
      <c r="HE1119" s="231"/>
      <c r="HF1119" s="231"/>
      <c r="HG1119" s="231"/>
      <c r="HH1119" s="231"/>
      <c r="HI1119" s="232"/>
    </row>
    <row r="1120" spans="82:217" ht="10.75" customHeight="1">
      <c r="CD1120" s="229"/>
      <c r="CE1120" s="231"/>
      <c r="CF1120" s="231"/>
      <c r="CG1120" s="231"/>
      <c r="CH1120" s="231"/>
      <c r="CI1120" s="231"/>
      <c r="CJ1120" s="230"/>
      <c r="CK1120" s="233"/>
      <c r="CL1120" s="233"/>
      <c r="CM1120" s="233"/>
      <c r="CN1120" s="236"/>
      <c r="CO1120" s="258"/>
      <c r="CP1120" s="258"/>
      <c r="CQ1120" s="258"/>
      <c r="CR1120" s="258"/>
      <c r="CS1120" s="209"/>
      <c r="CT1120" s="60"/>
      <c r="CU1120" s="60"/>
      <c r="CV1120" s="60"/>
      <c r="CW1120" s="61"/>
      <c r="CX1120" s="47"/>
      <c r="CY1120" s="47"/>
      <c r="CZ1120" s="47"/>
      <c r="DA1120" s="47"/>
      <c r="DB1120" s="47"/>
      <c r="DC1120" s="47"/>
      <c r="DD1120" s="47"/>
      <c r="DE1120" s="47"/>
      <c r="DF1120" s="47"/>
      <c r="DG1120" s="47"/>
      <c r="DH1120" s="47"/>
      <c r="DI1120" s="47"/>
      <c r="DJ1120" s="47"/>
      <c r="DK1120" s="47"/>
      <c r="DL1120" s="47"/>
      <c r="DM1120" s="47"/>
      <c r="DN1120" s="47"/>
      <c r="DO1120" s="47"/>
      <c r="DP1120" s="47"/>
      <c r="DQ1120" s="47"/>
      <c r="DR1120" s="47"/>
      <c r="DS1120" s="47"/>
      <c r="DT1120" s="47"/>
      <c r="DU1120" s="47"/>
      <c r="DV1120" s="47"/>
      <c r="DW1120" s="47"/>
      <c r="DX1120" s="47"/>
      <c r="DY1120" s="47"/>
      <c r="DZ1120" s="47"/>
      <c r="EA1120" s="47"/>
      <c r="EB1120" s="47"/>
      <c r="EC1120" s="47"/>
      <c r="ED1120" s="47"/>
      <c r="EE1120" s="47"/>
      <c r="EF1120" s="47"/>
      <c r="EG1120" s="47"/>
      <c r="EH1120" s="47"/>
      <c r="EI1120" s="47"/>
      <c r="EJ1120" s="47"/>
      <c r="EK1120" s="47"/>
      <c r="EL1120" s="47"/>
      <c r="EM1120" s="47"/>
      <c r="EN1120" s="47"/>
      <c r="EO1120" s="47"/>
      <c r="EP1120" s="47"/>
      <c r="EQ1120" s="47"/>
      <c r="ER1120" s="59"/>
      <c r="ES1120" s="60"/>
      <c r="ET1120" s="60"/>
      <c r="EU1120" s="61"/>
      <c r="EV1120" s="47"/>
      <c r="EW1120" s="47"/>
      <c r="EX1120" s="47"/>
      <c r="EY1120" s="47"/>
      <c r="EZ1120" s="47"/>
      <c r="FA1120" s="47"/>
      <c r="FB1120" s="47"/>
      <c r="FC1120" s="47"/>
      <c r="FD1120" s="47"/>
      <c r="FE1120" s="47"/>
      <c r="FF1120" s="47"/>
      <c r="FG1120" s="47"/>
      <c r="FH1120" s="47"/>
      <c r="FI1120" s="47"/>
      <c r="FJ1120" s="47"/>
      <c r="FK1120" s="47"/>
      <c r="FL1120" s="47"/>
      <c r="FM1120" s="47"/>
      <c r="FN1120" s="47"/>
      <c r="FO1120" s="47"/>
      <c r="FP1120" s="47"/>
      <c r="FQ1120" s="47"/>
      <c r="FR1120" s="47"/>
      <c r="FS1120" s="47"/>
      <c r="FT1120" s="47"/>
      <c r="FU1120" s="47"/>
      <c r="FV1120" s="47"/>
      <c r="FW1120" s="47"/>
      <c r="FX1120" s="47"/>
      <c r="FY1120" s="47"/>
      <c r="FZ1120" s="47"/>
      <c r="GA1120" s="47"/>
      <c r="GB1120" s="47"/>
      <c r="GC1120" s="47"/>
      <c r="GD1120" s="47"/>
      <c r="GE1120" s="47"/>
      <c r="GF1120" s="47"/>
      <c r="GG1120" s="47"/>
      <c r="GH1120" s="47"/>
      <c r="GI1120" s="47"/>
      <c r="GJ1120" s="47"/>
      <c r="GK1120" s="47"/>
      <c r="GL1120" s="47"/>
      <c r="GM1120" s="47"/>
      <c r="GN1120" s="47"/>
      <c r="GO1120" s="47"/>
      <c r="GP1120" s="47"/>
      <c r="GQ1120" s="59"/>
      <c r="GR1120" s="60"/>
      <c r="GS1120" s="61"/>
      <c r="GT1120" s="49"/>
      <c r="GU1120" s="49"/>
      <c r="GV1120" s="49"/>
      <c r="GW1120" s="49"/>
      <c r="GX1120" s="49"/>
      <c r="GY1120" s="208"/>
      <c r="GZ1120" s="231"/>
      <c r="HA1120" s="231"/>
      <c r="HB1120" s="231"/>
      <c r="HC1120" s="231"/>
      <c r="HD1120" s="231"/>
      <c r="HE1120" s="231"/>
      <c r="HF1120" s="231"/>
      <c r="HG1120" s="231"/>
      <c r="HH1120" s="231"/>
      <c r="HI1120" s="232"/>
    </row>
    <row r="1121" spans="82:217" ht="10.75" customHeight="1">
      <c r="CD1121" s="229"/>
      <c r="CE1121" s="231"/>
      <c r="CF1121" s="231"/>
      <c r="CG1121" s="231"/>
      <c r="CH1121" s="231"/>
      <c r="CI1121" s="231"/>
      <c r="CJ1121" s="231"/>
      <c r="CK1121" s="231"/>
      <c r="CL1121" s="231"/>
      <c r="CM1121" s="231"/>
      <c r="CN1121" s="214"/>
      <c r="CO1121" s="49"/>
      <c r="CP1121" s="49"/>
      <c r="CQ1121" s="49"/>
      <c r="CR1121" s="49"/>
      <c r="CS1121" s="49"/>
      <c r="CT1121" s="259"/>
      <c r="CU1121" s="141"/>
      <c r="CV1121" s="141"/>
      <c r="CW1121" s="141"/>
      <c r="CX1121" s="141"/>
      <c r="CY1121" s="141"/>
      <c r="CZ1121" s="141"/>
      <c r="DA1121" s="141"/>
      <c r="DB1121" s="141"/>
      <c r="DC1121" s="141"/>
      <c r="DD1121" s="141"/>
      <c r="DE1121" s="141"/>
      <c r="DF1121" s="141"/>
      <c r="DG1121" s="141"/>
      <c r="DH1121" s="141"/>
      <c r="DI1121" s="141"/>
      <c r="DJ1121" s="141"/>
      <c r="DK1121" s="141"/>
      <c r="DL1121" s="141"/>
      <c r="DM1121" s="141"/>
      <c r="DN1121" s="141"/>
      <c r="DO1121" s="141"/>
      <c r="DP1121" s="141"/>
      <c r="DQ1121" s="141"/>
      <c r="DR1121" s="141"/>
      <c r="DS1121" s="141"/>
      <c r="DT1121" s="141"/>
      <c r="DU1121" s="141"/>
      <c r="DV1121" s="141"/>
      <c r="DW1121" s="141"/>
      <c r="DX1121" s="141"/>
      <c r="DY1121" s="141"/>
      <c r="DZ1121" s="141"/>
      <c r="EA1121" s="141"/>
      <c r="EB1121" s="141"/>
      <c r="EC1121" s="141"/>
      <c r="ED1121" s="141"/>
      <c r="EE1121" s="141"/>
      <c r="EF1121" s="141"/>
      <c r="EG1121" s="141"/>
      <c r="EH1121" s="141"/>
      <c r="EI1121" s="141"/>
      <c r="EJ1121" s="141"/>
      <c r="EK1121" s="141"/>
      <c r="EL1121" s="141"/>
      <c r="EM1121" s="141"/>
      <c r="EN1121" s="141"/>
      <c r="EO1121" s="141"/>
      <c r="EP1121" s="141"/>
      <c r="EQ1121" s="141"/>
      <c r="ER1121" s="141"/>
      <c r="ES1121" s="141"/>
      <c r="ET1121" s="141"/>
      <c r="EU1121" s="141"/>
      <c r="EV1121" s="141"/>
      <c r="EW1121" s="141"/>
      <c r="EX1121" s="141"/>
      <c r="EY1121" s="141"/>
      <c r="EZ1121" s="141"/>
      <c r="FA1121" s="141"/>
      <c r="FB1121" s="141"/>
      <c r="FC1121" s="141"/>
      <c r="FD1121" s="141"/>
      <c r="FE1121" s="141"/>
      <c r="FF1121" s="141"/>
      <c r="FG1121" s="141"/>
      <c r="FH1121" s="141"/>
      <c r="FI1121" s="141"/>
      <c r="FJ1121" s="141"/>
      <c r="FK1121" s="141"/>
      <c r="FL1121" s="141"/>
      <c r="FM1121" s="141"/>
      <c r="FN1121" s="141"/>
      <c r="FO1121" s="141"/>
      <c r="FP1121" s="141"/>
      <c r="FQ1121" s="141"/>
      <c r="FR1121" s="141"/>
      <c r="FS1121" s="141"/>
      <c r="FT1121" s="141"/>
      <c r="FU1121" s="141"/>
      <c r="FV1121" s="141"/>
      <c r="FW1121" s="141"/>
      <c r="FX1121" s="141"/>
      <c r="FY1121" s="141"/>
      <c r="FZ1121" s="141"/>
      <c r="GA1121" s="141"/>
      <c r="GB1121" s="141"/>
      <c r="GC1121" s="141"/>
      <c r="GD1121" s="141"/>
      <c r="GE1121" s="141"/>
      <c r="GF1121" s="141"/>
      <c r="GG1121" s="141"/>
      <c r="GH1121" s="141"/>
      <c r="GI1121" s="141"/>
      <c r="GJ1121" s="141"/>
      <c r="GK1121" s="141"/>
      <c r="GL1121" s="141"/>
      <c r="GM1121" s="141"/>
      <c r="GN1121" s="141"/>
      <c r="GO1121" s="141"/>
      <c r="GP1121" s="141"/>
      <c r="GQ1121" s="141"/>
      <c r="GR1121" s="141"/>
      <c r="GS1121" s="235"/>
      <c r="GT1121" s="49"/>
      <c r="GU1121" s="49"/>
      <c r="GV1121" s="49"/>
      <c r="GW1121" s="49"/>
      <c r="GX1121" s="49"/>
      <c r="GY1121" s="208"/>
      <c r="GZ1121" s="231"/>
      <c r="HA1121" s="231"/>
      <c r="HB1121" s="231"/>
      <c r="HC1121" s="231"/>
      <c r="HD1121" s="231"/>
      <c r="HE1121" s="231"/>
      <c r="HF1121" s="231"/>
      <c r="HG1121" s="231"/>
      <c r="HH1121" s="231"/>
      <c r="HI1121" s="232"/>
    </row>
    <row r="1122" spans="82:217" ht="10.75" customHeight="1">
      <c r="CD1122" s="229"/>
      <c r="CE1122" s="231"/>
      <c r="CF1122" s="231"/>
      <c r="CG1122" s="231"/>
      <c r="CH1122" s="231"/>
      <c r="CI1122" s="231"/>
      <c r="CJ1122" s="231"/>
      <c r="CK1122" s="231"/>
      <c r="CL1122" s="231"/>
      <c r="CM1122" s="231"/>
      <c r="CN1122" s="214"/>
      <c r="CO1122" s="49"/>
      <c r="CP1122" s="49"/>
      <c r="CQ1122" s="49"/>
      <c r="CR1122" s="49"/>
      <c r="CS1122" s="49"/>
      <c r="CT1122" s="214"/>
      <c r="CU1122" s="319"/>
      <c r="CV1122" s="319"/>
      <c r="CW1122" s="319"/>
      <c r="CX1122" s="319"/>
      <c r="CY1122" s="319"/>
      <c r="CZ1122" s="319"/>
      <c r="DA1122" s="319"/>
      <c r="DB1122" s="319"/>
      <c r="DC1122" s="319"/>
      <c r="DD1122" s="319"/>
      <c r="DE1122" s="319"/>
      <c r="DF1122" s="319"/>
      <c r="DG1122" s="319"/>
      <c r="DH1122" s="319"/>
      <c r="DI1122" s="319"/>
      <c r="DJ1122" s="319"/>
      <c r="DK1122" s="319"/>
      <c r="DL1122" s="319"/>
      <c r="DM1122" s="319"/>
      <c r="DN1122" s="319"/>
      <c r="DO1122" s="319"/>
      <c r="DP1122" s="319"/>
      <c r="DQ1122" s="319"/>
      <c r="DR1122" s="319"/>
      <c r="DS1122" s="319"/>
      <c r="DT1122" s="319"/>
      <c r="DU1122" s="319"/>
      <c r="DV1122" s="319"/>
      <c r="DW1122" s="319"/>
      <c r="DX1122" s="319"/>
      <c r="DY1122" s="319"/>
      <c r="DZ1122" s="319"/>
      <c r="EA1122" s="319"/>
      <c r="EB1122" s="319"/>
      <c r="EC1122" s="319"/>
      <c r="ED1122" s="319"/>
      <c r="EE1122" s="319"/>
      <c r="EF1122" s="319"/>
      <c r="EG1122" s="319"/>
      <c r="EH1122" s="319"/>
      <c r="EI1122" s="319"/>
      <c r="EJ1122" s="319"/>
      <c r="EK1122" s="319"/>
      <c r="EL1122" s="319"/>
      <c r="EM1122" s="319"/>
      <c r="EN1122" s="319"/>
      <c r="EO1122" s="319"/>
      <c r="EP1122" s="319"/>
      <c r="EQ1122" s="319"/>
      <c r="ER1122" s="319"/>
      <c r="ES1122" s="319"/>
      <c r="ET1122" s="319"/>
      <c r="EU1122" s="319"/>
      <c r="EV1122" s="319"/>
      <c r="EW1122" s="319"/>
      <c r="EX1122" s="319"/>
      <c r="EY1122" s="319"/>
      <c r="EZ1122" s="319"/>
      <c r="FA1122" s="319"/>
      <c r="FB1122" s="319"/>
      <c r="FC1122" s="319"/>
      <c r="FD1122" s="319"/>
      <c r="FE1122" s="319"/>
      <c r="FF1122" s="319"/>
      <c r="FG1122" s="319"/>
      <c r="FH1122" s="319"/>
      <c r="FI1122" s="319"/>
      <c r="FJ1122" s="319"/>
      <c r="FK1122" s="319"/>
      <c r="FL1122" s="319"/>
      <c r="FM1122" s="319"/>
      <c r="FN1122" s="319"/>
      <c r="FO1122" s="319"/>
      <c r="FP1122" s="319"/>
      <c r="FQ1122" s="319"/>
      <c r="FR1122" s="319"/>
      <c r="FS1122" s="319"/>
      <c r="FT1122" s="319"/>
      <c r="FU1122" s="319"/>
      <c r="FV1122" s="319"/>
      <c r="FW1122" s="319"/>
      <c r="FX1122" s="319"/>
      <c r="FY1122" s="319"/>
      <c r="FZ1122" s="319"/>
      <c r="GA1122" s="319"/>
      <c r="GB1122" s="319"/>
      <c r="GC1122" s="319"/>
      <c r="GD1122" s="319"/>
      <c r="GE1122" s="319"/>
      <c r="GF1122" s="319"/>
      <c r="GG1122" s="319"/>
      <c r="GH1122" s="319"/>
      <c r="GI1122" s="319"/>
      <c r="GJ1122" s="319"/>
      <c r="GK1122" s="319"/>
      <c r="GL1122" s="319"/>
      <c r="GM1122" s="319"/>
      <c r="GN1122" s="319"/>
      <c r="GO1122" s="319"/>
      <c r="GP1122" s="319"/>
      <c r="GQ1122" s="319"/>
      <c r="GR1122" s="319"/>
      <c r="GS1122" s="208"/>
      <c r="GT1122" s="49"/>
      <c r="GU1122" s="49"/>
      <c r="GV1122" s="49"/>
      <c r="GW1122" s="49"/>
      <c r="GX1122" s="49"/>
      <c r="GY1122" s="208"/>
      <c r="GZ1122" s="231"/>
      <c r="HA1122" s="231"/>
      <c r="HB1122" s="231"/>
      <c r="HC1122" s="231"/>
      <c r="HD1122" s="231"/>
      <c r="HE1122" s="231"/>
      <c r="HF1122" s="231"/>
      <c r="HG1122" s="231"/>
      <c r="HH1122" s="231"/>
      <c r="HI1122" s="232"/>
    </row>
    <row r="1123" spans="82:217" ht="10.75" customHeight="1">
      <c r="CD1123" s="229"/>
      <c r="CE1123" s="231"/>
      <c r="CF1123" s="231"/>
      <c r="CG1123" s="231"/>
      <c r="CH1123" s="231"/>
      <c r="CI1123" s="231"/>
      <c r="CJ1123" s="231"/>
      <c r="CK1123" s="231"/>
      <c r="CL1123" s="231"/>
      <c r="CM1123" s="231"/>
      <c r="CN1123" s="214"/>
      <c r="CO1123" s="49"/>
      <c r="CP1123" s="49"/>
      <c r="CQ1123" s="49"/>
      <c r="CR1123" s="49"/>
      <c r="CS1123" s="49"/>
      <c r="CT1123" s="214"/>
      <c r="CU1123" s="319"/>
      <c r="CV1123" s="319"/>
      <c r="CW1123" s="319"/>
      <c r="CX1123" s="319"/>
      <c r="CY1123" s="319"/>
      <c r="CZ1123" s="319"/>
      <c r="DA1123" s="319"/>
      <c r="DB1123" s="319"/>
      <c r="DC1123" s="319"/>
      <c r="DD1123" s="319"/>
      <c r="DE1123" s="319"/>
      <c r="DF1123" s="319"/>
      <c r="DG1123" s="319"/>
      <c r="DH1123" s="319"/>
      <c r="DI1123" s="319"/>
      <c r="DJ1123" s="319"/>
      <c r="DK1123" s="319"/>
      <c r="DL1123" s="319"/>
      <c r="DM1123" s="319"/>
      <c r="DN1123" s="319"/>
      <c r="DO1123" s="319"/>
      <c r="DP1123" s="319"/>
      <c r="DQ1123" s="319"/>
      <c r="DR1123" s="319"/>
      <c r="DS1123" s="319"/>
      <c r="DT1123" s="319"/>
      <c r="DU1123" s="319"/>
      <c r="DV1123" s="319"/>
      <c r="DW1123" s="319"/>
      <c r="DX1123" s="319"/>
      <c r="DY1123" s="319"/>
      <c r="DZ1123" s="319"/>
      <c r="EA1123" s="319"/>
      <c r="EB1123" s="319"/>
      <c r="EC1123" s="319"/>
      <c r="ED1123" s="319"/>
      <c r="EE1123" s="319"/>
      <c r="EF1123" s="319"/>
      <c r="EG1123" s="319"/>
      <c r="EH1123" s="319"/>
      <c r="EI1123" s="319"/>
      <c r="EJ1123" s="319"/>
      <c r="EK1123" s="319"/>
      <c r="EL1123" s="319"/>
      <c r="EM1123" s="319"/>
      <c r="EN1123" s="319"/>
      <c r="EO1123" s="319"/>
      <c r="EP1123" s="319"/>
      <c r="EQ1123" s="319"/>
      <c r="ER1123" s="319"/>
      <c r="ES1123" s="319"/>
      <c r="ET1123" s="319"/>
      <c r="EU1123" s="319"/>
      <c r="EV1123" s="319"/>
      <c r="EW1123" s="319"/>
      <c r="EX1123" s="319"/>
      <c r="EY1123" s="319"/>
      <c r="EZ1123" s="319"/>
      <c r="FA1123" s="319"/>
      <c r="FB1123" s="319"/>
      <c r="FC1123" s="319"/>
      <c r="FD1123" s="319"/>
      <c r="FE1123" s="319"/>
      <c r="FF1123" s="319"/>
      <c r="FG1123" s="319"/>
      <c r="FH1123" s="319"/>
      <c r="FI1123" s="319"/>
      <c r="FJ1123" s="319"/>
      <c r="FK1123" s="319"/>
      <c r="FL1123" s="319"/>
      <c r="FM1123" s="319"/>
      <c r="FN1123" s="319"/>
      <c r="FO1123" s="319"/>
      <c r="FP1123" s="319"/>
      <c r="FQ1123" s="319"/>
      <c r="FR1123" s="319"/>
      <c r="FS1123" s="319"/>
      <c r="FT1123" s="319"/>
      <c r="FU1123" s="319"/>
      <c r="FV1123" s="319"/>
      <c r="FW1123" s="319"/>
      <c r="FX1123" s="319"/>
      <c r="FY1123" s="319"/>
      <c r="FZ1123" s="319"/>
      <c r="GA1123" s="319"/>
      <c r="GB1123" s="319"/>
      <c r="GC1123" s="319"/>
      <c r="GD1123" s="319"/>
      <c r="GE1123" s="319"/>
      <c r="GF1123" s="319"/>
      <c r="GG1123" s="319"/>
      <c r="GH1123" s="319"/>
      <c r="GI1123" s="319"/>
      <c r="GJ1123" s="319"/>
      <c r="GK1123" s="319"/>
      <c r="GL1123" s="319"/>
      <c r="GM1123" s="319"/>
      <c r="GN1123" s="319"/>
      <c r="GO1123" s="319"/>
      <c r="GP1123" s="319"/>
      <c r="GQ1123" s="319"/>
      <c r="GR1123" s="319"/>
      <c r="GS1123" s="208"/>
      <c r="GT1123" s="49"/>
      <c r="GU1123" s="49"/>
      <c r="GV1123" s="49"/>
      <c r="GW1123" s="49"/>
      <c r="GX1123" s="49"/>
      <c r="GY1123" s="208"/>
      <c r="GZ1123" s="231"/>
      <c r="HA1123" s="231"/>
      <c r="HB1123" s="231"/>
      <c r="HC1123" s="231"/>
      <c r="HD1123" s="231"/>
      <c r="HE1123" s="231"/>
      <c r="HF1123" s="231"/>
      <c r="HG1123" s="231"/>
      <c r="HH1123" s="231"/>
      <c r="HI1123" s="232"/>
    </row>
    <row r="1124" spans="82:217" ht="10.75" customHeight="1">
      <c r="CD1124" s="229"/>
      <c r="CE1124" s="231"/>
      <c r="CF1124" s="231"/>
      <c r="CG1124" s="231"/>
      <c r="CH1124" s="231"/>
      <c r="CI1124" s="231"/>
      <c r="CJ1124" s="231"/>
      <c r="CK1124" s="231"/>
      <c r="CL1124" s="231"/>
      <c r="CM1124" s="231"/>
      <c r="CN1124" s="214"/>
      <c r="CO1124" s="49"/>
      <c r="CP1124" s="49"/>
      <c r="CQ1124" s="49"/>
      <c r="CR1124" s="49"/>
      <c r="CS1124" s="49"/>
      <c r="CT1124" s="214"/>
      <c r="CU1124" s="319"/>
      <c r="CV1124" s="319"/>
      <c r="CW1124" s="319"/>
      <c r="CX1124" s="319"/>
      <c r="CY1124" s="319"/>
      <c r="CZ1124" s="319"/>
      <c r="DA1124" s="319"/>
      <c r="DB1124" s="319"/>
      <c r="DC1124" s="319"/>
      <c r="DD1124" s="319"/>
      <c r="DE1124" s="319"/>
      <c r="DF1124" s="319"/>
      <c r="DG1124" s="319"/>
      <c r="DH1124" s="319"/>
      <c r="DI1124" s="319"/>
      <c r="DJ1124" s="319"/>
      <c r="DK1124" s="319"/>
      <c r="DL1124" s="319"/>
      <c r="DM1124" s="319"/>
      <c r="DN1124" s="319"/>
      <c r="DO1124" s="319"/>
      <c r="DP1124" s="319"/>
      <c r="DQ1124" s="319"/>
      <c r="DR1124" s="319"/>
      <c r="DS1124" s="319"/>
      <c r="DT1124" s="319"/>
      <c r="DU1124" s="319"/>
      <c r="DV1124" s="319"/>
      <c r="DW1124" s="319"/>
      <c r="DX1124" s="319"/>
      <c r="DY1124" s="319"/>
      <c r="DZ1124" s="319"/>
      <c r="EA1124" s="319"/>
      <c r="EB1124" s="319"/>
      <c r="EC1124" s="319"/>
      <c r="ED1124" s="319"/>
      <c r="EE1124" s="319"/>
      <c r="EF1124" s="319"/>
      <c r="EG1124" s="319"/>
      <c r="EH1124" s="319"/>
      <c r="EI1124" s="319"/>
      <c r="EJ1124" s="319"/>
      <c r="EK1124" s="319"/>
      <c r="EL1124" s="319"/>
      <c r="EM1124" s="319"/>
      <c r="EN1124" s="319"/>
      <c r="EO1124" s="319"/>
      <c r="EP1124" s="319"/>
      <c r="EQ1124" s="319"/>
      <c r="ER1124" s="319"/>
      <c r="ES1124" s="319"/>
      <c r="ET1124" s="319"/>
      <c r="EU1124" s="319"/>
      <c r="EV1124" s="319"/>
      <c r="EW1124" s="319"/>
      <c r="EX1124" s="319"/>
      <c r="EY1124" s="319"/>
      <c r="EZ1124" s="319"/>
      <c r="FA1124" s="319"/>
      <c r="FB1124" s="319"/>
      <c r="FC1124" s="319"/>
      <c r="FD1124" s="319"/>
      <c r="FE1124" s="319"/>
      <c r="FF1124" s="319"/>
      <c r="FG1124" s="319"/>
      <c r="FH1124" s="319"/>
      <c r="FI1124" s="319"/>
      <c r="FJ1124" s="319"/>
      <c r="FK1124" s="319"/>
      <c r="FL1124" s="319"/>
      <c r="FM1124" s="319"/>
      <c r="FN1124" s="319"/>
      <c r="FO1124" s="319"/>
      <c r="FP1124" s="319"/>
      <c r="FQ1124" s="319"/>
      <c r="FR1124" s="319"/>
      <c r="FS1124" s="319"/>
      <c r="FT1124" s="319"/>
      <c r="FU1124" s="319"/>
      <c r="FV1124" s="319"/>
      <c r="FW1124" s="319"/>
      <c r="FX1124" s="319"/>
      <c r="FY1124" s="319"/>
      <c r="FZ1124" s="319"/>
      <c r="GA1124" s="319"/>
      <c r="GB1124" s="319"/>
      <c r="GC1124" s="319"/>
      <c r="GD1124" s="319"/>
      <c r="GE1124" s="319"/>
      <c r="GF1124" s="319"/>
      <c r="GG1124" s="319"/>
      <c r="GH1124" s="319"/>
      <c r="GI1124" s="319"/>
      <c r="GJ1124" s="319"/>
      <c r="GK1124" s="319"/>
      <c r="GL1124" s="319"/>
      <c r="GM1124" s="319"/>
      <c r="GN1124" s="319"/>
      <c r="GO1124" s="319"/>
      <c r="GP1124" s="319"/>
      <c r="GQ1124" s="319"/>
      <c r="GR1124" s="319"/>
      <c r="GS1124" s="208"/>
      <c r="GT1124" s="49"/>
      <c r="GU1124" s="49"/>
      <c r="GV1124" s="49"/>
      <c r="GW1124" s="49"/>
      <c r="GX1124" s="49"/>
      <c r="GY1124" s="208"/>
      <c r="GZ1124" s="231"/>
      <c r="HA1124" s="231"/>
      <c r="HB1124" s="231"/>
      <c r="HC1124" s="231"/>
      <c r="HD1124" s="231"/>
      <c r="HE1124" s="231"/>
      <c r="HF1124" s="231"/>
      <c r="HG1124" s="231"/>
      <c r="HH1124" s="231"/>
      <c r="HI1124" s="232"/>
    </row>
    <row r="1125" spans="82:217" ht="10.75" customHeight="1">
      <c r="CD1125" s="229"/>
      <c r="CE1125" s="231"/>
      <c r="CF1125" s="231"/>
      <c r="CG1125" s="231"/>
      <c r="CH1125" s="231"/>
      <c r="CI1125" s="231"/>
      <c r="CJ1125" s="231"/>
      <c r="CK1125" s="318"/>
      <c r="CL1125" s="318"/>
      <c r="CM1125" s="231"/>
      <c r="CN1125" s="214"/>
      <c r="CO1125" s="49"/>
      <c r="CP1125" s="49"/>
      <c r="CQ1125" s="49"/>
      <c r="CR1125" s="49"/>
      <c r="CS1125" s="49"/>
      <c r="CT1125" s="214"/>
      <c r="CU1125" s="319"/>
      <c r="CV1125" s="319"/>
      <c r="CW1125" s="319"/>
      <c r="CX1125" s="319"/>
      <c r="CY1125" s="319"/>
      <c r="CZ1125" s="319"/>
      <c r="DA1125" s="319"/>
      <c r="DB1125" s="319"/>
      <c r="DC1125" s="319"/>
      <c r="DD1125" s="319"/>
      <c r="DE1125" s="319"/>
      <c r="DF1125" s="319"/>
      <c r="DG1125" s="319"/>
      <c r="DH1125" s="319"/>
      <c r="DI1125" s="319"/>
      <c r="DJ1125" s="319"/>
      <c r="DK1125" s="319"/>
      <c r="DL1125" s="319"/>
      <c r="DM1125" s="319"/>
      <c r="DN1125" s="319"/>
      <c r="DO1125" s="319"/>
      <c r="DP1125" s="319"/>
      <c r="DQ1125" s="319"/>
      <c r="DR1125" s="319"/>
      <c r="DS1125" s="319"/>
      <c r="DT1125" s="319"/>
      <c r="DU1125" s="319"/>
      <c r="DV1125" s="319"/>
      <c r="DW1125" s="319"/>
      <c r="DX1125" s="319"/>
      <c r="DY1125" s="319"/>
      <c r="DZ1125" s="319"/>
      <c r="EA1125" s="319"/>
      <c r="EB1125" s="319"/>
      <c r="EC1125" s="319"/>
      <c r="ED1125" s="319"/>
      <c r="EE1125" s="319"/>
      <c r="EF1125" s="319"/>
      <c r="EG1125" s="319"/>
      <c r="EH1125" s="319"/>
      <c r="EI1125" s="319"/>
      <c r="EJ1125" s="319"/>
      <c r="EK1125" s="319"/>
      <c r="EL1125" s="319"/>
      <c r="EM1125" s="319"/>
      <c r="EN1125" s="319"/>
      <c r="EO1125" s="319"/>
      <c r="EP1125" s="319"/>
      <c r="EQ1125" s="319"/>
      <c r="ER1125" s="319"/>
      <c r="ES1125" s="319"/>
      <c r="ET1125" s="319"/>
      <c r="EU1125" s="319"/>
      <c r="EV1125" s="319"/>
      <c r="EW1125" s="319"/>
      <c r="EX1125" s="319"/>
      <c r="EY1125" s="319"/>
      <c r="EZ1125" s="319"/>
      <c r="FA1125" s="319"/>
      <c r="FB1125" s="319"/>
      <c r="FC1125" s="319"/>
      <c r="FD1125" s="319"/>
      <c r="FE1125" s="319"/>
      <c r="FF1125" s="319"/>
      <c r="FG1125" s="319"/>
      <c r="FH1125" s="319"/>
      <c r="FI1125" s="319"/>
      <c r="FJ1125" s="319"/>
      <c r="FK1125" s="319"/>
      <c r="FL1125" s="319"/>
      <c r="FM1125" s="319"/>
      <c r="FN1125" s="319"/>
      <c r="FO1125" s="319"/>
      <c r="FP1125" s="319"/>
      <c r="FQ1125" s="319"/>
      <c r="FR1125" s="319"/>
      <c r="FS1125" s="319"/>
      <c r="FT1125" s="319"/>
      <c r="FU1125" s="319"/>
      <c r="FV1125" s="319"/>
      <c r="FW1125" s="319"/>
      <c r="FX1125" s="319"/>
      <c r="FY1125" s="319"/>
      <c r="FZ1125" s="319"/>
      <c r="GA1125" s="319"/>
      <c r="GB1125" s="319"/>
      <c r="GC1125" s="319"/>
      <c r="GD1125" s="319"/>
      <c r="GE1125" s="319"/>
      <c r="GF1125" s="319"/>
      <c r="GG1125" s="319"/>
      <c r="GH1125" s="319"/>
      <c r="GI1125" s="319"/>
      <c r="GJ1125" s="319"/>
      <c r="GK1125" s="319"/>
      <c r="GL1125" s="319"/>
      <c r="GM1125" s="319"/>
      <c r="GN1125" s="319"/>
      <c r="GO1125" s="319"/>
      <c r="GP1125" s="319"/>
      <c r="GQ1125" s="319"/>
      <c r="GR1125" s="319"/>
      <c r="GS1125" s="208"/>
      <c r="GT1125" s="49"/>
      <c r="GU1125" s="49"/>
      <c r="GV1125" s="49"/>
      <c r="GW1125" s="49"/>
      <c r="GX1125" s="49"/>
      <c r="GY1125" s="208"/>
      <c r="GZ1125" s="231"/>
      <c r="HA1125" s="231"/>
      <c r="HB1125" s="231"/>
      <c r="HC1125" s="231"/>
      <c r="HD1125" s="231"/>
      <c r="HE1125" s="231"/>
      <c r="HF1125" s="231"/>
      <c r="HG1125" s="231"/>
      <c r="HH1125" s="231"/>
      <c r="HI1125" s="232"/>
    </row>
    <row r="1126" spans="82:217" ht="10.75" customHeight="1">
      <c r="CD1126" s="229"/>
      <c r="CE1126" s="231"/>
      <c r="CF1126" s="231"/>
      <c r="CG1126" s="231"/>
      <c r="CH1126" s="231"/>
      <c r="CI1126" s="231"/>
      <c r="CJ1126" s="231"/>
      <c r="CK1126" s="318"/>
      <c r="CL1126" s="318"/>
      <c r="CM1126" s="232"/>
      <c r="CN1126" s="236"/>
      <c r="CO1126" s="258"/>
      <c r="CP1126" s="258"/>
      <c r="CQ1126" s="258"/>
      <c r="CR1126" s="258"/>
      <c r="CS1126" s="258"/>
      <c r="CT1126" s="236"/>
      <c r="CU1126" s="258"/>
      <c r="CV1126" s="258"/>
      <c r="CW1126" s="258"/>
      <c r="CX1126" s="258"/>
      <c r="CY1126" s="258"/>
      <c r="CZ1126" s="258"/>
      <c r="DA1126" s="258"/>
      <c r="DB1126" s="258"/>
      <c r="DC1126" s="258"/>
      <c r="DD1126" s="258"/>
      <c r="DE1126" s="258"/>
      <c r="DF1126" s="258"/>
      <c r="DG1126" s="258"/>
      <c r="DH1126" s="258"/>
      <c r="DI1126" s="258"/>
      <c r="DJ1126" s="258"/>
      <c r="DK1126" s="258"/>
      <c r="DL1126" s="258"/>
      <c r="DM1126" s="258"/>
      <c r="DN1126" s="258"/>
      <c r="DO1126" s="258"/>
      <c r="DP1126" s="258"/>
      <c r="DQ1126" s="258"/>
      <c r="DR1126" s="258"/>
      <c r="DS1126" s="258"/>
      <c r="DT1126" s="258"/>
      <c r="DU1126" s="258"/>
      <c r="DV1126" s="258"/>
      <c r="DW1126" s="258"/>
      <c r="DX1126" s="258"/>
      <c r="DY1126" s="258"/>
      <c r="DZ1126" s="258"/>
      <c r="EA1126" s="258"/>
      <c r="EB1126" s="258"/>
      <c r="EC1126" s="258"/>
      <c r="ED1126" s="258"/>
      <c r="EE1126" s="258"/>
      <c r="EF1126" s="258"/>
      <c r="EG1126" s="258"/>
      <c r="EH1126" s="258"/>
      <c r="EI1126" s="258"/>
      <c r="EJ1126" s="258"/>
      <c r="EK1126" s="258"/>
      <c r="EL1126" s="258"/>
      <c r="EM1126" s="258"/>
      <c r="EN1126" s="258"/>
      <c r="EO1126" s="258"/>
      <c r="EP1126" s="258"/>
      <c r="EQ1126" s="258"/>
      <c r="ER1126" s="258"/>
      <c r="ES1126" s="258"/>
      <c r="ET1126" s="258"/>
      <c r="EU1126" s="258"/>
      <c r="EV1126" s="258"/>
      <c r="EW1126" s="258"/>
      <c r="EX1126" s="258"/>
      <c r="EY1126" s="258"/>
      <c r="EZ1126" s="258"/>
      <c r="FA1126" s="258"/>
      <c r="FB1126" s="258"/>
      <c r="FC1126" s="258"/>
      <c r="FD1126" s="258"/>
      <c r="FE1126" s="258"/>
      <c r="FF1126" s="258"/>
      <c r="FG1126" s="258"/>
      <c r="FH1126" s="258"/>
      <c r="FI1126" s="258"/>
      <c r="FJ1126" s="258"/>
      <c r="FK1126" s="258"/>
      <c r="FL1126" s="258"/>
      <c r="FM1126" s="258"/>
      <c r="FN1126" s="258"/>
      <c r="FO1126" s="258"/>
      <c r="FP1126" s="258"/>
      <c r="FQ1126" s="258"/>
      <c r="FR1126" s="258"/>
      <c r="FS1126" s="258"/>
      <c r="FT1126" s="258"/>
      <c r="FU1126" s="258"/>
      <c r="FV1126" s="258"/>
      <c r="FW1126" s="258"/>
      <c r="FX1126" s="258"/>
      <c r="FY1126" s="258"/>
      <c r="FZ1126" s="258"/>
      <c r="GA1126" s="258"/>
      <c r="GB1126" s="258"/>
      <c r="GC1126" s="258"/>
      <c r="GD1126" s="258"/>
      <c r="GE1126" s="258"/>
      <c r="GF1126" s="258"/>
      <c r="GG1126" s="258"/>
      <c r="GH1126" s="258"/>
      <c r="GI1126" s="258"/>
      <c r="GJ1126" s="258"/>
      <c r="GK1126" s="258"/>
      <c r="GL1126" s="258"/>
      <c r="GM1126" s="258"/>
      <c r="GN1126" s="258"/>
      <c r="GO1126" s="258"/>
      <c r="GP1126" s="258"/>
      <c r="GQ1126" s="258"/>
      <c r="GR1126" s="258"/>
      <c r="GS1126" s="209"/>
      <c r="GT1126" s="258"/>
      <c r="GU1126" s="258"/>
      <c r="GV1126" s="258"/>
      <c r="GW1126" s="258"/>
      <c r="GX1126" s="258"/>
      <c r="GY1126" s="209"/>
      <c r="GZ1126" s="231"/>
      <c r="HA1126" s="231"/>
      <c r="HB1126" s="231"/>
      <c r="HC1126" s="231"/>
      <c r="HD1126" s="231"/>
      <c r="HE1126" s="231"/>
      <c r="HF1126" s="231"/>
      <c r="HG1126" s="231"/>
      <c r="HH1126" s="231"/>
      <c r="HI1126" s="232"/>
    </row>
    <row r="1127" spans="82:217" ht="10.75" customHeight="1">
      <c r="CD1127" s="229"/>
      <c r="CE1127" s="231"/>
      <c r="CF1127" s="231"/>
      <c r="CG1127" s="231"/>
      <c r="CH1127" s="231"/>
      <c r="CI1127" s="231"/>
      <c r="CJ1127" s="231"/>
      <c r="CK1127" s="318"/>
      <c r="CL1127" s="318"/>
      <c r="CM1127" s="231"/>
      <c r="CN1127" s="231"/>
      <c r="CO1127" s="231"/>
      <c r="CP1127" s="231"/>
      <c r="CQ1127" s="231"/>
      <c r="CR1127" s="231"/>
      <c r="CS1127" s="231"/>
      <c r="CT1127" s="229"/>
      <c r="CU1127" s="318"/>
      <c r="CV1127" s="318"/>
      <c r="CW1127" s="318"/>
      <c r="CX1127" s="318"/>
      <c r="CY1127" s="318"/>
      <c r="CZ1127" s="318"/>
      <c r="DA1127" s="318"/>
      <c r="DB1127" s="318"/>
      <c r="DC1127" s="318"/>
      <c r="DD1127" s="318"/>
      <c r="DE1127" s="318"/>
      <c r="DF1127" s="318"/>
      <c r="DG1127" s="318"/>
      <c r="DH1127" s="318"/>
      <c r="DI1127" s="318"/>
      <c r="DJ1127" s="318"/>
      <c r="DK1127" s="318"/>
      <c r="DL1127" s="318"/>
      <c r="DM1127" s="318"/>
      <c r="DN1127" s="318"/>
      <c r="DO1127" s="318"/>
      <c r="DP1127" s="318"/>
      <c r="DQ1127" s="318"/>
      <c r="DR1127" s="318"/>
      <c r="DS1127" s="318"/>
      <c r="DT1127" s="318"/>
      <c r="DU1127" s="318"/>
      <c r="DV1127" s="318"/>
      <c r="DW1127" s="318"/>
      <c r="DX1127" s="318"/>
      <c r="DY1127" s="318"/>
      <c r="DZ1127" s="318"/>
      <c r="EA1127" s="318"/>
      <c r="EB1127" s="318"/>
      <c r="EC1127" s="318"/>
      <c r="ED1127" s="318"/>
      <c r="EE1127" s="318"/>
      <c r="EF1127" s="318"/>
      <c r="EG1127" s="318"/>
      <c r="EH1127" s="318"/>
      <c r="EI1127" s="318"/>
      <c r="EJ1127" s="318"/>
      <c r="EK1127" s="318"/>
      <c r="EL1127" s="318"/>
      <c r="EM1127" s="318"/>
      <c r="EN1127" s="318"/>
      <c r="EO1127" s="318"/>
      <c r="EP1127" s="318"/>
      <c r="EQ1127" s="318"/>
      <c r="ER1127" s="318"/>
      <c r="ES1127" s="318"/>
      <c r="ET1127" s="318"/>
      <c r="EU1127" s="318"/>
      <c r="EV1127" s="318"/>
      <c r="EW1127" s="318"/>
      <c r="EX1127" s="318"/>
      <c r="EY1127" s="318"/>
      <c r="EZ1127" s="318"/>
      <c r="FA1127" s="318"/>
      <c r="FB1127" s="318"/>
      <c r="FC1127" s="318"/>
      <c r="FD1127" s="318"/>
      <c r="FE1127" s="318"/>
      <c r="FF1127" s="318"/>
      <c r="FG1127" s="318"/>
      <c r="FH1127" s="318"/>
      <c r="FI1127" s="318"/>
      <c r="FJ1127" s="318"/>
      <c r="FK1127" s="318"/>
      <c r="FL1127" s="318"/>
      <c r="FM1127" s="318"/>
      <c r="FN1127" s="318"/>
      <c r="FO1127" s="318"/>
      <c r="FP1127" s="318"/>
      <c r="FQ1127" s="318"/>
      <c r="FR1127" s="318"/>
      <c r="FS1127" s="318"/>
      <c r="FT1127" s="318"/>
      <c r="FU1127" s="318"/>
      <c r="FV1127" s="318"/>
      <c r="FW1127" s="318"/>
      <c r="FX1127" s="318"/>
      <c r="FY1127" s="318"/>
      <c r="FZ1127" s="318"/>
      <c r="GA1127" s="318"/>
      <c r="GB1127" s="318"/>
      <c r="GC1127" s="318"/>
      <c r="GD1127" s="318"/>
      <c r="GE1127" s="318"/>
      <c r="GF1127" s="318"/>
      <c r="GG1127" s="318"/>
      <c r="GH1127" s="318"/>
      <c r="GI1127" s="318"/>
      <c r="GJ1127" s="318"/>
      <c r="GK1127" s="318"/>
      <c r="GL1127" s="318"/>
      <c r="GM1127" s="318"/>
      <c r="GN1127" s="318"/>
      <c r="GO1127" s="318"/>
      <c r="GP1127" s="318"/>
      <c r="GQ1127" s="318"/>
      <c r="GR1127" s="318"/>
      <c r="GS1127" s="232"/>
      <c r="GT1127" s="231"/>
      <c r="GU1127" s="231"/>
      <c r="GV1127" s="231"/>
      <c r="GW1127" s="231"/>
      <c r="GX1127" s="231"/>
      <c r="GY1127" s="231"/>
      <c r="GZ1127" s="231"/>
      <c r="HA1127" s="231"/>
      <c r="HB1127" s="231"/>
      <c r="HC1127" s="231"/>
      <c r="HD1127" s="231"/>
      <c r="HE1127" s="231"/>
      <c r="HF1127" s="231"/>
      <c r="HG1127" s="231"/>
      <c r="HH1127" s="231"/>
      <c r="HI1127" s="232"/>
    </row>
    <row r="1128" spans="82:217" ht="10.75" customHeight="1">
      <c r="CD1128" s="229"/>
      <c r="CE1128" s="231"/>
      <c r="CF1128" s="231"/>
      <c r="CG1128" s="231"/>
      <c r="CH1128" s="231"/>
      <c r="CI1128" s="231"/>
      <c r="CJ1128" s="231"/>
      <c r="CK1128" s="231"/>
      <c r="CL1128" s="231"/>
      <c r="CM1128" s="231"/>
      <c r="CN1128" s="231"/>
      <c r="CO1128" s="231"/>
      <c r="CP1128" s="231"/>
      <c r="CQ1128" s="231"/>
      <c r="CR1128" s="231"/>
      <c r="CS1128" s="231"/>
      <c r="CT1128" s="229"/>
      <c r="CU1128" s="318"/>
      <c r="CV1128" s="318"/>
      <c r="CW1128" s="318"/>
      <c r="CX1128" s="318"/>
      <c r="CY1128" s="318"/>
      <c r="CZ1128" s="318"/>
      <c r="DA1128" s="318"/>
      <c r="DB1128" s="318"/>
      <c r="DC1128" s="318"/>
      <c r="DD1128" s="318"/>
      <c r="DE1128" s="318"/>
      <c r="DF1128" s="318"/>
      <c r="DG1128" s="318"/>
      <c r="DH1128" s="318"/>
      <c r="DI1128" s="318"/>
      <c r="DJ1128" s="318"/>
      <c r="DK1128" s="318"/>
      <c r="DL1128" s="318"/>
      <c r="DM1128" s="318"/>
      <c r="DN1128" s="318"/>
      <c r="DO1128" s="318"/>
      <c r="DP1128" s="318"/>
      <c r="DQ1128" s="318"/>
      <c r="DR1128" s="318"/>
      <c r="DS1128" s="318"/>
      <c r="DT1128" s="318"/>
      <c r="DU1128" s="318"/>
      <c r="DV1128" s="318"/>
      <c r="DW1128" s="318"/>
      <c r="DX1128" s="318"/>
      <c r="DY1128" s="318"/>
      <c r="DZ1128" s="318"/>
      <c r="EA1128" s="318"/>
      <c r="EB1128" s="318"/>
      <c r="EC1128" s="318"/>
      <c r="ED1128" s="318"/>
      <c r="EE1128" s="318"/>
      <c r="EF1128" s="318"/>
      <c r="EG1128" s="318"/>
      <c r="EH1128" s="318"/>
      <c r="EI1128" s="318"/>
      <c r="EJ1128" s="318"/>
      <c r="EK1128" s="318"/>
      <c r="EL1128" s="318"/>
      <c r="EM1128" s="318"/>
      <c r="EN1128" s="318"/>
      <c r="EO1128" s="318"/>
      <c r="EP1128" s="318"/>
      <c r="EQ1128" s="318"/>
      <c r="ER1128" s="318"/>
      <c r="ES1128" s="318"/>
      <c r="ET1128" s="318"/>
      <c r="EU1128" s="318"/>
      <c r="EV1128" s="318"/>
      <c r="EW1128" s="318"/>
      <c r="EX1128" s="318"/>
      <c r="EY1128" s="318"/>
      <c r="EZ1128" s="318"/>
      <c r="FA1128" s="318"/>
      <c r="FB1128" s="318"/>
      <c r="FC1128" s="318"/>
      <c r="FD1128" s="318"/>
      <c r="FE1128" s="318"/>
      <c r="FF1128" s="318"/>
      <c r="FG1128" s="318"/>
      <c r="FH1128" s="318"/>
      <c r="FI1128" s="318"/>
      <c r="FJ1128" s="318"/>
      <c r="FK1128" s="318"/>
      <c r="FL1128" s="318"/>
      <c r="FM1128" s="318"/>
      <c r="FN1128" s="318"/>
      <c r="FO1128" s="318"/>
      <c r="FP1128" s="318"/>
      <c r="FQ1128" s="318"/>
      <c r="FR1128" s="318"/>
      <c r="FS1128" s="318"/>
      <c r="FT1128" s="318"/>
      <c r="FU1128" s="318"/>
      <c r="FV1128" s="318"/>
      <c r="FW1128" s="318"/>
      <c r="FX1128" s="318"/>
      <c r="FY1128" s="318"/>
      <c r="FZ1128" s="318"/>
      <c r="GA1128" s="318"/>
      <c r="GB1128" s="318"/>
      <c r="GC1128" s="318"/>
      <c r="GD1128" s="318"/>
      <c r="GE1128" s="318"/>
      <c r="GF1128" s="318"/>
      <c r="GG1128" s="318"/>
      <c r="GH1128" s="318"/>
      <c r="GI1128" s="318"/>
      <c r="GJ1128" s="318"/>
      <c r="GK1128" s="318"/>
      <c r="GL1128" s="318"/>
      <c r="GM1128" s="318"/>
      <c r="GN1128" s="318"/>
      <c r="GO1128" s="318"/>
      <c r="GP1128" s="318"/>
      <c r="GQ1128" s="318"/>
      <c r="GR1128" s="318"/>
      <c r="GS1128" s="232"/>
      <c r="GT1128" s="231"/>
      <c r="GU1128" s="231"/>
      <c r="GV1128" s="231"/>
      <c r="GW1128" s="231"/>
      <c r="GX1128" s="231"/>
      <c r="GY1128" s="231"/>
      <c r="GZ1128" s="231"/>
      <c r="HA1128" s="231"/>
      <c r="HB1128" s="231"/>
      <c r="HC1128" s="231"/>
      <c r="HD1128" s="231"/>
      <c r="HE1128" s="231"/>
      <c r="HF1128" s="231"/>
      <c r="HG1128" s="231"/>
      <c r="HH1128" s="231"/>
      <c r="HI1128" s="232"/>
    </row>
    <row r="1129" spans="82:217" ht="10.75" customHeight="1">
      <c r="CD1129" s="229"/>
      <c r="CE1129" s="231"/>
      <c r="CF1129" s="231"/>
      <c r="CG1129" s="231"/>
      <c r="CH1129" s="231"/>
      <c r="CI1129" s="231"/>
      <c r="CJ1129" s="231"/>
      <c r="CK1129" s="231"/>
      <c r="CL1129" s="231"/>
      <c r="CM1129" s="231"/>
      <c r="CN1129" s="231"/>
      <c r="CO1129" s="231"/>
      <c r="CP1129" s="231"/>
      <c r="CQ1129" s="231"/>
      <c r="CR1129" s="231"/>
      <c r="CS1129" s="231"/>
      <c r="CT1129" s="229"/>
      <c r="CU1129" s="318"/>
      <c r="CV1129" s="318"/>
      <c r="CW1129" s="318"/>
      <c r="CX1129" s="318"/>
      <c r="CY1129" s="318"/>
      <c r="CZ1129" s="318"/>
      <c r="DA1129" s="318"/>
      <c r="DB1129" s="318"/>
      <c r="DC1129" s="318"/>
      <c r="DD1129" s="318"/>
      <c r="DE1129" s="318"/>
      <c r="DF1129" s="318"/>
      <c r="DG1129" s="318"/>
      <c r="DH1129" s="318"/>
      <c r="DI1129" s="318"/>
      <c r="DJ1129" s="318"/>
      <c r="DK1129" s="318"/>
      <c r="DL1129" s="318"/>
      <c r="DM1129" s="318"/>
      <c r="DN1129" s="318"/>
      <c r="DO1129" s="318"/>
      <c r="DP1129" s="318"/>
      <c r="DQ1129" s="318"/>
      <c r="DR1129" s="318"/>
      <c r="DS1129" s="318"/>
      <c r="DT1129" s="318"/>
      <c r="DU1129" s="318"/>
      <c r="DV1129" s="318"/>
      <c r="DW1129" s="318"/>
      <c r="DX1129" s="318"/>
      <c r="DY1129" s="318"/>
      <c r="DZ1129" s="318"/>
      <c r="EA1129" s="318"/>
      <c r="EB1129" s="318"/>
      <c r="EC1129" s="318"/>
      <c r="ED1129" s="318"/>
      <c r="EE1129" s="318"/>
      <c r="EF1129" s="318"/>
      <c r="EG1129" s="318"/>
      <c r="EH1129" s="318"/>
      <c r="EI1129" s="318"/>
      <c r="EJ1129" s="318"/>
      <c r="EK1129" s="318"/>
      <c r="EL1129" s="318"/>
      <c r="EM1129" s="318"/>
      <c r="EN1129" s="318"/>
      <c r="EO1129" s="318"/>
      <c r="EP1129" s="318"/>
      <c r="EQ1129" s="318"/>
      <c r="ER1129" s="318"/>
      <c r="ES1129" s="318"/>
      <c r="ET1129" s="318"/>
      <c r="EU1129" s="318"/>
      <c r="EV1129" s="318"/>
      <c r="EW1129" s="318"/>
      <c r="EX1129" s="318"/>
      <c r="EY1129" s="318"/>
      <c r="EZ1129" s="318"/>
      <c r="FA1129" s="318"/>
      <c r="FB1129" s="318"/>
      <c r="FC1129" s="318"/>
      <c r="FD1129" s="318"/>
      <c r="FE1129" s="318"/>
      <c r="FF1129" s="318"/>
      <c r="FG1129" s="318"/>
      <c r="FH1129" s="318"/>
      <c r="FI1129" s="318"/>
      <c r="FJ1129" s="318"/>
      <c r="FK1129" s="318"/>
      <c r="FL1129" s="318"/>
      <c r="FM1129" s="318"/>
      <c r="FN1129" s="318"/>
      <c r="FO1129" s="318"/>
      <c r="FP1129" s="318"/>
      <c r="FQ1129" s="318"/>
      <c r="FR1129" s="318"/>
      <c r="FS1129" s="318"/>
      <c r="FT1129" s="318"/>
      <c r="FU1129" s="318"/>
      <c r="FV1129" s="318"/>
      <c r="FW1129" s="318"/>
      <c r="FX1129" s="318"/>
      <c r="FY1129" s="318"/>
      <c r="FZ1129" s="318"/>
      <c r="GA1129" s="318"/>
      <c r="GB1129" s="318"/>
      <c r="GC1129" s="318"/>
      <c r="GD1129" s="318"/>
      <c r="GE1129" s="318"/>
      <c r="GF1129" s="318"/>
      <c r="GG1129" s="318"/>
      <c r="GH1129" s="318"/>
      <c r="GI1129" s="318"/>
      <c r="GJ1129" s="318"/>
      <c r="GK1129" s="318"/>
      <c r="GL1129" s="318"/>
      <c r="GM1129" s="318"/>
      <c r="GN1129" s="318"/>
      <c r="GO1129" s="318"/>
      <c r="GP1129" s="318"/>
      <c r="GQ1129" s="318"/>
      <c r="GR1129" s="318"/>
      <c r="GS1129" s="232"/>
      <c r="GT1129" s="231"/>
      <c r="GU1129" s="231"/>
      <c r="GV1129" s="231"/>
      <c r="GW1129" s="231"/>
      <c r="GX1129" s="231"/>
      <c r="GY1129" s="231"/>
      <c r="GZ1129" s="231"/>
      <c r="HA1129" s="231"/>
      <c r="HB1129" s="231"/>
      <c r="HC1129" s="231"/>
      <c r="HD1129" s="231"/>
      <c r="HE1129" s="231"/>
      <c r="HF1129" s="231"/>
      <c r="HG1129" s="231"/>
      <c r="HH1129" s="231"/>
      <c r="HI1129" s="232"/>
    </row>
    <row r="1130" spans="82:217" ht="10.75" customHeight="1">
      <c r="CD1130" s="229"/>
      <c r="CE1130" s="231"/>
      <c r="CF1130" s="231"/>
      <c r="CG1130" s="231"/>
      <c r="CH1130" s="231"/>
      <c r="CI1130" s="231"/>
      <c r="CJ1130" s="231"/>
      <c r="CK1130" s="231"/>
      <c r="CL1130" s="231"/>
      <c r="CM1130" s="231"/>
      <c r="CN1130" s="231"/>
      <c r="CO1130" s="231"/>
      <c r="CP1130" s="231"/>
      <c r="CQ1130" s="231"/>
      <c r="CR1130" s="231"/>
      <c r="CS1130" s="231"/>
      <c r="CT1130" s="229"/>
      <c r="CU1130" s="318"/>
      <c r="CV1130" s="318"/>
      <c r="CW1130" s="318"/>
      <c r="CX1130" s="318"/>
      <c r="CY1130" s="318"/>
      <c r="CZ1130" s="318"/>
      <c r="DA1130" s="318"/>
      <c r="DB1130" s="318"/>
      <c r="DC1130" s="318"/>
      <c r="DD1130" s="318"/>
      <c r="DE1130" s="318"/>
      <c r="DF1130" s="318"/>
      <c r="DG1130" s="318"/>
      <c r="DH1130" s="318"/>
      <c r="DI1130" s="318"/>
      <c r="DJ1130" s="318"/>
      <c r="DK1130" s="318"/>
      <c r="DL1130" s="318"/>
      <c r="DM1130" s="318"/>
      <c r="DN1130" s="318"/>
      <c r="DO1130" s="318"/>
      <c r="DP1130" s="318"/>
      <c r="DQ1130" s="318"/>
      <c r="DR1130" s="318"/>
      <c r="DS1130" s="318"/>
      <c r="DT1130" s="318"/>
      <c r="DU1130" s="318"/>
      <c r="DV1130" s="318"/>
      <c r="DW1130" s="318"/>
      <c r="DX1130" s="318"/>
      <c r="DY1130" s="318"/>
      <c r="DZ1130" s="318"/>
      <c r="EA1130" s="318"/>
      <c r="EB1130" s="318"/>
      <c r="EC1130" s="318"/>
      <c r="ED1130" s="318"/>
      <c r="EE1130" s="318"/>
      <c r="EF1130" s="318"/>
      <c r="EG1130" s="318"/>
      <c r="EH1130" s="318"/>
      <c r="EI1130" s="318"/>
      <c r="EJ1130" s="318"/>
      <c r="EK1130" s="318"/>
      <c r="EL1130" s="318"/>
      <c r="EM1130" s="318"/>
      <c r="EN1130" s="318"/>
      <c r="EO1130" s="318"/>
      <c r="EP1130" s="318"/>
      <c r="EQ1130" s="318"/>
      <c r="ER1130" s="318"/>
      <c r="ES1130" s="318"/>
      <c r="ET1130" s="318"/>
      <c r="EU1130" s="318"/>
      <c r="EV1130" s="318"/>
      <c r="EW1130" s="318"/>
      <c r="EX1130" s="318"/>
      <c r="EY1130" s="318"/>
      <c r="EZ1130" s="318"/>
      <c r="FA1130" s="318"/>
      <c r="FB1130" s="318"/>
      <c r="FC1130" s="318"/>
      <c r="FD1130" s="318"/>
      <c r="FE1130" s="318"/>
      <c r="FF1130" s="318"/>
      <c r="FG1130" s="318"/>
      <c r="FH1130" s="318"/>
      <c r="FI1130" s="318"/>
      <c r="FJ1130" s="318"/>
      <c r="FK1130" s="318"/>
      <c r="FL1130" s="318"/>
      <c r="FM1130" s="318"/>
      <c r="FN1130" s="318"/>
      <c r="FO1130" s="318"/>
      <c r="FP1130" s="318"/>
      <c r="FQ1130" s="318"/>
      <c r="FR1130" s="318"/>
      <c r="FS1130" s="318"/>
      <c r="FT1130" s="318"/>
      <c r="FU1130" s="318"/>
      <c r="FV1130" s="318"/>
      <c r="FW1130" s="318"/>
      <c r="FX1130" s="318"/>
      <c r="FY1130" s="318"/>
      <c r="FZ1130" s="318"/>
      <c r="GA1130" s="318"/>
      <c r="GB1130" s="318"/>
      <c r="GC1130" s="318"/>
      <c r="GD1130" s="318"/>
      <c r="GE1130" s="318"/>
      <c r="GF1130" s="318"/>
      <c r="GG1130" s="318"/>
      <c r="GH1130" s="318"/>
      <c r="GI1130" s="318"/>
      <c r="GJ1130" s="318"/>
      <c r="GK1130" s="318"/>
      <c r="GL1130" s="318"/>
      <c r="GM1130" s="318"/>
      <c r="GN1130" s="318"/>
      <c r="GO1130" s="318"/>
      <c r="GP1130" s="318"/>
      <c r="GQ1130" s="318"/>
      <c r="GR1130" s="318"/>
      <c r="GS1130" s="232"/>
      <c r="GT1130" s="231"/>
      <c r="GU1130" s="231"/>
      <c r="GV1130" s="231"/>
      <c r="GW1130" s="231"/>
      <c r="GX1130" s="231"/>
      <c r="GY1130" s="231"/>
      <c r="GZ1130" s="231"/>
      <c r="HA1130" s="231"/>
      <c r="HB1130" s="231"/>
      <c r="HC1130" s="231"/>
      <c r="HD1130" s="231"/>
      <c r="HE1130" s="231"/>
      <c r="HF1130" s="231"/>
      <c r="HG1130" s="231"/>
      <c r="HH1130" s="231"/>
      <c r="HI1130" s="232"/>
    </row>
    <row r="1131" spans="82:217" ht="10.75" customHeight="1">
      <c r="CD1131" s="229"/>
      <c r="CE1131" s="231"/>
      <c r="CF1131" s="231"/>
      <c r="CG1131" s="231"/>
      <c r="CH1131" s="231"/>
      <c r="CI1131" s="231"/>
      <c r="CJ1131" s="231"/>
      <c r="CK1131" s="231"/>
      <c r="CL1131" s="231"/>
      <c r="CM1131" s="231"/>
      <c r="CN1131" s="231"/>
      <c r="CO1131" s="231"/>
      <c r="CP1131" s="231"/>
      <c r="CQ1131" s="231"/>
      <c r="CR1131" s="231"/>
      <c r="CS1131" s="231"/>
      <c r="CT1131" s="229"/>
      <c r="CU1131" s="318"/>
      <c r="CV1131" s="318"/>
      <c r="CW1131" s="318"/>
      <c r="CX1131" s="318"/>
      <c r="CY1131" s="318"/>
      <c r="CZ1131" s="318"/>
      <c r="DA1131" s="318"/>
      <c r="DB1131" s="318"/>
      <c r="DC1131" s="318"/>
      <c r="DD1131" s="318"/>
      <c r="DE1131" s="318"/>
      <c r="DF1131" s="318"/>
      <c r="DG1131" s="318"/>
      <c r="DH1131" s="318"/>
      <c r="DI1131" s="318"/>
      <c r="DJ1131" s="318"/>
      <c r="DK1131" s="318"/>
      <c r="DL1131" s="318"/>
      <c r="DM1131" s="318"/>
      <c r="DN1131" s="318"/>
      <c r="DO1131" s="318"/>
      <c r="DP1131" s="318"/>
      <c r="DQ1131" s="318"/>
      <c r="DR1131" s="318"/>
      <c r="DS1131" s="318"/>
      <c r="DT1131" s="318"/>
      <c r="DU1131" s="318"/>
      <c r="DV1131" s="318"/>
      <c r="DW1131" s="318"/>
      <c r="DX1131" s="318"/>
      <c r="DY1131" s="318"/>
      <c r="DZ1131" s="318"/>
      <c r="EA1131" s="318"/>
      <c r="EB1131" s="318"/>
      <c r="EC1131" s="318"/>
      <c r="ED1131" s="318"/>
      <c r="EE1131" s="318"/>
      <c r="EF1131" s="318"/>
      <c r="EG1131" s="318"/>
      <c r="EH1131" s="318"/>
      <c r="EI1131" s="318"/>
      <c r="EJ1131" s="318"/>
      <c r="EK1131" s="318"/>
      <c r="EL1131" s="318"/>
      <c r="EM1131" s="318"/>
      <c r="EN1131" s="318"/>
      <c r="EO1131" s="318"/>
      <c r="EP1131" s="318"/>
      <c r="EQ1131" s="318"/>
      <c r="ER1131" s="318"/>
      <c r="ES1131" s="318"/>
      <c r="ET1131" s="318"/>
      <c r="EU1131" s="318"/>
      <c r="EV1131" s="318"/>
      <c r="EW1131" s="318"/>
      <c r="EX1131" s="318"/>
      <c r="EY1131" s="318"/>
      <c r="EZ1131" s="318"/>
      <c r="FA1131" s="318"/>
      <c r="FB1131" s="318"/>
      <c r="FC1131" s="318"/>
      <c r="FD1131" s="318"/>
      <c r="FE1131" s="318"/>
      <c r="FF1131" s="318"/>
      <c r="FG1131" s="318"/>
      <c r="FH1131" s="318"/>
      <c r="FI1131" s="318"/>
      <c r="FJ1131" s="318"/>
      <c r="FK1131" s="318"/>
      <c r="FL1131" s="318"/>
      <c r="FM1131" s="318"/>
      <c r="FN1131" s="318"/>
      <c r="FO1131" s="318"/>
      <c r="FP1131" s="318"/>
      <c r="FQ1131" s="318"/>
      <c r="FR1131" s="318"/>
      <c r="FS1131" s="318"/>
      <c r="FT1131" s="318"/>
      <c r="FU1131" s="318"/>
      <c r="FV1131" s="318"/>
      <c r="FW1131" s="318"/>
      <c r="FX1131" s="318"/>
      <c r="FY1131" s="318"/>
      <c r="FZ1131" s="318"/>
      <c r="GA1131" s="318"/>
      <c r="GB1131" s="318"/>
      <c r="GC1131" s="318"/>
      <c r="GD1131" s="318"/>
      <c r="GE1131" s="318"/>
      <c r="GF1131" s="318"/>
      <c r="GG1131" s="318"/>
      <c r="GH1131" s="318"/>
      <c r="GI1131" s="318"/>
      <c r="GJ1131" s="318"/>
      <c r="GK1131" s="318"/>
      <c r="GL1131" s="318"/>
      <c r="GM1131" s="318"/>
      <c r="GN1131" s="318"/>
      <c r="GO1131" s="318"/>
      <c r="GP1131" s="318"/>
      <c r="GQ1131" s="318"/>
      <c r="GR1131" s="318"/>
      <c r="GS1131" s="232"/>
      <c r="GT1131" s="231"/>
      <c r="GU1131" s="231"/>
      <c r="GV1131" s="231"/>
      <c r="GW1131" s="231"/>
      <c r="GX1131" s="231"/>
      <c r="GY1131" s="231"/>
      <c r="GZ1131" s="231"/>
      <c r="HA1131" s="231"/>
      <c r="HB1131" s="231"/>
      <c r="HC1131" s="231"/>
      <c r="HD1131" s="231"/>
      <c r="HE1131" s="231"/>
      <c r="HF1131" s="231"/>
      <c r="HG1131" s="231"/>
      <c r="HH1131" s="231"/>
      <c r="HI1131" s="232"/>
    </row>
    <row r="1132" spans="82:217" ht="10.75" customHeight="1">
      <c r="CD1132" s="229"/>
      <c r="CE1132" s="231"/>
      <c r="CF1132" s="231"/>
      <c r="CG1132" s="231"/>
      <c r="CH1132" s="231"/>
      <c r="CI1132" s="231"/>
      <c r="CJ1132" s="231"/>
      <c r="CK1132" s="231"/>
      <c r="CL1132" s="231"/>
      <c r="CM1132" s="231"/>
      <c r="CN1132" s="231"/>
      <c r="CO1132" s="231"/>
      <c r="CP1132" s="231"/>
      <c r="CQ1132" s="231"/>
      <c r="CR1132" s="231"/>
      <c r="CS1132" s="231"/>
      <c r="CT1132" s="229"/>
      <c r="CU1132" s="318"/>
      <c r="CV1132" s="318"/>
      <c r="CW1132" s="318"/>
      <c r="CX1132" s="318"/>
      <c r="CY1132" s="318"/>
      <c r="CZ1132" s="318"/>
      <c r="DA1132" s="318"/>
      <c r="DB1132" s="318"/>
      <c r="DC1132" s="318"/>
      <c r="DD1132" s="318"/>
      <c r="DE1132" s="318"/>
      <c r="DF1132" s="318"/>
      <c r="DG1132" s="318"/>
      <c r="DH1132" s="318"/>
      <c r="DI1132" s="318"/>
      <c r="DJ1132" s="318"/>
      <c r="DK1132" s="318"/>
      <c r="DL1132" s="318"/>
      <c r="DM1132" s="318"/>
      <c r="DN1132" s="318"/>
      <c r="DO1132" s="318"/>
      <c r="DP1132" s="318"/>
      <c r="DQ1132" s="318"/>
      <c r="DR1132" s="318"/>
      <c r="DS1132" s="318"/>
      <c r="DT1132" s="318"/>
      <c r="DU1132" s="318"/>
      <c r="DV1132" s="318"/>
      <c r="DW1132" s="318"/>
      <c r="DX1132" s="318"/>
      <c r="DY1132" s="318"/>
      <c r="DZ1132" s="318"/>
      <c r="EA1132" s="318"/>
      <c r="EB1132" s="318"/>
      <c r="EC1132" s="318"/>
      <c r="ED1132" s="318"/>
      <c r="EE1132" s="318"/>
      <c r="EF1132" s="318"/>
      <c r="EG1132" s="318"/>
      <c r="EH1132" s="318"/>
      <c r="EI1132" s="318"/>
      <c r="EJ1132" s="318"/>
      <c r="EK1132" s="318"/>
      <c r="EL1132" s="318"/>
      <c r="EM1132" s="318"/>
      <c r="EN1132" s="318"/>
      <c r="EO1132" s="318"/>
      <c r="EP1132" s="318"/>
      <c r="EQ1132" s="318"/>
      <c r="ER1132" s="318"/>
      <c r="ES1132" s="318"/>
      <c r="ET1132" s="318"/>
      <c r="EU1132" s="318"/>
      <c r="EV1132" s="318"/>
      <c r="EW1132" s="318"/>
      <c r="EX1132" s="318"/>
      <c r="EY1132" s="318"/>
      <c r="EZ1132" s="318"/>
      <c r="FA1132" s="318"/>
      <c r="FB1132" s="318"/>
      <c r="FC1132" s="318"/>
      <c r="FD1132" s="318"/>
      <c r="FE1132" s="318"/>
      <c r="FF1132" s="318"/>
      <c r="FG1132" s="318"/>
      <c r="FH1132" s="318"/>
      <c r="FI1132" s="318"/>
      <c r="FJ1132" s="318"/>
      <c r="FK1132" s="318"/>
      <c r="FL1132" s="318"/>
      <c r="FM1132" s="318"/>
      <c r="FN1132" s="318"/>
      <c r="FO1132" s="318"/>
      <c r="FP1132" s="318"/>
      <c r="FQ1132" s="318"/>
      <c r="FR1132" s="318"/>
      <c r="FS1132" s="318"/>
      <c r="FT1132" s="318"/>
      <c r="FU1132" s="318"/>
      <c r="FV1132" s="318"/>
      <c r="FW1132" s="318"/>
      <c r="FX1132" s="318"/>
      <c r="FY1132" s="318"/>
      <c r="FZ1132" s="318"/>
      <c r="GA1132" s="318"/>
      <c r="GB1132" s="318"/>
      <c r="GC1132" s="318"/>
      <c r="GD1132" s="318"/>
      <c r="GE1132" s="318"/>
      <c r="GF1132" s="318"/>
      <c r="GG1132" s="318"/>
      <c r="GH1132" s="318"/>
      <c r="GI1132" s="318"/>
      <c r="GJ1132" s="318"/>
      <c r="GK1132" s="318"/>
      <c r="GL1132" s="318"/>
      <c r="GM1132" s="318"/>
      <c r="GN1132" s="318"/>
      <c r="GO1132" s="318"/>
      <c r="GP1132" s="318"/>
      <c r="GQ1132" s="318"/>
      <c r="GR1132" s="318"/>
      <c r="GS1132" s="232"/>
      <c r="GT1132" s="231"/>
      <c r="GU1132" s="231"/>
      <c r="GV1132" s="231"/>
      <c r="GW1132" s="231"/>
      <c r="GX1132" s="231"/>
      <c r="GY1132" s="231"/>
      <c r="GZ1132" s="231"/>
      <c r="HA1132" s="231"/>
      <c r="HB1132" s="231"/>
      <c r="HC1132" s="231"/>
      <c r="HD1132" s="231"/>
      <c r="HE1132" s="231"/>
      <c r="HF1132" s="231"/>
      <c r="HG1132" s="231"/>
      <c r="HH1132" s="231"/>
      <c r="HI1132" s="232"/>
    </row>
    <row r="1133" spans="82:217" ht="10.75" customHeight="1">
      <c r="CD1133" s="229"/>
      <c r="CE1133" s="231"/>
      <c r="CF1133" s="231"/>
      <c r="CG1133" s="231"/>
      <c r="CH1133" s="231"/>
      <c r="CI1133" s="231"/>
      <c r="CJ1133" s="231"/>
      <c r="CK1133" s="231"/>
      <c r="CL1133" s="231"/>
      <c r="CM1133" s="231"/>
      <c r="CN1133" s="231"/>
      <c r="CO1133" s="231"/>
      <c r="CP1133" s="231"/>
      <c r="CQ1133" s="231"/>
      <c r="CR1133" s="231"/>
      <c r="CS1133" s="231"/>
      <c r="CT1133" s="229"/>
      <c r="CU1133" s="318"/>
      <c r="CV1133" s="318"/>
      <c r="CW1133" s="318"/>
      <c r="CX1133" s="318"/>
      <c r="CY1133" s="318"/>
      <c r="CZ1133" s="318"/>
      <c r="DA1133" s="318"/>
      <c r="DB1133" s="318"/>
      <c r="DC1133" s="318"/>
      <c r="DD1133" s="318"/>
      <c r="DE1133" s="318"/>
      <c r="DF1133" s="318"/>
      <c r="DG1133" s="318"/>
      <c r="DH1133" s="318"/>
      <c r="DI1133" s="318"/>
      <c r="DJ1133" s="318"/>
      <c r="DK1133" s="318"/>
      <c r="DL1133" s="318"/>
      <c r="DM1133" s="318"/>
      <c r="DN1133" s="318"/>
      <c r="DO1133" s="318"/>
      <c r="DP1133" s="318"/>
      <c r="DQ1133" s="318"/>
      <c r="DR1133" s="318"/>
      <c r="DS1133" s="318"/>
      <c r="DT1133" s="318"/>
      <c r="DU1133" s="318"/>
      <c r="DV1133" s="318"/>
      <c r="DW1133" s="318"/>
      <c r="DX1133" s="318"/>
      <c r="DY1133" s="318"/>
      <c r="DZ1133" s="318"/>
      <c r="EA1133" s="318"/>
      <c r="EB1133" s="318"/>
      <c r="EC1133" s="318"/>
      <c r="ED1133" s="318"/>
      <c r="EE1133" s="318"/>
      <c r="EF1133" s="318"/>
      <c r="EG1133" s="318"/>
      <c r="EH1133" s="318"/>
      <c r="EI1133" s="318"/>
      <c r="EJ1133" s="318"/>
      <c r="EK1133" s="318"/>
      <c r="EL1133" s="318"/>
      <c r="EM1133" s="318"/>
      <c r="EN1133" s="318"/>
      <c r="EO1133" s="318"/>
      <c r="EP1133" s="318"/>
      <c r="EQ1133" s="318"/>
      <c r="ER1133" s="318"/>
      <c r="ES1133" s="318"/>
      <c r="ET1133" s="318"/>
      <c r="EU1133" s="318"/>
      <c r="EV1133" s="318"/>
      <c r="EW1133" s="318"/>
      <c r="EX1133" s="318"/>
      <c r="EY1133" s="318"/>
      <c r="EZ1133" s="318"/>
      <c r="FA1133" s="318"/>
      <c r="FB1133" s="318"/>
      <c r="FC1133" s="318"/>
      <c r="FD1133" s="318"/>
      <c r="FE1133" s="318"/>
      <c r="FF1133" s="318"/>
      <c r="FG1133" s="318"/>
      <c r="FH1133" s="318"/>
      <c r="FI1133" s="318"/>
      <c r="FJ1133" s="318"/>
      <c r="FK1133" s="318"/>
      <c r="FL1133" s="318"/>
      <c r="FM1133" s="318"/>
      <c r="FN1133" s="318"/>
      <c r="FO1133" s="318"/>
      <c r="FP1133" s="318"/>
      <c r="FQ1133" s="318"/>
      <c r="FR1133" s="318"/>
      <c r="FS1133" s="318"/>
      <c r="FT1133" s="318"/>
      <c r="FU1133" s="318"/>
      <c r="FV1133" s="318"/>
      <c r="FW1133" s="318"/>
      <c r="FX1133" s="318"/>
      <c r="FY1133" s="318"/>
      <c r="FZ1133" s="318"/>
      <c r="GA1133" s="318"/>
      <c r="GB1133" s="318"/>
      <c r="GC1133" s="318"/>
      <c r="GD1133" s="318"/>
      <c r="GE1133" s="318"/>
      <c r="GF1133" s="318"/>
      <c r="GG1133" s="318"/>
      <c r="GH1133" s="318"/>
      <c r="GI1133" s="318"/>
      <c r="GJ1133" s="318"/>
      <c r="GK1133" s="318"/>
      <c r="GL1133" s="318"/>
      <c r="GM1133" s="318"/>
      <c r="GN1133" s="318"/>
      <c r="GO1133" s="318"/>
      <c r="GP1133" s="318"/>
      <c r="GQ1133" s="318"/>
      <c r="GR1133" s="318"/>
      <c r="GS1133" s="232"/>
      <c r="GT1133" s="231"/>
      <c r="GU1133" s="231"/>
      <c r="GV1133" s="231"/>
      <c r="GW1133" s="231"/>
      <c r="GX1133" s="231"/>
      <c r="GY1133" s="231"/>
      <c r="GZ1133" s="231"/>
      <c r="HA1133" s="231"/>
      <c r="HB1133" s="231"/>
      <c r="HC1133" s="231"/>
      <c r="HD1133" s="231"/>
      <c r="HE1133" s="231"/>
      <c r="HF1133" s="231"/>
      <c r="HG1133" s="231"/>
      <c r="HH1133" s="231"/>
      <c r="HI1133" s="232"/>
    </row>
    <row r="1134" spans="82:217" ht="10.75" customHeight="1">
      <c r="CD1134" s="229"/>
      <c r="CE1134" s="231"/>
      <c r="CF1134" s="231"/>
      <c r="CG1134" s="231"/>
      <c r="CH1134" s="231"/>
      <c r="CI1134" s="231"/>
      <c r="CJ1134" s="231"/>
      <c r="CK1134" s="231"/>
      <c r="CL1134" s="231"/>
      <c r="CM1134" s="231"/>
      <c r="CN1134" s="231"/>
      <c r="CO1134" s="231"/>
      <c r="CP1134" s="231"/>
      <c r="CQ1134" s="231"/>
      <c r="CR1134" s="231"/>
      <c r="CS1134" s="231"/>
      <c r="CT1134" s="229"/>
      <c r="CU1134" s="318"/>
      <c r="CV1134" s="318"/>
      <c r="CW1134" s="318"/>
      <c r="CX1134" s="318"/>
      <c r="CY1134" s="318"/>
      <c r="CZ1134" s="318"/>
      <c r="DA1134" s="318"/>
      <c r="DB1134" s="318"/>
      <c r="DC1134" s="318"/>
      <c r="DD1134" s="318"/>
      <c r="DE1134" s="318"/>
      <c r="DF1134" s="318"/>
      <c r="DG1134" s="318"/>
      <c r="DH1134" s="318"/>
      <c r="DI1134" s="318"/>
      <c r="DJ1134" s="318"/>
      <c r="DK1134" s="318"/>
      <c r="DL1134" s="318"/>
      <c r="DM1134" s="318"/>
      <c r="DN1134" s="318"/>
      <c r="DO1134" s="318"/>
      <c r="DP1134" s="318"/>
      <c r="DQ1134" s="318"/>
      <c r="DR1134" s="318"/>
      <c r="DS1134" s="318"/>
      <c r="DT1134" s="318"/>
      <c r="DU1134" s="318"/>
      <c r="DV1134" s="318"/>
      <c r="DW1134" s="318"/>
      <c r="DX1134" s="318"/>
      <c r="DY1134" s="318"/>
      <c r="DZ1134" s="318"/>
      <c r="EA1134" s="318"/>
      <c r="EB1134" s="318"/>
      <c r="EC1134" s="318"/>
      <c r="ED1134" s="318"/>
      <c r="EE1134" s="318"/>
      <c r="EF1134" s="318"/>
      <c r="EG1134" s="318"/>
      <c r="EH1134" s="318"/>
      <c r="EI1134" s="318"/>
      <c r="EJ1134" s="318"/>
      <c r="EK1134" s="318"/>
      <c r="EL1134" s="318"/>
      <c r="EM1134" s="318"/>
      <c r="EN1134" s="318"/>
      <c r="EO1134" s="318"/>
      <c r="EP1134" s="318"/>
      <c r="EQ1134" s="318"/>
      <c r="ER1134" s="318"/>
      <c r="ES1134" s="318"/>
      <c r="ET1134" s="318"/>
      <c r="EU1134" s="318"/>
      <c r="EV1134" s="318"/>
      <c r="EW1134" s="318"/>
      <c r="EX1134" s="318"/>
      <c r="EY1134" s="318"/>
      <c r="EZ1134" s="318"/>
      <c r="FA1134" s="318"/>
      <c r="FB1134" s="318"/>
      <c r="FC1134" s="318"/>
      <c r="FD1134" s="318"/>
      <c r="FE1134" s="318"/>
      <c r="FF1134" s="318"/>
      <c r="FG1134" s="318"/>
      <c r="FH1134" s="318"/>
      <c r="FI1134" s="318"/>
      <c r="FJ1134" s="318"/>
      <c r="FK1134" s="318"/>
      <c r="FL1134" s="318"/>
      <c r="FM1134" s="318"/>
      <c r="FN1134" s="318"/>
      <c r="FO1134" s="318"/>
      <c r="FP1134" s="318"/>
      <c r="FQ1134" s="318"/>
      <c r="FR1134" s="318"/>
      <c r="FS1134" s="318"/>
      <c r="FT1134" s="318"/>
      <c r="FU1134" s="318"/>
      <c r="FV1134" s="318"/>
      <c r="FW1134" s="318"/>
      <c r="FX1134" s="318"/>
      <c r="FY1134" s="318"/>
      <c r="FZ1134" s="318"/>
      <c r="GA1134" s="318"/>
      <c r="GB1134" s="318"/>
      <c r="GC1134" s="318"/>
      <c r="GD1134" s="318"/>
      <c r="GE1134" s="318"/>
      <c r="GF1134" s="318"/>
      <c r="GG1134" s="318"/>
      <c r="GH1134" s="318"/>
      <c r="GI1134" s="318"/>
      <c r="GJ1134" s="318"/>
      <c r="GK1134" s="318"/>
      <c r="GL1134" s="318"/>
      <c r="GM1134" s="318"/>
      <c r="GN1134" s="318"/>
      <c r="GO1134" s="318"/>
      <c r="GP1134" s="318"/>
      <c r="GQ1134" s="318"/>
      <c r="GR1134" s="318"/>
      <c r="GS1134" s="232"/>
      <c r="GT1134" s="231"/>
      <c r="GU1134" s="231"/>
      <c r="GV1134" s="231"/>
      <c r="GW1134" s="231"/>
      <c r="GX1134" s="231"/>
      <c r="GY1134" s="231"/>
      <c r="GZ1134" s="231"/>
      <c r="HA1134" s="231"/>
      <c r="HB1134" s="231"/>
      <c r="HC1134" s="231"/>
      <c r="HD1134" s="231"/>
      <c r="HE1134" s="231"/>
      <c r="HF1134" s="231"/>
      <c r="HG1134" s="231"/>
      <c r="HH1134" s="231"/>
      <c r="HI1134" s="232"/>
    </row>
    <row r="1135" spans="82:217" ht="10.75" customHeight="1">
      <c r="CD1135" s="229"/>
      <c r="CE1135" s="231"/>
      <c r="CF1135" s="231"/>
      <c r="CG1135" s="231"/>
      <c r="CH1135" s="231"/>
      <c r="CI1135" s="231"/>
      <c r="CJ1135" s="231"/>
      <c r="CK1135" s="231"/>
      <c r="CL1135" s="231"/>
      <c r="CM1135" s="231"/>
      <c r="CN1135" s="231"/>
      <c r="CO1135" s="231"/>
      <c r="CP1135" s="231"/>
      <c r="CQ1135" s="231"/>
      <c r="CR1135" s="231"/>
      <c r="CS1135" s="231"/>
      <c r="CT1135" s="229"/>
      <c r="CU1135" s="318"/>
      <c r="CV1135" s="318"/>
      <c r="CW1135" s="318"/>
      <c r="CX1135" s="318"/>
      <c r="CY1135" s="318"/>
      <c r="CZ1135" s="318"/>
      <c r="DA1135" s="318"/>
      <c r="DB1135" s="318"/>
      <c r="DC1135" s="318"/>
      <c r="DD1135" s="318"/>
      <c r="DE1135" s="318"/>
      <c r="DF1135" s="318"/>
      <c r="DG1135" s="318"/>
      <c r="DH1135" s="318"/>
      <c r="DI1135" s="318"/>
      <c r="DJ1135" s="318"/>
      <c r="DK1135" s="318"/>
      <c r="DL1135" s="318"/>
      <c r="DM1135" s="318"/>
      <c r="DN1135" s="318"/>
      <c r="DO1135" s="318"/>
      <c r="DP1135" s="318"/>
      <c r="DQ1135" s="318"/>
      <c r="DR1135" s="318"/>
      <c r="DS1135" s="318"/>
      <c r="DT1135" s="318"/>
      <c r="DU1135" s="318"/>
      <c r="DV1135" s="318"/>
      <c r="DW1135" s="318"/>
      <c r="DX1135" s="318"/>
      <c r="DY1135" s="318"/>
      <c r="DZ1135" s="318"/>
      <c r="EA1135" s="318"/>
      <c r="EB1135" s="318"/>
      <c r="EC1135" s="318"/>
      <c r="ED1135" s="318"/>
      <c r="EE1135" s="318"/>
      <c r="EF1135" s="318"/>
      <c r="EG1135" s="318"/>
      <c r="EH1135" s="318"/>
      <c r="EI1135" s="318"/>
      <c r="EJ1135" s="318"/>
      <c r="EK1135" s="318"/>
      <c r="EL1135" s="318"/>
      <c r="EM1135" s="318"/>
      <c r="EN1135" s="318"/>
      <c r="EO1135" s="318"/>
      <c r="EP1135" s="318"/>
      <c r="EQ1135" s="318"/>
      <c r="ER1135" s="318"/>
      <c r="ES1135" s="318"/>
      <c r="ET1135" s="318"/>
      <c r="EU1135" s="318"/>
      <c r="EV1135" s="318"/>
      <c r="EW1135" s="318"/>
      <c r="EX1135" s="318"/>
      <c r="EY1135" s="318"/>
      <c r="EZ1135" s="318"/>
      <c r="FA1135" s="318"/>
      <c r="FB1135" s="318"/>
      <c r="FC1135" s="318"/>
      <c r="FD1135" s="318"/>
      <c r="FE1135" s="318"/>
      <c r="FF1135" s="318"/>
      <c r="FG1135" s="318"/>
      <c r="FH1135" s="318"/>
      <c r="FI1135" s="318"/>
      <c r="FJ1135" s="318"/>
      <c r="FK1135" s="318"/>
      <c r="FL1135" s="318"/>
      <c r="FM1135" s="318"/>
      <c r="FN1135" s="318"/>
      <c r="FO1135" s="318"/>
      <c r="FP1135" s="318"/>
      <c r="FQ1135" s="318"/>
      <c r="FR1135" s="318"/>
      <c r="FS1135" s="318"/>
      <c r="FT1135" s="318"/>
      <c r="FU1135" s="318"/>
      <c r="FV1135" s="318"/>
      <c r="FW1135" s="318"/>
      <c r="FX1135" s="318"/>
      <c r="FY1135" s="318"/>
      <c r="FZ1135" s="318"/>
      <c r="GA1135" s="318"/>
      <c r="GB1135" s="318"/>
      <c r="GC1135" s="318"/>
      <c r="GD1135" s="318"/>
      <c r="GE1135" s="318"/>
      <c r="GF1135" s="318"/>
      <c r="GG1135" s="318"/>
      <c r="GH1135" s="318"/>
      <c r="GI1135" s="318"/>
      <c r="GJ1135" s="318"/>
      <c r="GK1135" s="318"/>
      <c r="GL1135" s="318"/>
      <c r="GM1135" s="318"/>
      <c r="GN1135" s="318"/>
      <c r="GO1135" s="318"/>
      <c r="GP1135" s="318"/>
      <c r="GQ1135" s="318"/>
      <c r="GR1135" s="318"/>
      <c r="GS1135" s="232"/>
      <c r="GT1135" s="231"/>
      <c r="GU1135" s="231"/>
      <c r="GV1135" s="231"/>
      <c r="GW1135" s="231"/>
      <c r="GX1135" s="231"/>
      <c r="GY1135" s="231"/>
      <c r="GZ1135" s="231"/>
      <c r="HA1135" s="231"/>
      <c r="HB1135" s="231"/>
      <c r="HC1135" s="231"/>
      <c r="HD1135" s="231"/>
      <c r="HE1135" s="231"/>
      <c r="HF1135" s="231"/>
      <c r="HG1135" s="231"/>
      <c r="HH1135" s="231"/>
      <c r="HI1135" s="232"/>
    </row>
    <row r="1136" spans="82:217" ht="10.75" customHeight="1">
      <c r="CD1136" s="229"/>
      <c r="CE1136" s="231"/>
      <c r="CF1136" s="231"/>
      <c r="CG1136" s="231"/>
      <c r="CH1136" s="231"/>
      <c r="CI1136" s="231"/>
      <c r="CJ1136" s="231"/>
      <c r="CK1136" s="231"/>
      <c r="CL1136" s="231"/>
      <c r="CM1136" s="231"/>
      <c r="CN1136" s="231"/>
      <c r="CO1136" s="231"/>
      <c r="CP1136" s="231"/>
      <c r="CQ1136" s="231"/>
      <c r="CR1136" s="231"/>
      <c r="CS1136" s="231"/>
      <c r="CT1136" s="229"/>
      <c r="CU1136" s="318"/>
      <c r="CV1136" s="318"/>
      <c r="CW1136" s="318"/>
      <c r="CX1136" s="318"/>
      <c r="CY1136" s="318"/>
      <c r="CZ1136" s="318"/>
      <c r="DA1136" s="318"/>
      <c r="DB1136" s="318"/>
      <c r="DC1136" s="318"/>
      <c r="DD1136" s="318"/>
      <c r="DE1136" s="318"/>
      <c r="DF1136" s="318"/>
      <c r="DG1136" s="318"/>
      <c r="DH1136" s="318"/>
      <c r="DI1136" s="318"/>
      <c r="DJ1136" s="318"/>
      <c r="DK1136" s="318"/>
      <c r="DL1136" s="318"/>
      <c r="DM1136" s="318"/>
      <c r="DN1136" s="318"/>
      <c r="DO1136" s="318"/>
      <c r="DP1136" s="318"/>
      <c r="DQ1136" s="318"/>
      <c r="DR1136" s="318"/>
      <c r="DS1136" s="318"/>
      <c r="DT1136" s="318"/>
      <c r="DU1136" s="318"/>
      <c r="DV1136" s="318"/>
      <c r="DW1136" s="318"/>
      <c r="DX1136" s="318"/>
      <c r="DY1136" s="318"/>
      <c r="DZ1136" s="318"/>
      <c r="EA1136" s="318"/>
      <c r="EB1136" s="318"/>
      <c r="EC1136" s="318"/>
      <c r="ED1136" s="318"/>
      <c r="EE1136" s="318"/>
      <c r="EF1136" s="318"/>
      <c r="EG1136" s="318"/>
      <c r="EH1136" s="318"/>
      <c r="EI1136" s="318"/>
      <c r="EJ1136" s="318"/>
      <c r="EK1136" s="318"/>
      <c r="EL1136" s="318"/>
      <c r="EM1136" s="318"/>
      <c r="EN1136" s="318"/>
      <c r="EO1136" s="318"/>
      <c r="EP1136" s="318"/>
      <c r="EQ1136" s="318"/>
      <c r="ER1136" s="318"/>
      <c r="ES1136" s="318"/>
      <c r="ET1136" s="318"/>
      <c r="EU1136" s="318"/>
      <c r="EV1136" s="318"/>
      <c r="EW1136" s="318"/>
      <c r="EX1136" s="318"/>
      <c r="EY1136" s="318"/>
      <c r="EZ1136" s="318"/>
      <c r="FA1136" s="318"/>
      <c r="FB1136" s="318"/>
      <c r="FC1136" s="318"/>
      <c r="FD1136" s="318"/>
      <c r="FE1136" s="318"/>
      <c r="FF1136" s="318"/>
      <c r="FG1136" s="318"/>
      <c r="FH1136" s="318"/>
      <c r="FI1136" s="318"/>
      <c r="FJ1136" s="318"/>
      <c r="FK1136" s="318"/>
      <c r="FL1136" s="318"/>
      <c r="FM1136" s="318"/>
      <c r="FN1136" s="318"/>
      <c r="FO1136" s="318"/>
      <c r="FP1136" s="318"/>
      <c r="FQ1136" s="318"/>
      <c r="FR1136" s="318"/>
      <c r="FS1136" s="318"/>
      <c r="FT1136" s="318"/>
      <c r="FU1136" s="318"/>
      <c r="FV1136" s="318"/>
      <c r="FW1136" s="318"/>
      <c r="FX1136" s="318"/>
      <c r="FY1136" s="318"/>
      <c r="FZ1136" s="318"/>
      <c r="GA1136" s="318"/>
      <c r="GB1136" s="318"/>
      <c r="GC1136" s="318"/>
      <c r="GD1136" s="318"/>
      <c r="GE1136" s="318"/>
      <c r="GF1136" s="318"/>
      <c r="GG1136" s="318"/>
      <c r="GH1136" s="318"/>
      <c r="GI1136" s="318"/>
      <c r="GJ1136" s="318"/>
      <c r="GK1136" s="318"/>
      <c r="GL1136" s="318"/>
      <c r="GM1136" s="318"/>
      <c r="GN1136" s="318"/>
      <c r="GO1136" s="318"/>
      <c r="GP1136" s="318"/>
      <c r="GQ1136" s="318"/>
      <c r="GR1136" s="318"/>
      <c r="GS1136" s="232"/>
      <c r="GT1136" s="231"/>
      <c r="GU1136" s="231"/>
      <c r="GV1136" s="231"/>
      <c r="GW1136" s="231"/>
      <c r="GX1136" s="231"/>
      <c r="GY1136" s="231"/>
      <c r="GZ1136" s="231"/>
      <c r="HA1136" s="231"/>
      <c r="HB1136" s="231"/>
      <c r="HC1136" s="231"/>
      <c r="HD1136" s="231"/>
      <c r="HE1136" s="231"/>
      <c r="HF1136" s="231"/>
      <c r="HG1136" s="231"/>
      <c r="HH1136" s="231"/>
      <c r="HI1136" s="232"/>
    </row>
    <row r="1137" spans="82:217" ht="10.75" customHeight="1">
      <c r="CD1137" s="229"/>
      <c r="CE1137" s="231"/>
      <c r="CF1137" s="231"/>
      <c r="CG1137" s="231"/>
      <c r="CH1137" s="231"/>
      <c r="CI1137" s="231"/>
      <c r="CJ1137" s="231"/>
      <c r="CK1137" s="231"/>
      <c r="CL1137" s="231"/>
      <c r="CM1137" s="231"/>
      <c r="CN1137" s="231"/>
      <c r="CO1137" s="231"/>
      <c r="CP1137" s="231"/>
      <c r="CQ1137" s="231"/>
      <c r="CR1137" s="231"/>
      <c r="CS1137" s="231"/>
      <c r="CT1137" s="229"/>
      <c r="CU1137" s="318"/>
      <c r="CV1137" s="318"/>
      <c r="CW1137" s="318"/>
      <c r="CX1137" s="318"/>
      <c r="CY1137" s="318"/>
      <c r="CZ1137" s="318"/>
      <c r="DA1137" s="318"/>
      <c r="DB1137" s="318"/>
      <c r="DC1137" s="318"/>
      <c r="DD1137" s="318"/>
      <c r="DE1137" s="318"/>
      <c r="DF1137" s="318"/>
      <c r="DG1137" s="318"/>
      <c r="DH1137" s="318"/>
      <c r="DI1137" s="318"/>
      <c r="DJ1137" s="318"/>
      <c r="DK1137" s="318"/>
      <c r="DL1137" s="318"/>
      <c r="DM1137" s="318"/>
      <c r="DN1137" s="318"/>
      <c r="DO1137" s="318"/>
      <c r="DP1137" s="318"/>
      <c r="DQ1137" s="318"/>
      <c r="DR1137" s="318"/>
      <c r="DS1137" s="318"/>
      <c r="DT1137" s="318"/>
      <c r="DU1137" s="318"/>
      <c r="DV1137" s="318"/>
      <c r="DW1137" s="318"/>
      <c r="DX1137" s="318"/>
      <c r="DY1137" s="318"/>
      <c r="DZ1137" s="318"/>
      <c r="EA1137" s="318"/>
      <c r="EB1137" s="318"/>
      <c r="EC1137" s="318"/>
      <c r="ED1137" s="318"/>
      <c r="EE1137" s="318"/>
      <c r="EF1137" s="318"/>
      <c r="EG1137" s="318"/>
      <c r="EH1137" s="318"/>
      <c r="EI1137" s="318"/>
      <c r="EJ1137" s="318"/>
      <c r="EK1137" s="318"/>
      <c r="EL1137" s="318"/>
      <c r="EM1137" s="318"/>
      <c r="EN1137" s="318"/>
      <c r="EO1137" s="318"/>
      <c r="EP1137" s="318"/>
      <c r="EQ1137" s="318"/>
      <c r="ER1137" s="318"/>
      <c r="ES1137" s="318"/>
      <c r="ET1137" s="318"/>
      <c r="EU1137" s="318"/>
      <c r="EV1137" s="318"/>
      <c r="EW1137" s="318"/>
      <c r="EX1137" s="318"/>
      <c r="EY1137" s="318"/>
      <c r="EZ1137" s="318"/>
      <c r="FA1137" s="318"/>
      <c r="FB1137" s="318"/>
      <c r="FC1137" s="318"/>
      <c r="FD1137" s="318"/>
      <c r="FE1137" s="318"/>
      <c r="FF1137" s="318"/>
      <c r="FG1137" s="318"/>
      <c r="FH1137" s="318"/>
      <c r="FI1137" s="318"/>
      <c r="FJ1137" s="318"/>
      <c r="FK1137" s="318"/>
      <c r="FL1137" s="318"/>
      <c r="FM1137" s="318"/>
      <c r="FN1137" s="318"/>
      <c r="FO1137" s="318"/>
      <c r="FP1137" s="318"/>
      <c r="FQ1137" s="318"/>
      <c r="FR1137" s="318"/>
      <c r="FS1137" s="318"/>
      <c r="FT1137" s="318"/>
      <c r="FU1137" s="318"/>
      <c r="FV1137" s="318"/>
      <c r="FW1137" s="318"/>
      <c r="FX1137" s="318"/>
      <c r="FY1137" s="318"/>
      <c r="FZ1137" s="318"/>
      <c r="GA1137" s="318"/>
      <c r="GB1137" s="318"/>
      <c r="GC1137" s="318"/>
      <c r="GD1137" s="318"/>
      <c r="GE1137" s="318"/>
      <c r="GF1137" s="318"/>
      <c r="GG1137" s="318"/>
      <c r="GH1137" s="318"/>
      <c r="GI1137" s="318"/>
      <c r="GJ1137" s="318"/>
      <c r="GK1137" s="318"/>
      <c r="GL1137" s="318"/>
      <c r="GM1137" s="318"/>
      <c r="GN1137" s="318"/>
      <c r="GO1137" s="318"/>
      <c r="GP1137" s="318"/>
      <c r="GQ1137" s="318"/>
      <c r="GR1137" s="318"/>
      <c r="GS1137" s="232"/>
      <c r="GT1137" s="231"/>
      <c r="GU1137" s="231"/>
      <c r="GV1137" s="231"/>
      <c r="GW1137" s="231"/>
      <c r="GX1137" s="231"/>
      <c r="GY1137" s="231"/>
      <c r="GZ1137" s="231"/>
      <c r="HA1137" s="231"/>
      <c r="HB1137" s="231"/>
      <c r="HC1137" s="231"/>
      <c r="HD1137" s="231"/>
      <c r="HE1137" s="231"/>
      <c r="HF1137" s="231"/>
      <c r="HG1137" s="231"/>
      <c r="HH1137" s="231"/>
      <c r="HI1137" s="232"/>
    </row>
    <row r="1138" spans="82:217" ht="10.75" customHeight="1">
      <c r="CD1138" s="229"/>
      <c r="CE1138" s="231"/>
      <c r="CF1138" s="231"/>
      <c r="CG1138" s="231"/>
      <c r="CH1138" s="231"/>
      <c r="CI1138" s="231"/>
      <c r="CJ1138" s="231"/>
      <c r="CK1138" s="231"/>
      <c r="CL1138" s="231"/>
      <c r="CM1138" s="231"/>
      <c r="CN1138" s="231"/>
      <c r="CO1138" s="231"/>
      <c r="CP1138" s="231"/>
      <c r="CQ1138" s="231"/>
      <c r="CR1138" s="231"/>
      <c r="CS1138" s="231"/>
      <c r="CT1138" s="229"/>
      <c r="CU1138" s="318"/>
      <c r="CV1138" s="318"/>
      <c r="CW1138" s="318"/>
      <c r="CX1138" s="318"/>
      <c r="CY1138" s="318"/>
      <c r="CZ1138" s="318"/>
      <c r="DA1138" s="318"/>
      <c r="DB1138" s="318"/>
      <c r="DC1138" s="318"/>
      <c r="DD1138" s="318"/>
      <c r="DE1138" s="318"/>
      <c r="DF1138" s="318"/>
      <c r="DG1138" s="318"/>
      <c r="DH1138" s="318"/>
      <c r="DI1138" s="318"/>
      <c r="DJ1138" s="318"/>
      <c r="DK1138" s="318"/>
      <c r="DL1138" s="318"/>
      <c r="DM1138" s="318"/>
      <c r="DN1138" s="318"/>
      <c r="DO1138" s="318"/>
      <c r="DP1138" s="318"/>
      <c r="DQ1138" s="318"/>
      <c r="DR1138" s="318"/>
      <c r="DS1138" s="318"/>
      <c r="DT1138" s="318"/>
      <c r="DU1138" s="318"/>
      <c r="DV1138" s="318"/>
      <c r="DW1138" s="318"/>
      <c r="DX1138" s="318"/>
      <c r="DY1138" s="318"/>
      <c r="DZ1138" s="318"/>
      <c r="EA1138" s="318"/>
      <c r="EB1138" s="318"/>
      <c r="EC1138" s="318"/>
      <c r="ED1138" s="318"/>
      <c r="EE1138" s="318"/>
      <c r="EF1138" s="318"/>
      <c r="EG1138" s="318"/>
      <c r="EH1138" s="318"/>
      <c r="EI1138" s="318"/>
      <c r="EJ1138" s="318"/>
      <c r="EK1138" s="318"/>
      <c r="EL1138" s="318"/>
      <c r="EM1138" s="318"/>
      <c r="EN1138" s="318"/>
      <c r="EO1138" s="318"/>
      <c r="EP1138" s="318"/>
      <c r="EQ1138" s="318"/>
      <c r="ER1138" s="318"/>
      <c r="ES1138" s="318"/>
      <c r="ET1138" s="318"/>
      <c r="EU1138" s="318"/>
      <c r="EV1138" s="318"/>
      <c r="EW1138" s="318"/>
      <c r="EX1138" s="318"/>
      <c r="EY1138" s="318"/>
      <c r="EZ1138" s="318"/>
      <c r="FA1138" s="318"/>
      <c r="FB1138" s="318"/>
      <c r="FC1138" s="318"/>
      <c r="FD1138" s="318"/>
      <c r="FE1138" s="318"/>
      <c r="FF1138" s="318"/>
      <c r="FG1138" s="318"/>
      <c r="FH1138" s="318"/>
      <c r="FI1138" s="318"/>
      <c r="FJ1138" s="318"/>
      <c r="FK1138" s="318"/>
      <c r="FL1138" s="318"/>
      <c r="FM1138" s="318"/>
      <c r="FN1138" s="318"/>
      <c r="FO1138" s="318"/>
      <c r="FP1138" s="318"/>
      <c r="FQ1138" s="318"/>
      <c r="FR1138" s="318"/>
      <c r="FS1138" s="318"/>
      <c r="FT1138" s="318"/>
      <c r="FU1138" s="318"/>
      <c r="FV1138" s="318"/>
      <c r="FW1138" s="318"/>
      <c r="FX1138" s="318"/>
      <c r="FY1138" s="318"/>
      <c r="FZ1138" s="318"/>
      <c r="GA1138" s="318"/>
      <c r="GB1138" s="318"/>
      <c r="GC1138" s="318"/>
      <c r="GD1138" s="318"/>
      <c r="GE1138" s="318"/>
      <c r="GF1138" s="318"/>
      <c r="GG1138" s="318"/>
      <c r="GH1138" s="318"/>
      <c r="GI1138" s="318"/>
      <c r="GJ1138" s="318"/>
      <c r="GK1138" s="318"/>
      <c r="GL1138" s="318"/>
      <c r="GM1138" s="318"/>
      <c r="GN1138" s="318"/>
      <c r="GO1138" s="318"/>
      <c r="GP1138" s="318"/>
      <c r="GQ1138" s="318"/>
      <c r="GR1138" s="318"/>
      <c r="GS1138" s="232"/>
      <c r="GT1138" s="231"/>
      <c r="GU1138" s="231"/>
      <c r="GV1138" s="231"/>
      <c r="GW1138" s="231"/>
      <c r="GX1138" s="231"/>
      <c r="GY1138" s="231"/>
      <c r="GZ1138" s="231"/>
      <c r="HA1138" s="231"/>
      <c r="HB1138" s="231"/>
      <c r="HC1138" s="231"/>
      <c r="HD1138" s="231"/>
      <c r="HE1138" s="231"/>
      <c r="HF1138" s="231"/>
      <c r="HG1138" s="231"/>
      <c r="HH1138" s="231"/>
      <c r="HI1138" s="232"/>
    </row>
    <row r="1139" spans="82:217" ht="10.75" customHeight="1">
      <c r="CD1139" s="229"/>
      <c r="CE1139" s="231"/>
      <c r="CF1139" s="231"/>
      <c r="CG1139" s="231"/>
      <c r="CH1139" s="231"/>
      <c r="CI1139" s="231"/>
      <c r="CJ1139" s="231"/>
      <c r="CK1139" s="231"/>
      <c r="CL1139" s="231"/>
      <c r="CM1139" s="231"/>
      <c r="CN1139" s="231"/>
      <c r="CO1139" s="231"/>
      <c r="CP1139" s="231"/>
      <c r="CQ1139" s="231"/>
      <c r="CR1139" s="231"/>
      <c r="CS1139" s="231"/>
      <c r="CT1139" s="229"/>
      <c r="CU1139" s="318"/>
      <c r="CV1139" s="318"/>
      <c r="CW1139" s="318"/>
      <c r="CX1139" s="318"/>
      <c r="CY1139" s="318"/>
      <c r="CZ1139" s="318"/>
      <c r="DA1139" s="318"/>
      <c r="DB1139" s="318"/>
      <c r="DC1139" s="318"/>
      <c r="DD1139" s="318"/>
      <c r="DE1139" s="318"/>
      <c r="DF1139" s="318"/>
      <c r="DG1139" s="318"/>
      <c r="DH1139" s="318"/>
      <c r="DI1139" s="318"/>
      <c r="DJ1139" s="318"/>
      <c r="DK1139" s="318"/>
      <c r="DL1139" s="318"/>
      <c r="DM1139" s="318"/>
      <c r="DN1139" s="318"/>
      <c r="DO1139" s="318"/>
      <c r="DP1139" s="318"/>
      <c r="DQ1139" s="318"/>
      <c r="DR1139" s="318"/>
      <c r="DS1139" s="318"/>
      <c r="DT1139" s="318"/>
      <c r="DU1139" s="318"/>
      <c r="DV1139" s="318"/>
      <c r="DW1139" s="318"/>
      <c r="DX1139" s="318"/>
      <c r="DY1139" s="318"/>
      <c r="DZ1139" s="318"/>
      <c r="EA1139" s="318"/>
      <c r="EB1139" s="318"/>
      <c r="EC1139" s="318"/>
      <c r="ED1139" s="318"/>
      <c r="EE1139" s="318"/>
      <c r="EF1139" s="318"/>
      <c r="EG1139" s="318"/>
      <c r="EH1139" s="318"/>
      <c r="EI1139" s="318"/>
      <c r="EJ1139" s="318"/>
      <c r="EK1139" s="318"/>
      <c r="EL1139" s="318"/>
      <c r="EM1139" s="318"/>
      <c r="EN1139" s="318"/>
      <c r="EO1139" s="318"/>
      <c r="EP1139" s="318"/>
      <c r="EQ1139" s="318"/>
      <c r="ER1139" s="318"/>
      <c r="ES1139" s="318"/>
      <c r="ET1139" s="318"/>
      <c r="EU1139" s="318"/>
      <c r="EV1139" s="318"/>
      <c r="EW1139" s="318"/>
      <c r="EX1139" s="318"/>
      <c r="EY1139" s="318"/>
      <c r="EZ1139" s="318"/>
      <c r="FA1139" s="318"/>
      <c r="FB1139" s="318"/>
      <c r="FC1139" s="318"/>
      <c r="FD1139" s="318"/>
      <c r="FE1139" s="318"/>
      <c r="FF1139" s="318"/>
      <c r="FG1139" s="318"/>
      <c r="FH1139" s="318"/>
      <c r="FI1139" s="318"/>
      <c r="FJ1139" s="318"/>
      <c r="FK1139" s="318"/>
      <c r="FL1139" s="318"/>
      <c r="FM1139" s="318"/>
      <c r="FN1139" s="318"/>
      <c r="FO1139" s="318"/>
      <c r="FP1139" s="318"/>
      <c r="FQ1139" s="318"/>
      <c r="FR1139" s="318"/>
      <c r="FS1139" s="318"/>
      <c r="FT1139" s="318"/>
      <c r="FU1139" s="318"/>
      <c r="FV1139" s="318"/>
      <c r="FW1139" s="318"/>
      <c r="FX1139" s="318"/>
      <c r="FY1139" s="318"/>
      <c r="FZ1139" s="318"/>
      <c r="GA1139" s="318"/>
      <c r="GB1139" s="318"/>
      <c r="GC1139" s="318"/>
      <c r="GD1139" s="318"/>
      <c r="GE1139" s="318"/>
      <c r="GF1139" s="318"/>
      <c r="GG1139" s="318"/>
      <c r="GH1139" s="318"/>
      <c r="GI1139" s="318"/>
      <c r="GJ1139" s="318"/>
      <c r="GK1139" s="318"/>
      <c r="GL1139" s="318"/>
      <c r="GM1139" s="318"/>
      <c r="GN1139" s="318"/>
      <c r="GO1139" s="318"/>
      <c r="GP1139" s="318"/>
      <c r="GQ1139" s="318"/>
      <c r="GR1139" s="318"/>
      <c r="GS1139" s="232"/>
      <c r="GT1139" s="231"/>
      <c r="GU1139" s="231"/>
      <c r="GV1139" s="231"/>
      <c r="GW1139" s="231"/>
      <c r="GX1139" s="231"/>
      <c r="GY1139" s="231"/>
      <c r="GZ1139" s="231"/>
      <c r="HA1139" s="231"/>
      <c r="HB1139" s="231"/>
      <c r="HC1139" s="231"/>
      <c r="HD1139" s="231"/>
      <c r="HE1139" s="231"/>
      <c r="HF1139" s="231"/>
      <c r="HG1139" s="231"/>
      <c r="HH1139" s="231"/>
      <c r="HI1139" s="232"/>
    </row>
    <row r="1140" spans="82:217" ht="10.75" customHeight="1">
      <c r="CD1140" s="229"/>
      <c r="CE1140" s="231"/>
      <c r="CF1140" s="231"/>
      <c r="CG1140" s="231"/>
      <c r="CH1140" s="231"/>
      <c r="CI1140" s="231"/>
      <c r="CJ1140" s="231"/>
      <c r="CK1140" s="231"/>
      <c r="CL1140" s="231"/>
      <c r="CM1140" s="231"/>
      <c r="CN1140" s="231"/>
      <c r="CO1140" s="231"/>
      <c r="CP1140" s="231"/>
      <c r="CQ1140" s="231"/>
      <c r="CR1140" s="231"/>
      <c r="CS1140" s="231"/>
      <c r="CT1140" s="229"/>
      <c r="CU1140" s="318"/>
      <c r="CV1140" s="318"/>
      <c r="CW1140" s="318"/>
      <c r="CX1140" s="318"/>
      <c r="CY1140" s="318"/>
      <c r="CZ1140" s="318"/>
      <c r="DA1140" s="318"/>
      <c r="DB1140" s="318"/>
      <c r="DC1140" s="318"/>
      <c r="DD1140" s="318"/>
      <c r="DE1140" s="318"/>
      <c r="DF1140" s="318"/>
      <c r="DG1140" s="318"/>
      <c r="DH1140" s="318"/>
      <c r="DI1140" s="318"/>
      <c r="DJ1140" s="318"/>
      <c r="DK1140" s="318"/>
      <c r="DL1140" s="318"/>
      <c r="DM1140" s="318"/>
      <c r="DN1140" s="318"/>
      <c r="DO1140" s="318"/>
      <c r="DP1140" s="318"/>
      <c r="DQ1140" s="318"/>
      <c r="DR1140" s="318"/>
      <c r="DS1140" s="318"/>
      <c r="DT1140" s="318"/>
      <c r="DU1140" s="318"/>
      <c r="DV1140" s="318"/>
      <c r="DW1140" s="318"/>
      <c r="DX1140" s="318"/>
      <c r="DY1140" s="318"/>
      <c r="DZ1140" s="318"/>
      <c r="EA1140" s="318"/>
      <c r="EB1140" s="318"/>
      <c r="EC1140" s="318"/>
      <c r="ED1140" s="318"/>
      <c r="EE1140" s="318"/>
      <c r="EF1140" s="318"/>
      <c r="EG1140" s="318"/>
      <c r="EH1140" s="318"/>
      <c r="EI1140" s="318"/>
      <c r="EJ1140" s="318"/>
      <c r="EK1140" s="318"/>
      <c r="EL1140" s="318"/>
      <c r="EM1140" s="318"/>
      <c r="EN1140" s="318"/>
      <c r="EO1140" s="318"/>
      <c r="EP1140" s="318"/>
      <c r="EQ1140" s="318"/>
      <c r="ER1140" s="318"/>
      <c r="ES1140" s="318"/>
      <c r="ET1140" s="318"/>
      <c r="EU1140" s="318"/>
      <c r="EV1140" s="318"/>
      <c r="EW1140" s="318"/>
      <c r="EX1140" s="318"/>
      <c r="EY1140" s="318"/>
      <c r="EZ1140" s="318"/>
      <c r="FA1140" s="318"/>
      <c r="FB1140" s="318"/>
      <c r="FC1140" s="318"/>
      <c r="FD1140" s="318"/>
      <c r="FE1140" s="318"/>
      <c r="FF1140" s="318"/>
      <c r="FG1140" s="318"/>
      <c r="FH1140" s="318"/>
      <c r="FI1140" s="318"/>
      <c r="FJ1140" s="318"/>
      <c r="FK1140" s="318"/>
      <c r="FL1140" s="318"/>
      <c r="FM1140" s="318"/>
      <c r="FN1140" s="318"/>
      <c r="FO1140" s="318"/>
      <c r="FP1140" s="318"/>
      <c r="FQ1140" s="318"/>
      <c r="FR1140" s="318"/>
      <c r="FS1140" s="318"/>
      <c r="FT1140" s="318"/>
      <c r="FU1140" s="318"/>
      <c r="FV1140" s="318"/>
      <c r="FW1140" s="318"/>
      <c r="FX1140" s="318"/>
      <c r="FY1140" s="318"/>
      <c r="FZ1140" s="318"/>
      <c r="GA1140" s="318"/>
      <c r="GB1140" s="318"/>
      <c r="GC1140" s="318"/>
      <c r="GD1140" s="318"/>
      <c r="GE1140" s="318"/>
      <c r="GF1140" s="318"/>
      <c r="GG1140" s="318"/>
      <c r="GH1140" s="318"/>
      <c r="GI1140" s="318"/>
      <c r="GJ1140" s="318"/>
      <c r="GK1140" s="318"/>
      <c r="GL1140" s="318"/>
      <c r="GM1140" s="318"/>
      <c r="GN1140" s="318"/>
      <c r="GO1140" s="318"/>
      <c r="GP1140" s="318"/>
      <c r="GQ1140" s="318"/>
      <c r="GR1140" s="318"/>
      <c r="GS1140" s="232"/>
      <c r="GT1140" s="231"/>
      <c r="GU1140" s="231"/>
      <c r="GV1140" s="231"/>
      <c r="GW1140" s="231"/>
      <c r="GX1140" s="231"/>
      <c r="GY1140" s="231"/>
      <c r="GZ1140" s="231"/>
      <c r="HA1140" s="231"/>
      <c r="HB1140" s="231"/>
      <c r="HC1140" s="231"/>
      <c r="HD1140" s="231"/>
      <c r="HE1140" s="231"/>
      <c r="HF1140" s="231"/>
      <c r="HG1140" s="231"/>
      <c r="HH1140" s="231"/>
      <c r="HI1140" s="232"/>
    </row>
    <row r="1141" spans="82:217" ht="10.75" customHeight="1">
      <c r="CD1141" s="229"/>
      <c r="CE1141" s="231"/>
      <c r="CF1141" s="231"/>
      <c r="CG1141" s="231"/>
      <c r="CH1141" s="231"/>
      <c r="CI1141" s="231"/>
      <c r="CJ1141" s="231"/>
      <c r="CK1141" s="231"/>
      <c r="CL1141" s="231"/>
      <c r="CM1141" s="231"/>
      <c r="CN1141" s="231"/>
      <c r="CO1141" s="231"/>
      <c r="CP1141" s="231"/>
      <c r="CQ1141" s="231"/>
      <c r="CR1141" s="231"/>
      <c r="CS1141" s="231"/>
      <c r="CT1141" s="229"/>
      <c r="CU1141" s="318"/>
      <c r="CV1141" s="318"/>
      <c r="CW1141" s="318"/>
      <c r="CX1141" s="318"/>
      <c r="CY1141" s="318"/>
      <c r="CZ1141" s="318"/>
      <c r="DA1141" s="318"/>
      <c r="DB1141" s="318"/>
      <c r="DC1141" s="318"/>
      <c r="DD1141" s="318"/>
      <c r="DE1141" s="318"/>
      <c r="DF1141" s="318"/>
      <c r="DG1141" s="318"/>
      <c r="DH1141" s="318"/>
      <c r="DI1141" s="318"/>
      <c r="DJ1141" s="318"/>
      <c r="DK1141" s="318"/>
      <c r="DL1141" s="318"/>
      <c r="DM1141" s="318"/>
      <c r="DN1141" s="318"/>
      <c r="DO1141" s="318"/>
      <c r="DP1141" s="318"/>
      <c r="DQ1141" s="318"/>
      <c r="DR1141" s="318"/>
      <c r="DS1141" s="318"/>
      <c r="DT1141" s="318"/>
      <c r="DU1141" s="318"/>
      <c r="DV1141" s="318"/>
      <c r="DW1141" s="318"/>
      <c r="DX1141" s="318"/>
      <c r="DY1141" s="318"/>
      <c r="DZ1141" s="318"/>
      <c r="EA1141" s="318"/>
      <c r="EB1141" s="318"/>
      <c r="EC1141" s="318"/>
      <c r="ED1141" s="318"/>
      <c r="EE1141" s="318"/>
      <c r="EF1141" s="318"/>
      <c r="EG1141" s="318"/>
      <c r="EH1141" s="318"/>
      <c r="EI1141" s="318"/>
      <c r="EJ1141" s="318"/>
      <c r="EK1141" s="318"/>
      <c r="EL1141" s="318"/>
      <c r="EM1141" s="318"/>
      <c r="EN1141" s="318"/>
      <c r="EO1141" s="318"/>
      <c r="EP1141" s="318"/>
      <c r="EQ1141" s="318"/>
      <c r="ER1141" s="318"/>
      <c r="ES1141" s="318"/>
      <c r="ET1141" s="318"/>
      <c r="EU1141" s="318"/>
      <c r="EV1141" s="318"/>
      <c r="EW1141" s="318"/>
      <c r="EX1141" s="318"/>
      <c r="EY1141" s="318"/>
      <c r="EZ1141" s="318"/>
      <c r="FA1141" s="318"/>
      <c r="FB1141" s="318"/>
      <c r="FC1141" s="318"/>
      <c r="FD1141" s="318"/>
      <c r="FE1141" s="318"/>
      <c r="FF1141" s="318"/>
      <c r="FG1141" s="318"/>
      <c r="FH1141" s="318"/>
      <c r="FI1141" s="318"/>
      <c r="FJ1141" s="318"/>
      <c r="FK1141" s="318"/>
      <c r="FL1141" s="318"/>
      <c r="FM1141" s="318"/>
      <c r="FN1141" s="318"/>
      <c r="FO1141" s="318"/>
      <c r="FP1141" s="318"/>
      <c r="FQ1141" s="318"/>
      <c r="FR1141" s="318"/>
      <c r="FS1141" s="318"/>
      <c r="FT1141" s="318"/>
      <c r="FU1141" s="318"/>
      <c r="FV1141" s="318"/>
      <c r="FW1141" s="318"/>
      <c r="FX1141" s="318"/>
      <c r="FY1141" s="318"/>
      <c r="FZ1141" s="318"/>
      <c r="GA1141" s="318"/>
      <c r="GB1141" s="318"/>
      <c r="GC1141" s="318"/>
      <c r="GD1141" s="318"/>
      <c r="GE1141" s="318"/>
      <c r="GF1141" s="318"/>
      <c r="GG1141" s="318"/>
      <c r="GH1141" s="318"/>
      <c r="GI1141" s="318"/>
      <c r="GJ1141" s="318"/>
      <c r="GK1141" s="318"/>
      <c r="GL1141" s="318"/>
      <c r="GM1141" s="318"/>
      <c r="GN1141" s="318"/>
      <c r="GO1141" s="318"/>
      <c r="GP1141" s="318"/>
      <c r="GQ1141" s="318"/>
      <c r="GR1141" s="318"/>
      <c r="GS1141" s="232"/>
      <c r="GT1141" s="231"/>
      <c r="GU1141" s="231"/>
      <c r="GV1141" s="231"/>
      <c r="GW1141" s="231"/>
      <c r="GX1141" s="231"/>
      <c r="GY1141" s="231"/>
      <c r="GZ1141" s="231"/>
      <c r="HA1141" s="231"/>
      <c r="HB1141" s="231"/>
      <c r="HC1141" s="231"/>
      <c r="HD1141" s="231"/>
      <c r="HE1141" s="231"/>
      <c r="HF1141" s="231"/>
      <c r="HG1141" s="231"/>
      <c r="HH1141" s="231"/>
      <c r="HI1141" s="232"/>
    </row>
    <row r="1142" spans="82:217" ht="10.75" customHeight="1">
      <c r="CD1142" s="229"/>
      <c r="CE1142" s="231"/>
      <c r="CF1142" s="231"/>
      <c r="CG1142" s="231"/>
      <c r="CH1142" s="231"/>
      <c r="CI1142" s="231"/>
      <c r="CJ1142" s="231"/>
      <c r="CK1142" s="231"/>
      <c r="CL1142" s="231"/>
      <c r="CM1142" s="231"/>
      <c r="CN1142" s="231"/>
      <c r="CO1142" s="231"/>
      <c r="CP1142" s="231"/>
      <c r="CQ1142" s="231"/>
      <c r="CR1142" s="231"/>
      <c r="CS1142" s="231"/>
      <c r="CT1142" s="229"/>
      <c r="CU1142" s="318"/>
      <c r="CV1142" s="318"/>
      <c r="CW1142" s="318"/>
      <c r="CX1142" s="318"/>
      <c r="CY1142" s="318"/>
      <c r="CZ1142" s="318"/>
      <c r="DA1142" s="318"/>
      <c r="DB1142" s="318"/>
      <c r="DC1142" s="318"/>
      <c r="DD1142" s="318"/>
      <c r="DE1142" s="318"/>
      <c r="DF1142" s="318"/>
      <c r="DG1142" s="318"/>
      <c r="DH1142" s="318"/>
      <c r="DI1142" s="318"/>
      <c r="DJ1142" s="318"/>
      <c r="DK1142" s="318"/>
      <c r="DL1142" s="318"/>
      <c r="DM1142" s="318"/>
      <c r="DN1142" s="318"/>
      <c r="DO1142" s="318"/>
      <c r="DP1142" s="318"/>
      <c r="DQ1142" s="318"/>
      <c r="DR1142" s="318"/>
      <c r="DS1142" s="318"/>
      <c r="DT1142" s="318"/>
      <c r="DU1142" s="318"/>
      <c r="DV1142" s="318"/>
      <c r="DW1142" s="318"/>
      <c r="DX1142" s="318"/>
      <c r="DY1142" s="318"/>
      <c r="DZ1142" s="318"/>
      <c r="EA1142" s="318"/>
      <c r="EB1142" s="318"/>
      <c r="EC1142" s="318"/>
      <c r="ED1142" s="318"/>
      <c r="EE1142" s="318"/>
      <c r="EF1142" s="318"/>
      <c r="EG1142" s="318"/>
      <c r="EH1142" s="318"/>
      <c r="EI1142" s="318"/>
      <c r="EJ1142" s="318"/>
      <c r="EK1142" s="318"/>
      <c r="EL1142" s="318"/>
      <c r="EM1142" s="318"/>
      <c r="EN1142" s="318"/>
      <c r="EO1142" s="318"/>
      <c r="EP1142" s="318"/>
      <c r="EQ1142" s="318"/>
      <c r="ER1142" s="318"/>
      <c r="ES1142" s="318"/>
      <c r="ET1142" s="318"/>
      <c r="EU1142" s="318"/>
      <c r="EV1142" s="318"/>
      <c r="EW1142" s="318"/>
      <c r="EX1142" s="318"/>
      <c r="EY1142" s="318"/>
      <c r="EZ1142" s="318"/>
      <c r="FA1142" s="318"/>
      <c r="FB1142" s="318"/>
      <c r="FC1142" s="318"/>
      <c r="FD1142" s="318"/>
      <c r="FE1142" s="318"/>
      <c r="FF1142" s="318"/>
      <c r="FG1142" s="318"/>
      <c r="FH1142" s="318"/>
      <c r="FI1142" s="318"/>
      <c r="FJ1142" s="318"/>
      <c r="FK1142" s="318"/>
      <c r="FL1142" s="318"/>
      <c r="FM1142" s="318"/>
      <c r="FN1142" s="318"/>
      <c r="FO1142" s="318"/>
      <c r="FP1142" s="318"/>
      <c r="FQ1142" s="318"/>
      <c r="FR1142" s="318"/>
      <c r="FS1142" s="318"/>
      <c r="FT1142" s="318"/>
      <c r="FU1142" s="318"/>
      <c r="FV1142" s="318"/>
      <c r="FW1142" s="318"/>
      <c r="FX1142" s="318"/>
      <c r="FY1142" s="318"/>
      <c r="FZ1142" s="318"/>
      <c r="GA1142" s="318"/>
      <c r="GB1142" s="318"/>
      <c r="GC1142" s="318"/>
      <c r="GD1142" s="318"/>
      <c r="GE1142" s="318"/>
      <c r="GF1142" s="318"/>
      <c r="GG1142" s="318"/>
      <c r="GH1142" s="318"/>
      <c r="GI1142" s="318"/>
      <c r="GJ1142" s="318"/>
      <c r="GK1142" s="318"/>
      <c r="GL1142" s="318"/>
      <c r="GM1142" s="318"/>
      <c r="GN1142" s="318"/>
      <c r="GO1142" s="318"/>
      <c r="GP1142" s="318"/>
      <c r="GQ1142" s="318"/>
      <c r="GR1142" s="318"/>
      <c r="GS1142" s="232"/>
      <c r="GT1142" s="231"/>
      <c r="GU1142" s="231"/>
      <c r="GV1142" s="231"/>
      <c r="GW1142" s="231"/>
      <c r="GX1142" s="231"/>
      <c r="GY1142" s="231"/>
      <c r="GZ1142" s="231"/>
      <c r="HA1142" s="231"/>
      <c r="HB1142" s="231"/>
      <c r="HC1142" s="231"/>
      <c r="HD1142" s="231"/>
      <c r="HE1142" s="231"/>
      <c r="HF1142" s="231"/>
      <c r="HG1142" s="231"/>
      <c r="HH1142" s="231"/>
      <c r="HI1142" s="232"/>
    </row>
    <row r="1143" spans="82:217" ht="10.75" customHeight="1">
      <c r="CD1143" s="229"/>
      <c r="CE1143" s="231"/>
      <c r="CF1143" s="231"/>
      <c r="CG1143" s="231"/>
      <c r="CH1143" s="231"/>
      <c r="CI1143" s="231"/>
      <c r="CJ1143" s="231"/>
      <c r="CK1143" s="231"/>
      <c r="CL1143" s="231"/>
      <c r="CM1143" s="231"/>
      <c r="CN1143" s="231"/>
      <c r="CO1143" s="231"/>
      <c r="CP1143" s="231"/>
      <c r="CQ1143" s="231"/>
      <c r="CR1143" s="231"/>
      <c r="CS1143" s="231"/>
      <c r="CT1143" s="229"/>
      <c r="CU1143" s="318"/>
      <c r="CV1143" s="318"/>
      <c r="CW1143" s="318"/>
      <c r="CX1143" s="318"/>
      <c r="CY1143" s="318"/>
      <c r="CZ1143" s="318"/>
      <c r="DA1143" s="318"/>
      <c r="DB1143" s="318"/>
      <c r="DC1143" s="318"/>
      <c r="DD1143" s="318"/>
      <c r="DE1143" s="318"/>
      <c r="DF1143" s="318"/>
      <c r="DG1143" s="318"/>
      <c r="DH1143" s="318"/>
      <c r="DI1143" s="318"/>
      <c r="DJ1143" s="318"/>
      <c r="DK1143" s="318"/>
      <c r="DL1143" s="318"/>
      <c r="DM1143" s="318"/>
      <c r="DN1143" s="318"/>
      <c r="DO1143" s="318"/>
      <c r="DP1143" s="318"/>
      <c r="DQ1143" s="318"/>
      <c r="DR1143" s="318"/>
      <c r="DS1143" s="318"/>
      <c r="DT1143" s="318"/>
      <c r="DU1143" s="318"/>
      <c r="DV1143" s="318"/>
      <c r="DW1143" s="318"/>
      <c r="DX1143" s="318"/>
      <c r="DY1143" s="318"/>
      <c r="DZ1143" s="318"/>
      <c r="EA1143" s="318"/>
      <c r="EB1143" s="318"/>
      <c r="EC1143" s="318"/>
      <c r="ED1143" s="318"/>
      <c r="EE1143" s="318"/>
      <c r="EF1143" s="318"/>
      <c r="EG1143" s="318"/>
      <c r="EH1143" s="318"/>
      <c r="EI1143" s="318"/>
      <c r="EJ1143" s="318"/>
      <c r="EK1143" s="318"/>
      <c r="EL1143" s="318"/>
      <c r="EM1143" s="318"/>
      <c r="EN1143" s="318"/>
      <c r="EO1143" s="318"/>
      <c r="EP1143" s="318"/>
      <c r="EQ1143" s="318"/>
      <c r="ER1143" s="318"/>
      <c r="ES1143" s="318"/>
      <c r="ET1143" s="318"/>
      <c r="EU1143" s="318"/>
      <c r="EV1143" s="318"/>
      <c r="EW1143" s="318"/>
      <c r="EX1143" s="318"/>
      <c r="EY1143" s="318"/>
      <c r="EZ1143" s="318"/>
      <c r="FA1143" s="318"/>
      <c r="FB1143" s="318"/>
      <c r="FC1143" s="318"/>
      <c r="FD1143" s="318"/>
      <c r="FE1143" s="318"/>
      <c r="FF1143" s="318"/>
      <c r="FG1143" s="318"/>
      <c r="FH1143" s="318"/>
      <c r="FI1143" s="318"/>
      <c r="FJ1143" s="318"/>
      <c r="FK1143" s="318"/>
      <c r="FL1143" s="318"/>
      <c r="FM1143" s="318"/>
      <c r="FN1143" s="318"/>
      <c r="FO1143" s="318"/>
      <c r="FP1143" s="318"/>
      <c r="FQ1143" s="318"/>
      <c r="FR1143" s="318"/>
      <c r="FS1143" s="318"/>
      <c r="FT1143" s="318"/>
      <c r="FU1143" s="318"/>
      <c r="FV1143" s="318"/>
      <c r="FW1143" s="318"/>
      <c r="FX1143" s="318"/>
      <c r="FY1143" s="318"/>
      <c r="FZ1143" s="318"/>
      <c r="GA1143" s="318"/>
      <c r="GB1143" s="318"/>
      <c r="GC1143" s="318"/>
      <c r="GD1143" s="318"/>
      <c r="GE1143" s="318"/>
      <c r="GF1143" s="318"/>
      <c r="GG1143" s="318"/>
      <c r="GH1143" s="318"/>
      <c r="GI1143" s="318"/>
      <c r="GJ1143" s="318"/>
      <c r="GK1143" s="318"/>
      <c r="GL1143" s="318"/>
      <c r="GM1143" s="318"/>
      <c r="GN1143" s="318"/>
      <c r="GO1143" s="318"/>
      <c r="GP1143" s="318"/>
      <c r="GQ1143" s="318"/>
      <c r="GR1143" s="318"/>
      <c r="GS1143" s="232"/>
      <c r="GT1143" s="231"/>
      <c r="GU1143" s="231"/>
      <c r="GV1143" s="231"/>
      <c r="GW1143" s="231"/>
      <c r="GX1143" s="231"/>
      <c r="GY1143" s="231"/>
      <c r="GZ1143" s="231"/>
      <c r="HA1143" s="231"/>
      <c r="HB1143" s="231"/>
      <c r="HC1143" s="231"/>
      <c r="HD1143" s="231"/>
      <c r="HE1143" s="231"/>
      <c r="HF1143" s="231"/>
      <c r="HG1143" s="231"/>
      <c r="HH1143" s="231"/>
      <c r="HI1143" s="232"/>
    </row>
    <row r="1144" spans="82:217" ht="10.75" customHeight="1">
      <c r="CD1144" s="229"/>
      <c r="CE1144" s="231"/>
      <c r="CF1144" s="231"/>
      <c r="CG1144" s="231"/>
      <c r="CH1144" s="231"/>
      <c r="CI1144" s="231"/>
      <c r="CJ1144" s="231"/>
      <c r="CK1144" s="231"/>
      <c r="CL1144" s="231"/>
      <c r="CM1144" s="231"/>
      <c r="CN1144" s="231"/>
      <c r="CO1144" s="231"/>
      <c r="CP1144" s="231"/>
      <c r="CQ1144" s="231"/>
      <c r="CR1144" s="231"/>
      <c r="CS1144" s="231"/>
      <c r="CT1144" s="229"/>
      <c r="CU1144" s="318"/>
      <c r="CV1144" s="318"/>
      <c r="CW1144" s="318"/>
      <c r="CX1144" s="318"/>
      <c r="CY1144" s="318"/>
      <c r="CZ1144" s="318"/>
      <c r="DA1144" s="318"/>
      <c r="DB1144" s="318"/>
      <c r="DC1144" s="318"/>
      <c r="DD1144" s="318"/>
      <c r="DE1144" s="318"/>
      <c r="DF1144" s="318"/>
      <c r="DG1144" s="318"/>
      <c r="DH1144" s="318"/>
      <c r="DI1144" s="318"/>
      <c r="DJ1144" s="318"/>
      <c r="DK1144" s="318"/>
      <c r="DL1144" s="318"/>
      <c r="DM1144" s="318"/>
      <c r="DN1144" s="318"/>
      <c r="DO1144" s="318"/>
      <c r="DP1144" s="318"/>
      <c r="DQ1144" s="318"/>
      <c r="DR1144" s="318"/>
      <c r="DS1144" s="318"/>
      <c r="DT1144" s="318"/>
      <c r="DU1144" s="318"/>
      <c r="DV1144" s="318"/>
      <c r="DW1144" s="318"/>
      <c r="DX1144" s="318"/>
      <c r="DY1144" s="318"/>
      <c r="DZ1144" s="318"/>
      <c r="EA1144" s="318"/>
      <c r="EB1144" s="318"/>
      <c r="EC1144" s="318"/>
      <c r="ED1144" s="318"/>
      <c r="EE1144" s="318"/>
      <c r="EF1144" s="318"/>
      <c r="EG1144" s="318"/>
      <c r="EH1144" s="318"/>
      <c r="EI1144" s="318"/>
      <c r="EJ1144" s="318"/>
      <c r="EK1144" s="318"/>
      <c r="EL1144" s="318"/>
      <c r="EM1144" s="318"/>
      <c r="EN1144" s="318"/>
      <c r="EO1144" s="318"/>
      <c r="EP1144" s="318"/>
      <c r="EQ1144" s="318"/>
      <c r="ER1144" s="318"/>
      <c r="ES1144" s="318"/>
      <c r="ET1144" s="318"/>
      <c r="EU1144" s="318"/>
      <c r="EV1144" s="318"/>
      <c r="EW1144" s="318"/>
      <c r="EX1144" s="318"/>
      <c r="EY1144" s="318"/>
      <c r="EZ1144" s="318"/>
      <c r="FA1144" s="318"/>
      <c r="FB1144" s="318"/>
      <c r="FC1144" s="318"/>
      <c r="FD1144" s="318"/>
      <c r="FE1144" s="318"/>
      <c r="FF1144" s="318"/>
      <c r="FG1144" s="318"/>
      <c r="FH1144" s="318"/>
      <c r="FI1144" s="318"/>
      <c r="FJ1144" s="318"/>
      <c r="FK1144" s="318"/>
      <c r="FL1144" s="318"/>
      <c r="FM1144" s="318"/>
      <c r="FN1144" s="318"/>
      <c r="FO1144" s="318"/>
      <c r="FP1144" s="318"/>
      <c r="FQ1144" s="318"/>
      <c r="FR1144" s="318"/>
      <c r="FS1144" s="318"/>
      <c r="FT1144" s="318"/>
      <c r="FU1144" s="318"/>
      <c r="FV1144" s="318"/>
      <c r="FW1144" s="318"/>
      <c r="FX1144" s="318"/>
      <c r="FY1144" s="318"/>
      <c r="FZ1144" s="318"/>
      <c r="GA1144" s="318"/>
      <c r="GB1144" s="318"/>
      <c r="GC1144" s="318"/>
      <c r="GD1144" s="318"/>
      <c r="GE1144" s="318"/>
      <c r="GF1144" s="318"/>
      <c r="GG1144" s="318"/>
      <c r="GH1144" s="318"/>
      <c r="GI1144" s="318"/>
      <c r="GJ1144" s="318"/>
      <c r="GK1144" s="318"/>
      <c r="GL1144" s="318"/>
      <c r="GM1144" s="318"/>
      <c r="GN1144" s="318"/>
      <c r="GO1144" s="318"/>
      <c r="GP1144" s="318"/>
      <c r="GQ1144" s="318"/>
      <c r="GR1144" s="318"/>
      <c r="GS1144" s="232"/>
      <c r="GT1144" s="231"/>
      <c r="GU1144" s="231"/>
      <c r="GV1144" s="231"/>
      <c r="GW1144" s="231"/>
      <c r="GX1144" s="231"/>
      <c r="GY1144" s="231"/>
      <c r="GZ1144" s="231"/>
      <c r="HA1144" s="231"/>
      <c r="HB1144" s="231"/>
      <c r="HC1144" s="231"/>
      <c r="HD1144" s="231"/>
      <c r="HE1144" s="231"/>
      <c r="HF1144" s="231"/>
      <c r="HG1144" s="231"/>
      <c r="HH1144" s="231"/>
      <c r="HI1144" s="232"/>
    </row>
    <row r="1145" spans="82:217" ht="10.75" customHeight="1">
      <c r="CD1145" s="229"/>
      <c r="CE1145" s="231"/>
      <c r="CF1145" s="231"/>
      <c r="CG1145" s="231"/>
      <c r="CH1145" s="231"/>
      <c r="CI1145" s="231"/>
      <c r="CJ1145" s="231"/>
      <c r="CK1145" s="231"/>
      <c r="CL1145" s="231"/>
      <c r="CM1145" s="231"/>
      <c r="CN1145" s="231"/>
      <c r="CO1145" s="231"/>
      <c r="CP1145" s="231"/>
      <c r="CQ1145" s="231"/>
      <c r="CR1145" s="231"/>
      <c r="CS1145" s="231"/>
      <c r="CT1145" s="229"/>
      <c r="CU1145" s="318"/>
      <c r="CV1145" s="318"/>
      <c r="CW1145" s="318"/>
      <c r="CX1145" s="318"/>
      <c r="CY1145" s="318"/>
      <c r="CZ1145" s="318"/>
      <c r="DA1145" s="318"/>
      <c r="DB1145" s="318"/>
      <c r="DC1145" s="318"/>
      <c r="DD1145" s="318"/>
      <c r="DE1145" s="318"/>
      <c r="DF1145" s="318"/>
      <c r="DG1145" s="318"/>
      <c r="DH1145" s="318"/>
      <c r="DI1145" s="318"/>
      <c r="DJ1145" s="318"/>
      <c r="DK1145" s="318"/>
      <c r="DL1145" s="318"/>
      <c r="DM1145" s="318"/>
      <c r="DN1145" s="318"/>
      <c r="DO1145" s="318"/>
      <c r="DP1145" s="318"/>
      <c r="DQ1145" s="318"/>
      <c r="DR1145" s="318"/>
      <c r="DS1145" s="318"/>
      <c r="DT1145" s="318"/>
      <c r="DU1145" s="318"/>
      <c r="DV1145" s="318"/>
      <c r="DW1145" s="318"/>
      <c r="DX1145" s="318"/>
      <c r="DY1145" s="318"/>
      <c r="DZ1145" s="318"/>
      <c r="EA1145" s="318"/>
      <c r="EB1145" s="318"/>
      <c r="EC1145" s="318"/>
      <c r="ED1145" s="318"/>
      <c r="EE1145" s="318"/>
      <c r="EF1145" s="318"/>
      <c r="EG1145" s="318"/>
      <c r="EH1145" s="318"/>
      <c r="EI1145" s="318"/>
      <c r="EJ1145" s="318"/>
      <c r="EK1145" s="318"/>
      <c r="EL1145" s="318"/>
      <c r="EM1145" s="318"/>
      <c r="EN1145" s="318"/>
      <c r="EO1145" s="318"/>
      <c r="EP1145" s="318"/>
      <c r="EQ1145" s="318"/>
      <c r="ER1145" s="318"/>
      <c r="ES1145" s="318"/>
      <c r="ET1145" s="318"/>
      <c r="EU1145" s="318"/>
      <c r="EV1145" s="318"/>
      <c r="EW1145" s="318"/>
      <c r="EX1145" s="318"/>
      <c r="EY1145" s="318"/>
      <c r="EZ1145" s="318"/>
      <c r="FA1145" s="318"/>
      <c r="FB1145" s="318"/>
      <c r="FC1145" s="318"/>
      <c r="FD1145" s="318"/>
      <c r="FE1145" s="318"/>
      <c r="FF1145" s="318"/>
      <c r="FG1145" s="318"/>
      <c r="FH1145" s="318"/>
      <c r="FI1145" s="318"/>
      <c r="FJ1145" s="318"/>
      <c r="FK1145" s="318"/>
      <c r="FL1145" s="318"/>
      <c r="FM1145" s="318"/>
      <c r="FN1145" s="318"/>
      <c r="FO1145" s="318"/>
      <c r="FP1145" s="318"/>
      <c r="FQ1145" s="318"/>
      <c r="FR1145" s="318"/>
      <c r="FS1145" s="318"/>
      <c r="FT1145" s="318"/>
      <c r="FU1145" s="318"/>
      <c r="FV1145" s="318"/>
      <c r="FW1145" s="318"/>
      <c r="FX1145" s="318"/>
      <c r="FY1145" s="318"/>
      <c r="FZ1145" s="318"/>
      <c r="GA1145" s="318"/>
      <c r="GB1145" s="318"/>
      <c r="GC1145" s="318"/>
      <c r="GD1145" s="318"/>
      <c r="GE1145" s="318"/>
      <c r="GF1145" s="318"/>
      <c r="GG1145" s="318"/>
      <c r="GH1145" s="318"/>
      <c r="GI1145" s="318"/>
      <c r="GJ1145" s="318"/>
      <c r="GK1145" s="318"/>
      <c r="GL1145" s="318"/>
      <c r="GM1145" s="318"/>
      <c r="GN1145" s="318"/>
      <c r="GO1145" s="318"/>
      <c r="GP1145" s="318"/>
      <c r="GQ1145" s="318"/>
      <c r="GR1145" s="318"/>
      <c r="GS1145" s="232"/>
      <c r="GT1145" s="231"/>
      <c r="GU1145" s="231"/>
      <c r="GV1145" s="231"/>
      <c r="GW1145" s="231"/>
      <c r="GX1145" s="231"/>
      <c r="GY1145" s="231"/>
      <c r="GZ1145" s="231"/>
      <c r="HA1145" s="231"/>
      <c r="HB1145" s="231"/>
      <c r="HC1145" s="231"/>
      <c r="HD1145" s="231"/>
      <c r="HE1145" s="231"/>
      <c r="HF1145" s="231"/>
      <c r="HG1145" s="231"/>
      <c r="HH1145" s="231"/>
      <c r="HI1145" s="232"/>
    </row>
    <row r="1146" spans="82:217" ht="10.75" customHeight="1">
      <c r="CD1146" s="229"/>
      <c r="CE1146" s="231"/>
      <c r="CF1146" s="231"/>
      <c r="CG1146" s="231"/>
      <c r="CH1146" s="231"/>
      <c r="CI1146" s="231"/>
      <c r="CJ1146" s="231"/>
      <c r="CK1146" s="231"/>
      <c r="CL1146" s="231"/>
      <c r="CM1146" s="231"/>
      <c r="CN1146" s="231"/>
      <c r="CO1146" s="231"/>
      <c r="CP1146" s="231"/>
      <c r="CQ1146" s="231"/>
      <c r="CR1146" s="231"/>
      <c r="CS1146" s="231"/>
      <c r="CT1146" s="229"/>
      <c r="CU1146" s="318"/>
      <c r="CV1146" s="318"/>
      <c r="CW1146" s="318"/>
      <c r="CX1146" s="318"/>
      <c r="CY1146" s="318"/>
      <c r="CZ1146" s="318"/>
      <c r="DA1146" s="318"/>
      <c r="DB1146" s="318"/>
      <c r="DC1146" s="318"/>
      <c r="DD1146" s="318"/>
      <c r="DE1146" s="318"/>
      <c r="DF1146" s="318"/>
      <c r="DG1146" s="318"/>
      <c r="DH1146" s="318"/>
      <c r="DI1146" s="318"/>
      <c r="DJ1146" s="318"/>
      <c r="DK1146" s="318"/>
      <c r="DL1146" s="318"/>
      <c r="DM1146" s="318"/>
      <c r="DN1146" s="318"/>
      <c r="DO1146" s="318"/>
      <c r="DP1146" s="318"/>
      <c r="DQ1146" s="318"/>
      <c r="DR1146" s="318"/>
      <c r="DS1146" s="318"/>
      <c r="DT1146" s="318"/>
      <c r="DU1146" s="318"/>
      <c r="DV1146" s="318"/>
      <c r="DW1146" s="318"/>
      <c r="DX1146" s="318"/>
      <c r="DY1146" s="318"/>
      <c r="DZ1146" s="318"/>
      <c r="EA1146" s="318"/>
      <c r="EB1146" s="318"/>
      <c r="EC1146" s="318"/>
      <c r="ED1146" s="318"/>
      <c r="EE1146" s="318"/>
      <c r="EF1146" s="318"/>
      <c r="EG1146" s="318"/>
      <c r="EH1146" s="318"/>
      <c r="EI1146" s="318"/>
      <c r="EJ1146" s="318"/>
      <c r="EK1146" s="318"/>
      <c r="EL1146" s="318"/>
      <c r="EM1146" s="318"/>
      <c r="EN1146" s="318"/>
      <c r="EO1146" s="318"/>
      <c r="EP1146" s="318"/>
      <c r="EQ1146" s="318"/>
      <c r="ER1146" s="318"/>
      <c r="ES1146" s="318"/>
      <c r="ET1146" s="318"/>
      <c r="EU1146" s="318"/>
      <c r="EV1146" s="318"/>
      <c r="EW1146" s="318"/>
      <c r="EX1146" s="318"/>
      <c r="EY1146" s="318"/>
      <c r="EZ1146" s="318"/>
      <c r="FA1146" s="318"/>
      <c r="FB1146" s="318"/>
      <c r="FC1146" s="318"/>
      <c r="FD1146" s="318"/>
      <c r="FE1146" s="318"/>
      <c r="FF1146" s="318"/>
      <c r="FG1146" s="318"/>
      <c r="FH1146" s="318"/>
      <c r="FI1146" s="318"/>
      <c r="FJ1146" s="318"/>
      <c r="FK1146" s="318"/>
      <c r="FL1146" s="318"/>
      <c r="FM1146" s="318"/>
      <c r="FN1146" s="318"/>
      <c r="FO1146" s="318"/>
      <c r="FP1146" s="318"/>
      <c r="FQ1146" s="318"/>
      <c r="FR1146" s="318"/>
      <c r="FS1146" s="318"/>
      <c r="FT1146" s="318"/>
      <c r="FU1146" s="318"/>
      <c r="FV1146" s="318"/>
      <c r="FW1146" s="318"/>
      <c r="FX1146" s="318"/>
      <c r="FY1146" s="318"/>
      <c r="FZ1146" s="318"/>
      <c r="GA1146" s="318"/>
      <c r="GB1146" s="318"/>
      <c r="GC1146" s="318"/>
      <c r="GD1146" s="318"/>
      <c r="GE1146" s="318"/>
      <c r="GF1146" s="318"/>
      <c r="GG1146" s="318"/>
      <c r="GH1146" s="318"/>
      <c r="GI1146" s="318"/>
      <c r="GJ1146" s="318"/>
      <c r="GK1146" s="318"/>
      <c r="GL1146" s="318"/>
      <c r="GM1146" s="318"/>
      <c r="GN1146" s="318"/>
      <c r="GO1146" s="318"/>
      <c r="GP1146" s="318"/>
      <c r="GQ1146" s="318"/>
      <c r="GR1146" s="318"/>
      <c r="GS1146" s="232"/>
      <c r="GT1146" s="231"/>
      <c r="GU1146" s="231"/>
      <c r="GV1146" s="231"/>
      <c r="GW1146" s="231"/>
      <c r="GX1146" s="231"/>
      <c r="GY1146" s="231"/>
      <c r="GZ1146" s="231"/>
      <c r="HA1146" s="231"/>
      <c r="HB1146" s="231"/>
      <c r="HC1146" s="231"/>
      <c r="HD1146" s="231"/>
      <c r="HE1146" s="231"/>
      <c r="HF1146" s="231"/>
      <c r="HG1146" s="231"/>
      <c r="HH1146" s="231"/>
      <c r="HI1146" s="232"/>
    </row>
    <row r="1147" spans="82:217" ht="10.75" customHeight="1">
      <c r="CD1147" s="229"/>
      <c r="CE1147" s="231"/>
      <c r="CF1147" s="231"/>
      <c r="CG1147" s="231"/>
      <c r="CH1147" s="231"/>
      <c r="CI1147" s="231"/>
      <c r="CJ1147" s="231"/>
      <c r="CK1147" s="231"/>
      <c r="CL1147" s="231"/>
      <c r="CM1147" s="231"/>
      <c r="CN1147" s="231"/>
      <c r="CO1147" s="231"/>
      <c r="CP1147" s="231"/>
      <c r="CQ1147" s="231"/>
      <c r="CR1147" s="231"/>
      <c r="CS1147" s="231"/>
      <c r="CT1147" s="229"/>
      <c r="CU1147" s="318"/>
      <c r="CV1147" s="318"/>
      <c r="CW1147" s="318"/>
      <c r="CX1147" s="318"/>
      <c r="CY1147" s="318"/>
      <c r="CZ1147" s="318"/>
      <c r="DA1147" s="318"/>
      <c r="DB1147" s="318"/>
      <c r="DC1147" s="318"/>
      <c r="DD1147" s="318"/>
      <c r="DE1147" s="318"/>
      <c r="DF1147" s="318"/>
      <c r="DG1147" s="318"/>
      <c r="DH1147" s="318"/>
      <c r="DI1147" s="318"/>
      <c r="DJ1147" s="318"/>
      <c r="DK1147" s="318"/>
      <c r="DL1147" s="318"/>
      <c r="DM1147" s="318"/>
      <c r="DN1147" s="318"/>
      <c r="DO1147" s="318"/>
      <c r="DP1147" s="318"/>
      <c r="DQ1147" s="318"/>
      <c r="DR1147" s="318"/>
      <c r="DS1147" s="318"/>
      <c r="DT1147" s="318"/>
      <c r="DU1147" s="318"/>
      <c r="DV1147" s="318"/>
      <c r="DW1147" s="318"/>
      <c r="DX1147" s="318"/>
      <c r="DY1147" s="318"/>
      <c r="DZ1147" s="318"/>
      <c r="EA1147" s="318"/>
      <c r="EB1147" s="318"/>
      <c r="EC1147" s="318"/>
      <c r="ED1147" s="318"/>
      <c r="EE1147" s="318"/>
      <c r="EF1147" s="318"/>
      <c r="EG1147" s="318"/>
      <c r="EH1147" s="318"/>
      <c r="EI1147" s="318"/>
      <c r="EJ1147" s="318"/>
      <c r="EK1147" s="318"/>
      <c r="EL1147" s="318"/>
      <c r="EM1147" s="318"/>
      <c r="EN1147" s="318"/>
      <c r="EO1147" s="318"/>
      <c r="EP1147" s="318"/>
      <c r="EQ1147" s="318"/>
      <c r="ER1147" s="318"/>
      <c r="ES1147" s="318"/>
      <c r="ET1147" s="318"/>
      <c r="EU1147" s="318"/>
      <c r="EV1147" s="318"/>
      <c r="EW1147" s="318"/>
      <c r="EX1147" s="318"/>
      <c r="EY1147" s="318"/>
      <c r="EZ1147" s="318"/>
      <c r="FA1147" s="318"/>
      <c r="FB1147" s="318"/>
      <c r="FC1147" s="318"/>
      <c r="FD1147" s="318"/>
      <c r="FE1147" s="318"/>
      <c r="FF1147" s="318"/>
      <c r="FG1147" s="318"/>
      <c r="FH1147" s="318"/>
      <c r="FI1147" s="318"/>
      <c r="FJ1147" s="318"/>
      <c r="FK1147" s="318"/>
      <c r="FL1147" s="318"/>
      <c r="FM1147" s="318"/>
      <c r="FN1147" s="318"/>
      <c r="FO1147" s="318"/>
      <c r="FP1147" s="318"/>
      <c r="FQ1147" s="318"/>
      <c r="FR1147" s="318"/>
      <c r="FS1147" s="318"/>
      <c r="FT1147" s="318"/>
      <c r="FU1147" s="318"/>
      <c r="FV1147" s="318"/>
      <c r="FW1147" s="318"/>
      <c r="FX1147" s="318"/>
      <c r="FY1147" s="318"/>
      <c r="FZ1147" s="318"/>
      <c r="GA1147" s="318"/>
      <c r="GB1147" s="318"/>
      <c r="GC1147" s="318"/>
      <c r="GD1147" s="318"/>
      <c r="GE1147" s="318"/>
      <c r="GF1147" s="318"/>
      <c r="GG1147" s="318"/>
      <c r="GH1147" s="318"/>
      <c r="GI1147" s="318"/>
      <c r="GJ1147" s="318"/>
      <c r="GK1147" s="318"/>
      <c r="GL1147" s="318"/>
      <c r="GM1147" s="318"/>
      <c r="GN1147" s="318"/>
      <c r="GO1147" s="318"/>
      <c r="GP1147" s="318"/>
      <c r="GQ1147" s="318"/>
      <c r="GR1147" s="318"/>
      <c r="GS1147" s="232"/>
      <c r="GT1147" s="231"/>
      <c r="GU1147" s="231"/>
      <c r="GV1147" s="231"/>
      <c r="GW1147" s="231"/>
      <c r="GX1147" s="231"/>
      <c r="GY1147" s="231"/>
      <c r="GZ1147" s="231"/>
      <c r="HA1147" s="231"/>
      <c r="HB1147" s="231"/>
      <c r="HC1147" s="231"/>
      <c r="HD1147" s="231"/>
      <c r="HE1147" s="231"/>
      <c r="HF1147" s="231"/>
      <c r="HG1147" s="231"/>
      <c r="HH1147" s="231"/>
      <c r="HI1147" s="232"/>
    </row>
    <row r="1148" spans="82:217" ht="10.75" customHeight="1">
      <c r="CD1148" s="229"/>
      <c r="CE1148" s="231"/>
      <c r="CF1148" s="231"/>
      <c r="CG1148" s="231"/>
      <c r="CH1148" s="231"/>
      <c r="CI1148" s="231"/>
      <c r="CJ1148" s="231"/>
      <c r="CK1148" s="231"/>
      <c r="CL1148" s="231"/>
      <c r="CM1148" s="231"/>
      <c r="CN1148" s="231"/>
      <c r="CO1148" s="231"/>
      <c r="CP1148" s="231"/>
      <c r="CQ1148" s="231"/>
      <c r="CR1148" s="231"/>
      <c r="CS1148" s="231"/>
      <c r="CT1148" s="229"/>
      <c r="CU1148" s="318"/>
      <c r="CV1148" s="318"/>
      <c r="CW1148" s="318"/>
      <c r="CX1148" s="318"/>
      <c r="CY1148" s="318"/>
      <c r="CZ1148" s="318"/>
      <c r="DA1148" s="318"/>
      <c r="DB1148" s="318"/>
      <c r="DC1148" s="318"/>
      <c r="DD1148" s="318"/>
      <c r="DE1148" s="318"/>
      <c r="DF1148" s="318"/>
      <c r="DG1148" s="318"/>
      <c r="DH1148" s="318"/>
      <c r="DI1148" s="318"/>
      <c r="DJ1148" s="318"/>
      <c r="DK1148" s="318"/>
      <c r="DL1148" s="318"/>
      <c r="DM1148" s="318"/>
      <c r="DN1148" s="318"/>
      <c r="DO1148" s="318"/>
      <c r="DP1148" s="318"/>
      <c r="DQ1148" s="318"/>
      <c r="DR1148" s="318"/>
      <c r="DS1148" s="318"/>
      <c r="DT1148" s="318"/>
      <c r="DU1148" s="318"/>
      <c r="DV1148" s="318"/>
      <c r="DW1148" s="318"/>
      <c r="DX1148" s="318"/>
      <c r="DY1148" s="318"/>
      <c r="DZ1148" s="318"/>
      <c r="EA1148" s="318"/>
      <c r="EB1148" s="318"/>
      <c r="EC1148" s="318"/>
      <c r="ED1148" s="318"/>
      <c r="EE1148" s="318"/>
      <c r="EF1148" s="318"/>
      <c r="EG1148" s="318"/>
      <c r="EH1148" s="318"/>
      <c r="EI1148" s="318"/>
      <c r="EJ1148" s="318"/>
      <c r="EK1148" s="318"/>
      <c r="EL1148" s="318"/>
      <c r="EM1148" s="318"/>
      <c r="EN1148" s="318"/>
      <c r="EO1148" s="318"/>
      <c r="EP1148" s="318"/>
      <c r="EQ1148" s="318"/>
      <c r="ER1148" s="318"/>
      <c r="ES1148" s="318"/>
      <c r="ET1148" s="318"/>
      <c r="EU1148" s="318"/>
      <c r="EV1148" s="318"/>
      <c r="EW1148" s="318"/>
      <c r="EX1148" s="318"/>
      <c r="EY1148" s="318"/>
      <c r="EZ1148" s="318"/>
      <c r="FA1148" s="318"/>
      <c r="FB1148" s="318"/>
      <c r="FC1148" s="318"/>
      <c r="FD1148" s="318"/>
      <c r="FE1148" s="318"/>
      <c r="FF1148" s="318"/>
      <c r="FG1148" s="318"/>
      <c r="FH1148" s="318"/>
      <c r="FI1148" s="318"/>
      <c r="FJ1148" s="318"/>
      <c r="FK1148" s="318"/>
      <c r="FL1148" s="318"/>
      <c r="FM1148" s="318"/>
      <c r="FN1148" s="318"/>
      <c r="FO1148" s="318"/>
      <c r="FP1148" s="318"/>
      <c r="FQ1148" s="318"/>
      <c r="FR1148" s="318"/>
      <c r="FS1148" s="318"/>
      <c r="FT1148" s="318"/>
      <c r="FU1148" s="318"/>
      <c r="FV1148" s="318"/>
      <c r="FW1148" s="318"/>
      <c r="FX1148" s="318"/>
      <c r="FY1148" s="318"/>
      <c r="FZ1148" s="318"/>
      <c r="GA1148" s="318"/>
      <c r="GB1148" s="318"/>
      <c r="GC1148" s="318"/>
      <c r="GD1148" s="318"/>
      <c r="GE1148" s="318"/>
      <c r="GF1148" s="318"/>
      <c r="GG1148" s="318"/>
      <c r="GH1148" s="318"/>
      <c r="GI1148" s="318"/>
      <c r="GJ1148" s="318"/>
      <c r="GK1148" s="318"/>
      <c r="GL1148" s="318"/>
      <c r="GM1148" s="318"/>
      <c r="GN1148" s="318"/>
      <c r="GO1148" s="318"/>
      <c r="GP1148" s="318"/>
      <c r="GQ1148" s="318"/>
      <c r="GR1148" s="318"/>
      <c r="GS1148" s="232"/>
      <c r="GT1148" s="231"/>
      <c r="GU1148" s="231"/>
      <c r="GV1148" s="231"/>
      <c r="GW1148" s="231"/>
      <c r="GX1148" s="231"/>
      <c r="GY1148" s="231"/>
      <c r="GZ1148" s="231"/>
      <c r="HA1148" s="231"/>
      <c r="HB1148" s="231"/>
      <c r="HC1148" s="231"/>
      <c r="HD1148" s="231"/>
      <c r="HE1148" s="231"/>
      <c r="HF1148" s="231"/>
      <c r="HG1148" s="231"/>
      <c r="HH1148" s="231"/>
      <c r="HI1148" s="232"/>
    </row>
    <row r="1149" spans="82:217" ht="10.75" customHeight="1">
      <c r="CD1149" s="229"/>
      <c r="CE1149" s="231"/>
      <c r="CF1149" s="231"/>
      <c r="CG1149" s="231"/>
      <c r="CH1149" s="231"/>
      <c r="CI1149" s="231"/>
      <c r="CJ1149" s="231"/>
      <c r="CK1149" s="231"/>
      <c r="CL1149" s="231"/>
      <c r="CM1149" s="231"/>
      <c r="CN1149" s="231"/>
      <c r="CO1149" s="231"/>
      <c r="CP1149" s="231"/>
      <c r="CQ1149" s="231"/>
      <c r="CR1149" s="231"/>
      <c r="CS1149" s="231"/>
      <c r="CT1149" s="229"/>
      <c r="CU1149" s="318"/>
      <c r="CV1149" s="318"/>
      <c r="CW1149" s="318"/>
      <c r="CX1149" s="318"/>
      <c r="CY1149" s="318"/>
      <c r="CZ1149" s="318"/>
      <c r="DA1149" s="318"/>
      <c r="DB1149" s="318"/>
      <c r="DC1149" s="318"/>
      <c r="DD1149" s="318"/>
      <c r="DE1149" s="318"/>
      <c r="DF1149" s="318"/>
      <c r="DG1149" s="318"/>
      <c r="DH1149" s="318"/>
      <c r="DI1149" s="318"/>
      <c r="DJ1149" s="318"/>
      <c r="DK1149" s="318"/>
      <c r="DL1149" s="318"/>
      <c r="DM1149" s="318"/>
      <c r="DN1149" s="318"/>
      <c r="DO1149" s="318"/>
      <c r="DP1149" s="318"/>
      <c r="DQ1149" s="318"/>
      <c r="DR1149" s="318"/>
      <c r="DS1149" s="318"/>
      <c r="DT1149" s="318"/>
      <c r="DU1149" s="318"/>
      <c r="DV1149" s="318"/>
      <c r="DW1149" s="318"/>
      <c r="DX1149" s="318"/>
      <c r="DY1149" s="318"/>
      <c r="DZ1149" s="318"/>
      <c r="EA1149" s="318"/>
      <c r="EB1149" s="318"/>
      <c r="EC1149" s="318"/>
      <c r="ED1149" s="318"/>
      <c r="EE1149" s="318"/>
      <c r="EF1149" s="318"/>
      <c r="EG1149" s="318"/>
      <c r="EH1149" s="318"/>
      <c r="EI1149" s="318"/>
      <c r="EJ1149" s="318"/>
      <c r="EK1149" s="318"/>
      <c r="EL1149" s="318"/>
      <c r="EM1149" s="318"/>
      <c r="EN1149" s="318"/>
      <c r="EO1149" s="318"/>
      <c r="EP1149" s="318"/>
      <c r="EQ1149" s="318"/>
      <c r="ER1149" s="318"/>
      <c r="ES1149" s="318"/>
      <c r="ET1149" s="318"/>
      <c r="EU1149" s="318"/>
      <c r="EV1149" s="318"/>
      <c r="EW1149" s="318"/>
      <c r="EX1149" s="318"/>
      <c r="EY1149" s="318"/>
      <c r="EZ1149" s="318"/>
      <c r="FA1149" s="318"/>
      <c r="FB1149" s="318"/>
      <c r="FC1149" s="318"/>
      <c r="FD1149" s="318"/>
      <c r="FE1149" s="318"/>
      <c r="FF1149" s="318"/>
      <c r="FG1149" s="318"/>
      <c r="FH1149" s="318"/>
      <c r="FI1149" s="318"/>
      <c r="FJ1149" s="318"/>
      <c r="FK1149" s="318"/>
      <c r="FL1149" s="318"/>
      <c r="FM1149" s="318"/>
      <c r="FN1149" s="318"/>
      <c r="FO1149" s="318"/>
      <c r="FP1149" s="318"/>
      <c r="FQ1149" s="318"/>
      <c r="FR1149" s="318"/>
      <c r="FS1149" s="318"/>
      <c r="FT1149" s="318"/>
      <c r="FU1149" s="318"/>
      <c r="FV1149" s="318"/>
      <c r="FW1149" s="318"/>
      <c r="FX1149" s="318"/>
      <c r="FY1149" s="318"/>
      <c r="FZ1149" s="318"/>
      <c r="GA1149" s="318"/>
      <c r="GB1149" s="318"/>
      <c r="GC1149" s="318"/>
      <c r="GD1149" s="318"/>
      <c r="GE1149" s="318"/>
      <c r="GF1149" s="318"/>
      <c r="GG1149" s="318"/>
      <c r="GH1149" s="318"/>
      <c r="GI1149" s="318"/>
      <c r="GJ1149" s="318"/>
      <c r="GK1149" s="318"/>
      <c r="GL1149" s="318"/>
      <c r="GM1149" s="318"/>
      <c r="GN1149" s="318"/>
      <c r="GO1149" s="318"/>
      <c r="GP1149" s="318"/>
      <c r="GQ1149" s="318"/>
      <c r="GR1149" s="318"/>
      <c r="GS1149" s="232"/>
      <c r="GT1149" s="231"/>
      <c r="GU1149" s="231"/>
      <c r="GV1149" s="231"/>
      <c r="GW1149" s="231"/>
      <c r="GX1149" s="231"/>
      <c r="GY1149" s="231"/>
      <c r="GZ1149" s="231"/>
      <c r="HA1149" s="231"/>
      <c r="HB1149" s="231"/>
      <c r="HC1149" s="231"/>
      <c r="HD1149" s="231"/>
      <c r="HE1149" s="231"/>
      <c r="HF1149" s="231"/>
      <c r="HG1149" s="231"/>
      <c r="HH1149" s="231"/>
      <c r="HI1149" s="232"/>
    </row>
    <row r="1150" spans="82:217" ht="10.75" customHeight="1">
      <c r="CD1150" s="229"/>
      <c r="CE1150" s="231"/>
      <c r="CF1150" s="231"/>
      <c r="CG1150" s="231"/>
      <c r="CH1150" s="231"/>
      <c r="CI1150" s="231"/>
      <c r="CJ1150" s="231"/>
      <c r="CK1150" s="231"/>
      <c r="CL1150" s="231"/>
      <c r="CM1150" s="231"/>
      <c r="CN1150" s="231"/>
      <c r="CO1150" s="231"/>
      <c r="CP1150" s="231"/>
      <c r="CQ1150" s="231"/>
      <c r="CR1150" s="231"/>
      <c r="CS1150" s="231"/>
      <c r="CT1150" s="229"/>
      <c r="CU1150" s="318"/>
      <c r="CV1150" s="318"/>
      <c r="CW1150" s="318"/>
      <c r="CX1150" s="318"/>
      <c r="CY1150" s="318"/>
      <c r="CZ1150" s="318"/>
      <c r="DA1150" s="318"/>
      <c r="DB1150" s="318"/>
      <c r="DC1150" s="318"/>
      <c r="DD1150" s="318"/>
      <c r="DE1150" s="318"/>
      <c r="DF1150" s="318"/>
      <c r="DG1150" s="318"/>
      <c r="DH1150" s="318"/>
      <c r="DI1150" s="318"/>
      <c r="DJ1150" s="318"/>
      <c r="DK1150" s="318"/>
      <c r="DL1150" s="318"/>
      <c r="DM1150" s="318"/>
      <c r="DN1150" s="318"/>
      <c r="DO1150" s="318"/>
      <c r="DP1150" s="318"/>
      <c r="DQ1150" s="318"/>
      <c r="DR1150" s="318"/>
      <c r="DS1150" s="318"/>
      <c r="DT1150" s="318"/>
      <c r="DU1150" s="318"/>
      <c r="DV1150" s="318"/>
      <c r="DW1150" s="318"/>
      <c r="DX1150" s="318"/>
      <c r="DY1150" s="318"/>
      <c r="DZ1150" s="318"/>
      <c r="EA1150" s="318"/>
      <c r="EB1150" s="318"/>
      <c r="EC1150" s="318"/>
      <c r="ED1150" s="318"/>
      <c r="EE1150" s="318"/>
      <c r="EF1150" s="318"/>
      <c r="EG1150" s="318"/>
      <c r="EH1150" s="318"/>
      <c r="EI1150" s="318"/>
      <c r="EJ1150" s="318"/>
      <c r="EK1150" s="318"/>
      <c r="EL1150" s="318"/>
      <c r="EM1150" s="318"/>
      <c r="EN1150" s="318"/>
      <c r="EO1150" s="318"/>
      <c r="EP1150" s="318"/>
      <c r="EQ1150" s="318"/>
      <c r="ER1150" s="318"/>
      <c r="ES1150" s="318"/>
      <c r="ET1150" s="318"/>
      <c r="EU1150" s="318"/>
      <c r="EV1150" s="318"/>
      <c r="EW1150" s="318"/>
      <c r="EX1150" s="318"/>
      <c r="EY1150" s="318"/>
      <c r="EZ1150" s="318"/>
      <c r="FA1150" s="318"/>
      <c r="FB1150" s="318"/>
      <c r="FC1150" s="318"/>
      <c r="FD1150" s="318"/>
      <c r="FE1150" s="318"/>
      <c r="FF1150" s="318"/>
      <c r="FG1150" s="318"/>
      <c r="FH1150" s="318"/>
      <c r="FI1150" s="318"/>
      <c r="FJ1150" s="318"/>
      <c r="FK1150" s="318"/>
      <c r="FL1150" s="318"/>
      <c r="FM1150" s="318"/>
      <c r="FN1150" s="318"/>
      <c r="FO1150" s="318"/>
      <c r="FP1150" s="318"/>
      <c r="FQ1150" s="318"/>
      <c r="FR1150" s="318"/>
      <c r="FS1150" s="318"/>
      <c r="FT1150" s="318"/>
      <c r="FU1150" s="318"/>
      <c r="FV1150" s="318"/>
      <c r="FW1150" s="318"/>
      <c r="FX1150" s="318"/>
      <c r="FY1150" s="318"/>
      <c r="FZ1150" s="318"/>
      <c r="GA1150" s="318"/>
      <c r="GB1150" s="318"/>
      <c r="GC1150" s="318"/>
      <c r="GD1150" s="318"/>
      <c r="GE1150" s="318"/>
      <c r="GF1150" s="318"/>
      <c r="GG1150" s="318"/>
      <c r="GH1150" s="318"/>
      <c r="GI1150" s="318"/>
      <c r="GJ1150" s="318"/>
      <c r="GK1150" s="318"/>
      <c r="GL1150" s="318"/>
      <c r="GM1150" s="318"/>
      <c r="GN1150" s="318"/>
      <c r="GO1150" s="318"/>
      <c r="GP1150" s="318"/>
      <c r="GQ1150" s="318"/>
      <c r="GR1150" s="318"/>
      <c r="GS1150" s="232"/>
      <c r="GT1150" s="231"/>
      <c r="GU1150" s="231"/>
      <c r="GV1150" s="231"/>
      <c r="GW1150" s="231"/>
      <c r="GX1150" s="231"/>
      <c r="GY1150" s="231"/>
      <c r="GZ1150" s="231"/>
      <c r="HA1150" s="231"/>
      <c r="HB1150" s="231"/>
      <c r="HC1150" s="231"/>
      <c r="HD1150" s="231"/>
      <c r="HE1150" s="231"/>
      <c r="HF1150" s="231"/>
      <c r="HG1150" s="231"/>
      <c r="HH1150" s="231"/>
      <c r="HI1150" s="232"/>
    </row>
    <row r="1151" spans="82:217" ht="10.75" customHeight="1">
      <c r="CD1151" s="229"/>
      <c r="CE1151" s="231"/>
      <c r="CF1151" s="231"/>
      <c r="CG1151" s="231"/>
      <c r="CH1151" s="231"/>
      <c r="CI1151" s="231"/>
      <c r="CJ1151" s="231"/>
      <c r="CK1151" s="231"/>
      <c r="CL1151" s="231"/>
      <c r="CM1151" s="231"/>
      <c r="CN1151" s="231"/>
      <c r="CO1151" s="231"/>
      <c r="CP1151" s="231"/>
      <c r="CQ1151" s="231"/>
      <c r="CR1151" s="231"/>
      <c r="CS1151" s="231"/>
      <c r="CT1151" s="229"/>
      <c r="CU1151" s="318"/>
      <c r="CV1151" s="318"/>
      <c r="CW1151" s="318"/>
      <c r="CX1151" s="318"/>
      <c r="CY1151" s="318"/>
      <c r="CZ1151" s="318"/>
      <c r="DA1151" s="318"/>
      <c r="DB1151" s="318"/>
      <c r="DC1151" s="318"/>
      <c r="DD1151" s="318"/>
      <c r="DE1151" s="318"/>
      <c r="DF1151" s="318"/>
      <c r="DG1151" s="318"/>
      <c r="DH1151" s="318"/>
      <c r="DI1151" s="318"/>
      <c r="DJ1151" s="318"/>
      <c r="DK1151" s="318"/>
      <c r="DL1151" s="318"/>
      <c r="DM1151" s="318"/>
      <c r="DN1151" s="318"/>
      <c r="DO1151" s="318"/>
      <c r="DP1151" s="318"/>
      <c r="DQ1151" s="318"/>
      <c r="DR1151" s="318"/>
      <c r="DS1151" s="318"/>
      <c r="DT1151" s="318"/>
      <c r="DU1151" s="318"/>
      <c r="DV1151" s="318"/>
      <c r="DW1151" s="318"/>
      <c r="DX1151" s="318"/>
      <c r="DY1151" s="318"/>
      <c r="DZ1151" s="318"/>
      <c r="EA1151" s="318"/>
      <c r="EB1151" s="318"/>
      <c r="EC1151" s="318"/>
      <c r="ED1151" s="318"/>
      <c r="EE1151" s="318"/>
      <c r="EF1151" s="318"/>
      <c r="EG1151" s="318"/>
      <c r="EH1151" s="318"/>
      <c r="EI1151" s="318"/>
      <c r="EJ1151" s="318"/>
      <c r="EK1151" s="318"/>
      <c r="EL1151" s="318"/>
      <c r="EM1151" s="318"/>
      <c r="EN1151" s="318"/>
      <c r="EO1151" s="318"/>
      <c r="EP1151" s="318"/>
      <c r="EQ1151" s="318"/>
      <c r="ER1151" s="318"/>
      <c r="ES1151" s="318"/>
      <c r="ET1151" s="318"/>
      <c r="EU1151" s="318"/>
      <c r="EV1151" s="318"/>
      <c r="EW1151" s="318"/>
      <c r="EX1151" s="318"/>
      <c r="EY1151" s="318"/>
      <c r="EZ1151" s="318"/>
      <c r="FA1151" s="318"/>
      <c r="FB1151" s="318"/>
      <c r="FC1151" s="318"/>
      <c r="FD1151" s="318"/>
      <c r="FE1151" s="318"/>
      <c r="FF1151" s="318"/>
      <c r="FG1151" s="318"/>
      <c r="FH1151" s="318"/>
      <c r="FI1151" s="318"/>
      <c r="FJ1151" s="318"/>
      <c r="FK1151" s="318"/>
      <c r="FL1151" s="318"/>
      <c r="FM1151" s="318"/>
      <c r="FN1151" s="318"/>
      <c r="FO1151" s="318"/>
      <c r="FP1151" s="318"/>
      <c r="FQ1151" s="318"/>
      <c r="FR1151" s="318"/>
      <c r="FS1151" s="318"/>
      <c r="FT1151" s="318"/>
      <c r="FU1151" s="318"/>
      <c r="FV1151" s="318"/>
      <c r="FW1151" s="318"/>
      <c r="FX1151" s="318"/>
      <c r="FY1151" s="318"/>
      <c r="FZ1151" s="318"/>
      <c r="GA1151" s="318"/>
      <c r="GB1151" s="318"/>
      <c r="GC1151" s="318"/>
      <c r="GD1151" s="318"/>
      <c r="GE1151" s="318"/>
      <c r="GF1151" s="318"/>
      <c r="GG1151" s="318"/>
      <c r="GH1151" s="318"/>
      <c r="GI1151" s="318"/>
      <c r="GJ1151" s="318"/>
      <c r="GK1151" s="318"/>
      <c r="GL1151" s="318"/>
      <c r="GM1151" s="318"/>
      <c r="GN1151" s="318"/>
      <c r="GO1151" s="318"/>
      <c r="GP1151" s="318"/>
      <c r="GQ1151" s="318"/>
      <c r="GR1151" s="318"/>
      <c r="GS1151" s="232"/>
      <c r="GT1151" s="231"/>
      <c r="GU1151" s="231"/>
      <c r="GV1151" s="231"/>
      <c r="GW1151" s="231"/>
      <c r="GX1151" s="231"/>
      <c r="GY1151" s="231"/>
      <c r="GZ1151" s="231"/>
      <c r="HA1151" s="231"/>
      <c r="HB1151" s="231"/>
      <c r="HC1151" s="231"/>
      <c r="HD1151" s="231"/>
      <c r="HE1151" s="231"/>
      <c r="HF1151" s="231"/>
      <c r="HG1151" s="231"/>
      <c r="HH1151" s="231"/>
      <c r="HI1151" s="232"/>
    </row>
    <row r="1152" spans="82:217" ht="10.75" customHeight="1">
      <c r="CD1152" s="229"/>
      <c r="CE1152" s="231"/>
      <c r="CF1152" s="231"/>
      <c r="CG1152" s="231"/>
      <c r="CH1152" s="231"/>
      <c r="CI1152" s="231"/>
      <c r="CJ1152" s="231"/>
      <c r="CK1152" s="231"/>
      <c r="CL1152" s="231"/>
      <c r="CM1152" s="231"/>
      <c r="CN1152" s="231"/>
      <c r="CO1152" s="231"/>
      <c r="CP1152" s="231"/>
      <c r="CQ1152" s="231"/>
      <c r="CR1152" s="231"/>
      <c r="CS1152" s="231"/>
      <c r="CT1152" s="229"/>
      <c r="CU1152" s="318"/>
      <c r="CV1152" s="318"/>
      <c r="CW1152" s="318"/>
      <c r="CX1152" s="318"/>
      <c r="CY1152" s="318"/>
      <c r="CZ1152" s="318"/>
      <c r="DA1152" s="318"/>
      <c r="DB1152" s="318"/>
      <c r="DC1152" s="318"/>
      <c r="DD1152" s="318"/>
      <c r="DE1152" s="318"/>
      <c r="DF1152" s="318"/>
      <c r="DG1152" s="318"/>
      <c r="DH1152" s="318"/>
      <c r="DI1152" s="318"/>
      <c r="DJ1152" s="318"/>
      <c r="DK1152" s="318"/>
      <c r="DL1152" s="318"/>
      <c r="DM1152" s="318"/>
      <c r="DN1152" s="318"/>
      <c r="DO1152" s="318"/>
      <c r="DP1152" s="318"/>
      <c r="DQ1152" s="318"/>
      <c r="DR1152" s="318"/>
      <c r="DS1152" s="318"/>
      <c r="DT1152" s="318"/>
      <c r="DU1152" s="318"/>
      <c r="DV1152" s="318"/>
      <c r="DW1152" s="318"/>
      <c r="DX1152" s="318"/>
      <c r="DY1152" s="318"/>
      <c r="DZ1152" s="318"/>
      <c r="EA1152" s="318"/>
      <c r="EB1152" s="318"/>
      <c r="EC1152" s="318"/>
      <c r="ED1152" s="318"/>
      <c r="EE1152" s="318"/>
      <c r="EF1152" s="318"/>
      <c r="EG1152" s="318"/>
      <c r="EH1152" s="318"/>
      <c r="EI1152" s="318"/>
      <c r="EJ1152" s="318"/>
      <c r="EK1152" s="318"/>
      <c r="EL1152" s="318"/>
      <c r="EM1152" s="318"/>
      <c r="EN1152" s="318"/>
      <c r="EO1152" s="318"/>
      <c r="EP1152" s="318"/>
      <c r="EQ1152" s="318"/>
      <c r="ER1152" s="318"/>
      <c r="ES1152" s="318"/>
      <c r="ET1152" s="318"/>
      <c r="EU1152" s="318"/>
      <c r="EV1152" s="318"/>
      <c r="EW1152" s="318"/>
      <c r="EX1152" s="318"/>
      <c r="EY1152" s="318"/>
      <c r="EZ1152" s="318"/>
      <c r="FA1152" s="318"/>
      <c r="FB1152" s="318"/>
      <c r="FC1152" s="318"/>
      <c r="FD1152" s="318"/>
      <c r="FE1152" s="318"/>
      <c r="FF1152" s="318"/>
      <c r="FG1152" s="318"/>
      <c r="FH1152" s="318"/>
      <c r="FI1152" s="318"/>
      <c r="FJ1152" s="318"/>
      <c r="FK1152" s="318"/>
      <c r="FL1152" s="318"/>
      <c r="FM1152" s="318"/>
      <c r="FN1152" s="318"/>
      <c r="FO1152" s="318"/>
      <c r="FP1152" s="318"/>
      <c r="FQ1152" s="318"/>
      <c r="FR1152" s="318"/>
      <c r="FS1152" s="318"/>
      <c r="FT1152" s="318"/>
      <c r="FU1152" s="318"/>
      <c r="FV1152" s="318"/>
      <c r="FW1152" s="318"/>
      <c r="FX1152" s="318"/>
      <c r="FY1152" s="318"/>
      <c r="FZ1152" s="318"/>
      <c r="GA1152" s="318"/>
      <c r="GB1152" s="318"/>
      <c r="GC1152" s="318"/>
      <c r="GD1152" s="318"/>
      <c r="GE1152" s="318"/>
      <c r="GF1152" s="318"/>
      <c r="GG1152" s="318"/>
      <c r="GH1152" s="318"/>
      <c r="GI1152" s="318"/>
      <c r="GJ1152" s="318"/>
      <c r="GK1152" s="318"/>
      <c r="GL1152" s="318"/>
      <c r="GM1152" s="318"/>
      <c r="GN1152" s="318"/>
      <c r="GO1152" s="318"/>
      <c r="GP1152" s="318"/>
      <c r="GQ1152" s="318"/>
      <c r="GR1152" s="318"/>
      <c r="GS1152" s="232"/>
      <c r="GT1152" s="231"/>
      <c r="GU1152" s="231"/>
      <c r="GV1152" s="231"/>
      <c r="GW1152" s="231"/>
      <c r="GX1152" s="231"/>
      <c r="GY1152" s="231"/>
      <c r="GZ1152" s="231"/>
      <c r="HA1152" s="231"/>
      <c r="HB1152" s="231"/>
      <c r="HC1152" s="231"/>
      <c r="HD1152" s="231"/>
      <c r="HE1152" s="231"/>
      <c r="HF1152" s="231"/>
      <c r="HG1152" s="231"/>
      <c r="HH1152" s="231"/>
      <c r="HI1152" s="232"/>
    </row>
    <row r="1153" spans="82:217" ht="10.75" customHeight="1">
      <c r="CD1153" s="229"/>
      <c r="CE1153" s="231"/>
      <c r="CF1153" s="231"/>
      <c r="CG1153" s="231"/>
      <c r="CH1153" s="231"/>
      <c r="CI1153" s="231"/>
      <c r="CJ1153" s="231"/>
      <c r="CK1153" s="231"/>
      <c r="CL1153" s="231"/>
      <c r="CM1153" s="231"/>
      <c r="CN1153" s="231"/>
      <c r="CO1153" s="231"/>
      <c r="CP1153" s="231"/>
      <c r="CQ1153" s="231"/>
      <c r="CR1153" s="231"/>
      <c r="CS1153" s="231"/>
      <c r="CT1153" s="229"/>
      <c r="CU1153" s="318"/>
      <c r="CV1153" s="318"/>
      <c r="CW1153" s="318"/>
      <c r="CX1153" s="318"/>
      <c r="CY1153" s="318"/>
      <c r="CZ1153" s="318"/>
      <c r="DA1153" s="318"/>
      <c r="DB1153" s="318"/>
      <c r="DC1153" s="318"/>
      <c r="DD1153" s="318"/>
      <c r="DE1153" s="318"/>
      <c r="DF1153" s="318"/>
      <c r="DG1153" s="318"/>
      <c r="DH1153" s="318"/>
      <c r="DI1153" s="318"/>
      <c r="DJ1153" s="318"/>
      <c r="DK1153" s="318"/>
      <c r="DL1153" s="318"/>
      <c r="DM1153" s="318"/>
      <c r="DN1153" s="318"/>
      <c r="DO1153" s="318"/>
      <c r="DP1153" s="318"/>
      <c r="DQ1153" s="318"/>
      <c r="DR1153" s="318"/>
      <c r="DS1153" s="318"/>
      <c r="DT1153" s="318"/>
      <c r="DU1153" s="318"/>
      <c r="DV1153" s="318"/>
      <c r="DW1153" s="318"/>
      <c r="DX1153" s="318"/>
      <c r="DY1153" s="318"/>
      <c r="DZ1153" s="318"/>
      <c r="EA1153" s="318"/>
      <c r="EB1153" s="318"/>
      <c r="EC1153" s="318"/>
      <c r="ED1153" s="318"/>
      <c r="EE1153" s="318"/>
      <c r="EF1153" s="318"/>
      <c r="EG1153" s="318"/>
      <c r="EH1153" s="318"/>
      <c r="EI1153" s="318"/>
      <c r="EJ1153" s="318"/>
      <c r="EK1153" s="318"/>
      <c r="EL1153" s="318"/>
      <c r="EM1153" s="318"/>
      <c r="EN1153" s="318"/>
      <c r="EO1153" s="318"/>
      <c r="EP1153" s="318"/>
      <c r="EQ1153" s="318"/>
      <c r="ER1153" s="318"/>
      <c r="ES1153" s="318"/>
      <c r="ET1153" s="318"/>
      <c r="EU1153" s="318"/>
      <c r="EV1153" s="318"/>
      <c r="EW1153" s="318"/>
      <c r="EX1153" s="318"/>
      <c r="EY1153" s="318"/>
      <c r="EZ1153" s="318"/>
      <c r="FA1153" s="318"/>
      <c r="FB1153" s="318"/>
      <c r="FC1153" s="318"/>
      <c r="FD1153" s="318"/>
      <c r="FE1153" s="318"/>
      <c r="FF1153" s="318"/>
      <c r="FG1153" s="318"/>
      <c r="FH1153" s="318"/>
      <c r="FI1153" s="318"/>
      <c r="FJ1153" s="318"/>
      <c r="FK1153" s="318"/>
      <c r="FL1153" s="318"/>
      <c r="FM1153" s="318"/>
      <c r="FN1153" s="318"/>
      <c r="FO1153" s="318"/>
      <c r="FP1153" s="318"/>
      <c r="FQ1153" s="318"/>
      <c r="FR1153" s="318"/>
      <c r="FS1153" s="318"/>
      <c r="FT1153" s="318"/>
      <c r="FU1153" s="318"/>
      <c r="FV1153" s="318"/>
      <c r="FW1153" s="318"/>
      <c r="FX1153" s="318"/>
      <c r="FY1153" s="318"/>
      <c r="FZ1153" s="318"/>
      <c r="GA1153" s="318"/>
      <c r="GB1153" s="318"/>
      <c r="GC1153" s="318"/>
      <c r="GD1153" s="318"/>
      <c r="GE1153" s="318"/>
      <c r="GF1153" s="318"/>
      <c r="GG1153" s="318"/>
      <c r="GH1153" s="318"/>
      <c r="GI1153" s="318"/>
      <c r="GJ1153" s="318"/>
      <c r="GK1153" s="318"/>
      <c r="GL1153" s="318"/>
      <c r="GM1153" s="318"/>
      <c r="GN1153" s="318"/>
      <c r="GO1153" s="318"/>
      <c r="GP1153" s="318"/>
      <c r="GQ1153" s="318"/>
      <c r="GR1153" s="318"/>
      <c r="GS1153" s="232"/>
      <c r="GT1153" s="231"/>
      <c r="GU1153" s="231"/>
      <c r="GV1153" s="231"/>
      <c r="GW1153" s="231"/>
      <c r="GX1153" s="231"/>
      <c r="GY1153" s="231"/>
      <c r="GZ1153" s="231"/>
      <c r="HA1153" s="231"/>
      <c r="HB1153" s="231"/>
      <c r="HC1153" s="231"/>
      <c r="HD1153" s="231"/>
      <c r="HE1153" s="231"/>
      <c r="HF1153" s="231"/>
      <c r="HG1153" s="231"/>
      <c r="HH1153" s="231"/>
      <c r="HI1153" s="232"/>
    </row>
    <row r="1154" spans="82:217" ht="10.75" customHeight="1">
      <c r="CD1154" s="229"/>
      <c r="CE1154" s="231"/>
      <c r="CF1154" s="231"/>
      <c r="CG1154" s="231"/>
      <c r="CH1154" s="231"/>
      <c r="CI1154" s="231"/>
      <c r="CJ1154" s="231"/>
      <c r="CK1154" s="231"/>
      <c r="CL1154" s="231"/>
      <c r="CM1154" s="231"/>
      <c r="CN1154" s="231"/>
      <c r="CO1154" s="231"/>
      <c r="CP1154" s="231"/>
      <c r="CQ1154" s="231"/>
      <c r="CR1154" s="231"/>
      <c r="CS1154" s="231"/>
      <c r="CT1154" s="229"/>
      <c r="CU1154" s="318"/>
      <c r="CV1154" s="318"/>
      <c r="CW1154" s="318"/>
      <c r="CX1154" s="318"/>
      <c r="CY1154" s="318"/>
      <c r="CZ1154" s="318"/>
      <c r="DA1154" s="318"/>
      <c r="DB1154" s="318"/>
      <c r="DC1154" s="318"/>
      <c r="DD1154" s="318"/>
      <c r="DE1154" s="318"/>
      <c r="DF1154" s="318"/>
      <c r="DG1154" s="318"/>
      <c r="DH1154" s="318"/>
      <c r="DI1154" s="318"/>
      <c r="DJ1154" s="318"/>
      <c r="DK1154" s="318"/>
      <c r="DL1154" s="318"/>
      <c r="DM1154" s="318"/>
      <c r="DN1154" s="318"/>
      <c r="DO1154" s="318"/>
      <c r="DP1154" s="318"/>
      <c r="DQ1154" s="318"/>
      <c r="DR1154" s="318"/>
      <c r="DS1154" s="318"/>
      <c r="DT1154" s="318"/>
      <c r="DU1154" s="318"/>
      <c r="DV1154" s="318"/>
      <c r="DW1154" s="318"/>
      <c r="DX1154" s="318"/>
      <c r="DY1154" s="318"/>
      <c r="DZ1154" s="318"/>
      <c r="EA1154" s="318"/>
      <c r="EB1154" s="318"/>
      <c r="EC1154" s="318"/>
      <c r="ED1154" s="318"/>
      <c r="EE1154" s="318"/>
      <c r="EF1154" s="318"/>
      <c r="EG1154" s="318"/>
      <c r="EH1154" s="318"/>
      <c r="EI1154" s="318"/>
      <c r="EJ1154" s="318"/>
      <c r="EK1154" s="318"/>
      <c r="EL1154" s="318"/>
      <c r="EM1154" s="318"/>
      <c r="EN1154" s="318"/>
      <c r="EO1154" s="318"/>
      <c r="EP1154" s="318"/>
      <c r="EQ1154" s="318"/>
      <c r="ER1154" s="318"/>
      <c r="ES1154" s="318"/>
      <c r="ET1154" s="318"/>
      <c r="EU1154" s="318"/>
      <c r="EV1154" s="318"/>
      <c r="EW1154" s="318"/>
      <c r="EX1154" s="318"/>
      <c r="EY1154" s="318"/>
      <c r="EZ1154" s="318"/>
      <c r="FA1154" s="318"/>
      <c r="FB1154" s="318"/>
      <c r="FC1154" s="318"/>
      <c r="FD1154" s="318"/>
      <c r="FE1154" s="318"/>
      <c r="FF1154" s="318"/>
      <c r="FG1154" s="318"/>
      <c r="FH1154" s="318"/>
      <c r="FI1154" s="318"/>
      <c r="FJ1154" s="318"/>
      <c r="FK1154" s="318"/>
      <c r="FL1154" s="318"/>
      <c r="FM1154" s="318"/>
      <c r="FN1154" s="318"/>
      <c r="FO1154" s="318"/>
      <c r="FP1154" s="318"/>
      <c r="FQ1154" s="318"/>
      <c r="FR1154" s="318"/>
      <c r="FS1154" s="318"/>
      <c r="FT1154" s="318"/>
      <c r="FU1154" s="318"/>
      <c r="FV1154" s="318"/>
      <c r="FW1154" s="318"/>
      <c r="FX1154" s="318"/>
      <c r="FY1154" s="318"/>
      <c r="FZ1154" s="318"/>
      <c r="GA1154" s="318"/>
      <c r="GB1154" s="318"/>
      <c r="GC1154" s="318"/>
      <c r="GD1154" s="318"/>
      <c r="GE1154" s="318"/>
      <c r="GF1154" s="318"/>
      <c r="GG1154" s="318"/>
      <c r="GH1154" s="318"/>
      <c r="GI1154" s="318"/>
      <c r="GJ1154" s="318"/>
      <c r="GK1154" s="318"/>
      <c r="GL1154" s="318"/>
      <c r="GM1154" s="318"/>
      <c r="GN1154" s="318"/>
      <c r="GO1154" s="318"/>
      <c r="GP1154" s="318"/>
      <c r="GQ1154" s="318"/>
      <c r="GR1154" s="318"/>
      <c r="GS1154" s="232"/>
      <c r="GT1154" s="231"/>
      <c r="GU1154" s="231"/>
      <c r="GV1154" s="231"/>
      <c r="GW1154" s="231"/>
      <c r="GX1154" s="231"/>
      <c r="GY1154" s="231"/>
      <c r="GZ1154" s="231"/>
      <c r="HA1154" s="231"/>
      <c r="HB1154" s="231"/>
      <c r="HC1154" s="231"/>
      <c r="HD1154" s="231"/>
      <c r="HE1154" s="231"/>
      <c r="HF1154" s="231"/>
      <c r="HG1154" s="231"/>
      <c r="HH1154" s="231"/>
      <c r="HI1154" s="232"/>
    </row>
    <row r="1155" spans="82:217" ht="10.75" customHeight="1">
      <c r="CD1155" s="229"/>
      <c r="CE1155" s="231"/>
      <c r="CF1155" s="231"/>
      <c r="CG1155" s="231"/>
      <c r="CH1155" s="231"/>
      <c r="CI1155" s="231"/>
      <c r="CJ1155" s="231"/>
      <c r="CK1155" s="231"/>
      <c r="CL1155" s="231"/>
      <c r="CM1155" s="231"/>
      <c r="CN1155" s="231"/>
      <c r="CO1155" s="231"/>
      <c r="CP1155" s="231"/>
      <c r="CQ1155" s="231"/>
      <c r="CR1155" s="231"/>
      <c r="CS1155" s="231"/>
      <c r="CT1155" s="229"/>
      <c r="CU1155" s="318"/>
      <c r="CV1155" s="318"/>
      <c r="CW1155" s="318"/>
      <c r="CX1155" s="318"/>
      <c r="CY1155" s="318"/>
      <c r="CZ1155" s="318"/>
      <c r="DA1155" s="318"/>
      <c r="DB1155" s="318"/>
      <c r="DC1155" s="318"/>
      <c r="DD1155" s="318"/>
      <c r="DE1155" s="318"/>
      <c r="DF1155" s="318"/>
      <c r="DG1155" s="318"/>
      <c r="DH1155" s="318"/>
      <c r="DI1155" s="318"/>
      <c r="DJ1155" s="318"/>
      <c r="DK1155" s="318"/>
      <c r="DL1155" s="318"/>
      <c r="DM1155" s="318"/>
      <c r="DN1155" s="318"/>
      <c r="DO1155" s="318"/>
      <c r="DP1155" s="318"/>
      <c r="DQ1155" s="318"/>
      <c r="DR1155" s="318"/>
      <c r="DS1155" s="318"/>
      <c r="DT1155" s="318"/>
      <c r="DU1155" s="318"/>
      <c r="DV1155" s="318"/>
      <c r="DW1155" s="318"/>
      <c r="DX1155" s="318"/>
      <c r="DY1155" s="318"/>
      <c r="DZ1155" s="318"/>
      <c r="EA1155" s="318"/>
      <c r="EB1155" s="318"/>
      <c r="EC1155" s="318"/>
      <c r="ED1155" s="318"/>
      <c r="EE1155" s="318"/>
      <c r="EF1155" s="318"/>
      <c r="EG1155" s="318"/>
      <c r="EH1155" s="318"/>
      <c r="EI1155" s="318"/>
      <c r="EJ1155" s="318"/>
      <c r="EK1155" s="318"/>
      <c r="EL1155" s="318"/>
      <c r="EM1155" s="318"/>
      <c r="EN1155" s="318"/>
      <c r="EO1155" s="318"/>
      <c r="EP1155" s="318"/>
      <c r="EQ1155" s="318"/>
      <c r="ER1155" s="318"/>
      <c r="ES1155" s="318"/>
      <c r="ET1155" s="318"/>
      <c r="EU1155" s="318"/>
      <c r="EV1155" s="318"/>
      <c r="EW1155" s="318"/>
      <c r="EX1155" s="318"/>
      <c r="EY1155" s="318"/>
      <c r="EZ1155" s="318"/>
      <c r="FA1155" s="318"/>
      <c r="FB1155" s="318"/>
      <c r="FC1155" s="318"/>
      <c r="FD1155" s="318"/>
      <c r="FE1155" s="318"/>
      <c r="FF1155" s="318"/>
      <c r="FG1155" s="318"/>
      <c r="FH1155" s="318"/>
      <c r="FI1155" s="318"/>
      <c r="FJ1155" s="318"/>
      <c r="FK1155" s="318"/>
      <c r="FL1155" s="318"/>
      <c r="FM1155" s="318"/>
      <c r="FN1155" s="318"/>
      <c r="FO1155" s="318"/>
      <c r="FP1155" s="318"/>
      <c r="FQ1155" s="318"/>
      <c r="FR1155" s="318"/>
      <c r="FS1155" s="318"/>
      <c r="FT1155" s="318"/>
      <c r="FU1155" s="318"/>
      <c r="FV1155" s="318"/>
      <c r="FW1155" s="318"/>
      <c r="FX1155" s="318"/>
      <c r="FY1155" s="318"/>
      <c r="FZ1155" s="318"/>
      <c r="GA1155" s="318"/>
      <c r="GB1155" s="318"/>
      <c r="GC1155" s="318"/>
      <c r="GD1155" s="318"/>
      <c r="GE1155" s="318"/>
      <c r="GF1155" s="318"/>
      <c r="GG1155" s="318"/>
      <c r="GH1155" s="318"/>
      <c r="GI1155" s="318"/>
      <c r="GJ1155" s="318"/>
      <c r="GK1155" s="318"/>
      <c r="GL1155" s="318"/>
      <c r="GM1155" s="318"/>
      <c r="GN1155" s="318"/>
      <c r="GO1155" s="318"/>
      <c r="GP1155" s="318"/>
      <c r="GQ1155" s="318"/>
      <c r="GR1155" s="318"/>
      <c r="GS1155" s="232"/>
      <c r="GT1155" s="231"/>
      <c r="GU1155" s="231"/>
      <c r="GV1155" s="231"/>
      <c r="GW1155" s="231"/>
      <c r="GX1155" s="231"/>
      <c r="GY1155" s="231"/>
      <c r="GZ1155" s="231"/>
      <c r="HA1155" s="231"/>
      <c r="HB1155" s="231"/>
      <c r="HC1155" s="231"/>
      <c r="HD1155" s="231"/>
      <c r="HE1155" s="231"/>
      <c r="HF1155" s="231"/>
      <c r="HG1155" s="231"/>
      <c r="HH1155" s="231"/>
      <c r="HI1155" s="232"/>
    </row>
    <row r="1156" spans="82:217" ht="10.75" customHeight="1">
      <c r="CD1156" s="229"/>
      <c r="CE1156" s="231"/>
      <c r="CF1156" s="231"/>
      <c r="CG1156" s="231"/>
      <c r="CH1156" s="231"/>
      <c r="CI1156" s="231"/>
      <c r="CJ1156" s="231"/>
      <c r="CK1156" s="231"/>
      <c r="CL1156" s="231"/>
      <c r="CM1156" s="231"/>
      <c r="CN1156" s="231"/>
      <c r="CO1156" s="231"/>
      <c r="CP1156" s="231"/>
      <c r="CQ1156" s="231"/>
      <c r="CR1156" s="231"/>
      <c r="CS1156" s="231"/>
      <c r="CT1156" s="230"/>
      <c r="CU1156" s="233"/>
      <c r="CV1156" s="233"/>
      <c r="CW1156" s="233"/>
      <c r="CX1156" s="233"/>
      <c r="CY1156" s="233"/>
      <c r="CZ1156" s="233"/>
      <c r="DA1156" s="233"/>
      <c r="DB1156" s="233"/>
      <c r="DC1156" s="233"/>
      <c r="DD1156" s="233"/>
      <c r="DE1156" s="233"/>
      <c r="DF1156" s="233"/>
      <c r="DG1156" s="233"/>
      <c r="DH1156" s="233"/>
      <c r="DI1156" s="233"/>
      <c r="DJ1156" s="233"/>
      <c r="DK1156" s="233"/>
      <c r="DL1156" s="233"/>
      <c r="DM1156" s="233"/>
      <c r="DN1156" s="233"/>
      <c r="DO1156" s="233"/>
      <c r="DP1156" s="233"/>
      <c r="DQ1156" s="233"/>
      <c r="DR1156" s="233"/>
      <c r="DS1156" s="233"/>
      <c r="DT1156" s="233"/>
      <c r="DU1156" s="233"/>
      <c r="DV1156" s="233"/>
      <c r="DW1156" s="233"/>
      <c r="DX1156" s="233"/>
      <c r="DY1156" s="233"/>
      <c r="DZ1156" s="233"/>
      <c r="EA1156" s="233"/>
      <c r="EB1156" s="233"/>
      <c r="EC1156" s="233"/>
      <c r="ED1156" s="233"/>
      <c r="EE1156" s="233"/>
      <c r="EF1156" s="233"/>
      <c r="EG1156" s="233"/>
      <c r="EH1156" s="233"/>
      <c r="EI1156" s="233"/>
      <c r="EJ1156" s="233"/>
      <c r="EK1156" s="233"/>
      <c r="EL1156" s="233"/>
      <c r="EM1156" s="233"/>
      <c r="EN1156" s="233"/>
      <c r="EO1156" s="233"/>
      <c r="EP1156" s="233"/>
      <c r="EQ1156" s="233"/>
      <c r="ER1156" s="233"/>
      <c r="ES1156" s="233"/>
      <c r="ET1156" s="233"/>
      <c r="EU1156" s="233"/>
      <c r="EV1156" s="233"/>
      <c r="EW1156" s="233"/>
      <c r="EX1156" s="233"/>
      <c r="EY1156" s="233"/>
      <c r="EZ1156" s="233"/>
      <c r="FA1156" s="233"/>
      <c r="FB1156" s="233"/>
      <c r="FC1156" s="233"/>
      <c r="FD1156" s="233"/>
      <c r="FE1156" s="233"/>
      <c r="FF1156" s="233"/>
      <c r="FG1156" s="233"/>
      <c r="FH1156" s="233"/>
      <c r="FI1156" s="233"/>
      <c r="FJ1156" s="233"/>
      <c r="FK1156" s="233"/>
      <c r="FL1156" s="233"/>
      <c r="FM1156" s="233"/>
      <c r="FN1156" s="233"/>
      <c r="FO1156" s="233"/>
      <c r="FP1156" s="233"/>
      <c r="FQ1156" s="233"/>
      <c r="FR1156" s="233"/>
      <c r="FS1156" s="233"/>
      <c r="FT1156" s="233"/>
      <c r="FU1156" s="233"/>
      <c r="FV1156" s="233"/>
      <c r="FW1156" s="233"/>
      <c r="FX1156" s="233"/>
      <c r="FY1156" s="233"/>
      <c r="FZ1156" s="233"/>
      <c r="GA1156" s="233"/>
      <c r="GB1156" s="233"/>
      <c r="GC1156" s="233"/>
      <c r="GD1156" s="233"/>
      <c r="GE1156" s="233"/>
      <c r="GF1156" s="233"/>
      <c r="GG1156" s="233"/>
      <c r="GH1156" s="233"/>
      <c r="GI1156" s="233"/>
      <c r="GJ1156" s="233"/>
      <c r="GK1156" s="233"/>
      <c r="GL1156" s="233"/>
      <c r="GM1156" s="233"/>
      <c r="GN1156" s="233"/>
      <c r="GO1156" s="233"/>
      <c r="GP1156" s="233"/>
      <c r="GQ1156" s="233"/>
      <c r="GR1156" s="233"/>
      <c r="GS1156" s="234"/>
      <c r="GT1156" s="231"/>
      <c r="GU1156" s="231"/>
      <c r="GV1156" s="231"/>
      <c r="GW1156" s="231"/>
      <c r="GX1156" s="231"/>
      <c r="GY1156" s="231"/>
      <c r="GZ1156" s="231"/>
      <c r="HA1156" s="231"/>
      <c r="HB1156" s="231"/>
      <c r="HC1156" s="231"/>
      <c r="HD1156" s="231"/>
      <c r="HE1156" s="231"/>
      <c r="HF1156" s="231"/>
      <c r="HG1156" s="231"/>
      <c r="HH1156" s="231"/>
      <c r="HI1156" s="232"/>
    </row>
    <row r="1157" spans="82:217" ht="10.75" customHeight="1">
      <c r="CD1157" s="229"/>
      <c r="CE1157" s="231"/>
      <c r="CF1157" s="231"/>
      <c r="CG1157" s="231"/>
      <c r="CH1157" s="231"/>
      <c r="CI1157" s="231"/>
      <c r="CJ1157" s="231"/>
      <c r="CK1157" s="231"/>
      <c r="CL1157" s="231"/>
      <c r="CM1157" s="231"/>
      <c r="CN1157" s="231"/>
      <c r="CO1157" s="231"/>
      <c r="CP1157" s="231"/>
      <c r="CQ1157" s="231"/>
      <c r="CR1157" s="231"/>
      <c r="CS1157" s="231"/>
      <c r="CT1157" s="231"/>
      <c r="CU1157" s="231"/>
      <c r="CV1157" s="231"/>
      <c r="CW1157" s="231"/>
      <c r="CX1157" s="231"/>
      <c r="CY1157" s="231"/>
      <c r="CZ1157" s="231"/>
      <c r="DA1157" s="231"/>
      <c r="DB1157" s="231"/>
      <c r="DC1157" s="231"/>
      <c r="DD1157" s="231"/>
      <c r="DE1157" s="231"/>
      <c r="DF1157" s="231"/>
      <c r="DG1157" s="231"/>
      <c r="DH1157" s="231"/>
      <c r="DI1157" s="231"/>
      <c r="DJ1157" s="231"/>
      <c r="DK1157" s="231"/>
      <c r="DL1157" s="231"/>
      <c r="DM1157" s="231"/>
      <c r="DN1157" s="231"/>
      <c r="DO1157" s="231"/>
      <c r="DP1157" s="231"/>
      <c r="DQ1157" s="231"/>
      <c r="DR1157" s="231"/>
      <c r="DS1157" s="231"/>
      <c r="DT1157" s="231"/>
      <c r="DU1157" s="231"/>
      <c r="DV1157" s="231"/>
      <c r="DW1157" s="231"/>
      <c r="DX1157" s="231"/>
      <c r="DY1157" s="231"/>
      <c r="DZ1157" s="231"/>
      <c r="EA1157" s="231"/>
      <c r="EB1157" s="231"/>
      <c r="EC1157" s="231"/>
      <c r="ED1157" s="231"/>
      <c r="EE1157" s="231"/>
      <c r="EF1157" s="231"/>
      <c r="EG1157" s="231"/>
      <c r="EH1157" s="231"/>
      <c r="EI1157" s="231"/>
      <c r="EJ1157" s="231"/>
      <c r="EK1157" s="231"/>
      <c r="EL1157" s="231"/>
      <c r="EM1157" s="231"/>
      <c r="EN1157" s="231"/>
      <c r="EO1157" s="231"/>
      <c r="EP1157" s="231"/>
      <c r="EQ1157" s="231"/>
      <c r="ER1157" s="231"/>
      <c r="ES1157" s="231"/>
      <c r="ET1157" s="231"/>
      <c r="EU1157" s="231"/>
      <c r="EV1157" s="231"/>
      <c r="EW1157" s="231"/>
      <c r="EX1157" s="231"/>
      <c r="EY1157" s="231"/>
      <c r="EZ1157" s="231"/>
      <c r="FA1157" s="231"/>
      <c r="FB1157" s="231"/>
      <c r="FC1157" s="231"/>
      <c r="FD1157" s="231"/>
      <c r="FE1157" s="231"/>
      <c r="FF1157" s="231"/>
      <c r="FG1157" s="231"/>
      <c r="FH1157" s="231"/>
      <c r="FI1157" s="231"/>
      <c r="FJ1157" s="231"/>
      <c r="FK1157" s="231"/>
      <c r="FL1157" s="231"/>
      <c r="FM1157" s="231"/>
      <c r="FN1157" s="231"/>
      <c r="FO1157" s="231"/>
      <c r="FP1157" s="231"/>
      <c r="FQ1157" s="231"/>
      <c r="FR1157" s="231"/>
      <c r="FS1157" s="231"/>
      <c r="FT1157" s="231"/>
      <c r="FU1157" s="231"/>
      <c r="FV1157" s="231"/>
      <c r="FW1157" s="231"/>
      <c r="FX1157" s="231"/>
      <c r="FY1157" s="231"/>
      <c r="FZ1157" s="231"/>
      <c r="GA1157" s="231"/>
      <c r="GB1157" s="231"/>
      <c r="GC1157" s="231"/>
      <c r="GD1157" s="231"/>
      <c r="GE1157" s="231"/>
      <c r="GF1157" s="231"/>
      <c r="GG1157" s="231"/>
      <c r="GH1157" s="231"/>
      <c r="GI1157" s="231"/>
      <c r="GJ1157" s="231"/>
      <c r="GK1157" s="231"/>
      <c r="GL1157" s="231"/>
      <c r="GM1157" s="231"/>
      <c r="GN1157" s="231"/>
      <c r="GO1157" s="231"/>
      <c r="GP1157" s="231"/>
      <c r="GQ1157" s="231"/>
      <c r="GR1157" s="231"/>
      <c r="GS1157" s="231"/>
      <c r="GT1157" s="231"/>
      <c r="GU1157" s="231"/>
      <c r="GV1157" s="231"/>
      <c r="GW1157" s="231"/>
      <c r="GX1157" s="231"/>
      <c r="GY1157" s="231"/>
      <c r="GZ1157" s="231"/>
      <c r="HA1157" s="231"/>
      <c r="HB1157" s="231"/>
      <c r="HC1157" s="231"/>
      <c r="HD1157" s="231"/>
      <c r="HE1157" s="231"/>
      <c r="HF1157" s="231"/>
      <c r="HG1157" s="231"/>
      <c r="HH1157" s="231"/>
      <c r="HI1157" s="232"/>
    </row>
    <row r="1158" spans="82:217" ht="10.75" customHeight="1">
      <c r="CD1158" s="229"/>
      <c r="CE1158" s="231"/>
      <c r="CF1158" s="231"/>
      <c r="CG1158" s="231"/>
      <c r="CH1158" s="231"/>
      <c r="CI1158" s="231"/>
      <c r="CJ1158" s="231"/>
      <c r="CK1158" s="231"/>
      <c r="CL1158" s="231"/>
      <c r="CM1158" s="231"/>
      <c r="CN1158" s="231"/>
      <c r="CO1158" s="231"/>
      <c r="CP1158" s="231"/>
      <c r="CQ1158" s="231"/>
      <c r="CR1158" s="231"/>
      <c r="CS1158" s="231"/>
      <c r="CT1158" s="231"/>
      <c r="CU1158" s="231"/>
      <c r="CV1158" s="231"/>
      <c r="CW1158" s="231"/>
      <c r="CX1158" s="231"/>
      <c r="CY1158" s="231"/>
      <c r="CZ1158" s="231"/>
      <c r="DA1158" s="231"/>
      <c r="DB1158" s="231"/>
      <c r="DC1158" s="231"/>
      <c r="DD1158" s="231"/>
      <c r="DE1158" s="231"/>
      <c r="DF1158" s="231"/>
      <c r="DG1158" s="231"/>
      <c r="DH1158" s="231"/>
      <c r="DI1158" s="231"/>
      <c r="DJ1158" s="231"/>
      <c r="DK1158" s="231"/>
      <c r="DL1158" s="231"/>
      <c r="DM1158" s="231"/>
      <c r="DN1158" s="231"/>
      <c r="DO1158" s="231"/>
      <c r="DP1158" s="231"/>
      <c r="DQ1158" s="231"/>
      <c r="DR1158" s="231"/>
      <c r="DS1158" s="231"/>
      <c r="DT1158" s="231"/>
      <c r="DU1158" s="231"/>
      <c r="DV1158" s="231"/>
      <c r="DW1158" s="231"/>
      <c r="DX1158" s="231"/>
      <c r="DY1158" s="231"/>
      <c r="DZ1158" s="231"/>
      <c r="EA1158" s="231"/>
      <c r="EB1158" s="231"/>
      <c r="EC1158" s="231"/>
      <c r="ED1158" s="231"/>
      <c r="EE1158" s="231"/>
      <c r="EF1158" s="231"/>
      <c r="EG1158" s="231"/>
      <c r="EH1158" s="231"/>
      <c r="EI1158" s="231"/>
      <c r="EJ1158" s="231"/>
      <c r="EK1158" s="231"/>
      <c r="EL1158" s="231"/>
      <c r="EM1158" s="231"/>
      <c r="EN1158" s="231"/>
      <c r="EO1158" s="231"/>
      <c r="EP1158" s="231"/>
      <c r="EQ1158" s="231"/>
      <c r="ER1158" s="231"/>
      <c r="ES1158" s="231"/>
      <c r="ET1158" s="231"/>
      <c r="EU1158" s="231"/>
      <c r="EV1158" s="231"/>
      <c r="EW1158" s="231"/>
      <c r="EX1158" s="231"/>
      <c r="EY1158" s="231"/>
      <c r="EZ1158" s="231"/>
      <c r="FA1158" s="231"/>
      <c r="FB1158" s="231"/>
      <c r="FC1158" s="231"/>
      <c r="FD1158" s="231"/>
      <c r="FE1158" s="231"/>
      <c r="FF1158" s="231"/>
      <c r="FG1158" s="231"/>
      <c r="FH1158" s="231"/>
      <c r="FI1158" s="231"/>
      <c r="FJ1158" s="231"/>
      <c r="FK1158" s="231"/>
      <c r="FL1158" s="231"/>
      <c r="FM1158" s="231"/>
      <c r="FN1158" s="231"/>
      <c r="FO1158" s="231"/>
      <c r="FP1158" s="231"/>
      <c r="FQ1158" s="231"/>
      <c r="FR1158" s="231"/>
      <c r="FS1158" s="231"/>
      <c r="FT1158" s="231"/>
      <c r="FU1158" s="231"/>
      <c r="FV1158" s="231"/>
      <c r="FW1158" s="231"/>
      <c r="FX1158" s="231"/>
      <c r="FY1158" s="231"/>
      <c r="FZ1158" s="231"/>
      <c r="GA1158" s="231"/>
      <c r="GB1158" s="231"/>
      <c r="GC1158" s="231"/>
      <c r="GD1158" s="231"/>
      <c r="GE1158" s="231"/>
      <c r="GF1158" s="231"/>
      <c r="GG1158" s="231"/>
      <c r="GH1158" s="231"/>
      <c r="GI1158" s="231"/>
      <c r="GJ1158" s="231"/>
      <c r="GK1158" s="231"/>
      <c r="GL1158" s="231"/>
      <c r="GM1158" s="231"/>
      <c r="GN1158" s="231"/>
      <c r="GO1158" s="231"/>
      <c r="GP1158" s="231"/>
      <c r="GQ1158" s="231"/>
      <c r="GR1158" s="231"/>
      <c r="GS1158" s="231"/>
      <c r="GT1158" s="231"/>
      <c r="GU1158" s="231"/>
      <c r="GV1158" s="231"/>
      <c r="GW1158" s="231"/>
      <c r="GX1158" s="231"/>
      <c r="GY1158" s="231"/>
      <c r="GZ1158" s="231"/>
      <c r="HA1158" s="231"/>
      <c r="HB1158" s="231"/>
      <c r="HC1158" s="231"/>
      <c r="HD1158" s="231"/>
      <c r="HE1158" s="231"/>
      <c r="HF1158" s="231"/>
      <c r="HG1158" s="231"/>
      <c r="HH1158" s="231"/>
      <c r="HI1158" s="232"/>
    </row>
    <row r="1159" spans="82:217" ht="10.75" customHeight="1">
      <c r="CD1159" s="229"/>
      <c r="CE1159" s="231"/>
      <c r="CF1159" s="231"/>
      <c r="CG1159" s="231"/>
      <c r="CH1159" s="231"/>
      <c r="CI1159" s="231"/>
      <c r="CJ1159" s="231"/>
      <c r="CK1159" s="231"/>
      <c r="CL1159" s="231"/>
      <c r="CM1159" s="231"/>
      <c r="CN1159" s="231"/>
      <c r="CO1159" s="231"/>
      <c r="CP1159" s="231"/>
      <c r="CQ1159" s="231"/>
      <c r="CR1159" s="231"/>
      <c r="CS1159" s="231"/>
      <c r="CT1159" s="231"/>
      <c r="CU1159" s="231"/>
      <c r="CV1159" s="231"/>
      <c r="CW1159" s="231"/>
      <c r="CX1159" s="231"/>
      <c r="CY1159" s="231"/>
      <c r="CZ1159" s="231"/>
      <c r="DA1159" s="231"/>
      <c r="DB1159" s="231"/>
      <c r="DC1159" s="231"/>
      <c r="DD1159" s="231"/>
      <c r="DE1159" s="231"/>
      <c r="DF1159" s="231"/>
      <c r="DG1159" s="231"/>
      <c r="DH1159" s="231"/>
      <c r="DI1159" s="231"/>
      <c r="DJ1159" s="231"/>
      <c r="DK1159" s="231"/>
      <c r="DL1159" s="231"/>
      <c r="DM1159" s="231"/>
      <c r="DN1159" s="231"/>
      <c r="DO1159" s="231"/>
      <c r="DP1159" s="231"/>
      <c r="DQ1159" s="231"/>
      <c r="DR1159" s="231"/>
      <c r="DS1159" s="231"/>
      <c r="DT1159" s="231"/>
      <c r="DU1159" s="231"/>
      <c r="DV1159" s="231"/>
      <c r="DW1159" s="231"/>
      <c r="DX1159" s="231"/>
      <c r="DY1159" s="231"/>
      <c r="DZ1159" s="231"/>
      <c r="EA1159" s="231"/>
      <c r="EB1159" s="231"/>
      <c r="EC1159" s="231"/>
      <c r="ED1159" s="231"/>
      <c r="EE1159" s="231"/>
      <c r="EF1159" s="231"/>
      <c r="EG1159" s="231"/>
      <c r="EH1159" s="231"/>
      <c r="EI1159" s="231"/>
      <c r="EJ1159" s="231"/>
      <c r="EK1159" s="231"/>
      <c r="EL1159" s="231"/>
      <c r="EM1159" s="231"/>
      <c r="EN1159" s="231"/>
      <c r="EO1159" s="231"/>
      <c r="EP1159" s="231"/>
      <c r="EQ1159" s="231"/>
      <c r="ER1159" s="231"/>
      <c r="ES1159" s="231"/>
      <c r="ET1159" s="231"/>
      <c r="EU1159" s="231"/>
      <c r="EV1159" s="231"/>
      <c r="EW1159" s="231"/>
      <c r="EX1159" s="231"/>
      <c r="EY1159" s="231"/>
      <c r="EZ1159" s="231"/>
      <c r="FA1159" s="231"/>
      <c r="FB1159" s="231"/>
      <c r="FC1159" s="231"/>
      <c r="FD1159" s="231"/>
      <c r="FE1159" s="231"/>
      <c r="FF1159" s="231"/>
      <c r="FG1159" s="231"/>
      <c r="FH1159" s="231"/>
      <c r="FI1159" s="231"/>
      <c r="FJ1159" s="231"/>
      <c r="FK1159" s="231"/>
      <c r="FL1159" s="231"/>
      <c r="FM1159" s="231"/>
      <c r="FN1159" s="231"/>
      <c r="FO1159" s="231"/>
      <c r="FP1159" s="231"/>
      <c r="FQ1159" s="231"/>
      <c r="FR1159" s="231"/>
      <c r="FS1159" s="231"/>
      <c r="FT1159" s="231"/>
      <c r="FU1159" s="231"/>
      <c r="FV1159" s="231"/>
      <c r="FW1159" s="231"/>
      <c r="FX1159" s="231"/>
      <c r="FY1159" s="231"/>
      <c r="FZ1159" s="231"/>
      <c r="GA1159" s="231"/>
      <c r="GB1159" s="231"/>
      <c r="GC1159" s="231"/>
      <c r="GD1159" s="231"/>
      <c r="GE1159" s="231"/>
      <c r="GF1159" s="231"/>
      <c r="GG1159" s="231"/>
      <c r="GH1159" s="231"/>
      <c r="GI1159" s="231"/>
      <c r="GJ1159" s="231"/>
      <c r="GK1159" s="231"/>
      <c r="GL1159" s="231"/>
      <c r="GM1159" s="231"/>
      <c r="GN1159" s="231"/>
      <c r="GO1159" s="231"/>
      <c r="GP1159" s="231"/>
      <c r="GQ1159" s="231"/>
      <c r="GR1159" s="231"/>
      <c r="GS1159" s="231"/>
      <c r="GT1159" s="231"/>
      <c r="GU1159" s="231"/>
      <c r="GV1159" s="231"/>
      <c r="GW1159" s="231"/>
      <c r="GX1159" s="231"/>
      <c r="GY1159" s="231"/>
      <c r="GZ1159" s="231"/>
      <c r="HA1159" s="231"/>
      <c r="HB1159" s="231"/>
      <c r="HC1159" s="231"/>
      <c r="HD1159" s="231"/>
      <c r="HE1159" s="231"/>
      <c r="HF1159" s="231"/>
      <c r="HG1159" s="231"/>
      <c r="HH1159" s="231"/>
      <c r="HI1159" s="232"/>
    </row>
    <row r="1160" spans="82:217" ht="10.75" customHeight="1">
      <c r="CD1160" s="230"/>
      <c r="CE1160" s="233"/>
      <c r="CF1160" s="233"/>
      <c r="CG1160" s="233"/>
      <c r="CH1160" s="233"/>
      <c r="CI1160" s="233"/>
      <c r="CJ1160" s="233"/>
      <c r="CK1160" s="233"/>
      <c r="CL1160" s="233"/>
      <c r="CM1160" s="233"/>
      <c r="CN1160" s="233"/>
      <c r="CO1160" s="233"/>
      <c r="CP1160" s="233"/>
      <c r="CQ1160" s="233"/>
      <c r="CR1160" s="233"/>
      <c r="CS1160" s="233"/>
      <c r="CT1160" s="233"/>
      <c r="CU1160" s="233"/>
      <c r="CV1160" s="233"/>
      <c r="CW1160" s="233"/>
      <c r="CX1160" s="233"/>
      <c r="CY1160" s="233"/>
      <c r="CZ1160" s="233"/>
      <c r="DA1160" s="233"/>
      <c r="DB1160" s="233"/>
      <c r="DC1160" s="233"/>
      <c r="DD1160" s="233"/>
      <c r="DE1160" s="233"/>
      <c r="DF1160" s="233"/>
      <c r="DG1160" s="233"/>
      <c r="DH1160" s="233"/>
      <c r="DI1160" s="233"/>
      <c r="DJ1160" s="233"/>
      <c r="DK1160" s="233"/>
      <c r="DL1160" s="233"/>
      <c r="DM1160" s="233"/>
      <c r="DN1160" s="233"/>
      <c r="DO1160" s="233"/>
      <c r="DP1160" s="233"/>
      <c r="DQ1160" s="233"/>
      <c r="DR1160" s="233"/>
      <c r="DS1160" s="233"/>
      <c r="DT1160" s="233"/>
      <c r="DU1160" s="233"/>
      <c r="DV1160" s="233"/>
      <c r="DW1160" s="233"/>
      <c r="DX1160" s="233"/>
      <c r="DY1160" s="233"/>
      <c r="DZ1160" s="233"/>
      <c r="EA1160" s="233"/>
      <c r="EB1160" s="233"/>
      <c r="EC1160" s="233"/>
      <c r="ED1160" s="233"/>
      <c r="EE1160" s="233"/>
      <c r="EF1160" s="233"/>
      <c r="EG1160" s="233"/>
      <c r="EH1160" s="233"/>
      <c r="EI1160" s="233"/>
      <c r="EJ1160" s="233"/>
      <c r="EK1160" s="233"/>
      <c r="EL1160" s="233"/>
      <c r="EM1160" s="233"/>
      <c r="EN1160" s="233"/>
      <c r="EO1160" s="233"/>
      <c r="EP1160" s="233"/>
      <c r="EQ1160" s="233"/>
      <c r="ER1160" s="233"/>
      <c r="ES1160" s="233"/>
      <c r="ET1160" s="233"/>
      <c r="EU1160" s="233"/>
      <c r="EV1160" s="233"/>
      <c r="EW1160" s="233"/>
      <c r="EX1160" s="233"/>
      <c r="EY1160" s="233"/>
      <c r="EZ1160" s="233"/>
      <c r="FA1160" s="233"/>
      <c r="FB1160" s="233"/>
      <c r="FC1160" s="233"/>
      <c r="FD1160" s="233"/>
      <c r="FE1160" s="233"/>
      <c r="FF1160" s="233"/>
      <c r="FG1160" s="233"/>
      <c r="FH1160" s="233"/>
      <c r="FI1160" s="233"/>
      <c r="FJ1160" s="233"/>
      <c r="FK1160" s="233"/>
      <c r="FL1160" s="233"/>
      <c r="FM1160" s="233"/>
      <c r="FN1160" s="233"/>
      <c r="FO1160" s="233"/>
      <c r="FP1160" s="233"/>
      <c r="FQ1160" s="233"/>
      <c r="FR1160" s="233"/>
      <c r="FS1160" s="233"/>
      <c r="FT1160" s="233"/>
      <c r="FU1160" s="233"/>
      <c r="FV1160" s="233"/>
      <c r="FW1160" s="233"/>
      <c r="FX1160" s="233"/>
      <c r="FY1160" s="233"/>
      <c r="FZ1160" s="233"/>
      <c r="GA1160" s="233"/>
      <c r="GB1160" s="233"/>
      <c r="GC1160" s="233"/>
      <c r="GD1160" s="233"/>
      <c r="GE1160" s="233"/>
      <c r="GF1160" s="233"/>
      <c r="GG1160" s="233"/>
      <c r="GH1160" s="233"/>
      <c r="GI1160" s="233"/>
      <c r="GJ1160" s="233"/>
      <c r="GK1160" s="233"/>
      <c r="GL1160" s="233"/>
      <c r="GM1160" s="233"/>
      <c r="GN1160" s="233"/>
      <c r="GO1160" s="233"/>
      <c r="GP1160" s="233"/>
      <c r="GQ1160" s="233"/>
      <c r="GR1160" s="233"/>
      <c r="GS1160" s="233"/>
      <c r="GT1160" s="233"/>
      <c r="GU1160" s="233"/>
      <c r="GV1160" s="233"/>
      <c r="GW1160" s="233"/>
      <c r="GX1160" s="233"/>
      <c r="GY1160" s="233"/>
      <c r="GZ1160" s="233"/>
      <c r="HA1160" s="233"/>
      <c r="HB1160" s="233"/>
      <c r="HC1160" s="233"/>
      <c r="HD1160" s="233"/>
      <c r="HE1160" s="233"/>
      <c r="HF1160" s="233"/>
      <c r="HG1160" s="233"/>
      <c r="HH1160" s="233"/>
      <c r="HI1160" s="234"/>
    </row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Sheet4</vt:lpstr>
      <vt:lpstr>Calc-2</vt:lpstr>
      <vt:lpstr>Sheet1 (3)</vt:lpstr>
      <vt:lpstr>Sheet1 (4)</vt:lpstr>
      <vt:lpstr>Sheet1 (5)</vt:lpstr>
      <vt:lpstr>Calc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 Reddy</dc:creator>
  <cp:lastModifiedBy>Venkat Reddy</cp:lastModifiedBy>
  <dcterms:created xsi:type="dcterms:W3CDTF">2023-12-29T23:55:15Z</dcterms:created>
  <dcterms:modified xsi:type="dcterms:W3CDTF">2024-02-02T09:56:02Z</dcterms:modified>
</cp:coreProperties>
</file>